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ing New Correction" sheetId="1" r:id="rId5"/>
    <sheet state="visible" name="raw" sheetId="2" r:id="rId6"/>
    <sheet state="visible" name="6-7 oct" sheetId="3" r:id="rId7"/>
    <sheet state="visible" name="30SEP-1OCT" sheetId="4" r:id="rId8"/>
    <sheet state="visible" name="2OCT-5OCT" sheetId="5" r:id="rId9"/>
    <sheet state="visible" name="28-29 SEP" sheetId="6" r:id="rId10"/>
    <sheet state="visible" name="24-27 SEP" sheetId="7" r:id="rId11"/>
    <sheet state="visible" name="23-24 Sep" sheetId="8" r:id="rId12"/>
    <sheet state="visible" name="20-22 Sep" sheetId="9" r:id="rId13"/>
    <sheet state="visible" name="Loose Fitting" sheetId="10" r:id="rId14"/>
    <sheet state="visible" name="15-19 SEP" sheetId="11" r:id="rId15"/>
    <sheet state="visible" name="12-14 SEP" sheetId="12" r:id="rId16"/>
    <sheet state="visible" name="SHAPE 10-12 SEP" sheetId="13" r:id="rId17"/>
    <sheet state="visible" name="daily report" sheetId="14" r:id="rId18"/>
    <sheet state="visible" name="Sheet32" sheetId="15" r:id="rId19"/>
    <sheet state="visible" name="IMPORTANT" sheetId="16" r:id="rId20"/>
    <sheet state="visible" name="JUNE ANALYSIS SUMMARY" sheetId="17" r:id="rId21"/>
    <sheet state="visible" name="20-25 May" sheetId="18" r:id="rId22"/>
    <sheet state="visible" name="25-27 JUNE" sheetId="19" r:id="rId23"/>
    <sheet state="visible" name="21-24 JUNE" sheetId="20" r:id="rId24"/>
    <sheet state="visible" name="1-10 JUNE" sheetId="21" r:id="rId25"/>
    <sheet state="visible" name="17-20 JUNE" sheetId="22" r:id="rId26"/>
    <sheet state="visible" name="28-30 JUNE" sheetId="23" r:id="rId27"/>
    <sheet state="visible" name="14-18 JULY" sheetId="24" r:id="rId28"/>
    <sheet state="visible" name="19-23 JULY" sheetId="25" r:id="rId29"/>
    <sheet state="visible" name="21-28 JULY" sheetId="26" r:id="rId30"/>
    <sheet state="visible" name="29JULY-3AUG " sheetId="27" r:id="rId31"/>
    <sheet state="visible" name="1-7 AUG" sheetId="28" r:id="rId32"/>
    <sheet state="visible" name="2-8 aug " sheetId="29" r:id="rId33"/>
    <sheet state="visible" name="7-14 Aug" sheetId="30" r:id="rId34"/>
    <sheet state="visible" name="15-20 AUG" sheetId="31" r:id="rId35"/>
    <sheet state="visible" name="21-24 AUG" sheetId="32" r:id="rId36"/>
    <sheet state="visible" name="25AUG-2SEP" sheetId="33" r:id="rId37"/>
    <sheet state="visible" name="2-4 SEP" sheetId="34" r:id="rId38"/>
    <sheet state="visible" name="2-7SEP" sheetId="35" r:id="rId39"/>
    <sheet state="visible" name="8-9 SEP" sheetId="36" r:id="rId40"/>
  </sheets>
  <definedNames>
    <definedName hidden="1" localSheetId="4" name="_xlnm._FilterDatabase">'2OCT-5OCT'!$A$1:$P$36</definedName>
    <definedName hidden="1" localSheetId="6" name="_xlnm._FilterDatabase">'24-27 SEP'!$A$1:$P$61</definedName>
    <definedName hidden="1" localSheetId="9" name="_xlnm._FilterDatabase">'Loose Fitting'!$A$1:$A$1000</definedName>
    <definedName hidden="1" localSheetId="15" name="_xlnm._FilterDatabase">IMPORTANT!$A$2:$E$156</definedName>
    <definedName hidden="1" localSheetId="27" name="_xlnm._FilterDatabase">'1-7 AUG'!$A$1:$J$37</definedName>
    <definedName hidden="1" localSheetId="34" name="_xlnm._FilterDatabase">'2-7SEP'!$A$1:$I$46</definedName>
  </definedNames>
  <calcPr/>
</workbook>
</file>

<file path=xl/sharedStrings.xml><?xml version="1.0" encoding="utf-8"?>
<sst xmlns="http://schemas.openxmlformats.org/spreadsheetml/2006/main" count="10211" uniqueCount="1616">
  <si>
    <t>CT</t>
  </si>
  <si>
    <t>FRAME PID</t>
  </si>
  <si>
    <t>INVOICE</t>
  </si>
  <si>
    <t>Pid.invoice</t>
  </si>
  <si>
    <t>ISSUE</t>
  </si>
  <si>
    <t>PERCENTAGE</t>
  </si>
  <si>
    <t>FRAME TYPE</t>
  </si>
  <si>
    <t>A</t>
  </si>
  <si>
    <t>B</t>
  </si>
  <si>
    <t>CIRC R</t>
  </si>
  <si>
    <t>CIRC L</t>
  </si>
  <si>
    <t>AFTER</t>
  </si>
  <si>
    <t>A1</t>
  </si>
  <si>
    <t>B1</t>
  </si>
  <si>
    <t>CIRC R1</t>
  </si>
  <si>
    <t>CIRC L1</t>
  </si>
  <si>
    <t>REMARK</t>
  </si>
  <si>
    <t>DONE BY</t>
  </si>
  <si>
    <t>IN26034K</t>
  </si>
  <si>
    <t>SMALL</t>
  </si>
  <si>
    <t>FULL RIM</t>
  </si>
  <si>
    <t>TRACING</t>
  </si>
  <si>
    <t>AMIRUN</t>
  </si>
  <si>
    <t>H2630</t>
  </si>
  <si>
    <t>220126.H2630</t>
  </si>
  <si>
    <t>W/SHAPE</t>
  </si>
  <si>
    <t>ANJALI</t>
  </si>
  <si>
    <t>CIN-000001644019</t>
  </si>
  <si>
    <t>217022.CIN-000001644019</t>
  </si>
  <si>
    <t>.IN26037D</t>
  </si>
  <si>
    <t>241210.IN26037D</t>
  </si>
  <si>
    <t>FS2605A</t>
  </si>
  <si>
    <t>137935.FS2605A</t>
  </si>
  <si>
    <t>IN24062K</t>
  </si>
  <si>
    <t>224781.IN24062K</t>
  </si>
  <si>
    <t>LM2622</t>
  </si>
  <si>
    <t>149862.LM2622</t>
  </si>
  <si>
    <t>LM2620</t>
  </si>
  <si>
    <t>204342.LM2620</t>
  </si>
  <si>
    <t>KC078260402</t>
  </si>
  <si>
    <t>242242.KC078260402</t>
  </si>
  <si>
    <t>LSK20260528-A1</t>
  </si>
  <si>
    <t>219829.LSK20260528-A1</t>
  </si>
  <si>
    <t>BIG</t>
  </si>
  <si>
    <t>CT39267</t>
  </si>
  <si>
    <t>241185.IN26034J</t>
  </si>
  <si>
    <t>134949.IN026050803D</t>
  </si>
  <si>
    <t>HALF RIM</t>
  </si>
  <si>
    <t>134949.IN026051603B</t>
  </si>
  <si>
    <t>146619.26WLS-170B</t>
  </si>
  <si>
    <t>242763.IN26032K</t>
  </si>
  <si>
    <t>207481.IHR127B2C0001820</t>
  </si>
  <si>
    <t>238613.CIN-000001387618</t>
  </si>
  <si>
    <t>234800.IRJ127B2C0000209</t>
  </si>
  <si>
    <t>DEVENDRA</t>
  </si>
  <si>
    <t>207481.IN26034L</t>
  </si>
  <si>
    <t>149861.LM2622C</t>
  </si>
  <si>
    <t>241097.IRJ127B2C0001228</t>
  </si>
  <si>
    <t xml:space="preserve">       14-07-2026</t>
  </si>
  <si>
    <t>234796.CIN-000001467074</t>
  </si>
  <si>
    <t>228997.FKS26199O</t>
  </si>
  <si>
    <t>206728.FKS26191F</t>
  </si>
  <si>
    <t>243247.FKS26166F</t>
  </si>
  <si>
    <t>222575.FKS26200G</t>
  </si>
  <si>
    <t>206126.FKS26201B</t>
  </si>
  <si>
    <t>234796.CIN-000001462531</t>
  </si>
  <si>
    <t>225336.IRJ126B2C00013</t>
  </si>
  <si>
    <t>DHAVAL</t>
  </si>
  <si>
    <t>207375.FKS26109G</t>
  </si>
  <si>
    <t>206132.FKS26185B</t>
  </si>
  <si>
    <t>146012.H2556</t>
  </si>
  <si>
    <t>201100.26WLS-271B</t>
  </si>
  <si>
    <t>236913.CIN-000000706524</t>
  </si>
  <si>
    <t>222575.FKS26199F</t>
  </si>
  <si>
    <t>150798.ZD260004A</t>
  </si>
  <si>
    <t>208956.IHR127B2C0002662</t>
  </si>
  <si>
    <t>241210.IN26038C</t>
  </si>
  <si>
    <t>227450.263044-E</t>
  </si>
  <si>
    <t>208272.IHR127B2C0002726</t>
  </si>
  <si>
    <t>208956.IHR127B2C0002656</t>
  </si>
  <si>
    <t>231942.IHR127B2C0002485</t>
  </si>
  <si>
    <t>150584.IN26039P</t>
  </si>
  <si>
    <t>234791.IRJ127B2C0001369</t>
  </si>
  <si>
    <t>220988.CL2024017A</t>
  </si>
  <si>
    <t>215403.KC078260402B</t>
  </si>
  <si>
    <t>207481.IHR127B2C0001875</t>
  </si>
  <si>
    <t>137974.FKS26209D</t>
  </si>
  <si>
    <t>210178.FKS26174C</t>
  </si>
  <si>
    <t>smLL</t>
  </si>
  <si>
    <t>small</t>
  </si>
  <si>
    <t>149844.LM2631</t>
  </si>
  <si>
    <t>206775.WMW26YFS0127A</t>
  </si>
  <si>
    <t>247079.IRJ127B2C0001432</t>
  </si>
  <si>
    <t>151889.LK260501</t>
  </si>
  <si>
    <t>227571.26Y079</t>
  </si>
  <si>
    <t>234769.IRJ127B2C0001392</t>
  </si>
  <si>
    <t>227035.26Y079</t>
  </si>
  <si>
    <t>210433.FKS26145M</t>
  </si>
  <si>
    <t>241091.IRJ127B2C0001669</t>
  </si>
  <si>
    <t>234804.IRJ127B2C0001660</t>
  </si>
  <si>
    <t>146622.26WLS-332E</t>
  </si>
  <si>
    <t>207671.IHR127B2C0002885</t>
  </si>
  <si>
    <t>ADITI</t>
  </si>
  <si>
    <t>239839.CIN-000001093608</t>
  </si>
  <si>
    <t>206775.WMW26YFS0128D</t>
  </si>
  <si>
    <t>241119.IRJ127B2C0001593</t>
  </si>
  <si>
    <t>241079.IRJ127B2C0001331</t>
  </si>
  <si>
    <t>234793.CIN-000001260002</t>
  </si>
  <si>
    <t>146653.F2610C</t>
  </si>
  <si>
    <t>208272.IHR127B2C0002441</t>
  </si>
  <si>
    <t>241854.IN26047E</t>
  </si>
  <si>
    <t>227606.26Y105</t>
  </si>
  <si>
    <t>210433.FKS26205K</t>
  </si>
  <si>
    <t>134951.IN026051203E</t>
  </si>
  <si>
    <t>204392.LM2620</t>
  </si>
  <si>
    <t>240000.IN026072002I</t>
  </si>
  <si>
    <t>241119.IRJ127B2C0001561</t>
  </si>
  <si>
    <t>219826.LSK26062202-A12</t>
  </si>
  <si>
    <t>210178.FKS26169</t>
  </si>
  <si>
    <t>MANUAL</t>
  </si>
  <si>
    <t>241075.IRJ127B2C0001561</t>
  </si>
  <si>
    <t>147021.26WLS-310J</t>
  </si>
  <si>
    <t>239021.FKS26212</t>
  </si>
  <si>
    <t>137971.FKS26228H</t>
  </si>
  <si>
    <t>235299.26L049B</t>
  </si>
  <si>
    <t>148908.26WLS-313A</t>
  </si>
  <si>
    <t>217644.FKS26184A</t>
  </si>
  <si>
    <t>207551.FKS26182E</t>
  </si>
  <si>
    <t>237932.IRJ127B2C0000347</t>
  </si>
  <si>
    <t>219830.LSK26070101-A5</t>
  </si>
  <si>
    <t>219952.SLK260408B</t>
  </si>
  <si>
    <t>.</t>
  </si>
  <si>
    <t>242206.26WLS-310C</t>
  </si>
  <si>
    <t>big</t>
  </si>
  <si>
    <t>236092.IHR127B2C0001152</t>
  </si>
  <si>
    <t>241119.IRJ127B2C0001503</t>
  </si>
  <si>
    <t>242911.26L171D</t>
  </si>
  <si>
    <t>CHIP</t>
  </si>
  <si>
    <t>246227.LSK26071701-A1</t>
  </si>
  <si>
    <t>chio</t>
  </si>
  <si>
    <t>228997.FKS26238E</t>
  </si>
  <si>
    <t>204348.LM2631</t>
  </si>
  <si>
    <t>244798.26WLS-331B</t>
  </si>
  <si>
    <t>234804.IRJ127B2C0001870</t>
  </si>
  <si>
    <t>245621.FKS26200I</t>
  </si>
  <si>
    <t>218967.IRJ127B2C0001055</t>
  </si>
  <si>
    <t>221176.FKS26237</t>
  </si>
  <si>
    <t>243169.IN26032B</t>
  </si>
  <si>
    <t>217873.263058-G</t>
  </si>
  <si>
    <t>222900.IN026042503</t>
  </si>
  <si>
    <t>241113.IRJ127B2C0001336</t>
  </si>
  <si>
    <t>225336.IRJ127B2C0000270</t>
  </si>
  <si>
    <t>241183.IN26052B</t>
  </si>
  <si>
    <t>151703.FKS26155G</t>
  </si>
  <si>
    <t>234791.IRJ127B2C0002010</t>
  </si>
  <si>
    <t>241106.IRJ127B2C0001740</t>
  </si>
  <si>
    <t>w/shape</t>
  </si>
  <si>
    <t>236092.IHR127B2C0003142</t>
  </si>
  <si>
    <t>234804.IRJ127B2C0002031</t>
  </si>
  <si>
    <t>F.V</t>
  </si>
  <si>
    <t>241854.IN26050L</t>
  </si>
  <si>
    <t>242767.IN6033I</t>
  </si>
  <si>
    <t>151703.FKS26046K</t>
  </si>
  <si>
    <t>frame variation</t>
  </si>
  <si>
    <t>208956.IHR127B2C0003125</t>
  </si>
  <si>
    <t>246233.LSK26060502-A12</t>
  </si>
  <si>
    <t>237153.TOD-22973D</t>
  </si>
  <si>
    <t>208951.IHR127B2C0002904</t>
  </si>
  <si>
    <t>241119.IRJ127B2C0001743</t>
  </si>
  <si>
    <t>BIG SIZE</t>
  </si>
  <si>
    <t>219823.LSK26070602</t>
  </si>
  <si>
    <t>238757.26WLS-357A</t>
  </si>
  <si>
    <t>137971.FKS26228F</t>
  </si>
  <si>
    <t>221282.LSK26072102-A11</t>
  </si>
  <si>
    <t>224484.H2632</t>
  </si>
  <si>
    <t>235432.263105-Q</t>
  </si>
  <si>
    <t>241119.IRJ127B2C0001488</t>
  </si>
  <si>
    <t>BIZ SIZE</t>
  </si>
  <si>
    <t>138420.26WLS-331K</t>
  </si>
  <si>
    <t>241100.IRJ127B2C0001377</t>
  </si>
  <si>
    <t>243674.FKS26197M</t>
  </si>
  <si>
    <t>246226.LSK26071201-A4</t>
  </si>
  <si>
    <t>246232.LSK26060502-A12</t>
  </si>
  <si>
    <t>246242.LSK26072102-A5</t>
  </si>
  <si>
    <t>SMALL SIZE</t>
  </si>
  <si>
    <t>239983.IN026072002F</t>
  </si>
  <si>
    <t>241113.IRJ127B2C0002050</t>
  </si>
  <si>
    <t>241097.IRJ127B2C0001772</t>
  </si>
  <si>
    <t>241115.IRJ127B2C0001778</t>
  </si>
  <si>
    <t>148906.26WLS-331D</t>
  </si>
  <si>
    <t>219834.LSK26072202-A5</t>
  </si>
  <si>
    <t>231612.IN26039P</t>
  </si>
  <si>
    <t>234804.IRJ127B2C0002022</t>
  </si>
  <si>
    <t>149037.26WLS-314I</t>
  </si>
  <si>
    <t>211293.FKS26182C</t>
  </si>
  <si>
    <t>225336.IRJ127B2C0000539</t>
  </si>
  <si>
    <t>234799.IRJ126B2C0000757</t>
  </si>
  <si>
    <t>239839.CIN-000001218048</t>
  </si>
  <si>
    <t>241091.IRJ127B2C0001630</t>
  </si>
  <si>
    <t>244415.GLS-20260610-B</t>
  </si>
  <si>
    <t>217873.263052-G</t>
  </si>
  <si>
    <t>239999.IN026062703J</t>
  </si>
  <si>
    <t>241106.IRJ127B2C0001944</t>
  </si>
  <si>
    <t>246234.LSK26070201-A3</t>
  </si>
  <si>
    <t>208951.IHR127B2C0002574</t>
  </si>
  <si>
    <t>211293.FKS26182E</t>
  </si>
  <si>
    <t>218967.IRJ127B2C0001339</t>
  </si>
  <si>
    <t>234794.IRJ127B2C0001614</t>
  </si>
  <si>
    <t>236135.26L125</t>
  </si>
  <si>
    <t>241117.IRJ127B2C0001811</t>
  </si>
  <si>
    <t>218967.IRJ127B2C0001096</t>
  </si>
  <si>
    <t>219545.FKS26200O</t>
  </si>
  <si>
    <t>220721.INSI-26-191495</t>
  </si>
  <si>
    <t>234768.IRJ127B2C0002027</t>
  </si>
  <si>
    <t>234791.IRJ127B2C0001994</t>
  </si>
  <si>
    <t>238827.IRJ127B2C0001462</t>
  </si>
  <si>
    <t>241089.IRJ127B2C0001669</t>
  </si>
  <si>
    <t>242697.IRJ127B2C0001542</t>
  </si>
  <si>
    <t>247064.IRJ127B2C0001329</t>
  </si>
  <si>
    <t>247069.IRJ127B2C0001434</t>
  </si>
  <si>
    <t>134826.FKS26258S</t>
  </si>
  <si>
    <t>218967.IRJ127B2C0001805</t>
  </si>
  <si>
    <t>225336.IRJ126B2C0001387</t>
  </si>
  <si>
    <t>234791.IRJ127B2C0002022</t>
  </si>
  <si>
    <t>238757.26WLS-313B</t>
  </si>
  <si>
    <t>239183.26L049B</t>
  </si>
  <si>
    <t>149080.FKS26274R</t>
  </si>
  <si>
    <t>Mukul</t>
  </si>
  <si>
    <t>246240.LSK26072202-A3</t>
  </si>
  <si>
    <t>238524.GLS-20260706-B</t>
  </si>
  <si>
    <t>243248.FKS26178L</t>
  </si>
  <si>
    <t>137975.FKS26249A</t>
  </si>
  <si>
    <r>
      <rPr>
        <color rgb="FF1155CC"/>
        <u/>
      </rPr>
      <t>CCC161701603</t>
    </r>
  </si>
  <si>
    <r>
      <rPr>
        <color rgb="FF1155CC"/>
        <u/>
      </rPr>
      <t>CCC161701774</t>
    </r>
  </si>
  <si>
    <t>DEEPANSHU</t>
  </si>
  <si>
    <r>
      <rPr>
        <color rgb="FF1155CC"/>
        <u/>
      </rPr>
      <t>CCC161701769</t>
    </r>
  </si>
  <si>
    <t>234769.IRJ127B2C0001978</t>
  </si>
  <si>
    <t>236397.INSI-26-191496</t>
  </si>
  <si>
    <t>234765.IRJ127B2C0001017</t>
  </si>
  <si>
    <t>219829.LSK26080101-A5</t>
  </si>
  <si>
    <t>243841.FKS26217P</t>
  </si>
  <si>
    <t>224362.HD20251365B</t>
  </si>
  <si>
    <t>BIG/SMALL</t>
  </si>
  <si>
    <t>245913.FKS26218I</t>
  </si>
  <si>
    <t>243868.IN026062702E</t>
  </si>
  <si>
    <t>209756.LSK26062202-A2</t>
  </si>
  <si>
    <t>239021.FKS26217N</t>
  </si>
  <si>
    <t>222402.FS2613E</t>
  </si>
  <si>
    <t>211307.FS2616B</t>
  </si>
  <si>
    <t>150636.26WLS-319I</t>
  </si>
  <si>
    <t>219139.IN026063003B</t>
  </si>
  <si>
    <t>134746.FKS26205O</t>
  </si>
  <si>
    <t>210433.FKS26198P</t>
  </si>
  <si>
    <t>219262.IHR126B2C0003865</t>
  </si>
  <si>
    <t>234791.IRJ127B2C0002154</t>
  </si>
  <si>
    <t>236096.IHR127B2C0003725</t>
  </si>
  <si>
    <t>221928.IN26052S</t>
  </si>
  <si>
    <t>234780.IRJ127B2C0001089</t>
  </si>
  <si>
    <t>242146.LSK26072102-A1</t>
  </si>
  <si>
    <t>238757.26WLS-380D</t>
  </si>
  <si>
    <t>241187.IN26056C</t>
  </si>
  <si>
    <t>241094.IRJ127B2C0002149</t>
  </si>
  <si>
    <t>246018.LSK26072102-A2</t>
  </si>
  <si>
    <t>247138.FKS26245</t>
  </si>
  <si>
    <t>236092.IHR127B2C0001165</t>
  </si>
  <si>
    <t>234793.CIN-000001870615</t>
  </si>
  <si>
    <t>246823.26WLS-359A</t>
  </si>
  <si>
    <t>246815.26WLS-359A</t>
  </si>
  <si>
    <t>225336.IRJ127B2C0001005</t>
  </si>
  <si>
    <t>242597.FKS26263D</t>
  </si>
  <si>
    <t>225336.IRJ127B2C0000212</t>
  </si>
  <si>
    <t>242597.FKS26263E</t>
  </si>
  <si>
    <t>234791.IRJ127B2C0002097</t>
  </si>
  <si>
    <t>225336.IRJ127B2C0000223</t>
  </si>
  <si>
    <t>146619.26WLS-358E</t>
  </si>
  <si>
    <t>234791.IRJ127B2C0001913</t>
  </si>
  <si>
    <t>246830.26WLS-359A</t>
  </si>
  <si>
    <t>241106.IRJ127B2C0002135</t>
  </si>
  <si>
    <t>241189.IN26052E</t>
  </si>
  <si>
    <t>238757.26WLS-354P</t>
  </si>
  <si>
    <t>246234.LSK26073001-A4</t>
  </si>
  <si>
    <t>235324.26WLS-359G</t>
  </si>
  <si>
    <t>245621.FKS26191J</t>
  </si>
  <si>
    <t>221928.IN26052Q</t>
  </si>
  <si>
    <t>241265.FKS26291P</t>
  </si>
  <si>
    <t>241092.IRJ127B2C0002243</t>
  </si>
  <si>
    <t>246458.FKS26222M</t>
  </si>
  <si>
    <t>221282.LSK26062202-A3</t>
  </si>
  <si>
    <t>243843.FKS26209K</t>
  </si>
  <si>
    <t>221176.FKS26218E</t>
  </si>
  <si>
    <t>JATIN</t>
  </si>
  <si>
    <t>241187.IN26056A</t>
  </si>
  <si>
    <t>161..48</t>
  </si>
  <si>
    <t>245914.FKS26248A</t>
  </si>
  <si>
    <t>241089.IRJ127B2C0001681</t>
  </si>
  <si>
    <t>241124.IRJ127B2C0002017</t>
  </si>
  <si>
    <t>246459.FKS26222M</t>
  </si>
  <si>
    <t>246019.LSK26072901-A6</t>
  </si>
  <si>
    <t>244802.26WLS-331B</t>
  </si>
  <si>
    <t>254393.FKS26276D</t>
  </si>
  <si>
    <t>241106.IRJ127B2C0001631</t>
  </si>
  <si>
    <t>148906.26WLS-358H</t>
  </si>
  <si>
    <t>243673.FKS26222H</t>
  </si>
  <si>
    <t>241106.IRJ127B2C0002245</t>
  </si>
  <si>
    <t>150798.ZD260004C</t>
  </si>
  <si>
    <t>242138.LSK26070601-A2</t>
  </si>
  <si>
    <t>236092.IHR127B2C0002153</t>
  </si>
  <si>
    <t>219823.LSK26070602-A4</t>
  </si>
  <si>
    <t>241100.IRJ127B2C0002300</t>
  </si>
  <si>
    <t>146653.F2604A</t>
  </si>
  <si>
    <t>204382.LM2639D</t>
  </si>
  <si>
    <t>245915.FKS26272</t>
  </si>
  <si>
    <t>221172.FKS26289E</t>
  </si>
  <si>
    <t>227454.263099-K</t>
  </si>
  <si>
    <t>245911.FKS26201I</t>
  </si>
  <si>
    <t>201103.26WLS-379C</t>
  </si>
  <si>
    <t>221176.FKS26201E</t>
  </si>
  <si>
    <t>241079.IRJ127B2C0001441</t>
  </si>
  <si>
    <t>242174.LSK26071701-A6</t>
  </si>
  <si>
    <t>239026.FKS26199D</t>
  </si>
  <si>
    <t>BIG/CHIP</t>
  </si>
  <si>
    <t>216622.FKS26201B</t>
  </si>
  <si>
    <t>241119.IRJ127B2C0002452</t>
  </si>
  <si>
    <t>237328.25WLS-404C</t>
  </si>
  <si>
    <t>246240.LSK26070601-A6</t>
  </si>
  <si>
    <t>241100.IRJ127B2C0002304</t>
  </si>
  <si>
    <t>239026.FKS26290A</t>
  </si>
  <si>
    <t>221176.FKS26218</t>
  </si>
  <si>
    <t>239999.IN026061604F</t>
  </si>
  <si>
    <t>220238.KC078260814</t>
  </si>
  <si>
    <t>238757.26WLS-394M</t>
  </si>
  <si>
    <t>241112.IRJ127B2C0001544</t>
  </si>
  <si>
    <t>218966.IRJ127B2C0000086</t>
  </si>
  <si>
    <t>M Q C F</t>
  </si>
  <si>
    <t>237932.IRJ127B2C0001035</t>
  </si>
  <si>
    <t>204348.LM2639B</t>
  </si>
  <si>
    <t>WRONG SHAPE</t>
  </si>
  <si>
    <t>222272.26L151D</t>
  </si>
  <si>
    <t>236141.26L123F</t>
  </si>
  <si>
    <t>137971.FKS26291H</t>
  </si>
  <si>
    <t>244802.26WLS-396C</t>
  </si>
  <si>
    <t>244411.GLS-20260628-B</t>
  </si>
  <si>
    <t>245914.FKS26289A</t>
  </si>
  <si>
    <t>241114.IRJ127B2C0002472</t>
  </si>
  <si>
    <t>227450.263099-K</t>
  </si>
  <si>
    <t>220721.INSI-26-192084</t>
  </si>
  <si>
    <t>242175.LSK26071701-A4</t>
  </si>
  <si>
    <t>235135.IN026072701B</t>
  </si>
  <si>
    <t>241117.IRJ127B2C0002430</t>
  </si>
  <si>
    <t>221282.LSK26062202-A6</t>
  </si>
  <si>
    <t>221165.FKS26201E</t>
  </si>
  <si>
    <t>245912.FKS26218I</t>
  </si>
  <si>
    <t>210178.FKS26236</t>
  </si>
  <si>
    <t>222280.26L160B</t>
  </si>
  <si>
    <t>245905.FKS26210E</t>
  </si>
  <si>
    <t>241091.IRJ127B2C0002464</t>
  </si>
  <si>
    <t>246862.FKS26210F</t>
  </si>
  <si>
    <t>217079.LSK26072202-A6</t>
  </si>
  <si>
    <t>241119.IRJ127B2C0002282</t>
  </si>
  <si>
    <t>241100.IRJ127B2C0002277</t>
  </si>
  <si>
    <t>243273.LSK26072402-A3</t>
  </si>
  <si>
    <t>221165.FKS26289D</t>
  </si>
  <si>
    <t>217079.LSK26072402-A2</t>
  </si>
  <si>
    <t>150584.IN26047K</t>
  </si>
  <si>
    <t>BIG/WRONG SHAPE</t>
  </si>
  <si>
    <t>246820.26WLS-394I</t>
  </si>
  <si>
    <t>240000.IN026072001D</t>
  </si>
  <si>
    <t>240000.IN026071404E</t>
  </si>
  <si>
    <t>208758.INSI-26-192122</t>
  </si>
  <si>
    <t>235307.LSK26070801-A2</t>
  </si>
  <si>
    <t>239999.IN026072701J</t>
  </si>
  <si>
    <t>243052.263064-G</t>
  </si>
  <si>
    <t>221165.FKS26268A</t>
  </si>
  <si>
    <t>219823.LSK26070602-A10</t>
  </si>
  <si>
    <t>242138.LSK26070602-A2</t>
  </si>
  <si>
    <t>241448.26WLS-358B</t>
  </si>
  <si>
    <t>240000.IN026061604F</t>
  </si>
  <si>
    <t>241446.26WLS-380C</t>
  </si>
  <si>
    <t>241832.IN26050T</t>
  </si>
  <si>
    <t>211318.26WLS-358C</t>
  </si>
  <si>
    <t>147938.FKS26138U</t>
  </si>
  <si>
    <t>241183.IN26052K</t>
  </si>
  <si>
    <t>237938.IHR127B2C0003206</t>
  </si>
  <si>
    <t>239999.IN026060904E</t>
  </si>
  <si>
    <t>SMALL/CHIP</t>
  </si>
  <si>
    <t>241184.IN26054L</t>
  </si>
  <si>
    <t>243867.IN026072402J</t>
  </si>
  <si>
    <t>chip</t>
  </si>
  <si>
    <t>246864.FKS26220</t>
  </si>
  <si>
    <t>246892.263136-D</t>
  </si>
  <si>
    <t>242762.IN26054K</t>
  </si>
  <si>
    <t>241121.IRJ127B2C0002397</t>
  </si>
  <si>
    <t>246865.FKS26210F</t>
  </si>
  <si>
    <t>242286.FKS26309C</t>
  </si>
  <si>
    <t>201104.26WLS-148D</t>
  </si>
  <si>
    <t>BIG/SCRATCH</t>
  </si>
  <si>
    <t>221172.FKS26304B</t>
  </si>
  <si>
    <t>137934.FS2619C</t>
  </si>
  <si>
    <t>BIG/WRONG</t>
  </si>
  <si>
    <t>137935.FS2619B</t>
  </si>
  <si>
    <t>240000.IN026072701J</t>
  </si>
  <si>
    <t>241100.IRJ127B2C0002458</t>
  </si>
  <si>
    <t>222262.LSK26080101-A4</t>
  </si>
  <si>
    <t>222276.25L357D</t>
  </si>
  <si>
    <t>241509.FKS26311C</t>
  </si>
  <si>
    <t>SCRATCH</t>
  </si>
  <si>
    <t>241119.IRJ127B2C0002373</t>
  </si>
  <si>
    <t>134756.FKS26286I</t>
  </si>
  <si>
    <t>236146.26L134G</t>
  </si>
  <si>
    <t>SCRATCH/CHIP</t>
  </si>
  <si>
    <t>234804.IRJ127B2C0002349</t>
  </si>
  <si>
    <t>242762.IN26029I</t>
  </si>
  <si>
    <t>241832.IN26050S</t>
  </si>
  <si>
    <t>245622.FKS26247J</t>
  </si>
  <si>
    <t>215378.263124-C</t>
  </si>
  <si>
    <t>WRONG</t>
  </si>
  <si>
    <t>241100.IRJ127B2C0002345</t>
  </si>
  <si>
    <t>225123.JD-C26062C</t>
  </si>
  <si>
    <t>222135.KC078260604</t>
  </si>
  <si>
    <t>212873.FKS26256N</t>
  </si>
  <si>
    <t>255858.FKS26294</t>
  </si>
  <si>
    <t>230537.KC078260519E</t>
  </si>
  <si>
    <t>206127.FKS26321C</t>
  </si>
  <si>
    <t>242597.FKS26314L</t>
  </si>
  <si>
    <t>207671.IHR127B2C0002624</t>
  </si>
  <si>
    <t>244257.26Y090</t>
  </si>
  <si>
    <t>241185.IN26054E</t>
  </si>
  <si>
    <t>241094.IRJ127B2C0002470</t>
  </si>
  <si>
    <t>no</t>
  </si>
  <si>
    <t>206728.FKS26197H</t>
  </si>
  <si>
    <t>240785.FKS26297A</t>
  </si>
  <si>
    <t>210433.FKS26197T</t>
  </si>
  <si>
    <t>241093.IRJ127B2C0002248</t>
  </si>
  <si>
    <t>241100.IRJ127B2C0002578</t>
  </si>
  <si>
    <t>206728.FKS26191E</t>
  </si>
  <si>
    <t>221282.LSK26062202-A4</t>
  </si>
  <si>
    <t>241112.IRJ127B2C0002700</t>
  </si>
  <si>
    <t>211293.FKS26183H</t>
  </si>
  <si>
    <t>200859.INSI-26-192301</t>
  </si>
  <si>
    <t>239836.FKS26302G</t>
  </si>
  <si>
    <t>239999.IN026081002E</t>
  </si>
  <si>
    <t>231612.IN26054P</t>
  </si>
  <si>
    <t>242651.FKS26105L</t>
  </si>
  <si>
    <t>241186.IN26056C</t>
  </si>
  <si>
    <t>245911.FKS26218I</t>
  </si>
  <si>
    <t>221172.FKS26304A</t>
  </si>
  <si>
    <t>217659.FKS26190E</t>
  </si>
  <si>
    <t>239021.FKS26323A</t>
  </si>
  <si>
    <t>211293.FKS26182D</t>
  </si>
  <si>
    <t>241112.IRJ127B2C0002302</t>
  </si>
  <si>
    <t>241100.IRJ127B2C0002100</t>
  </si>
  <si>
    <t>241124.IRJ127B2C0002671</t>
  </si>
  <si>
    <t>242674.IRJ127B2C0001356</t>
  </si>
  <si>
    <t>CHIP/BIG</t>
  </si>
  <si>
    <t>218966.IRJ127B2C0000380</t>
  </si>
  <si>
    <t>225336.IRJ127B2C0002585</t>
  </si>
  <si>
    <t>206775.WMW26YFS0128A</t>
  </si>
  <si>
    <t>150584.IN26023F</t>
  </si>
  <si>
    <t>238022.FKS26267I</t>
  </si>
  <si>
    <t>209151.IN24033D</t>
  </si>
  <si>
    <t>238022.FKS26270J</t>
  </si>
  <si>
    <t>234807.CIN-000001021512</t>
  </si>
  <si>
    <t>wrong shape</t>
  </si>
  <si>
    <t>219834.LSK26082001-A3</t>
  </si>
  <si>
    <t>206775.WMW26YFS0209</t>
  </si>
  <si>
    <t>244642.IN026072002K</t>
  </si>
  <si>
    <t>148488.FKS26260O</t>
  </si>
  <si>
    <t>150609.FKS26325E</t>
  </si>
  <si>
    <t>241074.IRJ127B2C0002437</t>
  </si>
  <si>
    <t>247078.IRJ127B2C0002446</t>
  </si>
  <si>
    <t>236092.IHR127B2C0001880</t>
  </si>
  <si>
    <t>241117.IRJ127B2C0002503</t>
  </si>
  <si>
    <t>217079.LSK26082501-A7</t>
  </si>
  <si>
    <t>222280.26L160C</t>
  </si>
  <si>
    <t>BIG /SCRATCH</t>
  </si>
  <si>
    <t>241089.IRJ127B2C0001744</t>
  </si>
  <si>
    <t>222135.KC078260616</t>
  </si>
  <si>
    <t>236398.INSI-26-192183</t>
  </si>
  <si>
    <t>243170.IN26067B</t>
  </si>
  <si>
    <t>CHIP/SCRACTH</t>
  </si>
  <si>
    <t>241100.IRJ127B2C0002669</t>
  </si>
  <si>
    <t>241124.IRJ127B2C0002521</t>
  </si>
  <si>
    <t>236141.26L108B</t>
  </si>
  <si>
    <t>152984.FKS26261F</t>
  </si>
  <si>
    <t>236095.IHR126B2C0000520</t>
  </si>
  <si>
    <t>208956.IHR127B2C0002976</t>
  </si>
  <si>
    <t>242175.LSK26070602-A12</t>
  </si>
  <si>
    <t>137971.FKS26175E</t>
  </si>
  <si>
    <t>242143.LSK26071101-A3</t>
  </si>
  <si>
    <t>242597.FKS26314K</t>
  </si>
  <si>
    <t>SMALL SHAPE</t>
  </si>
  <si>
    <t>239316.IN026082901D</t>
  </si>
  <si>
    <t>210178.FKS26182H</t>
  </si>
  <si>
    <t>221176.FKS26188C</t>
  </si>
  <si>
    <t>234791.IRJ127B2C0002125</t>
  </si>
  <si>
    <t>239839.IRJ127B2C0002441</t>
  </si>
  <si>
    <t>241114.IRJ127B2C0002429</t>
  </si>
  <si>
    <t>big/chip</t>
  </si>
  <si>
    <t>241119.IRJ127B2C0002561</t>
  </si>
  <si>
    <t>big/scratch</t>
  </si>
  <si>
    <t>207671.IHR127B2C0003243</t>
  </si>
  <si>
    <t>211292.FKS26336G</t>
  </si>
  <si>
    <t>240000.IN026081704Q</t>
  </si>
  <si>
    <t>chip/big</t>
  </si>
  <si>
    <t>220577.H2632</t>
  </si>
  <si>
    <t>chip/scratch</t>
  </si>
  <si>
    <t>239030.FKS26274B</t>
  </si>
  <si>
    <t>scratch</t>
  </si>
  <si>
    <t>149602.FKS26286C</t>
  </si>
  <si>
    <t>241124.IRJ127B2C0002431</t>
  </si>
  <si>
    <t>238757.26WLS-425K</t>
  </si>
  <si>
    <t>scratch/big</t>
  </si>
  <si>
    <t>241124.IRJ127B2C0002185</t>
  </si>
  <si>
    <t>242145.LSK26072101-A3</t>
  </si>
  <si>
    <t>242221.IRJ127B2C0001909</t>
  </si>
  <si>
    <t>241098.IRJ127B2C0001765</t>
  </si>
  <si>
    <t>209756.LSK26081401-A8</t>
  </si>
  <si>
    <t>225339.IRJ127B2C0002575-CH01</t>
  </si>
  <si>
    <t>234780.IRJ127B2C0001056</t>
  </si>
  <si>
    <t>241958.FKS26305J</t>
  </si>
  <si>
    <t>POP OUT</t>
  </si>
  <si>
    <t>ok</t>
  </si>
  <si>
    <t>229137.FKS25155B</t>
  </si>
  <si>
    <t>219769.IN26072A</t>
  </si>
  <si>
    <t>136711.FKS26199F</t>
  </si>
  <si>
    <t>212873.FKS26256M</t>
  </si>
  <si>
    <t>221163.FKS26151B</t>
  </si>
  <si>
    <t>221282.LSK20250819-A4</t>
  </si>
  <si>
    <t>219829.LSK26060502-A4</t>
  </si>
  <si>
    <t>OK</t>
  </si>
  <si>
    <t>221282.LSK20260331-A2</t>
  </si>
  <si>
    <t>222135.KC078250426</t>
  </si>
  <si>
    <t>242238.IRJ127B2C0001549</t>
  </si>
  <si>
    <t>209756.LSK26081401-A9</t>
  </si>
  <si>
    <t>222135.KC078260408B</t>
  </si>
  <si>
    <t>241085.IRJ127B2C0002091</t>
  </si>
  <si>
    <t>150609.FKS26325F</t>
  </si>
  <si>
    <t>136711.FKS26239G</t>
  </si>
  <si>
    <t>241958.FKS26214A</t>
  </si>
  <si>
    <t>207551.FKS26247D</t>
  </si>
  <si>
    <t>206728.FKS26320B</t>
  </si>
  <si>
    <t>218966.IRJ127B2C0001180</t>
  </si>
  <si>
    <t>\52.30</t>
  </si>
  <si>
    <t>237234.26WLS-319A</t>
  </si>
  <si>
    <t>242174.LSK26083101-A6</t>
  </si>
  <si>
    <t>241446.26WLS-327B</t>
  </si>
  <si>
    <t>241387.IN26059H</t>
  </si>
  <si>
    <t>WITHOUT SHAPE</t>
  </si>
  <si>
    <t>218966.IRJ127B2C0002541</t>
  </si>
  <si>
    <t>238663.GLS-20260125</t>
  </si>
  <si>
    <t>242597.FKS26305M</t>
  </si>
  <si>
    <t>255334.FKS26331B</t>
  </si>
  <si>
    <t>229137.FKS26124B</t>
  </si>
  <si>
    <t xml:space="preserve">POP OUT </t>
  </si>
  <si>
    <t>210424.FKS25184H</t>
  </si>
  <si>
    <t>241098.IRJ127B2C0002854</t>
  </si>
  <si>
    <t>227040.26Y135</t>
  </si>
  <si>
    <t>GITANJALI</t>
  </si>
  <si>
    <t>234768.IRJ127B2C0002729</t>
  </si>
  <si>
    <t>241117.IRJ127B2C0002473</t>
  </si>
  <si>
    <t>217079.LSK26090401-A6</t>
  </si>
  <si>
    <t>221174.FKS26289F</t>
  </si>
  <si>
    <t>246043.LSK26072102-A8</t>
  </si>
  <si>
    <t>213182.LSK26082001-A6</t>
  </si>
  <si>
    <t>239157.FKS26333</t>
  </si>
  <si>
    <t>240793.FKS26283B</t>
  </si>
  <si>
    <t>242145.LSK26071201-A1</t>
  </si>
  <si>
    <t>131321.CL2024011F</t>
  </si>
  <si>
    <t>241089.IRJ127B2C0002215</t>
  </si>
  <si>
    <t>241114.IRJ127B2C0002433</t>
  </si>
  <si>
    <t>247077.IRJ127B2C0002793</t>
  </si>
  <si>
    <t>210178.FKS26249A</t>
  </si>
  <si>
    <t>234792.IRJ126B2C0000606</t>
  </si>
  <si>
    <t>219825.LSK26060502-A15</t>
  </si>
  <si>
    <t>137971.FKS26308D</t>
  </si>
  <si>
    <t>207481.IHR127B2C0001227</t>
  </si>
  <si>
    <t>207481.IN24045G</t>
  </si>
  <si>
    <t>NO SHAPE FOUND</t>
  </si>
  <si>
    <t>234796.IRJ127B2C0002709</t>
  </si>
  <si>
    <t>215405.KC078260319F</t>
  </si>
  <si>
    <t>150584.IN25040G</t>
  </si>
  <si>
    <t>210271.CIN-000001765536</t>
  </si>
  <si>
    <t>237234.25WLS-528B</t>
  </si>
  <si>
    <t>134746.FKS26140O</t>
  </si>
  <si>
    <t>220577.H2629</t>
  </si>
  <si>
    <t>149080.FKS26191T</t>
  </si>
  <si>
    <t>150636.26WLS-083F</t>
  </si>
  <si>
    <t>207370.FKS26349C</t>
  </si>
  <si>
    <t>241100.IRJ127B2C0002611</t>
  </si>
  <si>
    <t>221172.FKS26345G</t>
  </si>
  <si>
    <t>241100.IRJ127B2C0002818</t>
  </si>
  <si>
    <t>243276.LSK26090901-A2</t>
  </si>
  <si>
    <t>246230.LSK26090901-A1</t>
  </si>
  <si>
    <t>137971.FKS26307H</t>
  </si>
  <si>
    <t>241099.IRJ127B2C0002942</t>
  </si>
  <si>
    <t>242813.IN26072B</t>
  </si>
  <si>
    <t>239999.IN026062202D</t>
  </si>
  <si>
    <t>246819.26WLS-379A</t>
  </si>
  <si>
    <t>241117.IRJ127B2C0002780</t>
  </si>
  <si>
    <t>241119.IRJ127B2C0002900</t>
  </si>
  <si>
    <t>241075.IRJ127B2C0002281</t>
  </si>
  <si>
    <t>211318.26WLS-379C</t>
  </si>
  <si>
    <t>SCRATCH/BIG</t>
  </si>
  <si>
    <t>219826.LSK26061102-A5</t>
  </si>
  <si>
    <t>221176.FKS26334A</t>
  </si>
  <si>
    <t>218967.IRJ127B2C0003141</t>
  </si>
  <si>
    <t>221174.FKS26158D</t>
  </si>
  <si>
    <t>221172.FKS26345H</t>
  </si>
  <si>
    <t>219826.LSK26090901-A6</t>
  </si>
  <si>
    <t>221176.FKS26218F</t>
  </si>
  <si>
    <t>244245.LSK26090901-A4</t>
  </si>
  <si>
    <t>238759.26WLS-407N</t>
  </si>
  <si>
    <t>223230.263082-D</t>
  </si>
  <si>
    <t>234793.CIN-000001870615.org</t>
  </si>
  <si>
    <t>213182.LSK26083101-A4</t>
  </si>
  <si>
    <t>236092.IHR127B2C0002208</t>
  </si>
  <si>
    <t>238534.GLS-20260906-B</t>
  </si>
  <si>
    <t>238761.26WLS-442E</t>
  </si>
  <si>
    <t>241085.IRJ127B2C0003005</t>
  </si>
  <si>
    <t>238524.GLS-20260828-B</t>
  </si>
  <si>
    <t>240551.LSK26090901-A2</t>
  </si>
  <si>
    <t>239021.FKS26350A</t>
  </si>
  <si>
    <t>216744.HD20261284</t>
  </si>
  <si>
    <t>149080.FKS26205O</t>
  </si>
  <si>
    <t>201103.26WLS-328E</t>
  </si>
  <si>
    <t>227040.26Y100D</t>
  </si>
  <si>
    <t>220577.H2528A</t>
  </si>
  <si>
    <t>234765.IRJ127B2C0001833</t>
  </si>
  <si>
    <t>253884.26WLS-407K</t>
  </si>
  <si>
    <t>221163.FKS26375C</t>
  </si>
  <si>
    <t>HIGH FRAME VARIATION</t>
  </si>
  <si>
    <t>218966.IRJ127B2C0001181</t>
  </si>
  <si>
    <t>242697.IRJ127B2C0003012</t>
  </si>
  <si>
    <t>242596.FKS26341C</t>
  </si>
  <si>
    <t>149598.FKS26169E</t>
  </si>
  <si>
    <t>241387.IN26075D</t>
  </si>
  <si>
    <t>238757.26WLS-426B</t>
  </si>
  <si>
    <t>151705.FKS26154D</t>
  </si>
  <si>
    <t>234798.IRJ127B2C0001735</t>
  </si>
  <si>
    <t>237932.CIN-000001368359</t>
  </si>
  <si>
    <t>240554.LSK26090901-A2</t>
  </si>
  <si>
    <t>LOOSE FITTING</t>
  </si>
  <si>
    <t>246852.FKS26229D</t>
  </si>
  <si>
    <t>241183.IN26038A</t>
  </si>
  <si>
    <t>241805.IN026042004A</t>
  </si>
  <si>
    <t>241120.IRJ127B2C0002380</t>
  </si>
  <si>
    <t>241078.IRJ127B2C0003036</t>
  </si>
  <si>
    <t>241089.IRJ127B2C0000907</t>
  </si>
  <si>
    <t>241129.IRJ127B2C0002959</t>
  </si>
  <si>
    <t>240553.LSK26090901-A2</t>
  </si>
  <si>
    <t>241855.IN26061O</t>
  </si>
  <si>
    <t>240552.LSK26090901-A2</t>
  </si>
  <si>
    <t>241115.IRJ127B2C0002794</t>
  </si>
  <si>
    <t>216742.HD20261284</t>
  </si>
  <si>
    <t>255278.IN26061J</t>
  </si>
  <si>
    <t>234792.IRJ127B2C0003071</t>
  </si>
  <si>
    <t>PID.INVOICE</t>
  </si>
  <si>
    <t>Total Items</t>
  </si>
  <si>
    <t>QC Done (DOT)</t>
  </si>
  <si>
    <t>MEI Fail (DOT)</t>
  </si>
  <si>
    <t>MEI Fail % (DOT)</t>
  </si>
  <si>
    <t>First frame_type</t>
  </si>
  <si>
    <t>Full Rim</t>
  </si>
  <si>
    <t>234791.IRJ127B2C0001934</t>
  </si>
  <si>
    <t>239999.IN026062702I</t>
  </si>
  <si>
    <t>CHIP/SCRATCH</t>
  </si>
  <si>
    <t>CHIP/SMALL</t>
  </si>
  <si>
    <t>234791.IRJ127B2C0002414</t>
  </si>
  <si>
    <t>SMALL/SCRATCH</t>
  </si>
  <si>
    <t>150798.ZD260012A</t>
  </si>
  <si>
    <t>246857.FKS26205N</t>
  </si>
  <si>
    <t>SCRATCH/WRONG SHAPE</t>
  </si>
  <si>
    <t>Dot Invoice %</t>
  </si>
  <si>
    <t>Vendor Invoice %</t>
  </si>
  <si>
    <t>Base Invoice %</t>
  </si>
  <si>
    <t>issue</t>
  </si>
  <si>
    <t>percentage</t>
  </si>
  <si>
    <t>Issue</t>
  </si>
  <si>
    <t>Pid.Invoice</t>
  </si>
  <si>
    <t>wrong</t>
  </si>
  <si>
    <t>scrach</t>
  </si>
  <si>
    <t>Column1</t>
  </si>
  <si>
    <t>231593.25Y019</t>
  </si>
  <si>
    <t>WRONG/SHAPE</t>
  </si>
  <si>
    <t>247067.IRJ127B2C0002556</t>
  </si>
  <si>
    <t>236095.IHR127B2C0000582</t>
  </si>
  <si>
    <t>CHIP/WRONG</t>
  </si>
  <si>
    <t>234785.IRJ127B2C0001532</t>
  </si>
  <si>
    <t>SCRATCH/WRONG</t>
  </si>
  <si>
    <t>235309.LSK26061102-A12</t>
  </si>
  <si>
    <t>242571.FKS26298H</t>
  </si>
  <si>
    <t>Rimless</t>
  </si>
  <si>
    <t>241119.IRJ127B2C0002927</t>
  </si>
  <si>
    <t>236345.HD2026958E</t>
  </si>
  <si>
    <t>Half Rim</t>
  </si>
  <si>
    <t>222575.FKS26317B</t>
  </si>
  <si>
    <t>246856.FKS26219B</t>
  </si>
  <si>
    <t>217718.HV26705</t>
  </si>
  <si>
    <t>242258.FKS26291F</t>
  </si>
  <si>
    <t>211293.FKS26320</t>
  </si>
  <si>
    <t>PID.Invoice</t>
  </si>
  <si>
    <t>pid.invoice</t>
  </si>
  <si>
    <t>Sum of Count of barcode</t>
  </si>
  <si>
    <t>done by</t>
  </si>
  <si>
    <t>150581.IN26029C</t>
  </si>
  <si>
    <t>150581.IN26034H</t>
  </si>
  <si>
    <t>150581.IN26039G</t>
  </si>
  <si>
    <t>150581.IN26026G</t>
  </si>
  <si>
    <t>150581.IN26011B</t>
  </si>
  <si>
    <t>150581.IN26013E</t>
  </si>
  <si>
    <t>SHAPE NOT PRESENT</t>
  </si>
  <si>
    <t>150581.IN26034E</t>
  </si>
  <si>
    <t>151703.FKS26175G</t>
  </si>
  <si>
    <t>151703.FKS26170A</t>
  </si>
  <si>
    <t>151703.FKS26308C</t>
  </si>
  <si>
    <t>151703.FKS26285D</t>
  </si>
  <si>
    <t>151703.FKS26199F</t>
  </si>
  <si>
    <t>151703.FKS26154A</t>
  </si>
  <si>
    <t>151703.FKS26154O</t>
  </si>
  <si>
    <t>151703.FKS26119F</t>
  </si>
  <si>
    <t>204392.LM2647C</t>
  </si>
  <si>
    <t>204392.LM2644A</t>
  </si>
  <si>
    <t>204402.LM2647C</t>
  </si>
  <si>
    <t>204402.LM2644A</t>
  </si>
  <si>
    <t>207481.IN26071J</t>
  </si>
  <si>
    <t>207481.IN26049D</t>
  </si>
  <si>
    <t>207481.IN26071I</t>
  </si>
  <si>
    <t>207481.IN26068B</t>
  </si>
  <si>
    <t>207481.IN26057C</t>
  </si>
  <si>
    <t>207481.IHR127B2C0003241</t>
  </si>
  <si>
    <t>207481.IHR127B2C0002955</t>
  </si>
  <si>
    <t>207481.IHR127B2C0003013</t>
  </si>
  <si>
    <t>207481.IHR127B2C0002083</t>
  </si>
  <si>
    <t>207481.IHR127B2C0003275</t>
  </si>
  <si>
    <t>207481.IHR127B2C0002069</t>
  </si>
  <si>
    <t>207481.IHR127B2C0003258</t>
  </si>
  <si>
    <t>207481.IHR127B2C0002998</t>
  </si>
  <si>
    <t>207481.IHR127B2C0001885</t>
  </si>
  <si>
    <t>207481.IHR127B2C0001842</t>
  </si>
  <si>
    <t>207481.IHR127B2C0002092</t>
  </si>
  <si>
    <t>207481.IHR127B2C0001190</t>
  </si>
  <si>
    <t>207481.IHR127B2C0001895</t>
  </si>
  <si>
    <t>218763.FKS26317H</t>
  </si>
  <si>
    <t>218763.FKS26325D</t>
  </si>
  <si>
    <t>218763.FKS26190O</t>
  </si>
  <si>
    <t>218763.FKS26200N</t>
  </si>
  <si>
    <t>218763.FKS26180M</t>
  </si>
  <si>
    <t>218763.FKS26209L</t>
  </si>
  <si>
    <t>218763.FKS26200L</t>
  </si>
  <si>
    <t>218763.FKS26231O</t>
  </si>
  <si>
    <t>218763.FKS26231P</t>
  </si>
  <si>
    <t>218763.FKS26197N</t>
  </si>
  <si>
    <t>218763.FKS26198N</t>
  </si>
  <si>
    <t>222271.26L150E</t>
  </si>
  <si>
    <t>222271.26L150C</t>
  </si>
  <si>
    <t>222271.26L165E</t>
  </si>
  <si>
    <t>222271.26L254B</t>
  </si>
  <si>
    <t>222271.26L165G</t>
  </si>
  <si>
    <t>222271.26L204D</t>
  </si>
  <si>
    <t>222271.26L279G</t>
  </si>
  <si>
    <t>222271.26L160B</t>
  </si>
  <si>
    <t>DHANENDRA</t>
  </si>
  <si>
    <t>222271.26L261F</t>
  </si>
  <si>
    <t>222272.26L150E</t>
  </si>
  <si>
    <t>222272.26L165E</t>
  </si>
  <si>
    <t>222272.26L165C</t>
  </si>
  <si>
    <t>222272.26L143B</t>
  </si>
  <si>
    <t>222272.26L165B</t>
  </si>
  <si>
    <t>223230.263046-B</t>
  </si>
  <si>
    <t>223230.263046-A</t>
  </si>
  <si>
    <t>223230.263068-E</t>
  </si>
  <si>
    <t>223230.263068-F</t>
  </si>
  <si>
    <t>223230.263080-C</t>
  </si>
  <si>
    <t>224841.263092-F</t>
  </si>
  <si>
    <t>231696.TOD-23050</t>
  </si>
  <si>
    <t>235324.26WLS-438A</t>
  </si>
  <si>
    <t>235324.26WLS-437K</t>
  </si>
  <si>
    <t>235324.26WLS-425F</t>
  </si>
  <si>
    <t>235327.26WLS-395K</t>
  </si>
  <si>
    <t>235327.26WLS-359D</t>
  </si>
  <si>
    <t>235327.26WLS-380O</t>
  </si>
  <si>
    <t>235327.26WLS-425P</t>
  </si>
  <si>
    <t>235327.26WLS-359E</t>
  </si>
  <si>
    <t>236146.26L181</t>
  </si>
  <si>
    <t>236146.26L171</t>
  </si>
  <si>
    <t>236146.26L108A</t>
  </si>
  <si>
    <t>236146.26L182D</t>
  </si>
  <si>
    <t>236146.26L108B</t>
  </si>
  <si>
    <t>237758.HV26784</t>
  </si>
  <si>
    <t>238755.26WLS-426B</t>
  </si>
  <si>
    <t>238755.26WLS-394H</t>
  </si>
  <si>
    <t>238755.26WLS-394F</t>
  </si>
  <si>
    <t>241183.IN26052J</t>
  </si>
  <si>
    <t>241183.IN26055E</t>
  </si>
  <si>
    <t>241183.IN26052D</t>
  </si>
  <si>
    <t>241183.IN26067D</t>
  </si>
  <si>
    <t>241186.IN26052E</t>
  </si>
  <si>
    <t>241186.IN26058F</t>
  </si>
  <si>
    <t>241186.IN26038C</t>
  </si>
  <si>
    <t>241186.IN26049B</t>
  </si>
  <si>
    <t>241186.IN26001A</t>
  </si>
  <si>
    <t>241187.IN26062T</t>
  </si>
  <si>
    <t>241187.IN26055F</t>
  </si>
  <si>
    <t>241187.IN26054L</t>
  </si>
  <si>
    <t>241187.IN26044F</t>
  </si>
  <si>
    <t>241187.IN26044G</t>
  </si>
  <si>
    <t>241187.IN26056D</t>
  </si>
  <si>
    <t>241188.IN26062I</t>
  </si>
  <si>
    <t>241188.IN26062M</t>
  </si>
  <si>
    <t>241188.IN26055E</t>
  </si>
  <si>
    <t>241188.IN26054A</t>
  </si>
  <si>
    <t>241188.IN26054G</t>
  </si>
  <si>
    <t>241188.IN26067G</t>
  </si>
  <si>
    <t>241188.IN26054L</t>
  </si>
  <si>
    <t>241188.IN26054M</t>
  </si>
  <si>
    <t>241188.IN26055F</t>
  </si>
  <si>
    <t>241406.IN26066J</t>
  </si>
  <si>
    <t>241406.IN26050H</t>
  </si>
  <si>
    <t>241854.IN26070G</t>
  </si>
  <si>
    <t>241854.IN26066I</t>
  </si>
  <si>
    <t>243073.263117-B</t>
  </si>
  <si>
    <t>245621.FKS26270I</t>
  </si>
  <si>
    <t>frame_product_id</t>
  </si>
  <si>
    <t>vendor_invoice</t>
  </si>
  <si>
    <t>check1</t>
  </si>
  <si>
    <t>IRJ127B2C0002437</t>
  </si>
  <si>
    <t>IRJ127B2C0002125</t>
  </si>
  <si>
    <t>IRJ127B2C0002446</t>
  </si>
  <si>
    <t>IHR127B2C0001880</t>
  </si>
  <si>
    <t>IRJ127B2C0001934</t>
  </si>
  <si>
    <t>IRJ127B2C0002503</t>
  </si>
  <si>
    <t>LSK26082501-A7</t>
  </si>
  <si>
    <t>26L160C</t>
  </si>
  <si>
    <t>FKS26228F</t>
  </si>
  <si>
    <t>26L160B</t>
  </si>
  <si>
    <t>IRJ127B2C0001744</t>
  </si>
  <si>
    <t>KC078260616</t>
  </si>
  <si>
    <t>INSI-26-192183</t>
  </si>
  <si>
    <t>IN26067B</t>
  </si>
  <si>
    <t>IN026062702I</t>
  </si>
  <si>
    <t>IN026071404E</t>
  </si>
  <si>
    <t>IN026061604F</t>
  </si>
  <si>
    <t>IRJ127B2C0002669</t>
  </si>
  <si>
    <t>IRJ127B2C0002521</t>
  </si>
  <si>
    <t>LSK26062202-A3</t>
  </si>
  <si>
    <t>26L108B</t>
  </si>
  <si>
    <t>IN26052S</t>
  </si>
  <si>
    <t>FKS26261F</t>
  </si>
  <si>
    <t>IRJ127B2C0002027</t>
  </si>
  <si>
    <t>IHR126B2C0000520</t>
  </si>
  <si>
    <t>IHR127B2C0002976</t>
  </si>
  <si>
    <t>IRJ127B2C0001369</t>
  </si>
  <si>
    <t>LSK26070602-A12</t>
  </si>
  <si>
    <t>FKS26175E</t>
  </si>
  <si>
    <t>IN026072701J</t>
  </si>
  <si>
    <t>LSK26071101-A3</t>
  </si>
  <si>
    <t>LSK26070602-A2</t>
  </si>
  <si>
    <t>CIN-000001870615</t>
  </si>
  <si>
    <t>IRJ127B2C0002414</t>
  </si>
  <si>
    <t>IN026081002E</t>
  </si>
  <si>
    <t>26WLS-331B</t>
  </si>
  <si>
    <t>246227.LSK26070801-A3</t>
  </si>
  <si>
    <t>148524.FKS26186J</t>
  </si>
  <si>
    <t>241113.IRJ127B2C0001389</t>
  </si>
  <si>
    <t>210433.FKS26198O</t>
  </si>
  <si>
    <t>241854.IN26045F</t>
  </si>
  <si>
    <t>241119.IRJ127B2C0001558</t>
  </si>
  <si>
    <t>241124.IRJ127B2C0001634</t>
  </si>
  <si>
    <t>241089.IRJ127B2C0001689</t>
  </si>
  <si>
    <t>241117.IRJ127B2C0001436</t>
  </si>
  <si>
    <t>137971.FKS26223B</t>
  </si>
  <si>
    <t>247071.IRJ127B2C0001379</t>
  </si>
  <si>
    <t>215983.CL2026014B</t>
  </si>
  <si>
    <t>246235.LSK26070201-A3</t>
  </si>
  <si>
    <t>241185.IN26006G</t>
  </si>
  <si>
    <t>241386.IN26045F</t>
  </si>
  <si>
    <t>137971.FKS26178D</t>
  </si>
  <si>
    <t>213182.LSK26062202-A7</t>
  </si>
  <si>
    <t>FAIL REASON</t>
  </si>
  <si>
    <t>PID</t>
  </si>
  <si>
    <t>FAIL COUNT</t>
  </si>
  <si>
    <t>status</t>
  </si>
  <si>
    <t>228743.26YC063B</t>
  </si>
  <si>
    <t>228743.26YC063</t>
  </si>
  <si>
    <t>228743.26YC049</t>
  </si>
  <si>
    <t>DONE</t>
  </si>
  <si>
    <t>228743.26YC064B</t>
  </si>
  <si>
    <t>234796.IRJ126B2C0001235</t>
  </si>
  <si>
    <t>220126.H2628B</t>
  </si>
  <si>
    <t>225336.IRJ126B2C0003378</t>
  </si>
  <si>
    <t>234797.IRJ127B2C0000394</t>
  </si>
  <si>
    <t>234797.IRJ127B2C0000958</t>
  </si>
  <si>
    <t>243271.LSK26060502-A8</t>
  </si>
  <si>
    <t>219825.LSK20260521-A3</t>
  </si>
  <si>
    <t>241097.IRJ127B2C0001064</t>
  </si>
  <si>
    <t>201272.FKS26098A</t>
  </si>
  <si>
    <t>201272.SLK260409E</t>
  </si>
  <si>
    <t>241112.IRJ127B2C000801</t>
  </si>
  <si>
    <t>241112.IRJ127B2C0000715</t>
  </si>
  <si>
    <t>241112.IRJ127B2C0000829</t>
  </si>
  <si>
    <t>241112.IRJ127B2C000797</t>
  </si>
  <si>
    <t>241112.IRJ127B2C0001028</t>
  </si>
  <si>
    <t>217873.263053-E</t>
  </si>
  <si>
    <t>241115.IRJ127B2C0001394</t>
  </si>
  <si>
    <t>241115.IRJ127B2C0000868</t>
  </si>
  <si>
    <t>147022.26WLS-301E</t>
  </si>
  <si>
    <t>147022.26WLS-279C</t>
  </si>
  <si>
    <t>147022.26WLS-310I</t>
  </si>
  <si>
    <t>207551.FKS26148A</t>
  </si>
  <si>
    <t>207551.FKS26147G</t>
  </si>
  <si>
    <t>207551.FKS26164D</t>
  </si>
  <si>
    <t>207551.FKS26165</t>
  </si>
  <si>
    <t>222135.KC078260409B</t>
  </si>
  <si>
    <t>222135.KC078260408D</t>
  </si>
  <si>
    <t>211293.FKS26129C</t>
  </si>
  <si>
    <t>211293.FKS26132D</t>
  </si>
  <si>
    <t>211293.FKS26182F</t>
  </si>
  <si>
    <t>234793.CIN-000001587106</t>
  </si>
  <si>
    <t>234793.CBOS000000622517</t>
  </si>
  <si>
    <t>234793.IRJ127B2C0000608</t>
  </si>
  <si>
    <t>218966.IRJ127B2C000807</t>
  </si>
  <si>
    <t>227606.26Y086</t>
  </si>
  <si>
    <t>227606.26Y071</t>
  </si>
  <si>
    <t>227606.26Y087</t>
  </si>
  <si>
    <t>218222.IHR127B2C0002800</t>
  </si>
  <si>
    <t>218222.CIN-000001075510</t>
  </si>
  <si>
    <t>220577.H2630</t>
  </si>
  <si>
    <t>220577.H2628</t>
  </si>
  <si>
    <t>220577.H2617</t>
  </si>
  <si>
    <t>220577.H2629A</t>
  </si>
  <si>
    <t>221174.FKS26167E</t>
  </si>
  <si>
    <t>221174.FKS26167H</t>
  </si>
  <si>
    <t>221174.FKS26176</t>
  </si>
  <si>
    <t>221174.FKS26167F</t>
  </si>
  <si>
    <t>137971.FKS26112C</t>
  </si>
  <si>
    <t>137971.FKS26178C</t>
  </si>
  <si>
    <t>137971.FKS26096B</t>
  </si>
  <si>
    <t>137971.FKS26124C</t>
  </si>
  <si>
    <t>207671.IHR127B2C0002260</t>
  </si>
  <si>
    <t>207671.IHR127B2C0002511</t>
  </si>
  <si>
    <t>207671.IN26041E</t>
  </si>
  <si>
    <t>207671.IHR127B2C0002233</t>
  </si>
  <si>
    <t>207671.IHR127B2C0002647</t>
  </si>
  <si>
    <t>134746.FKS26148F</t>
  </si>
  <si>
    <t>134746.FKS26162K</t>
  </si>
  <si>
    <t>134746.FKS26103D</t>
  </si>
  <si>
    <t>134746.FKS26165F</t>
  </si>
  <si>
    <t>201272.FKS26132A</t>
  </si>
  <si>
    <t>201272.FKS26132F</t>
  </si>
  <si>
    <t>219952.SLK260408</t>
  </si>
  <si>
    <t>219952.SLK260408A</t>
  </si>
  <si>
    <t>146653.F2604B</t>
  </si>
  <si>
    <t>146653.F2606</t>
  </si>
  <si>
    <t>235326.26WLS-084H</t>
  </si>
  <si>
    <t>235326.26WLS-069E</t>
  </si>
  <si>
    <t>149022.SLK260507</t>
  </si>
  <si>
    <t>149022.SLK260505</t>
  </si>
  <si>
    <t>146619.26WLS-261N</t>
  </si>
  <si>
    <t>241183.IN26041D</t>
  </si>
  <si>
    <t>241210.IN26036D</t>
  </si>
  <si>
    <t>241189.IN26027H</t>
  </si>
  <si>
    <t>241189.IN26014E</t>
  </si>
  <si>
    <t>217207.IHR127B2C0001174</t>
  </si>
  <si>
    <t>204402.LM2620E</t>
  </si>
  <si>
    <t>204402.LM2620</t>
  </si>
  <si>
    <t>204402.LM2622C</t>
  </si>
  <si>
    <t>241187.IN26040E</t>
  </si>
  <si>
    <t>241187.IN26030K</t>
  </si>
  <si>
    <t>241187.IN26034K</t>
  </si>
  <si>
    <t>241187.IN26040F</t>
  </si>
  <si>
    <t>234791.IRJ127B2C0001239</t>
  </si>
  <si>
    <t>234791.IRJ127B2C0001082</t>
  </si>
  <si>
    <t>234791.IRJ127B2C0000595</t>
  </si>
  <si>
    <t>220126.H2622B</t>
  </si>
  <si>
    <t>237931.IRJ127B2C0000578</t>
  </si>
  <si>
    <t>237931.IRJ127B2C0000541</t>
  </si>
  <si>
    <t>236911.IRJ126B2C0000900</t>
  </si>
  <si>
    <t>236911.CIN-000001549503</t>
  </si>
  <si>
    <t>149021.SLK260505A</t>
  </si>
  <si>
    <t>149021.SLK260507B</t>
  </si>
  <si>
    <t>149021.SLK260502B</t>
  </si>
  <si>
    <t>222009.FKS26110N</t>
  </si>
  <si>
    <t>222009.FKS26133J</t>
  </si>
  <si>
    <t>227450.263084-H</t>
  </si>
  <si>
    <t>236151.26Y049B</t>
  </si>
  <si>
    <t>236151.26Y074A</t>
  </si>
  <si>
    <t>236151.26Y074B</t>
  </si>
  <si>
    <t>233711.26WLS-210G</t>
  </si>
  <si>
    <t>234783.IRJ127B2C0000747</t>
  </si>
  <si>
    <t>234783.IRJ127B2C0000776</t>
  </si>
  <si>
    <t xml:space="preserve"> </t>
  </si>
  <si>
    <t>COLOUR CODE LEGEND</t>
  </si>
  <si>
    <t>🔴 RED</t>
  </si>
  <si>
    <t>MEI Fail% HIGHER than May reference – Critical attention needed</t>
  </si>
  <si>
    <t>🟡 YELLOW</t>
  </si>
  <si>
    <t>MEI Fail% SLIGHTLY INCREASED compared to May – Monitor closely</t>
  </si>
  <si>
    <t>🩷 PINK</t>
  </si>
  <si>
    <t>MEI Fail% DECREASED (Good improvement) vs May reference</t>
  </si>
  <si>
    <t>🟢 GREEN</t>
  </si>
  <si>
    <t>NEW PID/Invoice – Not present in May reference data</t>
  </si>
  <si>
    <t>Total PIDs Analysed</t>
  </si>
  <si>
    <t>RED – Higher MEI Fail%</t>
  </si>
  <si>
    <t>YELLOW – Slight Increase</t>
  </si>
  <si>
    <t>PINK – Good Decrease</t>
  </si>
  <si>
    <t>GREEN – New PID/Invoice</t>
  </si>
  <si>
    <t>CLASSIFICATION BREAKDOWN BY SHEET</t>
  </si>
  <si>
    <t>Sheet Period</t>
  </si>
  <si>
    <t>RED</t>
  </si>
  <si>
    <t>YELLOW</t>
  </si>
  <si>
    <t>PINK</t>
  </si>
  <si>
    <t>GREEN</t>
  </si>
  <si>
    <t>Total</t>
  </si>
  <si>
    <t>1-10 jUNE</t>
  </si>
  <si>
    <t>17-20 JUNE</t>
  </si>
  <si>
    <t>20-24 JUNE</t>
  </si>
  <si>
    <t>TOTAL</t>
  </si>
  <si>
    <t>🔴 RED: HIGH RISK – MEI Fail% INCREASED vs May Reference</t>
  </si>
  <si>
    <t>Issue %</t>
  </si>
  <si>
    <t>Jun MEI Fail%</t>
  </si>
  <si>
    <t>May MEI Fail%</t>
  </si>
  <si>
    <t>Δ Change</t>
  </si>
  <si>
    <t>QC Done</t>
  </si>
  <si>
    <t>Frame PID</t>
  </si>
  <si>
    <t>Invoice</t>
  </si>
  <si>
    <t>234798.CIN-000001389050</t>
  </si>
  <si>
    <t>17-20 June</t>
  </si>
  <si>
    <t>CIN-000001389050</t>
  </si>
  <si>
    <t>236095.IHR127B2C0000567</t>
  </si>
  <si>
    <t>1-10 June</t>
  </si>
  <si>
    <t>IHR127B2C0000567</t>
  </si>
  <si>
    <t>236095.IHR127B2C0000387</t>
  </si>
  <si>
    <t>20-24 June</t>
  </si>
  <si>
    <t>IHR127B2C0000387</t>
  </si>
  <si>
    <t>134949.IN026042005C</t>
  </si>
  <si>
    <t>IN026042005C</t>
  </si>
  <si>
    <t>236095.IHR126B2C0001613</t>
  </si>
  <si>
    <t>IHR126B2C0001613</t>
  </si>
  <si>
    <t>234792.CIN-000001885518</t>
  </si>
  <si>
    <t>CIN-000001885518</t>
  </si>
  <si>
    <t>IHR127B2C0000582</t>
  </si>
  <si>
    <t>134951.IN026051603H</t>
  </si>
  <si>
    <t>IN026051603H</t>
  </si>
  <si>
    <t>239839.CIN-000001839710</t>
  </si>
  <si>
    <t>CIN-000001839710</t>
  </si>
  <si>
    <t>263053-E</t>
  </si>
  <si>
    <t>221282.LSK20260516-A4</t>
  </si>
  <si>
    <t>LSK20260516-A4</t>
  </si>
  <si>
    <t>🩷 PINK: IMPROVED – MEI Fail% DECREASED vs May Reference</t>
  </si>
  <si>
    <t>215983.CL2026012C</t>
  </si>
  <si>
    <t>CL2026012C</t>
  </si>
  <si>
    <t>FKS26124C</t>
  </si>
  <si>
    <t>137971.FKS26098</t>
  </si>
  <si>
    <t>FKS26098</t>
  </si>
  <si>
    <t>211307.FS2604B</t>
  </si>
  <si>
    <t>FS2604B</t>
  </si>
  <si>
    <t>263046-B</t>
  </si>
  <si>
    <t>211307.FS2609</t>
  </si>
  <si>
    <t>FS2609</t>
  </si>
  <si>
    <t>148157.26WLS-209O</t>
  </si>
  <si>
    <t>26WLS-209O</t>
  </si>
  <si>
    <t>211307.FS2604</t>
  </si>
  <si>
    <t>FS2604</t>
  </si>
  <si>
    <t>234800.IRJ127B2C0000175</t>
  </si>
  <si>
    <t>IRJ127B2C0000175</t>
  </si>
  <si>
    <t>235307.LSK20260325-A1</t>
  </si>
  <si>
    <t>LSK20260325-A1</t>
  </si>
  <si>
    <t>134951.IN026051603F</t>
  </si>
  <si>
    <t>SMALL,BIG</t>
  </si>
  <si>
    <t>2.2,2.2%</t>
  </si>
  <si>
    <t>IN026051603F</t>
  </si>
  <si>
    <t>134951.IN026050803C</t>
  </si>
  <si>
    <t>IN026050803C</t>
  </si>
  <si>
    <t>IN026050803D</t>
  </si>
  <si>
    <t>134949.IN026052504B</t>
  </si>
  <si>
    <t>IN026052504B</t>
  </si>
  <si>
    <t>134949.IN026052503F</t>
  </si>
  <si>
    <t>IN026052503F</t>
  </si>
  <si>
    <t>BIG,SMALL</t>
  </si>
  <si>
    <t>5.6,6.2%</t>
  </si>
  <si>
    <t>IN026051603B</t>
  </si>
  <si>
    <t>134949.IN026051603A</t>
  </si>
  <si>
    <t>IN026051603A</t>
  </si>
  <si>
    <t>YELLOW : SLIGHT INCREASE – MEI Fail% INCREASED vs May Reference</t>
  </si>
  <si>
    <t>CIN-000001093608</t>
  </si>
  <si>
    <t>148157.26WLS-227E</t>
  </si>
  <si>
    <t>26WLS-227E</t>
  </si>
  <si>
    <t>263082-D</t>
  </si>
  <si>
    <t>223232.263058-E</t>
  </si>
  <si>
    <t>263058-E</t>
  </si>
  <si>
    <t>211293.FKS26140C</t>
  </si>
  <si>
    <t>FKS26140C</t>
  </si>
  <si>
    <t>🟢 GREEN: NEW PIDs/Invoices – Not in May Reference</t>
  </si>
  <si>
    <t>N/A (New)</t>
  </si>
  <si>
    <t>New Entry</t>
  </si>
  <si>
    <t>26Y079</t>
  </si>
  <si>
    <t>217204.IHR127B2C0000609</t>
  </si>
  <si>
    <t>IHR127B2C0000609</t>
  </si>
  <si>
    <t>IRJ127B2C0000347</t>
  </si>
  <si>
    <t>IRJ127B2C0000223</t>
  </si>
  <si>
    <t>237933.IRJ127B2C0000322</t>
  </si>
  <si>
    <t>IRJ127B2C0000322</t>
  </si>
  <si>
    <t>218967.IRJ127B2C0000315</t>
  </si>
  <si>
    <t>IRJ127B2C0000315</t>
  </si>
  <si>
    <t>IRJ127B2C0000539</t>
  </si>
  <si>
    <t>241108.IRJ127B2C0000521</t>
  </si>
  <si>
    <t>IRJ127B2C0000521</t>
  </si>
  <si>
    <t>241091.IRJ127B2C0000832</t>
  </si>
  <si>
    <t>IRJ127B2C0000832</t>
  </si>
  <si>
    <t>IRJ127B2C0000212</t>
  </si>
  <si>
    <t>IRJ127B2C0000270</t>
  </si>
  <si>
    <t>245975.IN026053002A</t>
  </si>
  <si>
    <t>IN026053002A</t>
  </si>
  <si>
    <t>151377.IRJ127B2C0000581</t>
  </si>
  <si>
    <t>IRJ127B2C0000581</t>
  </si>
  <si>
    <t>241124.IRJ127B2C0000548</t>
  </si>
  <si>
    <t>IRJ127B2C0000548</t>
  </si>
  <si>
    <t>143018.26L165A</t>
  </si>
  <si>
    <t>26L165A</t>
  </si>
  <si>
    <t>148906.26WLS-210J</t>
  </si>
  <si>
    <t>26WLS-210J</t>
  </si>
  <si>
    <t>236743.CIN-000001758007</t>
  </si>
  <si>
    <t>CIN-000001758007</t>
  </si>
  <si>
    <t>228743.26YC056</t>
  </si>
  <si>
    <t>26YC056</t>
  </si>
  <si>
    <t>241854.IN26035E</t>
  </si>
  <si>
    <t>IN26035E</t>
  </si>
  <si>
    <t>238648.GLS-20260511-1</t>
  </si>
  <si>
    <t>GLS-20260511-1</t>
  </si>
  <si>
    <t>241959.FKS26117A</t>
  </si>
  <si>
    <t>FKS26117A</t>
  </si>
  <si>
    <t>145512.FKS26132O</t>
  </si>
  <si>
    <t>FKS26132O</t>
  </si>
  <si>
    <t>222900.IN026051603</t>
  </si>
  <si>
    <t>IN026051603</t>
  </si>
  <si>
    <t>217207.IHR127B2C0000708</t>
  </si>
  <si>
    <t>IHR127B2C0000708</t>
  </si>
  <si>
    <t>224849.263068-D</t>
  </si>
  <si>
    <t>263068-D</t>
  </si>
  <si>
    <t>238833.IHR127B2C0001746</t>
  </si>
  <si>
    <t>IHR127B2C0001746</t>
  </si>
  <si>
    <t>238583.GLS-20260507-1</t>
  </si>
  <si>
    <t>GLS-20260507-1</t>
  </si>
  <si>
    <t>241120.IRJ127B2C0000631</t>
  </si>
  <si>
    <t>IRJ127B2C0000631</t>
  </si>
  <si>
    <t>234794.IRJ127B2C0000336</t>
  </si>
  <si>
    <t>IRJ127B2C0000336</t>
  </si>
  <si>
    <t>241463.WMW26YFS0110</t>
  </si>
  <si>
    <t>WMW26YFS0110</t>
  </si>
  <si>
    <t>228743.26YC055A</t>
  </si>
  <si>
    <t>26YC055A</t>
  </si>
  <si>
    <t>222900.IN026052503</t>
  </si>
  <si>
    <t>IN026052503</t>
  </si>
  <si>
    <t>213182.LSK20260427-A4</t>
  </si>
  <si>
    <t>LSK20260427-A4</t>
  </si>
  <si>
    <t>228743.26YC055</t>
  </si>
  <si>
    <t>26YC055</t>
  </si>
  <si>
    <t>137709.WMW26YFS0106</t>
  </si>
  <si>
    <t>WMW26YFS0106</t>
  </si>
  <si>
    <t>224353.HD20251360A</t>
  </si>
  <si>
    <t>HD20251360A</t>
  </si>
  <si>
    <t>219823.LSK20260516-A2</t>
  </si>
  <si>
    <t>LSK20260516-A2</t>
  </si>
  <si>
    <t>236135.26L113B</t>
  </si>
  <si>
    <t>26L113B</t>
  </si>
  <si>
    <t>241936.FKS26147N</t>
  </si>
  <si>
    <t>FKS26147N</t>
  </si>
  <si>
    <t>242272.FKS26112H</t>
  </si>
  <si>
    <t>FKS26112H</t>
  </si>
  <si>
    <t>26L123F</t>
  </si>
  <si>
    <t>219823.LSK20260430-A1</t>
  </si>
  <si>
    <t>LSK20260430-A1</t>
  </si>
  <si>
    <t>234804.IRJ127B2C0000547</t>
  </si>
  <si>
    <t>IRJ127B2C0000547</t>
  </si>
  <si>
    <t>238655.GLS-20260511-1</t>
  </si>
  <si>
    <t>220237.KC078260423</t>
  </si>
  <si>
    <t>KC078260423</t>
  </si>
  <si>
    <t>Frame Type</t>
  </si>
  <si>
    <t>Aditi</t>
  </si>
  <si>
    <t>IN026042503B</t>
  </si>
  <si>
    <t>134951.IN026042503B</t>
  </si>
  <si>
    <t>LSK20260310-A5</t>
  </si>
  <si>
    <t>219834.LSK20260310-A5</t>
  </si>
  <si>
    <t>LSK20260427-A8</t>
  </si>
  <si>
    <t>240555.LSK20260427-A8</t>
  </si>
  <si>
    <t>CIN-000001690737</t>
  </si>
  <si>
    <t>207991.CIN-000001690737</t>
  </si>
  <si>
    <t>CIN-000001732589</t>
  </si>
  <si>
    <t>207991.CIN-000001732589</t>
  </si>
  <si>
    <t>CL2026008B</t>
  </si>
  <si>
    <t>215983.CL2026008B</t>
  </si>
  <si>
    <t>IRJ127B2C0000249</t>
  </si>
  <si>
    <t>241123.IRJ127B2C0000249</t>
  </si>
  <si>
    <t>FKS26132A</t>
  </si>
  <si>
    <t>LSK20260310-A2</t>
  </si>
  <si>
    <t>219834.LSK20260310-A2</t>
  </si>
  <si>
    <t>CIN-000001885501</t>
  </si>
  <si>
    <t>234765.CIN-000001885501</t>
  </si>
  <si>
    <t>IRJ127B2C0000208</t>
  </si>
  <si>
    <t>238829.IRJ127B2C0000208</t>
  </si>
  <si>
    <t>FKS26088N</t>
  </si>
  <si>
    <t>238846.FKS26088N</t>
  </si>
  <si>
    <t>IN026042504D</t>
  </si>
  <si>
    <t>134949.IN026042504D</t>
  </si>
  <si>
    <t>BIG,CHIP</t>
  </si>
  <si>
    <t>20,60</t>
  </si>
  <si>
    <t>26WLS-175D</t>
  </si>
  <si>
    <t>146617.26WLS-175D</t>
  </si>
  <si>
    <t>263052-B</t>
  </si>
  <si>
    <t>224842.263052-B</t>
  </si>
  <si>
    <t>IRJ127B2C0000361</t>
  </si>
  <si>
    <t>234785.IRJ127B2C0000361</t>
  </si>
  <si>
    <t>FKS26099C</t>
  </si>
  <si>
    <t>240781.FKS26099C</t>
  </si>
  <si>
    <t>KC078260326C</t>
  </si>
  <si>
    <t>242246.KC078260326C</t>
  </si>
  <si>
    <t>263052-G</t>
  </si>
  <si>
    <t>26L101A</t>
  </si>
  <si>
    <t>218062.26L101A</t>
  </si>
  <si>
    <t>CIN-000001368366</t>
  </si>
  <si>
    <t>234765.CIN-000001368366</t>
  </si>
  <si>
    <t>IHR127B2C0000315</t>
  </si>
  <si>
    <t>236095.IHR127B2C0000315</t>
  </si>
  <si>
    <t>GLS-20260407</t>
  </si>
  <si>
    <t>238662.GLS-20260407</t>
  </si>
  <si>
    <t>IRJ127B2C0000348</t>
  </si>
  <si>
    <t>238841.IRJ127B2C0000348</t>
  </si>
  <si>
    <t>IRJ126B2C0001744</t>
  </si>
  <si>
    <t>241064.IRJ126B2C0001744</t>
  </si>
  <si>
    <t>IRJ127B2C0000128</t>
  </si>
  <si>
    <t>241069.IRJ127B2C0000128</t>
  </si>
  <si>
    <t>PR2026IN10003B</t>
  </si>
  <si>
    <t>204540.PR2026IN10003B</t>
  </si>
  <si>
    <t>1.8,9.09</t>
  </si>
  <si>
    <t>LSK20260407-A4</t>
  </si>
  <si>
    <t>221282.LSK20260407-A4</t>
  </si>
  <si>
    <t>CL2024016H</t>
  </si>
  <si>
    <t>222442.CL2024016H</t>
  </si>
  <si>
    <t>LSK20250120-S1</t>
  </si>
  <si>
    <t>228870.LSK20250120-S1</t>
  </si>
  <si>
    <t>CIN-000001885698</t>
  </si>
  <si>
    <t>234800.CIN-000001885698</t>
  </si>
  <si>
    <t>LSK20260318-A2</t>
  </si>
  <si>
    <t>235307.LSK20260318-A2</t>
  </si>
  <si>
    <t>IRJ127B2C0000096</t>
  </si>
  <si>
    <t>241054.IRJ127B2C0000096</t>
  </si>
  <si>
    <t>IRJ127B2C0000290</t>
  </si>
  <si>
    <t>241112.IRJ127B2C0000290</t>
  </si>
  <si>
    <t>IN26007F</t>
  </si>
  <si>
    <t>241189.IN26007F</t>
  </si>
  <si>
    <t>MANUALLY</t>
  </si>
  <si>
    <t>263068-E</t>
  </si>
  <si>
    <t>IRJ127B2C0000950</t>
  </si>
  <si>
    <t>241117.IRJ127B2C0000950</t>
  </si>
  <si>
    <t>26WLS-244J</t>
  </si>
  <si>
    <t>148906.26WLS-244J</t>
  </si>
  <si>
    <t>26Y069</t>
  </si>
  <si>
    <t>227533.26Y069</t>
  </si>
  <si>
    <t>IRJ127B2C0000901</t>
  </si>
  <si>
    <t>241121.IRJ127B2C0000901</t>
  </si>
  <si>
    <t>26WLS-170B</t>
  </si>
  <si>
    <t>LSK20260510-A10</t>
  </si>
  <si>
    <t>213182.LSK20260510-A10</t>
  </si>
  <si>
    <t>H2628B</t>
  </si>
  <si>
    <t>26L143</t>
  </si>
  <si>
    <t>236135.26L143</t>
  </si>
  <si>
    <t>26L135F</t>
  </si>
  <si>
    <t>236146.26L135F</t>
  </si>
  <si>
    <t>IRJ127B2C0000580</t>
  </si>
  <si>
    <t>237931.IRJ127B2C0000580</t>
  </si>
  <si>
    <t>GLS-20260505-2</t>
  </si>
  <si>
    <t>238583.GLS-20260505-2</t>
  </si>
  <si>
    <t>GLS-20260531</t>
  </si>
  <si>
    <t>238584.GLS-20260531</t>
  </si>
  <si>
    <t>IRJ127B2C0000881</t>
  </si>
  <si>
    <t>241115.IRJ127B2C0000881</t>
  </si>
  <si>
    <t>IRJ127B2C0000969</t>
  </si>
  <si>
    <t>241117.IRJ127B2C0000969</t>
  </si>
  <si>
    <t>IN026041602A</t>
  </si>
  <si>
    <t>241285.IN026041602A</t>
  </si>
  <si>
    <t>HALF Rim</t>
  </si>
  <si>
    <t>SIMRAN</t>
  </si>
  <si>
    <t>ITS HALF RIM BUT SHOWES FULL RIM (GROOVE)</t>
  </si>
  <si>
    <t>F .VARIATION</t>
  </si>
  <si>
    <t>DATE</t>
  </si>
  <si>
    <t xml:space="preserve">CHIP </t>
  </si>
  <si>
    <t>234765.IRJ127B2C0001006</t>
  </si>
  <si>
    <t>146613.26WLS-210F</t>
  </si>
  <si>
    <t>227609.26L125B</t>
  </si>
  <si>
    <t>241933.FKS26169J</t>
  </si>
  <si>
    <t>NO ISSUE</t>
  </si>
  <si>
    <t>221172.FKS26158A</t>
  </si>
  <si>
    <t>134826.FKS26139M</t>
  </si>
  <si>
    <t>142997.26WLS-210F</t>
  </si>
  <si>
    <t>SCR</t>
  </si>
  <si>
    <t>219363.FKS26184A</t>
  </si>
  <si>
    <t>235326.26WLS-069C</t>
  </si>
  <si>
    <t>137971.FKS26174D</t>
  </si>
  <si>
    <t>241119.IRJ127B2C0001139</t>
  </si>
  <si>
    <t>224849.263080-D</t>
  </si>
  <si>
    <t>221174.FKS26095C</t>
  </si>
  <si>
    <t>220595.H2628C</t>
  </si>
  <si>
    <t>FKS26199O</t>
  </si>
  <si>
    <t xml:space="preserve">     </t>
  </si>
  <si>
    <t>CIN-000001467074</t>
  </si>
  <si>
    <t>LSK26060502-A15</t>
  </si>
  <si>
    <t>LSK26061102-A16</t>
  </si>
  <si>
    <t>221282.LSK26061102-A16</t>
  </si>
  <si>
    <t>IRJ127B2C0001196</t>
  </si>
  <si>
    <t>241079.IRJ127B2C0001196</t>
  </si>
  <si>
    <t>F2604A</t>
  </si>
  <si>
    <t>SLK260507</t>
  </si>
  <si>
    <t>IHR127B2C0002511</t>
  </si>
  <si>
    <t>FKS26197T</t>
  </si>
  <si>
    <t>26YC049</t>
  </si>
  <si>
    <t>CEGPL24-25/006</t>
  </si>
  <si>
    <t>143447.CEGPL24-25/006</t>
  </si>
  <si>
    <t>IHR127B2C0002603</t>
  </si>
  <si>
    <t>207671.IHR127B2C0002603</t>
  </si>
  <si>
    <t>IRJ127B2C000807</t>
  </si>
  <si>
    <t>CIN-000001462531</t>
  </si>
  <si>
    <t>CIN-000000706524</t>
  </si>
  <si>
    <t>IN026041808C</t>
  </si>
  <si>
    <t>134949.IN026041808C</t>
  </si>
  <si>
    <t>LSK26060502-A14</t>
  </si>
  <si>
    <t>213180.LSK26060502-A14</t>
  </si>
  <si>
    <t>IRJ127B2C0001006</t>
  </si>
  <si>
    <t>IHR127B2C0000556</t>
  </si>
  <si>
    <t>236095.IHR127B2C0000556</t>
  </si>
  <si>
    <t>LSK26060502-A9</t>
  </si>
  <si>
    <t>213180.LSK26060502-A9</t>
  </si>
  <si>
    <t>263064-F</t>
  </si>
  <si>
    <t>223232.263064-F</t>
  </si>
  <si>
    <t>263095-B</t>
  </si>
  <si>
    <t>224848.263095-B</t>
  </si>
  <si>
    <t>IRJ126B2C0001387</t>
  </si>
  <si>
    <t>IRJ126B2C0001235</t>
  </si>
  <si>
    <t>LSK20260325-A2</t>
  </si>
  <si>
    <t>235309.LSK20260325-A2</t>
  </si>
  <si>
    <t>FKS26198D</t>
  </si>
  <si>
    <t>239026.FKS26198D</t>
  </si>
  <si>
    <t>IRJ127B2C0001139</t>
  </si>
  <si>
    <t>IN26042J</t>
  </si>
  <si>
    <t>241386.IN26042J</t>
  </si>
  <si>
    <t>IRJ127B2C0001199</t>
  </si>
  <si>
    <t>242697.IRJ127B2C0001199</t>
  </si>
  <si>
    <t>IHR127B2C0002485</t>
  </si>
  <si>
    <t>26WLS-271B</t>
  </si>
  <si>
    <t>IRJ127B2C0001450</t>
  </si>
  <si>
    <t>241117.IRJ127B2C0001450</t>
  </si>
  <si>
    <t>IRJ127B2C0001487</t>
  </si>
  <si>
    <t>241119.IRJ127B2C0001487</t>
  </si>
  <si>
    <t>0.2,0.2</t>
  </si>
  <si>
    <t>UNDER OBSERVATION</t>
  </si>
  <si>
    <t>NOT CORRECTED</t>
  </si>
  <si>
    <t>LSK26060502-A8</t>
  </si>
  <si>
    <t>F2604B</t>
  </si>
  <si>
    <t>LSK26062202-A7</t>
  </si>
  <si>
    <t>IRJ127B2C0001488</t>
  </si>
  <si>
    <t>IRJ127B2C0001031</t>
  </si>
  <si>
    <t>234780.IRJ127B2C0001031</t>
  </si>
  <si>
    <t>IRJ127B2C0001394</t>
  </si>
  <si>
    <t>IRJ127B2C0001502</t>
  </si>
  <si>
    <t>241092.IRJ127B2C0001502</t>
  </si>
  <si>
    <t>IRJ127B2C0001376</t>
  </si>
  <si>
    <t>234791.IRJ127B2C0001376</t>
  </si>
  <si>
    <t>IN026062203</t>
  </si>
  <si>
    <t>235135.IN026062203</t>
  </si>
  <si>
    <t>IRJ127B2C0001387</t>
  </si>
  <si>
    <t>241094.IRJ127B2C0001387</t>
  </si>
  <si>
    <t>IRJ127B2C0001414</t>
  </si>
  <si>
    <t>241112.IRJ127B2C0001414</t>
  </si>
  <si>
    <t>IHR127B2C0002788</t>
  </si>
  <si>
    <t>207481.IHR127B2C0002788</t>
  </si>
  <si>
    <t>LSK26061101-A4</t>
  </si>
  <si>
    <t>213180.LSK26061101-A4</t>
  </si>
  <si>
    <t>KC078260409B</t>
  </si>
  <si>
    <t>IRJ126B2C0003378</t>
  </si>
  <si>
    <t>FKS26143D</t>
  </si>
  <si>
    <t>238918.FKS26143D</t>
  </si>
  <si>
    <t>FKS26197W</t>
  </si>
  <si>
    <t>241935.FKS26197W</t>
  </si>
  <si>
    <t>26WLS-310I</t>
  </si>
  <si>
    <t>147021.26WLS-310I</t>
  </si>
  <si>
    <t>IN26026G</t>
  </si>
  <si>
    <t>150583.IN26026G</t>
  </si>
  <si>
    <t>FKS26148A</t>
  </si>
  <si>
    <t>LSK26061101-A5</t>
  </si>
  <si>
    <t>213180.LSK26061101-A5</t>
  </si>
  <si>
    <t>IN026051603C</t>
  </si>
  <si>
    <t>222900.IN026051603C</t>
  </si>
  <si>
    <t>263044-E</t>
  </si>
  <si>
    <t>Already Done</t>
  </si>
  <si>
    <t>BIG /SMALL</t>
  </si>
  <si>
    <t>5.6/5.6</t>
  </si>
  <si>
    <t>GLS-20260409</t>
  </si>
  <si>
    <t>238662.GLS-20260409</t>
  </si>
  <si>
    <t>IRJ127B2C0001480</t>
  </si>
  <si>
    <t>241115.IRJ127B2C0001480</t>
  </si>
  <si>
    <t>26WLS-310E</t>
  </si>
  <si>
    <t>148157.26WLS-310E</t>
  </si>
  <si>
    <t>GLS-20260506-2</t>
  </si>
  <si>
    <t>238524.GLS-20260506-2</t>
  </si>
  <si>
    <t>SHAPE NOT FOUND</t>
  </si>
  <si>
    <t>FKS26210E</t>
  </si>
  <si>
    <t>245903.FKS26210E</t>
  </si>
  <si>
    <t>FKS26218</t>
  </si>
  <si>
    <t>IRJ127B2C0001482</t>
  </si>
  <si>
    <t>234794.IRJ127B2C0001482</t>
  </si>
  <si>
    <t>26L161A</t>
  </si>
  <si>
    <t>242912.26L161A</t>
  </si>
  <si>
    <t>FKS26200O</t>
  </si>
  <si>
    <t>IRJ127B2C0001371</t>
  </si>
  <si>
    <t>241113.IRJ127B2C0001371</t>
  </si>
  <si>
    <t>IRJ127B2C0001154</t>
  </si>
  <si>
    <t>241119.IRJ127B2C0001154</t>
  </si>
  <si>
    <t>IRJ127B2C0001470</t>
  </si>
  <si>
    <t>219197.IRJ127B2C0001470</t>
  </si>
  <si>
    <t>GLS-20260505-1</t>
  </si>
  <si>
    <t>239173.GLS-20260505-1</t>
  </si>
  <si>
    <t>IRJ127B2C0001370</t>
  </si>
  <si>
    <t>241120.IRJ127B2C0001370</t>
  </si>
  <si>
    <t>IRJ127B2C0001436</t>
  </si>
  <si>
    <t>241114.IRJ127B2C0001436</t>
  </si>
  <si>
    <t>26WLS-310C</t>
  </si>
  <si>
    <t>IRJ127B2C0001469</t>
  </si>
  <si>
    <t>241117.IRJ127B2C0001469</t>
  </si>
  <si>
    <t>IN026062703B</t>
  </si>
  <si>
    <t>235136.IN026062703B</t>
  </si>
  <si>
    <t>FKS26183G</t>
  </si>
  <si>
    <t>210178.FKS26183G</t>
  </si>
  <si>
    <t>FKS26183D</t>
  </si>
  <si>
    <t>211293.FKS26183D</t>
  </si>
  <si>
    <t>LSK26070101-A2</t>
  </si>
  <si>
    <t>219834.LSK26070101-A2</t>
  </si>
  <si>
    <t>FKS26214A</t>
  </si>
  <si>
    <t>KC078260402B</t>
  </si>
  <si>
    <t>IHR127B2C0001163</t>
  </si>
  <si>
    <t>236092.IHR127B2C0001163</t>
  </si>
  <si>
    <t>HV26552F</t>
  </si>
  <si>
    <t>229215.HV26552F</t>
  </si>
  <si>
    <t>IRJ127B2C0001349</t>
  </si>
  <si>
    <t>218967.IRJ127B2C0001349</t>
  </si>
  <si>
    <t>IRJ127B2C0001385</t>
  </si>
  <si>
    <t>241113.IRJ127B2C0001385</t>
  </si>
  <si>
    <t>IRJ127B2C0001558</t>
  </si>
  <si>
    <t>IRJ127B2C0001226</t>
  </si>
  <si>
    <t>234780.IRJ127B2C0001226</t>
  </si>
  <si>
    <t>FKS26182C</t>
  </si>
  <si>
    <t>207551.FKS26182C</t>
  </si>
  <si>
    <t>GLS-20260530</t>
  </si>
  <si>
    <t>238534.GLS-20260530</t>
  </si>
  <si>
    <t>6.7</t>
  </si>
  <si>
    <t>CL2026014B</t>
  </si>
  <si>
    <t>AS-6142598</t>
  </si>
  <si>
    <t>236983.AS-6142598</t>
  </si>
  <si>
    <t>26WLS-314I</t>
  </si>
  <si>
    <t>149278.26WLS-314I</t>
  </si>
  <si>
    <t>26L172C</t>
  </si>
  <si>
    <t>242911.26L172C</t>
  </si>
  <si>
    <t>IN26048E</t>
  </si>
  <si>
    <t>207671.IN26048E</t>
  </si>
  <si>
    <t>DO NOT CORRECT THIS PID AT ANY INVOICE</t>
  </si>
  <si>
    <t>26L049B</t>
  </si>
  <si>
    <t>SMALL(sIZE VARIATION BY ESPRESSO</t>
  </si>
  <si>
    <t>IRJ127B2C0001331</t>
  </si>
  <si>
    <t>IHR127B2C0002736</t>
  </si>
  <si>
    <t>207671.IHR127B2C0002736</t>
  </si>
  <si>
    <t>UNDER OBSERVATION BY IQC</t>
  </si>
  <si>
    <t>IRJ127B2C0001780</t>
  </si>
  <si>
    <t>225341.IRJ127B2C0001780</t>
  </si>
  <si>
    <t>CIN-000001218048</t>
  </si>
  <si>
    <t>IN026062202D</t>
  </si>
  <si>
    <t>26WLS-313B</t>
  </si>
  <si>
    <t>LSK26060502-A12</t>
  </si>
  <si>
    <t>IRJ127B2C0001392</t>
  </si>
  <si>
    <t>IRJ127B2C0001660</t>
  </si>
  <si>
    <t>IRJ127B2C0001379</t>
  </si>
  <si>
    <t>LSK26070201-A3</t>
  </si>
  <si>
    <t>LSK26070801-A3</t>
  </si>
  <si>
    <t>FKS26186J</t>
  </si>
  <si>
    <t>IRJ127B2C0001389</t>
  </si>
  <si>
    <t>FKS26198O</t>
  </si>
  <si>
    <t>IN26045F</t>
  </si>
  <si>
    <t>IRJ127B2C0001634</t>
  </si>
  <si>
    <t>IRJ127B2C0001689</t>
  </si>
  <si>
    <t>FKS26223B</t>
  </si>
  <si>
    <t>IN26006G</t>
  </si>
  <si>
    <t>FKS26178D</t>
  </si>
  <si>
    <t>IRJ127B2C0001368</t>
  </si>
  <si>
    <t>241100.IRJ127B2C0001368</t>
  </si>
  <si>
    <t>F2610C</t>
  </si>
  <si>
    <t>H2629</t>
  </si>
  <si>
    <t>LM2620B</t>
  </si>
  <si>
    <t>204392.LM2620B</t>
  </si>
  <si>
    <t>IRJ127B2C0001397</t>
  </si>
  <si>
    <t>234791.IRJ127B2C0001397</t>
  </si>
  <si>
    <t>LSK26060502-A5</t>
  </si>
  <si>
    <t>151528.LSK26060502-A5</t>
  </si>
  <si>
    <t>26Y105</t>
  </si>
  <si>
    <t>FKS26187B</t>
  </si>
  <si>
    <t>219754.FKS26187B</t>
  </si>
  <si>
    <t>245902.FKS26210E</t>
  </si>
  <si>
    <t>CT63069</t>
  </si>
  <si>
    <t>invoice</t>
  </si>
  <si>
    <t>IRJ127B2C0001561</t>
  </si>
  <si>
    <t>26WLS-310J</t>
  </si>
  <si>
    <t>FKS26212</t>
  </si>
  <si>
    <t>IRJ127B2C0001870</t>
  </si>
  <si>
    <t>IN026051203E</t>
  </si>
  <si>
    <t>Done</t>
  </si>
  <si>
    <t>SLK260408B</t>
  </si>
  <si>
    <t>FKS26200I</t>
  </si>
  <si>
    <t>IN26047E</t>
  </si>
  <si>
    <t>FKS26182E</t>
  </si>
  <si>
    <t>FKS26184A</t>
  </si>
  <si>
    <t>26WLS-313A</t>
  </si>
  <si>
    <t>IHR127B2C0002848</t>
  </si>
  <si>
    <t>208951.IHR127B2C0002848</t>
  </si>
  <si>
    <t>LSK26071201-A4</t>
  </si>
  <si>
    <t>IRJ127B2C0001055</t>
  </si>
  <si>
    <t>263080-H</t>
  </si>
  <si>
    <t>236356.263080-H</t>
  </si>
  <si>
    <t>26WLS-309L</t>
  </si>
  <si>
    <t>147021.26WLS-309L</t>
  </si>
  <si>
    <t>IRJ127B2C0001530</t>
  </si>
  <si>
    <t>241094.IRJ127B2C0001530</t>
  </si>
  <si>
    <t>FKS26169</t>
  </si>
  <si>
    <t>FKS26205K</t>
  </si>
  <si>
    <t>263058-G</t>
  </si>
  <si>
    <t>FKS26228H</t>
  </si>
  <si>
    <t>IRJ127B2C0001336</t>
  </si>
  <si>
    <t>IN26032B</t>
  </si>
  <si>
    <t>FKS26237</t>
  </si>
  <si>
    <t>LSK26062202-A12</t>
  </si>
  <si>
    <t>FKS26230F</t>
  </si>
  <si>
    <t>221172.FKS26230F</t>
  </si>
  <si>
    <t>LSK26070101-A5</t>
  </si>
  <si>
    <t>check</t>
  </si>
  <si>
    <t>149097.IN26050A</t>
  </si>
  <si>
    <t>207551.FKS26174C</t>
  </si>
  <si>
    <t>219829.LSK26071201-A5</t>
  </si>
  <si>
    <t>135941.IN026060904</t>
  </si>
  <si>
    <t>238654.GLS-20260518-2</t>
  </si>
  <si>
    <t>208272.IHR127B2C0002454</t>
  </si>
  <si>
    <t>218966.IRJ127B2C0000783</t>
  </si>
  <si>
    <t>225336.IRJ127B2C000790</t>
  </si>
  <si>
    <t>238530.GLS-20260707-B</t>
  </si>
  <si>
    <t>247070.IRJ127B2C0001431</t>
  </si>
  <si>
    <t>151154.26WLS-339J</t>
  </si>
  <si>
    <t>233155.HV26552B</t>
  </si>
  <si>
    <t>241079.IRJ127B2C0001399</t>
  </si>
  <si>
    <t>241087.IRJ127B2C0001621</t>
  </si>
  <si>
    <t>242716.IRJ127B2C0001359</t>
  </si>
  <si>
    <t xml:space="preserve">234804IRJ127B2C0001870
</t>
  </si>
  <si>
    <t>234791BH-PAL30-2</t>
  </si>
  <si>
    <t>Frame type</t>
  </si>
  <si>
    <t>date</t>
  </si>
  <si>
    <t>Column2</t>
  </si>
  <si>
    <t>5.2 b/9.59 c</t>
  </si>
  <si>
    <t>mixed inventory</t>
  </si>
  <si>
    <t>temple and tracing value are diff</t>
  </si>
  <si>
    <t>TBC</t>
  </si>
  <si>
    <t>Big Size</t>
  </si>
  <si>
    <t>206775.WMW26YFS0127</t>
  </si>
  <si>
    <t>no correction</t>
  </si>
  <si>
    <t>241078.IRJ127B2C0001769</t>
  </si>
  <si>
    <t>241079.IRJ127B2C0001382</t>
  </si>
  <si>
    <t>244794.26WLS-339O</t>
  </si>
  <si>
    <t>229215.HV26462</t>
  </si>
  <si>
    <t>CHECK</t>
  </si>
  <si>
    <t>STATUS</t>
  </si>
  <si>
    <t>IRJ127B2C0001978</t>
  </si>
  <si>
    <t>INSI-26-191496</t>
  </si>
  <si>
    <t>IRJ127B2C0001017</t>
  </si>
  <si>
    <t>LSK26080101-A5</t>
  </si>
  <si>
    <t>FKS26217P</t>
  </si>
  <si>
    <t>HD20251365B</t>
  </si>
  <si>
    <t>FKS26218I</t>
  </si>
  <si>
    <t>IN026062702E</t>
  </si>
  <si>
    <t>LSK26062202-A2</t>
  </si>
  <si>
    <t>FKS26217N</t>
  </si>
  <si>
    <t>FS2613E</t>
  </si>
  <si>
    <t>FS2616B</t>
  </si>
  <si>
    <t>26WLS-319I</t>
  </si>
  <si>
    <t>IN026063003B</t>
  </si>
  <si>
    <t>FKS26205O</t>
  </si>
  <si>
    <t>FKS26198P</t>
  </si>
  <si>
    <t>done</t>
  </si>
  <si>
    <t>TOD-22973D</t>
  </si>
  <si>
    <t>IHR127B2C0003725</t>
  </si>
  <si>
    <t>IRJ127B2C0002154</t>
  </si>
  <si>
    <t>IRJ127B2C0002031</t>
  </si>
  <si>
    <t>IRJ127B2C0002022</t>
  </si>
  <si>
    <t>LSK26072202-A3</t>
  </si>
  <si>
    <t>IRJ127B2C0001913</t>
  </si>
  <si>
    <t>26WLS-309E</t>
  </si>
  <si>
    <t>238757.26WLS-309E</t>
  </si>
  <si>
    <t>IRJ127B2C0001089</t>
  </si>
  <si>
    <t>LSK26072102-A1</t>
  </si>
  <si>
    <t>26WLS-380D</t>
  </si>
  <si>
    <t>IN26056C</t>
  </si>
  <si>
    <t>IRJ127B2C0002149</t>
  </si>
  <si>
    <t>IRJ127B2C0002115</t>
  </si>
  <si>
    <t>241117.IRJ127B2C0002115</t>
  </si>
  <si>
    <t>LSK26072102-A11</t>
  </si>
  <si>
    <t>IRJ127B2C0002080</t>
  </si>
  <si>
    <t>241119.IRJ127B2C0002080</t>
  </si>
  <si>
    <t>FKS26197M</t>
  </si>
  <si>
    <t>LSK26072102-A2</t>
  </si>
  <si>
    <t>FKS26220</t>
  </si>
  <si>
    <t>FKS26245</t>
  </si>
  <si>
    <t>IHR127B2C0001165</t>
  </si>
  <si>
    <t>reason</t>
  </si>
  <si>
    <t>213180.LSK26080101-A3</t>
  </si>
  <si>
    <t>Percentage</t>
  </si>
  <si>
    <t xml:space="preserve">STATUS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</si>
</sst>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mm-dd-yyyy"/>
    <numFmt numFmtId="166" formatCode="0.0%;\-0.0%;0.0%"/>
  </numFmts>
  <fonts count="39">
    <font>
      <sz val="10.0"/>
      <color rgb="FF000000"/>
      <name val="Arial"/>
      <scheme val="minor"/>
    </font>
    <font>
      <b/>
      <sz val="11.0"/>
      <color rgb="FFFFFFFF"/>
      <name val="Calibri"/>
    </font>
    <font>
      <b/>
      <color rgb="FF434343"/>
      <name val="Arial"/>
    </font>
    <font>
      <color rgb="FF1F1F1F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color theme="1"/>
      <name val="Arial"/>
      <scheme val="minor"/>
    </font>
    <font>
      <u/>
      <color rgb="FF0000FF"/>
    </font>
    <font>
      <sz val="11.0"/>
      <color theme="1"/>
      <name val="Calibri"/>
    </font>
    <font>
      <u/>
      <color rgb="FF0000FF"/>
    </font>
    <font>
      <u/>
      <color rgb="FF0000FF"/>
    </font>
    <font>
      <color rgb="FF000000"/>
      <name val="Arial"/>
      <scheme val="minor"/>
    </font>
    <font>
      <u/>
      <color rgb="FF000000"/>
    </font>
    <font>
      <sz val="11.0"/>
      <color rgb="FFFF0000"/>
      <name val="Calibri"/>
    </font>
    <font>
      <sz val="11.0"/>
      <color rgb="FF9900FF"/>
      <name val="Calibri"/>
    </font>
    <font>
      <sz val="11.0"/>
      <color theme="5"/>
      <name val="Calibri"/>
    </font>
    <font>
      <color theme="5"/>
      <name val="Arial"/>
      <scheme val="minor"/>
    </font>
    <font>
      <color rgb="FFFF0000"/>
      <name val="Arial"/>
      <scheme val="minor"/>
    </font>
    <font>
      <u/>
      <color rgb="FF0000FF"/>
    </font>
    <font>
      <color rgb="FF980000"/>
      <name val="Arial"/>
      <scheme val="minor"/>
    </font>
    <font>
      <sz val="11.0"/>
      <color rgb="FF980000"/>
      <name val="Calibri"/>
    </font>
    <font/>
    <font>
      <b/>
      <sz val="14.0"/>
      <color rgb="FFFFFFFF"/>
      <name val="Calibri"/>
    </font>
    <font>
      <b/>
      <sz val="11.0"/>
      <color theme="1"/>
      <name val="Calibri"/>
    </font>
    <font>
      <b/>
      <sz val="18.0"/>
      <color rgb="FFFFFFFF"/>
      <name val="Calibri"/>
    </font>
    <font>
      <b/>
      <sz val="18.0"/>
      <color rgb="FF000000"/>
      <name val="Calibri"/>
    </font>
    <font>
      <color rgb="FF000000"/>
      <name val="Calibri"/>
    </font>
    <font>
      <b/>
      <color rgb="FFFFFFFF"/>
      <name val="Calibri"/>
    </font>
    <font>
      <b/>
      <sz val="13.0"/>
      <color rgb="FFFFFFFF"/>
      <name val="Calibri"/>
    </font>
    <font>
      <b/>
      <color rgb="FF000000"/>
      <name val="Calibri"/>
    </font>
    <font>
      <b/>
      <color theme="1"/>
      <name val="Calibri"/>
    </font>
    <font>
      <color theme="1"/>
      <name val="Calibri"/>
    </font>
    <font>
      <color theme="1"/>
      <name val="Arial"/>
    </font>
    <font>
      <b/>
      <color theme="1"/>
      <name val="Arial"/>
    </font>
    <font>
      <b/>
      <color rgb="FFFFFFFF"/>
      <name val="Arial"/>
    </font>
    <font>
      <color rgb="FF000000"/>
      <name val="Arial"/>
    </font>
    <font>
      <sz val="11.0"/>
      <color rgb="FF9C0006"/>
      <name val="Calibri"/>
    </font>
    <font>
      <b/>
      <sz val="11.0"/>
      <color rgb="FF000000"/>
      <name val="Calibri"/>
    </font>
    <font>
      <b/>
      <color rgb="FFFFFFFF"/>
      <name val="Arial"/>
      <scheme val="minor"/>
    </font>
  </fonts>
  <fills count="41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DEBF7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FF00FF"/>
        <bgColor rgb="FFFF00FF"/>
      </patternFill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CC0000"/>
        <bgColor rgb="FFCC0000"/>
      </patternFill>
    </fill>
    <fill>
      <patternFill patternType="solid">
        <fgColor theme="5"/>
        <bgColor theme="5"/>
      </patternFill>
    </fill>
    <fill>
      <patternFill patternType="solid">
        <fgColor rgb="FF6D9EEB"/>
        <bgColor rgb="FF6D9EEB"/>
      </patternFill>
    </fill>
    <fill>
      <patternFill patternType="solid">
        <fgColor rgb="FFFCE4D6"/>
        <bgColor rgb="FFFCE4D6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B6C1"/>
        <bgColor rgb="FFFFB6C1"/>
      </patternFill>
    </fill>
    <fill>
      <patternFill patternType="solid">
        <fgColor rgb="FF90EE90"/>
        <bgColor rgb="FF90EE90"/>
      </patternFill>
    </fill>
    <fill>
      <patternFill patternType="solid">
        <fgColor rgb="FF2E75B6"/>
        <bgColor rgb="FF2E75B6"/>
      </patternFill>
    </fill>
    <fill>
      <patternFill patternType="solid">
        <fgColor rgb="FFC00000"/>
        <bgColor rgb="FFC00000"/>
      </patternFill>
    </fill>
    <fill>
      <patternFill patternType="solid">
        <fgColor rgb="FFFFCCCC"/>
        <bgColor rgb="FFFFCCCC"/>
      </patternFill>
    </fill>
    <fill>
      <patternFill patternType="solid">
        <fgColor rgb="FFC0305A"/>
        <bgColor rgb="FFC0305A"/>
      </patternFill>
    </fill>
    <fill>
      <patternFill patternType="solid">
        <fgColor rgb="FFFFD6E0"/>
        <bgColor rgb="FFFFD6E0"/>
      </patternFill>
    </fill>
    <fill>
      <patternFill patternType="solid">
        <fgColor rgb="FF107C10"/>
        <bgColor rgb="FF107C10"/>
      </patternFill>
    </fill>
    <fill>
      <patternFill patternType="solid">
        <fgColor rgb="FFC6EFCE"/>
        <bgColor rgb="FFC6EFCE"/>
      </patternFill>
    </fill>
    <fill>
      <patternFill patternType="solid">
        <fgColor rgb="FF92D050"/>
        <bgColor rgb="FF92D050"/>
      </patternFill>
    </fill>
    <fill>
      <patternFill patternType="solid">
        <fgColor rgb="FFFF3399"/>
        <bgColor rgb="FFFF3399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FFC7CE"/>
        <bgColor rgb="FFFFC7CE"/>
      </patternFill>
    </fill>
    <fill>
      <patternFill patternType="solid">
        <fgColor rgb="FF980000"/>
        <bgColor rgb="FF980000"/>
      </patternFill>
    </fill>
  </fills>
  <borders count="12">
    <border/>
    <border>
      <left style="thin">
        <color rgb="FF9BC2E6"/>
      </left>
      <top style="thin">
        <color rgb="FF9BC2E6"/>
      </top>
      <bottom style="thin">
        <color rgb="FF9BC2E6"/>
      </bottom>
    </border>
    <border>
      <top style="thin">
        <color rgb="FF9BC2E6"/>
      </top>
      <bottom style="thin">
        <color rgb="FF9BC2E6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bottom style="thin">
        <color rgb="FF9BC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9BC2E6"/>
      </right>
      <bottom style="thin">
        <color rgb="FF9BC2E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9BC2E6"/>
      </left>
      <bottom style="thin">
        <color rgb="FF9BC2E6"/>
      </bottom>
    </border>
  </borders>
  <cellStyleXfs count="1">
    <xf borderId="0" fillId="0" fontId="0" numFmtId="0" applyAlignment="1" applyFont="1"/>
  </cellStyleXfs>
  <cellXfs count="4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2" fillId="2" fontId="1" numFmtId="0" xfId="0" applyAlignment="1" applyBorder="1" applyFill="1" applyFont="1">
      <alignment horizontal="left" readingOrder="0" shrinkToFit="0" vertical="bottom" wrapText="0"/>
    </xf>
    <xf borderId="2" fillId="2" fontId="1" numFmtId="0" xfId="0" applyAlignment="1" applyBorder="1" applyFill="1" applyFont="1">
      <alignment horizontal="left" readingOrder="0" vertical="bottom"/>
    </xf>
    <xf borderId="2" fillId="2" fontId="1" numFmtId="0" xfId="0" applyAlignment="1" applyBorder="1" applyFill="1" applyFont="1">
      <alignment horizontal="center" readingOrder="0" vertical="bottom"/>
    </xf>
    <xf borderId="3" fillId="2" fontId="1" numFmtId="0" xfId="0" applyAlignment="1" applyBorder="1" applyFill="1" applyFont="1">
      <alignment horizontal="center" readingOrder="0" shrinkToFit="0" vertical="bottom" wrapText="0"/>
    </xf>
    <xf borderId="2" fillId="3" fontId="2" numFmtId="0" xfId="0" applyAlignment="1" applyBorder="1" applyFill="1" applyFont="1">
      <alignment horizontal="center" readingOrder="0" vertical="bottom"/>
    </xf>
    <xf borderId="4" fillId="3" fontId="2" numFmtId="0" xfId="0" applyAlignment="1" applyBorder="1" applyFill="1" applyFont="1">
      <alignment horizontal="center" readingOrder="0" vertical="bottom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0" fontId="4" numFmtId="10" xfId="0" applyAlignment="1" applyFont="1" applyNumberFormat="1">
      <alignment horizontal="center" readingOrder="0"/>
    </xf>
    <xf borderId="2" fillId="4" fontId="5" numFmtId="0" xfId="0" applyAlignment="1" applyBorder="1" applyFill="1" applyFont="1">
      <alignment horizontal="center" readingOrder="0" shrinkToFit="0" vertical="bottom" wrapText="0"/>
    </xf>
    <xf borderId="0" fillId="0" fontId="4" numFmtId="164" xfId="0" applyAlignment="1" applyFont="1" applyNumberFormat="1">
      <alignment readingOrder="0"/>
    </xf>
    <xf borderId="2" fillId="0" fontId="5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horizontal="center"/>
    </xf>
    <xf borderId="0" fillId="0" fontId="4" numFmtId="9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5" fontId="4" numFmtId="0" xfId="0" applyAlignment="1" applyFill="1" applyFont="1">
      <alignment horizontal="left" readingOrder="0"/>
    </xf>
    <xf borderId="0" fillId="6" fontId="4" numFmtId="0" xfId="0" applyAlignment="1" applyFill="1" applyFont="1">
      <alignment horizontal="center" readingOrder="0"/>
    </xf>
    <xf borderId="5" fillId="0" fontId="5" numFmtId="0" xfId="0" applyAlignment="1" applyBorder="1" applyFont="1">
      <alignment horizontal="center" readingOrder="0" shrinkToFit="0" vertical="bottom" wrapText="0"/>
    </xf>
    <xf borderId="0" fillId="7" fontId="4" numFmtId="0" xfId="0" applyAlignment="1" applyFill="1" applyFont="1">
      <alignment horizontal="left" readingOrder="0"/>
    </xf>
    <xf borderId="4" fillId="4" fontId="5" numFmtId="0" xfId="0" applyAlignment="1" applyBorder="1" applyFill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4" fillId="0" fontId="5" numFmtId="0" xfId="0" applyAlignment="1" applyBorder="1" applyFont="1">
      <alignment horizontal="left" readingOrder="0" shrinkToFit="0" vertical="bottom" wrapText="0"/>
    </xf>
    <xf borderId="4" fillId="8" fontId="5" numFmtId="0" xfId="0" applyAlignment="1" applyBorder="1" applyFill="1" applyFont="1">
      <alignment horizontal="center" readingOrder="0" shrinkToFit="0" vertical="bottom" wrapText="0"/>
    </xf>
    <xf borderId="2" fillId="4" fontId="5" numFmtId="0" xfId="0" applyAlignment="1" applyBorder="1" applyFill="1" applyFont="1">
      <alignment horizontal="left" readingOrder="0" shrinkToFit="0" vertical="bottom" wrapText="0"/>
    </xf>
    <xf borderId="2" fillId="0" fontId="5" numFmtId="0" xfId="0" applyAlignment="1" applyBorder="1" applyFont="1">
      <alignment horizontal="left" readingOrder="0" shrinkToFit="0" vertical="bottom" wrapText="0"/>
    </xf>
    <xf borderId="0" fillId="9" fontId="4" numFmtId="164" xfId="0" applyAlignment="1" applyFill="1" applyFont="1" applyNumberFormat="1">
      <alignment readingOrder="0"/>
    </xf>
    <xf borderId="0" fillId="9" fontId="4" numFmtId="0" xfId="0" applyAlignment="1" applyFill="1" applyFont="1">
      <alignment horizontal="center"/>
    </xf>
    <xf borderId="0" fillId="9" fontId="4" numFmtId="0" xfId="0" applyAlignment="1" applyFill="1" applyFont="1">
      <alignment horizontal="left" readingOrder="0"/>
    </xf>
    <xf borderId="0" fillId="9" fontId="4" numFmtId="0" xfId="0" applyAlignment="1" applyFill="1" applyFont="1">
      <alignment horizontal="center" readingOrder="0"/>
    </xf>
    <xf borderId="0" fillId="9" fontId="4" numFmtId="0" xfId="0" applyFill="1" applyFont="1"/>
    <xf borderId="0" fillId="5" fontId="4" numFmtId="0" xfId="0" applyAlignment="1" applyFill="1" applyFont="1">
      <alignment horizontal="left"/>
    </xf>
    <xf borderId="0" fillId="5" fontId="4" numFmtId="0" xfId="0" applyAlignment="1" applyFill="1" applyFont="1">
      <alignment horizontal="center"/>
    </xf>
    <xf borderId="0" fillId="5" fontId="4" numFmtId="0" xfId="0" applyAlignment="1" applyFill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2" fillId="4" fontId="8" numFmtId="0" xfId="0" applyAlignment="1" applyBorder="1" applyFill="1" applyFont="1">
      <alignment horizontal="left" vertical="bottom"/>
    </xf>
    <xf borderId="3" fillId="4" fontId="8" numFmtId="0" xfId="0" applyAlignment="1" applyBorder="1" applyFill="1" applyFont="1">
      <alignment horizontal="left" vertical="bottom"/>
    </xf>
    <xf borderId="2" fillId="0" fontId="8" numFmtId="0" xfId="0" applyAlignment="1" applyBorder="1" applyFont="1">
      <alignment horizontal="left" vertical="bottom"/>
    </xf>
    <xf borderId="3" fillId="0" fontId="8" numFmtId="0" xfId="0" applyAlignment="1" applyBorder="1" applyFont="1">
      <alignment horizontal="left" vertical="bottom"/>
    </xf>
    <xf borderId="2" fillId="3" fontId="5" numFmtId="0" xfId="0" applyAlignment="1" applyBorder="1" applyFill="1" applyFont="1">
      <alignment horizontal="left" readingOrder="0" shrinkToFit="0" vertical="bottom" wrapText="0"/>
    </xf>
    <xf borderId="2" fillId="3" fontId="5" numFmtId="10" xfId="0" applyAlignment="1" applyBorder="1" applyFill="1" applyFont="1" applyNumberFormat="1">
      <alignment horizontal="center" readingOrder="0" shrinkToFit="0" vertical="bottom" wrapText="0"/>
    </xf>
    <xf borderId="0" fillId="3" fontId="4" numFmtId="0" xfId="0" applyAlignment="1" applyFill="1" applyFont="1">
      <alignment horizontal="left" readingOrder="0"/>
    </xf>
    <xf borderId="2" fillId="0" fontId="5" numFmtId="10" xfId="0" applyAlignment="1" applyBorder="1" applyFont="1" applyNumberFormat="1">
      <alignment horizontal="center" readingOrder="0" shrinkToFit="0" vertical="bottom" wrapText="0"/>
    </xf>
    <xf borderId="2" fillId="4" fontId="5" numFmtId="10" xfId="0" applyAlignment="1" applyBorder="1" applyFill="1" applyFont="1" applyNumberFormat="1">
      <alignment horizontal="center" readingOrder="0" shrinkToFit="0" vertical="bottom" wrapText="0"/>
    </xf>
    <xf borderId="3" fillId="4" fontId="5" numFmtId="10" xfId="0" applyAlignment="1" applyBorder="1" applyFill="1" applyFont="1" applyNumberFormat="1">
      <alignment horizontal="center" readingOrder="0" shrinkToFit="0" vertical="bottom" wrapText="0"/>
    </xf>
    <xf borderId="3" fillId="0" fontId="5" numFmtId="10" xfId="0" applyAlignment="1" applyBorder="1" applyFont="1" applyNumberFormat="1">
      <alignment horizontal="center" readingOrder="0" shrinkToFit="0" vertical="bottom" wrapText="0"/>
    </xf>
    <xf borderId="2" fillId="10" fontId="5" numFmtId="0" xfId="0" applyAlignment="1" applyBorder="1" applyFill="1" applyFont="1">
      <alignment horizontal="left" readingOrder="0" shrinkToFit="0" vertical="bottom" wrapText="0"/>
    </xf>
    <xf borderId="2" fillId="5" fontId="5" numFmtId="0" xfId="0" applyAlignment="1" applyBorder="1" applyFill="1" applyFont="1">
      <alignment horizontal="left" readingOrder="0" shrinkToFit="0" vertical="bottom" wrapText="0"/>
    </xf>
    <xf borderId="3" fillId="5" fontId="5" numFmtId="10" xfId="0" applyAlignment="1" applyBorder="1" applyFill="1" applyFont="1" applyNumberFormat="1">
      <alignment horizontal="center" readingOrder="0" shrinkToFit="0" vertical="bottom" wrapText="0"/>
    </xf>
    <xf borderId="0" fillId="11" fontId="4" numFmtId="0" xfId="0" applyFill="1" applyFont="1"/>
    <xf borderId="0" fillId="11" fontId="4" numFmtId="0" xfId="0" applyAlignment="1" applyFill="1" applyFont="1">
      <alignment horizontal="center"/>
    </xf>
    <xf borderId="2" fillId="11" fontId="5" numFmtId="0" xfId="0" applyAlignment="1" applyBorder="1" applyFill="1" applyFont="1">
      <alignment horizontal="left" readingOrder="0" shrinkToFit="0" vertical="bottom" wrapText="0"/>
    </xf>
    <xf borderId="3" fillId="11" fontId="5" numFmtId="10" xfId="0" applyAlignment="1" applyBorder="1" applyFill="1" applyFont="1" applyNumberFormat="1">
      <alignment horizontal="center" readingOrder="0" shrinkToFit="0" vertical="bottom" wrapText="0"/>
    </xf>
    <xf borderId="2" fillId="7" fontId="5" numFmtId="0" xfId="0" applyAlignment="1" applyBorder="1" applyFill="1" applyFont="1">
      <alignment horizontal="left" readingOrder="0" shrinkToFit="0" vertical="bottom" wrapText="0"/>
    </xf>
    <xf borderId="2" fillId="6" fontId="5" numFmtId="0" xfId="0" applyAlignment="1" applyBorder="1" applyFill="1" applyFont="1">
      <alignment horizontal="left" readingOrder="0" shrinkToFit="0" vertical="bottom" wrapText="0"/>
    </xf>
    <xf borderId="0" fillId="11" fontId="4" numFmtId="0" xfId="0" applyAlignment="1" applyFill="1" applyFont="1">
      <alignment horizontal="center" readingOrder="0"/>
    </xf>
    <xf borderId="0" fillId="12" fontId="4" numFmtId="0" xfId="0" applyFill="1" applyFont="1"/>
    <xf borderId="0" fillId="12" fontId="4" numFmtId="0" xfId="0" applyAlignment="1" applyFill="1" applyFont="1">
      <alignment horizontal="center"/>
    </xf>
    <xf borderId="2" fillId="12" fontId="5" numFmtId="0" xfId="0" applyAlignment="1" applyBorder="1" applyFill="1" applyFont="1">
      <alignment horizontal="left" readingOrder="0" shrinkToFit="0" vertical="bottom" wrapText="0"/>
    </xf>
    <xf borderId="3" fillId="12" fontId="5" numFmtId="10" xfId="0" applyAlignment="1" applyBorder="1" applyFill="1" applyFont="1" applyNumberFormat="1">
      <alignment horizontal="center" readingOrder="0" shrinkToFit="0" vertical="bottom" wrapText="0"/>
    </xf>
    <xf borderId="0" fillId="12" fontId="4" numFmtId="0" xfId="0" applyAlignment="1" applyFill="1" applyFont="1">
      <alignment horizontal="center" readingOrder="0"/>
    </xf>
    <xf borderId="2" fillId="9" fontId="5" numFmtId="0" xfId="0" applyAlignment="1" applyBorder="1" applyFill="1" applyFont="1">
      <alignment horizontal="left" readingOrder="0" shrinkToFit="0" vertical="bottom" wrapText="0"/>
    </xf>
    <xf borderId="3" fillId="9" fontId="5" numFmtId="10" xfId="0" applyAlignment="1" applyBorder="1" applyFill="1" applyFont="1" applyNumberFormat="1">
      <alignment horizontal="center" readingOrder="0" shrinkToFit="0" vertical="bottom" wrapText="0"/>
    </xf>
    <xf borderId="0" fillId="13" fontId="4" numFmtId="0" xfId="0" applyFill="1" applyFont="1"/>
    <xf borderId="0" fillId="13" fontId="4" numFmtId="0" xfId="0" applyAlignment="1" applyFill="1" applyFont="1">
      <alignment horizontal="center"/>
    </xf>
    <xf borderId="0" fillId="13" fontId="4" numFmtId="0" xfId="0" applyAlignment="1" applyFill="1" applyFont="1">
      <alignment horizontal="center" readingOrder="0"/>
    </xf>
    <xf borderId="2" fillId="13" fontId="5" numFmtId="0" xfId="0" applyAlignment="1" applyBorder="1" applyFill="1" applyFont="1">
      <alignment horizontal="left" readingOrder="0" shrinkToFit="0" vertical="bottom" wrapText="0"/>
    </xf>
    <xf borderId="3" fillId="13" fontId="5" numFmtId="10" xfId="0" applyAlignment="1" applyBorder="1" applyFill="1" applyFont="1" applyNumberFormat="1">
      <alignment horizontal="center" readingOrder="0" shrinkToFit="0" vertical="bottom" wrapText="0"/>
    </xf>
    <xf borderId="0" fillId="14" fontId="4" numFmtId="0" xfId="0" applyFill="1" applyFont="1"/>
    <xf borderId="0" fillId="14" fontId="4" numFmtId="0" xfId="0" applyAlignment="1" applyFill="1" applyFont="1">
      <alignment horizontal="center"/>
    </xf>
    <xf borderId="0" fillId="14" fontId="4" numFmtId="0" xfId="0" applyAlignment="1" applyFill="1" applyFont="1">
      <alignment horizontal="center" readingOrder="0"/>
    </xf>
    <xf borderId="2" fillId="14" fontId="5" numFmtId="0" xfId="0" applyAlignment="1" applyBorder="1" applyFill="1" applyFont="1">
      <alignment horizontal="left" readingOrder="0" shrinkToFit="0" vertical="bottom" wrapText="0"/>
    </xf>
    <xf borderId="3" fillId="14" fontId="5" numFmtId="10" xfId="0" applyAlignment="1" applyBorder="1" applyFill="1" applyFont="1" applyNumberFormat="1">
      <alignment horizontal="center" readingOrder="0" shrinkToFit="0" vertical="bottom" wrapText="0"/>
    </xf>
    <xf borderId="0" fillId="15" fontId="4" numFmtId="0" xfId="0" applyFill="1" applyFont="1"/>
    <xf borderId="0" fillId="15" fontId="4" numFmtId="0" xfId="0" applyAlignment="1" applyFill="1" applyFont="1">
      <alignment horizontal="center"/>
    </xf>
    <xf borderId="2" fillId="15" fontId="5" numFmtId="0" xfId="0" applyAlignment="1" applyBorder="1" applyFill="1" applyFont="1">
      <alignment horizontal="left" readingOrder="0" shrinkToFit="0" vertical="bottom" wrapText="0"/>
    </xf>
    <xf borderId="2" fillId="15" fontId="5" numFmtId="10" xfId="0" applyAlignment="1" applyBorder="1" applyFill="1" applyFont="1" applyNumberFormat="1">
      <alignment horizontal="center" readingOrder="0" shrinkToFit="0" vertical="bottom" wrapText="0"/>
    </xf>
    <xf borderId="0" fillId="15" fontId="4" numFmtId="0" xfId="0" applyAlignment="1" applyFill="1" applyFont="1">
      <alignment horizontal="center" readingOrder="0"/>
    </xf>
    <xf borderId="2" fillId="9" fontId="5" numFmtId="10" xfId="0" applyAlignment="1" applyBorder="1" applyFill="1" applyFont="1" applyNumberFormat="1">
      <alignment horizontal="center" readingOrder="0" shrinkToFit="0" vertical="bottom" wrapText="0"/>
    </xf>
    <xf borderId="0" fillId="6" fontId="4" numFmtId="0" xfId="0" applyAlignment="1" applyFill="1" applyFont="1">
      <alignment horizontal="left" readingOrder="0"/>
    </xf>
    <xf borderId="0" fillId="6" fontId="9" numFmtId="0" xfId="0" applyAlignment="1" applyFill="1" applyFont="1">
      <alignment horizontal="left" readingOrder="0"/>
    </xf>
    <xf borderId="0" fillId="0" fontId="10" numFmtId="0" xfId="0" applyAlignment="1" applyFont="1">
      <alignment horizontal="left" readingOrder="0"/>
    </xf>
    <xf borderId="0" fillId="9" fontId="11" numFmtId="164" xfId="0" applyAlignment="1" applyFill="1" applyFont="1" applyNumberFormat="1">
      <alignment readingOrder="0"/>
    </xf>
    <xf borderId="0" fillId="9" fontId="11" numFmtId="0" xfId="0" applyAlignment="1" applyFill="1" applyFont="1">
      <alignment horizontal="center"/>
    </xf>
    <xf borderId="0" fillId="9" fontId="12" numFmtId="0" xfId="0" applyAlignment="1" applyFill="1" applyFont="1">
      <alignment horizontal="left" readingOrder="0"/>
    </xf>
    <xf borderId="0" fillId="9" fontId="11" numFmtId="0" xfId="0" applyAlignment="1" applyFill="1" applyFont="1">
      <alignment horizontal="left"/>
    </xf>
    <xf borderId="0" fillId="9" fontId="11" numFmtId="0" xfId="0" applyAlignment="1" applyFill="1" applyFont="1">
      <alignment horizontal="center" readingOrder="0"/>
    </xf>
    <xf borderId="0" fillId="9" fontId="11" numFmtId="0" xfId="0" applyFill="1" applyFont="1"/>
    <xf borderId="2" fillId="16" fontId="5" numFmtId="0" xfId="0" applyAlignment="1" applyBorder="1" applyFill="1" applyFont="1">
      <alignment horizontal="left" readingOrder="0" shrinkToFit="0" vertical="bottom" wrapText="0"/>
    </xf>
    <xf borderId="2" fillId="16" fontId="5" numFmtId="10" xfId="0" applyAlignment="1" applyBorder="1" applyFill="1" applyFont="1" applyNumberFormat="1">
      <alignment horizontal="center" readingOrder="0" shrinkToFit="0" vertical="bottom" wrapText="0"/>
    </xf>
    <xf borderId="0" fillId="17" fontId="6" numFmtId="0" xfId="0" applyAlignment="1" applyFill="1" applyFont="1">
      <alignment horizontal="center" readingOrder="0"/>
    </xf>
    <xf borderId="0" fillId="18" fontId="5" numFmtId="0" xfId="0" applyAlignment="1" applyFill="1" applyFont="1">
      <alignment horizontal="left" readingOrder="0" shrinkToFit="0" vertical="bottom" wrapText="0"/>
    </xf>
    <xf borderId="0" fillId="18" fontId="5" numFmtId="10" xfId="0" applyAlignment="1" applyFill="1" applyFont="1" applyNumberFormat="1">
      <alignment horizontal="center" readingOrder="0" shrinkToFit="0" vertical="bottom" wrapText="0"/>
    </xf>
    <xf borderId="2" fillId="6" fontId="5" numFmtId="0" xfId="0" applyAlignment="1" applyBorder="1" applyFill="1" applyFont="1">
      <alignment horizontal="left" readingOrder="0" shrinkToFit="0" vertical="bottom" wrapText="0"/>
    </xf>
    <xf borderId="2" fillId="6" fontId="5" numFmtId="10" xfId="0" applyAlignment="1" applyBorder="1" applyFill="1" applyFont="1" applyNumberFormat="1">
      <alignment horizontal="center" readingOrder="0" shrinkToFit="0" vertical="bottom" wrapText="0"/>
    </xf>
    <xf borderId="2" fillId="0" fontId="5" numFmtId="0" xfId="0" applyAlignment="1" applyBorder="1" applyFont="1">
      <alignment horizontal="left" readingOrder="0" shrinkToFit="0" vertical="bottom" wrapText="0"/>
    </xf>
    <xf borderId="2" fillId="0" fontId="5" numFmtId="10" xfId="0" applyAlignment="1" applyBorder="1" applyFont="1" applyNumberFormat="1">
      <alignment horizontal="center" readingOrder="0" shrinkToFit="0" vertical="bottom" wrapText="0"/>
    </xf>
    <xf borderId="2" fillId="4" fontId="5" numFmtId="0" xfId="0" applyAlignment="1" applyBorder="1" applyFill="1" applyFont="1">
      <alignment horizontal="left" readingOrder="0" shrinkToFit="0" vertical="bottom" wrapText="0"/>
    </xf>
    <xf borderId="2" fillId="4" fontId="5" numFmtId="10" xfId="0" applyAlignment="1" applyBorder="1" applyFill="1" applyFont="1" applyNumberFormat="1">
      <alignment horizontal="center" readingOrder="0" shrinkToFit="0" vertical="bottom" wrapText="0"/>
    </xf>
    <xf borderId="2" fillId="4" fontId="5" numFmtId="0" xfId="0" applyAlignment="1" applyBorder="1" applyFill="1" applyFont="1">
      <alignment horizontal="center" readingOrder="0" shrinkToFit="0" vertical="bottom" wrapText="0"/>
    </xf>
    <xf borderId="2" fillId="5" fontId="5" numFmtId="0" xfId="0" applyAlignment="1" applyBorder="1" applyFill="1" applyFont="1">
      <alignment horizontal="left" readingOrder="0" shrinkToFit="0" vertical="bottom" wrapText="0"/>
    </xf>
    <xf borderId="2" fillId="5" fontId="5" numFmtId="10" xfId="0" applyAlignment="1" applyBorder="1" applyFill="1" applyFont="1" applyNumberFormat="1">
      <alignment horizontal="center" readingOrder="0" shrinkToFit="0" vertical="bottom" wrapText="0"/>
    </xf>
    <xf borderId="2" fillId="0" fontId="5" numFmtId="0" xfId="0" applyAlignment="1" applyBorder="1" applyFont="1">
      <alignment horizontal="center" readingOrder="0" shrinkToFit="0" vertical="bottom" wrapText="0"/>
    </xf>
    <xf borderId="2" fillId="18" fontId="5" numFmtId="0" xfId="0" applyAlignment="1" applyBorder="1" applyFill="1" applyFont="1">
      <alignment horizontal="center" readingOrder="0" shrinkToFit="0" vertical="bottom" wrapText="0"/>
    </xf>
    <xf borderId="2" fillId="6" fontId="5" numFmtId="10" xfId="0" applyAlignment="1" applyBorder="1" applyFill="1" applyFont="1" applyNumberFormat="1">
      <alignment horizontal="center" readingOrder="0" shrinkToFit="0" vertical="bottom" wrapText="0"/>
    </xf>
    <xf borderId="2" fillId="18" fontId="5" numFmtId="0" xfId="0" applyAlignment="1" applyBorder="1" applyFill="1" applyFont="1">
      <alignment horizontal="left" readingOrder="0" shrinkToFit="0" vertical="bottom" wrapText="0"/>
    </xf>
    <xf borderId="2" fillId="18" fontId="5" numFmtId="10" xfId="0" applyAlignment="1" applyBorder="1" applyFill="1" applyFont="1" applyNumberFormat="1">
      <alignment horizontal="center" readingOrder="0" shrinkToFit="0" vertical="bottom" wrapText="0"/>
    </xf>
    <xf borderId="2" fillId="19" fontId="13" numFmtId="0" xfId="0" applyAlignment="1" applyBorder="1" applyFill="1" applyFont="1">
      <alignment horizontal="left" readingOrder="0" shrinkToFit="0" vertical="bottom" wrapText="0"/>
    </xf>
    <xf borderId="2" fillId="19" fontId="13" numFmtId="10" xfId="0" applyAlignment="1" applyBorder="1" applyFill="1" applyFont="1" applyNumberFormat="1">
      <alignment horizontal="center" readingOrder="0" shrinkToFit="0" vertical="bottom" wrapText="0"/>
    </xf>
    <xf borderId="0" fillId="19" fontId="4" numFmtId="0" xfId="0" applyAlignment="1" applyFill="1" applyFont="1">
      <alignment horizontal="center"/>
    </xf>
    <xf borderId="3" fillId="19" fontId="13" numFmtId="10" xfId="0" applyAlignment="1" applyBorder="1" applyFill="1" applyFont="1" applyNumberFormat="1">
      <alignment horizontal="center" readingOrder="0" shrinkToFit="0" vertical="bottom" wrapText="0"/>
    </xf>
    <xf borderId="0" fillId="19" fontId="4" numFmtId="0" xfId="0" applyAlignment="1" applyFill="1" applyFont="1">
      <alignment horizontal="center" readingOrder="0"/>
    </xf>
    <xf borderId="2" fillId="2" fontId="5" numFmtId="0" xfId="0" applyAlignment="1" applyBorder="1" applyFill="1" applyFont="1">
      <alignment horizontal="left" readingOrder="0" shrinkToFit="0" vertical="bottom" wrapText="0"/>
    </xf>
    <xf borderId="3" fillId="2" fontId="5" numFmtId="10" xfId="0" applyAlignment="1" applyBorder="1" applyFill="1" applyFont="1" applyNumberFormat="1">
      <alignment horizontal="center" readingOrder="0" shrinkToFit="0" vertical="bottom" wrapText="0"/>
    </xf>
    <xf borderId="0" fillId="2" fontId="4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/>
    </xf>
    <xf borderId="2" fillId="0" fontId="14" numFmtId="0" xfId="0" applyAlignment="1" applyBorder="1" applyFont="1">
      <alignment horizontal="left" readingOrder="0" shrinkToFit="0" vertical="bottom" wrapText="0"/>
    </xf>
    <xf borderId="3" fillId="0" fontId="14" numFmtId="10" xfId="0" applyAlignment="1" applyBorder="1" applyFont="1" applyNumberFormat="1">
      <alignment horizontal="center" readingOrder="0" shrinkToFit="0" vertical="bottom" wrapText="0"/>
    </xf>
    <xf borderId="2" fillId="17" fontId="15" numFmtId="0" xfId="0" applyAlignment="1" applyBorder="1" applyFill="1" applyFont="1">
      <alignment horizontal="left" readingOrder="0" shrinkToFit="0" vertical="bottom" wrapText="0"/>
    </xf>
    <xf borderId="3" fillId="17" fontId="15" numFmtId="10" xfId="0" applyAlignment="1" applyBorder="1" applyFill="1" applyFont="1" applyNumberFormat="1">
      <alignment horizontal="center" readingOrder="0" shrinkToFit="0" vertical="bottom" wrapText="0"/>
    </xf>
    <xf borderId="0" fillId="17" fontId="16" numFmtId="0" xfId="0" applyAlignment="1" applyFill="1" applyFont="1">
      <alignment horizontal="center" readingOrder="0"/>
    </xf>
    <xf borderId="0" fillId="17" fontId="16" numFmtId="0" xfId="0" applyAlignment="1" applyFill="1" applyFont="1">
      <alignment horizontal="center"/>
    </xf>
    <xf borderId="0" fillId="19" fontId="17" numFmtId="0" xfId="0" applyAlignment="1" applyFill="1" applyFont="1">
      <alignment horizontal="center" readingOrder="0"/>
    </xf>
    <xf borderId="0" fillId="19" fontId="17" numFmtId="0" xfId="0" applyAlignment="1" applyFill="1" applyFont="1">
      <alignment horizontal="center"/>
    </xf>
    <xf borderId="0" fillId="0" fontId="18" numFmtId="0" xfId="0" applyAlignment="1" applyFont="1">
      <alignment horizontal="left" readingOrder="0"/>
    </xf>
    <xf borderId="6" fillId="0" fontId="5" numFmtId="10" xfId="0" applyAlignment="1" applyBorder="1" applyFont="1" applyNumberFormat="1">
      <alignment horizontal="center" readingOrder="0" shrinkToFit="0" vertical="bottom" wrapText="0"/>
    </xf>
    <xf borderId="6" fillId="4" fontId="5" numFmtId="10" xfId="0" applyAlignment="1" applyBorder="1" applyFill="1" applyFont="1" applyNumberFormat="1">
      <alignment horizontal="center" readingOrder="0" shrinkToFit="0" vertical="bottom" wrapText="0"/>
    </xf>
    <xf borderId="0" fillId="0" fontId="19" numFmtId="0" xfId="0" applyAlignment="1" applyFont="1">
      <alignment horizontal="center"/>
    </xf>
    <xf borderId="4" fillId="20" fontId="20" numFmtId="0" xfId="0" applyAlignment="1" applyBorder="1" applyFill="1" applyFont="1">
      <alignment horizontal="left" readingOrder="0" shrinkToFit="0" vertical="bottom" wrapText="0"/>
    </xf>
    <xf borderId="6" fillId="20" fontId="20" numFmtId="10" xfId="0" applyAlignment="1" applyBorder="1" applyFill="1" applyFont="1" applyNumberFormat="1">
      <alignment horizontal="center" readingOrder="0" shrinkToFit="0" vertical="bottom" wrapText="0"/>
    </xf>
    <xf borderId="0" fillId="20" fontId="19" numFmtId="0" xfId="0" applyAlignment="1" applyFill="1" applyFont="1">
      <alignment horizontal="center"/>
    </xf>
    <xf borderId="0" fillId="0" fontId="19" numFmtId="0" xfId="0" applyFont="1"/>
    <xf borderId="4" fillId="19" fontId="13" numFmtId="0" xfId="0" applyAlignment="1" applyBorder="1" applyFill="1" applyFont="1">
      <alignment horizontal="left" readingOrder="0" shrinkToFit="0" vertical="bottom" wrapText="0"/>
    </xf>
    <xf borderId="6" fillId="19" fontId="13" numFmtId="10" xfId="0" applyAlignment="1" applyBorder="1" applyFill="1" applyFont="1" applyNumberFormat="1">
      <alignment horizontal="center" readingOrder="0" shrinkToFit="0" vertical="bottom" wrapText="0"/>
    </xf>
    <xf borderId="2" fillId="21" fontId="5" numFmtId="0" xfId="0" applyAlignment="1" applyBorder="1" applyFill="1" applyFont="1">
      <alignment horizontal="left" readingOrder="0" shrinkToFit="0" vertical="bottom" wrapText="0"/>
    </xf>
    <xf borderId="3" fillId="21" fontId="5" numFmtId="10" xfId="0" applyAlignment="1" applyBorder="1" applyFill="1" applyFont="1" applyNumberFormat="1">
      <alignment horizontal="center" readingOrder="0" shrinkToFit="0" vertical="bottom" wrapText="0"/>
    </xf>
    <xf borderId="7" fillId="18" fontId="8" numFmtId="0" xfId="0" applyAlignment="1" applyBorder="1" applyFill="1" applyFont="1">
      <alignment horizontal="left" readingOrder="0" shrinkToFit="0" wrapText="0"/>
    </xf>
    <xf borderId="0" fillId="0" fontId="8" numFmtId="0" xfId="0" applyAlignment="1" applyFont="1">
      <alignment horizontal="left" readingOrder="0" shrinkToFit="0" wrapText="0"/>
    </xf>
    <xf borderId="3" fillId="3" fontId="5" numFmtId="10" xfId="0" applyAlignment="1" applyBorder="1" applyFill="1" applyFont="1" applyNumberFormat="1">
      <alignment horizontal="center" readingOrder="0" shrinkToFit="0" vertical="bottom" wrapText="0"/>
    </xf>
    <xf borderId="0" fillId="21" fontId="4" numFmtId="0" xfId="0" applyAlignment="1" applyFill="1" applyFont="1">
      <alignment horizontal="center" readingOrder="0"/>
    </xf>
    <xf borderId="0" fillId="21" fontId="4" numFmtId="0" xfId="0" applyAlignment="1" applyFill="1" applyFont="1">
      <alignment horizontal="center"/>
    </xf>
    <xf borderId="0" fillId="21" fontId="11" numFmtId="0" xfId="0" applyAlignment="1" applyFill="1" applyFont="1">
      <alignment horizontal="center" readingOrder="0"/>
    </xf>
    <xf borderId="0" fillId="21" fontId="11" numFmtId="0" xfId="0" applyAlignment="1" applyFill="1" applyFont="1">
      <alignment horizontal="center"/>
    </xf>
    <xf borderId="2" fillId="2" fontId="1" numFmtId="0" xfId="0" applyAlignment="1" applyBorder="1" applyFill="1" applyFont="1">
      <alignment readingOrder="0" shrinkToFit="0" vertical="bottom" wrapText="0"/>
    </xf>
    <xf borderId="3" fillId="2" fontId="1" numFmtId="0" xfId="0" applyAlignment="1" applyBorder="1" applyFill="1" applyFont="1">
      <alignment readingOrder="0" shrinkToFit="0" vertical="bottom" wrapText="0"/>
    </xf>
    <xf borderId="2" fillId="4" fontId="5" numFmtId="0" xfId="0" applyAlignment="1" applyBorder="1" applyFill="1" applyFont="1">
      <alignment readingOrder="0" shrinkToFit="0" vertical="bottom" wrapText="0"/>
    </xf>
    <xf borderId="2" fillId="4" fontId="5" numFmtId="0" xfId="0" applyAlignment="1" applyBorder="1" applyFill="1" applyFont="1">
      <alignment horizontal="right" readingOrder="0" shrinkToFit="0" vertical="bottom" wrapText="0"/>
    </xf>
    <xf borderId="2" fillId="4" fontId="5" numFmtId="10" xfId="0" applyAlignment="1" applyBorder="1" applyFill="1" applyFont="1" applyNumberFormat="1">
      <alignment horizontal="right" readingOrder="0" shrinkToFit="0" vertical="bottom" wrapText="0"/>
    </xf>
    <xf borderId="3" fillId="4" fontId="5" numFmtId="10" xfId="0" applyAlignment="1" applyBorder="1" applyFill="1" applyFont="1" applyNumberFormat="1">
      <alignment horizontal="right" readingOrder="0" shrinkToFit="0" vertical="bottom" wrapText="0"/>
    </xf>
    <xf borderId="2" fillId="0" fontId="5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horizontal="right" readingOrder="0" shrinkToFit="0" vertical="bottom" wrapText="0"/>
    </xf>
    <xf borderId="2" fillId="0" fontId="5" numFmtId="10" xfId="0" applyAlignment="1" applyBorder="1" applyFont="1" applyNumberFormat="1">
      <alignment horizontal="right" readingOrder="0" shrinkToFit="0" vertical="bottom" wrapText="0"/>
    </xf>
    <xf borderId="3" fillId="0" fontId="5" numFmtId="10" xfId="0" applyAlignment="1" applyBorder="1" applyFont="1" applyNumberFormat="1">
      <alignment horizontal="right" readingOrder="0" shrinkToFit="0" vertical="bottom" wrapText="0"/>
    </xf>
    <xf borderId="2" fillId="21" fontId="5" numFmtId="0" xfId="0" applyAlignment="1" applyBorder="1" applyFill="1" applyFont="1">
      <alignment readingOrder="0" shrinkToFit="0" vertical="bottom" wrapText="0"/>
    </xf>
    <xf borderId="2" fillId="3" fontId="5" numFmtId="0" xfId="0" applyAlignment="1" applyBorder="1" applyFill="1" applyFont="1">
      <alignment readingOrder="0" shrinkToFit="0" vertical="bottom" wrapText="0"/>
    </xf>
    <xf borderId="2" fillId="21" fontId="8" numFmtId="0" xfId="0" applyAlignment="1" applyBorder="1" applyFill="1" applyFont="1">
      <alignment readingOrder="0" shrinkToFit="0" vertical="bottom" wrapText="0"/>
    </xf>
    <xf borderId="2" fillId="21" fontId="8" numFmtId="0" xfId="0" applyAlignment="1" applyBorder="1" applyFill="1" applyFont="1">
      <alignment horizontal="right" readingOrder="0" shrinkToFit="0" vertical="bottom" wrapText="0"/>
    </xf>
    <xf borderId="2" fillId="21" fontId="8" numFmtId="10" xfId="0" applyAlignment="1" applyBorder="1" applyFill="1" applyFont="1" applyNumberFormat="1">
      <alignment horizontal="right" readingOrder="0" shrinkToFit="0" vertical="bottom" wrapText="0"/>
    </xf>
    <xf borderId="2" fillId="21" fontId="5" numFmtId="0" xfId="0" applyAlignment="1" applyBorder="1" applyFill="1" applyFont="1">
      <alignment horizontal="right" readingOrder="0" shrinkToFit="0" vertical="bottom" wrapText="0"/>
    </xf>
    <xf borderId="2" fillId="21" fontId="5" numFmtId="10" xfId="0" applyAlignment="1" applyBorder="1" applyFill="1" applyFont="1" applyNumberFormat="1">
      <alignment horizontal="right" readingOrder="0" shrinkToFit="0" vertical="bottom" wrapText="0"/>
    </xf>
    <xf borderId="2" fillId="16" fontId="5" numFmtId="0" xfId="0" applyAlignment="1" applyBorder="1" applyFill="1" applyFont="1">
      <alignment readingOrder="0" shrinkToFit="0" vertical="bottom" wrapText="0"/>
    </xf>
    <xf borderId="2" fillId="16" fontId="5" numFmtId="0" xfId="0" applyAlignment="1" applyBorder="1" applyFill="1" applyFont="1">
      <alignment horizontal="right" readingOrder="0" shrinkToFit="0" vertical="bottom" wrapText="0"/>
    </xf>
    <xf borderId="2" fillId="16" fontId="5" numFmtId="10" xfId="0" applyAlignment="1" applyBorder="1" applyFill="1" applyFont="1" applyNumberFormat="1">
      <alignment horizontal="right" readingOrder="0" shrinkToFit="0" vertical="bottom" wrapText="0"/>
    </xf>
    <xf borderId="2" fillId="4" fontId="5" numFmtId="0" xfId="0" applyAlignment="1" applyBorder="1" applyFill="1" applyFont="1">
      <alignment readingOrder="0" shrinkToFit="0" vertical="bottom" wrapText="0"/>
    </xf>
    <xf borderId="2" fillId="4" fontId="5" numFmtId="0" xfId="0" applyAlignment="1" applyBorder="1" applyFill="1" applyFont="1">
      <alignment horizontal="right" readingOrder="0" shrinkToFit="0" vertical="bottom" wrapText="0"/>
    </xf>
    <xf borderId="2" fillId="4" fontId="5" numFmtId="10" xfId="0" applyAlignment="1" applyBorder="1" applyFill="1" applyFont="1" applyNumberFormat="1">
      <alignment horizontal="right" readingOrder="0" shrinkToFit="0" vertical="bottom" wrapText="0"/>
    </xf>
    <xf borderId="2" fillId="0" fontId="5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horizontal="right" readingOrder="0" shrinkToFit="0" vertical="bottom" wrapText="0"/>
    </xf>
    <xf borderId="2" fillId="0" fontId="5" numFmtId="10" xfId="0" applyAlignment="1" applyBorder="1" applyFont="1" applyNumberFormat="1">
      <alignment horizontal="right" readingOrder="0" shrinkToFit="0" vertical="bottom" wrapText="0"/>
    </xf>
    <xf borderId="2" fillId="21" fontId="1" numFmtId="0" xfId="0" applyAlignment="1" applyBorder="1" applyFill="1" applyFont="1">
      <alignment readingOrder="0" shrinkToFit="0" vertical="bottom" wrapText="0"/>
    </xf>
    <xf borderId="2" fillId="4" fontId="13" numFmtId="0" xfId="0" applyAlignment="1" applyBorder="1" applyFill="1" applyFont="1">
      <alignment readingOrder="0" shrinkToFit="0" vertical="bottom" wrapText="0"/>
    </xf>
    <xf borderId="2" fillId="4" fontId="13" numFmtId="0" xfId="0" applyAlignment="1" applyBorder="1" applyFill="1" applyFont="1">
      <alignment horizontal="right" readingOrder="0" shrinkToFit="0" vertical="bottom" wrapText="0"/>
    </xf>
    <xf borderId="2" fillId="4" fontId="13" numFmtId="10" xfId="0" applyAlignment="1" applyBorder="1" applyFill="1" applyFont="1" applyNumberFormat="1">
      <alignment horizontal="right" readingOrder="0" shrinkToFit="0" vertical="bottom" wrapText="0"/>
    </xf>
    <xf borderId="3" fillId="4" fontId="13" numFmtId="10" xfId="0" applyAlignment="1" applyBorder="1" applyFill="1" applyFont="1" applyNumberFormat="1">
      <alignment horizontal="right" readingOrder="0" shrinkToFit="0" vertical="bottom" wrapText="0"/>
    </xf>
    <xf borderId="4" fillId="0" fontId="5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horizontal="right" readingOrder="0" shrinkToFit="0" vertical="bottom" wrapText="0"/>
    </xf>
    <xf borderId="4" fillId="0" fontId="5" numFmtId="10" xfId="0" applyAlignment="1" applyBorder="1" applyFont="1" applyNumberFormat="1">
      <alignment horizontal="right" readingOrder="0" shrinkToFit="0" vertical="bottom" wrapText="0"/>
    </xf>
    <xf borderId="6" fillId="0" fontId="5" numFmtId="10" xfId="0" applyAlignment="1" applyBorder="1" applyFont="1" applyNumberFormat="1">
      <alignment horizontal="right" readingOrder="0" shrinkToFit="0" vertical="bottom" wrapText="0"/>
    </xf>
    <xf borderId="4" fillId="4" fontId="5" numFmtId="0" xfId="0" applyAlignment="1" applyBorder="1" applyFill="1" applyFont="1">
      <alignment readingOrder="0" shrinkToFit="0" vertical="bottom" wrapText="0"/>
    </xf>
    <xf borderId="4" fillId="4" fontId="5" numFmtId="0" xfId="0" applyAlignment="1" applyBorder="1" applyFill="1" applyFont="1">
      <alignment horizontal="right" readingOrder="0" shrinkToFit="0" vertical="bottom" wrapText="0"/>
    </xf>
    <xf borderId="4" fillId="4" fontId="5" numFmtId="10" xfId="0" applyAlignment="1" applyBorder="1" applyFill="1" applyFont="1" applyNumberFormat="1">
      <alignment horizontal="right" readingOrder="0" shrinkToFit="0" vertical="bottom" wrapText="0"/>
    </xf>
    <xf borderId="6" fillId="4" fontId="5" numFmtId="10" xfId="0" applyAlignment="1" applyBorder="1" applyFill="1" applyFont="1" applyNumberFormat="1">
      <alignment horizontal="right" readingOrder="0" shrinkToFit="0" vertical="bottom" wrapText="0"/>
    </xf>
    <xf borderId="4" fillId="0" fontId="13" numFmtId="0" xfId="0" applyAlignment="1" applyBorder="1" applyFont="1">
      <alignment readingOrder="0" shrinkToFit="0" vertical="bottom" wrapText="0"/>
    </xf>
    <xf borderId="4" fillId="0" fontId="13" numFmtId="0" xfId="0" applyAlignment="1" applyBorder="1" applyFont="1">
      <alignment horizontal="right" readingOrder="0" shrinkToFit="0" vertical="bottom" wrapText="0"/>
    </xf>
    <xf borderId="4" fillId="0" fontId="13" numFmtId="10" xfId="0" applyAlignment="1" applyBorder="1" applyFont="1" applyNumberFormat="1">
      <alignment horizontal="right" readingOrder="0" shrinkToFit="0" vertical="bottom" wrapText="0"/>
    </xf>
    <xf borderId="6" fillId="0" fontId="13" numFmtId="10" xfId="0" applyAlignment="1" applyBorder="1" applyFont="1" applyNumberFormat="1">
      <alignment horizontal="right" readingOrder="0" shrinkToFit="0" vertical="bottom" wrapText="0"/>
    </xf>
    <xf borderId="4" fillId="4" fontId="13" numFmtId="0" xfId="0" applyAlignment="1" applyBorder="1" applyFill="1" applyFont="1">
      <alignment readingOrder="0" shrinkToFit="0" vertical="bottom" wrapText="0"/>
    </xf>
    <xf borderId="4" fillId="4" fontId="13" numFmtId="0" xfId="0" applyAlignment="1" applyBorder="1" applyFill="1" applyFont="1">
      <alignment horizontal="right" readingOrder="0" shrinkToFit="0" vertical="bottom" wrapText="0"/>
    </xf>
    <xf borderId="4" fillId="4" fontId="13" numFmtId="10" xfId="0" applyAlignment="1" applyBorder="1" applyFill="1" applyFont="1" applyNumberFormat="1">
      <alignment horizontal="right" readingOrder="0" shrinkToFit="0" vertical="bottom" wrapText="0"/>
    </xf>
    <xf borderId="6" fillId="4" fontId="13" numFmtId="10" xfId="0" applyAlignment="1" applyBorder="1" applyFill="1" applyFont="1" applyNumberFormat="1">
      <alignment horizontal="right" readingOrder="0" shrinkToFit="0" vertical="bottom" wrapText="0"/>
    </xf>
    <xf borderId="2" fillId="4" fontId="5" numFmtId="9" xfId="0" applyAlignment="1" applyBorder="1" applyFill="1" applyFont="1" applyNumberFormat="1">
      <alignment horizontal="right" readingOrder="0" shrinkToFit="0" vertical="bottom" wrapText="0"/>
    </xf>
    <xf borderId="2" fillId="4" fontId="5" numFmtId="0" xfId="0" applyAlignment="1" applyBorder="1" applyFill="1" applyFont="1">
      <alignment shrinkToFit="0" vertical="bottom" wrapText="0"/>
    </xf>
    <xf borderId="2" fillId="0" fontId="5" numFmtId="9" xfId="0" applyAlignment="1" applyBorder="1" applyFont="1" applyNumberFormat="1">
      <alignment horizontal="right" readingOrder="0" shrinkToFit="0" vertical="bottom" wrapText="0"/>
    </xf>
    <xf borderId="2" fillId="0" fontId="5" numFmtId="0" xfId="0" applyAlignment="1" applyBorder="1" applyFont="1">
      <alignment shrinkToFit="0" vertical="bottom" wrapText="0"/>
    </xf>
    <xf borderId="2" fillId="4" fontId="13" numFmtId="9" xfId="0" applyAlignment="1" applyBorder="1" applyFill="1" applyFont="1" applyNumberFormat="1">
      <alignment horizontal="right" readingOrder="0" shrinkToFit="0" vertical="bottom" wrapText="0"/>
    </xf>
    <xf borderId="2" fillId="4" fontId="13" numFmtId="0" xfId="0" applyAlignment="1" applyBorder="1" applyFill="1" applyFont="1">
      <alignment shrinkToFit="0" vertical="bottom" wrapText="0"/>
    </xf>
    <xf borderId="4" fillId="0" fontId="5" numFmtId="9" xfId="0" applyAlignment="1" applyBorder="1" applyFont="1" applyNumberFormat="1">
      <alignment horizontal="right" readingOrder="0" shrinkToFit="0" vertical="bottom" wrapText="0"/>
    </xf>
    <xf borderId="4" fillId="0" fontId="5" numFmtId="0" xfId="0" applyAlignment="1" applyBorder="1" applyFont="1">
      <alignment shrinkToFit="0" vertical="bottom" wrapText="0"/>
    </xf>
    <xf borderId="4" fillId="4" fontId="5" numFmtId="9" xfId="0" applyAlignment="1" applyBorder="1" applyFill="1" applyFont="1" applyNumberFormat="1">
      <alignment horizontal="right" readingOrder="0" shrinkToFit="0" vertical="bottom" wrapText="0"/>
    </xf>
    <xf borderId="4" fillId="4" fontId="5" numFmtId="0" xfId="0" applyAlignment="1" applyBorder="1" applyFill="1" applyFont="1">
      <alignment shrinkToFit="0" vertical="bottom" wrapText="0"/>
    </xf>
    <xf borderId="4" fillId="0" fontId="13" numFmtId="9" xfId="0" applyAlignment="1" applyBorder="1" applyFont="1" applyNumberFormat="1">
      <alignment horizontal="right" readingOrder="0" shrinkToFit="0" vertical="bottom" wrapText="0"/>
    </xf>
    <xf borderId="4" fillId="0" fontId="13" numFmtId="0" xfId="0" applyAlignment="1" applyBorder="1" applyFont="1">
      <alignment shrinkToFit="0" vertical="bottom" wrapText="0"/>
    </xf>
    <xf borderId="4" fillId="4" fontId="13" numFmtId="9" xfId="0" applyAlignment="1" applyBorder="1" applyFill="1" applyFont="1" applyNumberFormat="1">
      <alignment horizontal="right" readingOrder="0" shrinkToFit="0" vertical="bottom" wrapText="0"/>
    </xf>
    <xf borderId="4" fillId="4" fontId="13" numFmtId="0" xfId="0" applyAlignment="1" applyBorder="1" applyFill="1" applyFont="1">
      <alignment shrinkToFit="0" vertical="bottom" wrapText="0"/>
    </xf>
    <xf borderId="2" fillId="2" fontId="1" numFmtId="0" xfId="0" applyAlignment="1" applyBorder="1" applyFill="1" applyFont="1">
      <alignment readingOrder="0" shrinkToFit="0" vertical="bottom" wrapText="0"/>
    </xf>
    <xf borderId="3" fillId="2" fontId="1" numFmtId="0" xfId="0" applyAlignment="1" applyBorder="1" applyFill="1" applyFont="1">
      <alignment readingOrder="0" shrinkToFit="0" vertical="bottom" wrapText="0"/>
    </xf>
    <xf borderId="2" fillId="4" fontId="5" numFmtId="9" xfId="0" applyAlignment="1" applyBorder="1" applyFill="1" applyFont="1" applyNumberFormat="1">
      <alignment horizontal="right" readingOrder="0" shrinkToFit="0" vertical="bottom" wrapText="0"/>
    </xf>
    <xf borderId="2" fillId="4" fontId="5" numFmtId="0" xfId="0" applyAlignment="1" applyBorder="1" applyFill="1" applyFont="1">
      <alignment shrinkToFit="0" vertical="bottom" wrapText="0"/>
    </xf>
    <xf borderId="3" fillId="4" fontId="5" numFmtId="0" xfId="0" applyAlignment="1" applyBorder="1" applyFill="1" applyFont="1">
      <alignment horizontal="center" readingOrder="0" shrinkToFit="0" vertical="bottom" wrapText="0"/>
    </xf>
    <xf borderId="2" fillId="0" fontId="5" numFmtId="9" xfId="0" applyAlignment="1" applyBorder="1" applyFont="1" applyNumberFormat="1">
      <alignment horizontal="right" readingOrder="0" shrinkToFit="0" vertical="bottom" wrapText="0"/>
    </xf>
    <xf borderId="2" fillId="0" fontId="5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horizontal="center" readingOrder="0" shrinkToFit="0" vertical="bottom" wrapText="0"/>
    </xf>
    <xf borderId="2" fillId="22" fontId="5" numFmtId="0" xfId="0" applyAlignment="1" applyBorder="1" applyFill="1" applyFont="1">
      <alignment readingOrder="0" shrinkToFit="0" vertical="bottom" wrapText="0"/>
    </xf>
    <xf borderId="2" fillId="22" fontId="5" numFmtId="0" xfId="0" applyAlignment="1" applyBorder="1" applyFill="1" applyFont="1">
      <alignment horizontal="right" readingOrder="0" shrinkToFit="0" vertical="bottom" wrapText="0"/>
    </xf>
    <xf borderId="2" fillId="22" fontId="5" numFmtId="9" xfId="0" applyAlignment="1" applyBorder="1" applyFill="1" applyFont="1" applyNumberFormat="1">
      <alignment horizontal="right" readingOrder="0" shrinkToFit="0" vertical="bottom" wrapText="0"/>
    </xf>
    <xf borderId="2" fillId="22" fontId="5" numFmtId="10" xfId="0" applyAlignment="1" applyBorder="1" applyFill="1" applyFont="1" applyNumberFormat="1">
      <alignment horizontal="right" readingOrder="0" shrinkToFit="0" vertical="bottom" wrapText="0"/>
    </xf>
    <xf borderId="2" fillId="22" fontId="5" numFmtId="0" xfId="0" applyAlignment="1" applyBorder="1" applyFill="1" applyFont="1">
      <alignment shrinkToFit="0" vertical="bottom" wrapText="0"/>
    </xf>
    <xf borderId="2" fillId="16" fontId="5" numFmtId="9" xfId="0" applyAlignment="1" applyBorder="1" applyFill="1" applyFont="1" applyNumberFormat="1">
      <alignment horizontal="right" readingOrder="0" shrinkToFit="0" vertical="bottom" wrapText="0"/>
    </xf>
    <xf borderId="2" fillId="16" fontId="5" numFmtId="0" xfId="0" applyAlignment="1" applyBorder="1" applyFill="1" applyFont="1">
      <alignment shrinkToFit="0" vertical="bottom" wrapText="0"/>
    </xf>
    <xf borderId="2" fillId="21" fontId="8" numFmtId="9" xfId="0" applyAlignment="1" applyBorder="1" applyFill="1" applyFont="1" applyNumberFormat="1">
      <alignment horizontal="right" readingOrder="0" shrinkToFit="0" vertical="bottom" wrapText="0"/>
    </xf>
    <xf borderId="2" fillId="21" fontId="8" numFmtId="0" xfId="0" applyAlignment="1" applyBorder="1" applyFill="1" applyFont="1">
      <alignment shrinkToFit="0" vertical="bottom" wrapText="0"/>
    </xf>
    <xf borderId="2" fillId="21" fontId="5" numFmtId="9" xfId="0" applyAlignment="1" applyBorder="1" applyFill="1" applyFont="1" applyNumberFormat="1">
      <alignment horizontal="right" readingOrder="0" shrinkToFit="0" vertical="bottom" wrapText="0"/>
    </xf>
    <xf borderId="2" fillId="21" fontId="5" numFmtId="0" xfId="0" applyAlignment="1" applyBorder="1" applyFill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3" fontId="5" numFmtId="0" xfId="0" applyAlignment="1" applyFill="1" applyFont="1">
      <alignment readingOrder="0" shrinkToFit="0" vertical="bottom" wrapText="0"/>
    </xf>
    <xf borderId="0" fillId="3" fontId="5" numFmtId="0" xfId="0" applyAlignment="1" applyFill="1" applyFont="1">
      <alignment horizontal="right" readingOrder="0" shrinkToFit="0" vertical="bottom" wrapText="0"/>
    </xf>
    <xf borderId="0" fillId="21" fontId="5" numFmtId="0" xfId="0" applyAlignment="1" applyFill="1" applyFont="1">
      <alignment horizontal="right" readingOrder="0" shrinkToFit="0" vertical="bottom" wrapText="0"/>
    </xf>
    <xf borderId="0" fillId="21" fontId="6" numFmtId="0" xfId="0" applyAlignment="1" applyFill="1" applyFont="1">
      <alignment horizontal="center" readingOrder="0"/>
    </xf>
    <xf borderId="0" fillId="21" fontId="4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21" fontId="5" numFmtId="0" xfId="0" applyAlignment="1" applyFill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4" fontId="5" numFmtId="0" xfId="0" applyAlignment="1" applyBorder="1" applyFill="1" applyFont="1">
      <alignment horizontal="right" readingOrder="0" shrinkToFit="0" vertical="bottom" wrapText="0"/>
    </xf>
    <xf borderId="0" fillId="0" fontId="4" numFmtId="0" xfId="0" applyFont="1"/>
    <xf borderId="1" fillId="0" fontId="5" numFmtId="0" xfId="0" applyAlignment="1" applyBorder="1" applyFon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8" fillId="23" fontId="5" numFmtId="0" xfId="0" applyAlignment="1" applyBorder="1" applyFill="1" applyFont="1">
      <alignment horizontal="center" readingOrder="0" shrinkToFit="0" vertical="bottom" wrapText="0"/>
    </xf>
    <xf borderId="9" fillId="0" fontId="21" numFmtId="0" xfId="0" applyBorder="1" applyFont="1"/>
    <xf borderId="5" fillId="0" fontId="4" numFmtId="0" xfId="0" applyAlignment="1" applyBorder="1" applyFont="1">
      <alignment horizontal="center" readingOrder="0"/>
    </xf>
    <xf borderId="0" fillId="0" fontId="6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0" fillId="24" fontId="22" numFmtId="0" xfId="0" applyAlignment="1" applyFill="1" applyFont="1">
      <alignment horizontal="center" readingOrder="0"/>
    </xf>
    <xf borderId="0" fillId="24" fontId="1" numFmtId="0" xfId="0" applyAlignment="1" applyFill="1" applyFont="1">
      <alignment horizontal="center" readingOrder="0"/>
    </xf>
    <xf borderId="0" fillId="21" fontId="1" numFmtId="0" xfId="0" applyAlignment="1" applyFill="1" applyFont="1">
      <alignment horizontal="center" readingOrder="0"/>
    </xf>
    <xf borderId="0" fillId="25" fontId="8" numFmtId="0" xfId="0" applyAlignment="1" applyFill="1" applyFont="1">
      <alignment horizontal="left" readingOrder="0"/>
    </xf>
    <xf borderId="0" fillId="3" fontId="23" numFmtId="0" xfId="0" applyAlignment="1" applyFill="1" applyFont="1">
      <alignment horizontal="center" readingOrder="0"/>
    </xf>
    <xf borderId="0" fillId="26" fontId="23" numFmtId="0" xfId="0" applyAlignment="1" applyFill="1" applyFont="1">
      <alignment horizontal="center" readingOrder="0"/>
    </xf>
    <xf borderId="0" fillId="27" fontId="23" numFmtId="0" xfId="0" applyAlignment="1" applyFill="1" applyFont="1">
      <alignment horizontal="center" readingOrder="0"/>
    </xf>
    <xf borderId="0" fillId="28" fontId="1" numFmtId="0" xfId="0" applyAlignment="1" applyFill="1" applyFont="1">
      <alignment horizontal="center" readingOrder="0"/>
    </xf>
    <xf borderId="0" fillId="21" fontId="24" numFmtId="0" xfId="0" applyAlignment="1" applyFill="1" applyFont="1">
      <alignment horizontal="center" readingOrder="0"/>
    </xf>
    <xf borderId="0" fillId="3" fontId="25" numFmtId="0" xfId="0" applyAlignment="1" applyFill="1" applyFont="1">
      <alignment horizontal="center" readingOrder="0"/>
    </xf>
    <xf borderId="0" fillId="26" fontId="25" numFmtId="0" xfId="0" applyAlignment="1" applyFill="1" applyFont="1">
      <alignment horizontal="center" readingOrder="0"/>
    </xf>
    <xf borderId="0" fillId="27" fontId="25" numFmtId="0" xfId="0" applyAlignment="1" applyFill="1" applyFont="1">
      <alignment horizontal="center" readingOrder="0"/>
    </xf>
    <xf borderId="0" fillId="18" fontId="1" numFmtId="0" xfId="0" applyAlignment="1" applyFill="1" applyFont="1">
      <alignment horizontal="center" readingOrder="0"/>
    </xf>
    <xf borderId="10" fillId="25" fontId="26" numFmtId="0" xfId="0" applyAlignment="1" applyBorder="1" applyFill="1" applyFont="1">
      <alignment horizontal="center" readingOrder="0"/>
    </xf>
    <xf borderId="10" fillId="21" fontId="26" numFmtId="0" xfId="0" applyAlignment="1" applyBorder="1" applyFill="1" applyFont="1">
      <alignment horizontal="center" readingOrder="0"/>
    </xf>
    <xf borderId="10" fillId="3" fontId="26" numFmtId="0" xfId="0" applyAlignment="1" applyBorder="1" applyFill="1" applyFont="1">
      <alignment horizontal="center" readingOrder="0"/>
    </xf>
    <xf borderId="10" fillId="26" fontId="26" numFmtId="0" xfId="0" applyAlignment="1" applyBorder="1" applyFill="1" applyFont="1">
      <alignment horizontal="center" readingOrder="0"/>
    </xf>
    <xf borderId="10" fillId="27" fontId="26" numFmtId="0" xfId="0" applyAlignment="1" applyBorder="1" applyFill="1" applyFont="1">
      <alignment horizontal="center" readingOrder="0"/>
    </xf>
    <xf borderId="10" fillId="28" fontId="27" numFmtId="0" xfId="0" applyAlignment="1" applyBorder="1" applyFill="1" applyFont="1">
      <alignment horizontal="center" readingOrder="0"/>
    </xf>
    <xf borderId="0" fillId="21" fontId="28" numFmtId="0" xfId="0" applyAlignment="1" applyFill="1" applyFont="1">
      <alignment horizontal="center" readingOrder="0"/>
    </xf>
    <xf borderId="0" fillId="29" fontId="1" numFmtId="0" xfId="0" applyAlignment="1" applyFill="1" applyFont="1">
      <alignment horizontal="center" readingOrder="0"/>
    </xf>
    <xf borderId="10" fillId="30" fontId="29" numFmtId="0" xfId="0" applyAlignment="1" applyBorder="1" applyFill="1" applyFont="1">
      <alignment horizontal="center" readingOrder="0"/>
    </xf>
    <xf borderId="10" fillId="30" fontId="29" numFmtId="0" xfId="0" applyAlignment="1" applyBorder="1" applyFill="1" applyFont="1">
      <alignment horizontal="center"/>
    </xf>
    <xf borderId="10" fillId="30" fontId="29" numFmtId="10" xfId="0" applyAlignment="1" applyBorder="1" applyFill="1" applyFont="1" applyNumberFormat="1">
      <alignment horizontal="center" readingOrder="0"/>
    </xf>
    <xf borderId="10" fillId="21" fontId="27" numFmtId="0" xfId="0" applyAlignment="1" applyBorder="1" applyFill="1" applyFont="1">
      <alignment horizontal="center" readingOrder="0"/>
    </xf>
    <xf borderId="10" fillId="21" fontId="27" numFmtId="10" xfId="0" applyAlignment="1" applyBorder="1" applyFill="1" applyFont="1" applyNumberFormat="1">
      <alignment horizontal="center" readingOrder="0"/>
    </xf>
    <xf borderId="10" fillId="21" fontId="27" numFmtId="0" xfId="0" applyAlignment="1" applyBorder="1" applyFill="1" applyFont="1">
      <alignment horizontal="center"/>
    </xf>
    <xf borderId="0" fillId="31" fontId="28" numFmtId="0" xfId="0" applyAlignment="1" applyFill="1" applyFont="1">
      <alignment horizontal="center" readingOrder="0"/>
    </xf>
    <xf borderId="0" fillId="31" fontId="1" numFmtId="0" xfId="0" applyAlignment="1" applyFill="1" applyFont="1">
      <alignment horizontal="center" readingOrder="0"/>
    </xf>
    <xf borderId="10" fillId="26" fontId="30" numFmtId="0" xfId="0" applyAlignment="1" applyBorder="1" applyFill="1" applyFont="1">
      <alignment horizontal="center" readingOrder="0"/>
    </xf>
    <xf borderId="10" fillId="26" fontId="30" numFmtId="0" xfId="0" applyAlignment="1" applyBorder="1" applyFill="1" applyFont="1">
      <alignment horizontal="center"/>
    </xf>
    <xf borderId="10" fillId="26" fontId="30" numFmtId="10" xfId="0" applyAlignment="1" applyBorder="1" applyFill="1" applyFont="1" applyNumberFormat="1">
      <alignment horizontal="center" readingOrder="0"/>
    </xf>
    <xf borderId="10" fillId="32" fontId="30" numFmtId="0" xfId="0" applyAlignment="1" applyBorder="1" applyFill="1" applyFont="1">
      <alignment horizontal="center" readingOrder="0"/>
    </xf>
    <xf borderId="10" fillId="32" fontId="30" numFmtId="10" xfId="0" applyAlignment="1" applyBorder="1" applyFill="1" applyFont="1" applyNumberFormat="1">
      <alignment horizontal="center" readingOrder="0"/>
    </xf>
    <xf borderId="10" fillId="32" fontId="30" numFmtId="0" xfId="0" applyAlignment="1" applyBorder="1" applyFill="1" applyFont="1">
      <alignment horizontal="center"/>
    </xf>
    <xf borderId="0" fillId="7" fontId="28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18" fontId="4" numFmtId="0" xfId="0" applyFill="1" applyFont="1"/>
    <xf borderId="10" fillId="3" fontId="31" numFmtId="0" xfId="0" applyAlignment="1" applyBorder="1" applyFill="1" applyFont="1">
      <alignment horizontal="left" readingOrder="0"/>
    </xf>
    <xf borderId="10" fillId="3" fontId="31" numFmtId="0" xfId="0" applyAlignment="1" applyBorder="1" applyFill="1" applyFont="1">
      <alignment horizontal="center" readingOrder="0"/>
    </xf>
    <xf borderId="10" fillId="3" fontId="31" numFmtId="10" xfId="0" applyAlignment="1" applyBorder="1" applyFill="1" applyFont="1" applyNumberFormat="1">
      <alignment horizontal="center" readingOrder="0"/>
    </xf>
    <xf borderId="10" fillId="3" fontId="31" numFmtId="0" xfId="0" applyAlignment="1" applyBorder="1" applyFill="1" applyFont="1">
      <alignment horizontal="center"/>
    </xf>
    <xf borderId="0" fillId="33" fontId="28" numFmtId="0" xfId="0" applyAlignment="1" applyFill="1" applyFont="1">
      <alignment horizontal="center" readingOrder="0"/>
    </xf>
    <xf borderId="0" fillId="33" fontId="1" numFmtId="0" xfId="0" applyAlignment="1" applyFill="1" applyFont="1">
      <alignment horizontal="center" readingOrder="0"/>
    </xf>
    <xf borderId="10" fillId="27" fontId="31" numFmtId="0" xfId="0" applyAlignment="1" applyBorder="1" applyFill="1" applyFont="1">
      <alignment horizontal="center" readingOrder="0"/>
    </xf>
    <xf borderId="10" fillId="27" fontId="31" numFmtId="10" xfId="0" applyAlignment="1" applyBorder="1" applyFill="1" applyFont="1" applyNumberFormat="1">
      <alignment horizontal="center" readingOrder="0"/>
    </xf>
    <xf borderId="10" fillId="34" fontId="31" numFmtId="0" xfId="0" applyAlignment="1" applyBorder="1" applyFill="1" applyFont="1">
      <alignment horizontal="center" readingOrder="0"/>
    </xf>
    <xf borderId="10" fillId="34" fontId="31" numFmtId="10" xfId="0" applyAlignment="1" applyBorder="1" applyFill="1" applyFont="1" applyNumberFormat="1">
      <alignment horizontal="center" readingOrder="0"/>
    </xf>
    <xf borderId="10" fillId="34" fontId="31" numFmtId="0" xfId="0" applyAlignment="1" applyBorder="1" applyFill="1" applyFont="1">
      <alignment horizontal="center"/>
    </xf>
    <xf borderId="10" fillId="27" fontId="31" numFmtId="0" xfId="0" applyAlignment="1" applyBorder="1" applyFill="1" applyFont="1">
      <alignment horizontal="center"/>
    </xf>
    <xf borderId="1" fillId="2" fontId="1" numFmtId="1" xfId="0" applyAlignment="1" applyBorder="1" applyFill="1" applyFont="1" applyNumberFormat="1">
      <alignment horizontal="center" readingOrder="0" vertical="bottom"/>
    </xf>
    <xf borderId="2" fillId="2" fontId="1" numFmtId="0" xfId="0" applyAlignment="1" applyBorder="1" applyFill="1" applyFont="1">
      <alignment horizontal="center" readingOrder="0" vertical="bottom"/>
    </xf>
    <xf borderId="2" fillId="2" fontId="1" numFmtId="0" xfId="0" applyAlignment="1" applyBorder="1" applyFill="1" applyFont="1">
      <alignment horizontal="center" vertical="bottom"/>
    </xf>
    <xf borderId="2" fillId="2" fontId="1" numFmtId="3" xfId="0" applyAlignment="1" applyBorder="1" applyFill="1" applyFont="1" applyNumberFormat="1">
      <alignment horizontal="center" vertical="bottom"/>
    </xf>
    <xf borderId="2" fillId="3" fontId="2" numFmtId="0" xfId="0" applyAlignment="1" applyBorder="1" applyFill="1" applyFont="1">
      <alignment horizontal="center" vertical="bottom"/>
    </xf>
    <xf borderId="4" fillId="3" fontId="2" numFmtId="0" xfId="0" applyAlignment="1" applyBorder="1" applyFill="1" applyFont="1">
      <alignment horizontal="center" vertical="bottom"/>
    </xf>
    <xf borderId="2" fillId="3" fontId="2" numFmtId="0" xfId="0" applyAlignment="1" applyBorder="1" applyFill="1" applyFont="1">
      <alignment horizontal="center" readingOrder="0" vertical="bottom"/>
    </xf>
    <xf borderId="3" fillId="2" fontId="1" numFmtId="0" xfId="0" applyAlignment="1" applyBorder="1" applyFill="1" applyFont="1">
      <alignment horizontal="center" vertical="bottom"/>
    </xf>
    <xf borderId="1" fillId="21" fontId="8" numFmtId="1" xfId="0" applyAlignment="1" applyBorder="1" applyFill="1" applyFont="1" applyNumberFormat="1">
      <alignment horizontal="right" vertical="bottom"/>
    </xf>
    <xf borderId="2" fillId="21" fontId="8" numFmtId="0" xfId="0" applyAlignment="1" applyBorder="1" applyFill="1" applyFont="1">
      <alignment vertical="bottom"/>
    </xf>
    <xf borderId="2" fillId="21" fontId="8" numFmtId="3" xfId="0" applyAlignment="1" applyBorder="1" applyFill="1" applyFont="1" applyNumberFormat="1">
      <alignment horizontal="right" vertical="bottom"/>
    </xf>
    <xf borderId="2" fillId="21" fontId="23" numFmtId="166" xfId="0" applyAlignment="1" applyBorder="1" applyFill="1" applyFont="1" applyNumberFormat="1">
      <alignment horizontal="center" vertical="bottom"/>
    </xf>
    <xf borderId="2" fillId="4" fontId="23" numFmtId="0" xfId="0" applyAlignment="1" applyBorder="1" applyFill="1" applyFont="1">
      <alignment horizontal="center" vertical="bottom"/>
    </xf>
    <xf borderId="2" fillId="4" fontId="32" numFmtId="0" xfId="0" applyAlignment="1" applyBorder="1" applyFill="1" applyFont="1">
      <alignment vertical="bottom"/>
    </xf>
    <xf borderId="3" fillId="4" fontId="23" numFmtId="0" xfId="0" applyAlignment="1" applyBorder="1" applyFill="1" applyFont="1">
      <alignment horizontal="center" vertical="bottom"/>
    </xf>
    <xf borderId="0" fillId="21" fontId="8" numFmtId="0" xfId="0" applyAlignment="1" applyFill="1" applyFont="1">
      <alignment vertical="bottom"/>
    </xf>
    <xf borderId="1" fillId="35" fontId="8" numFmtId="1" xfId="0" applyAlignment="1" applyBorder="1" applyFill="1" applyFont="1" applyNumberFormat="1">
      <alignment horizontal="right" vertical="bottom"/>
    </xf>
    <xf borderId="2" fillId="35" fontId="8" numFmtId="0" xfId="0" applyAlignment="1" applyBorder="1" applyFill="1" applyFont="1">
      <alignment vertical="bottom"/>
    </xf>
    <xf borderId="2" fillId="35" fontId="8" numFmtId="3" xfId="0" applyAlignment="1" applyBorder="1" applyFill="1" applyFont="1" applyNumberFormat="1">
      <alignment horizontal="right" vertical="bottom"/>
    </xf>
    <xf borderId="2" fillId="35" fontId="23" numFmtId="166" xfId="0" applyAlignment="1" applyBorder="1" applyFill="1" applyFont="1" applyNumberFormat="1">
      <alignment horizontal="center" vertical="bottom"/>
    </xf>
    <xf borderId="2" fillId="0" fontId="23" numFmtId="0" xfId="0" applyAlignment="1" applyBorder="1" applyFont="1">
      <alignment horizontal="center" vertical="bottom"/>
    </xf>
    <xf borderId="2" fillId="0" fontId="32" numFmtId="0" xfId="0" applyAlignment="1" applyBorder="1" applyFont="1">
      <alignment vertical="bottom"/>
    </xf>
    <xf borderId="3" fillId="0" fontId="23" numFmtId="0" xfId="0" applyAlignment="1" applyBorder="1" applyFont="1">
      <alignment horizontal="center" vertical="bottom"/>
    </xf>
    <xf borderId="0" fillId="35" fontId="8" numFmtId="0" xfId="0" applyAlignment="1" applyFill="1" applyFont="1">
      <alignment vertical="bottom"/>
    </xf>
    <xf borderId="2" fillId="4" fontId="8" numFmtId="0" xfId="0" applyAlignment="1" applyBorder="1" applyFill="1" applyFont="1">
      <alignment horizontal="right" vertical="bottom"/>
    </xf>
    <xf borderId="1" fillId="36" fontId="8" numFmtId="1" xfId="0" applyAlignment="1" applyBorder="1" applyFill="1" applyFont="1" applyNumberFormat="1">
      <alignment horizontal="right" vertical="bottom"/>
    </xf>
    <xf borderId="2" fillId="36" fontId="8" numFmtId="0" xfId="0" applyAlignment="1" applyBorder="1" applyFill="1" applyFont="1">
      <alignment vertical="bottom"/>
    </xf>
    <xf borderId="2" fillId="36" fontId="8" numFmtId="3" xfId="0" applyAlignment="1" applyBorder="1" applyFill="1" applyFont="1" applyNumberFormat="1">
      <alignment horizontal="right" vertical="bottom"/>
    </xf>
    <xf borderId="2" fillId="36" fontId="23" numFmtId="166" xfId="0" applyAlignment="1" applyBorder="1" applyFill="1" applyFont="1" applyNumberFormat="1">
      <alignment horizontal="center" vertical="bottom"/>
    </xf>
    <xf borderId="2" fillId="0" fontId="8" numFmtId="0" xfId="0" applyAlignment="1" applyBorder="1" applyFont="1">
      <alignment horizontal="right" vertical="bottom"/>
    </xf>
    <xf borderId="0" fillId="36" fontId="8" numFmtId="0" xfId="0" applyAlignment="1" applyFill="1" applyFont="1">
      <alignment vertical="bottom"/>
    </xf>
    <xf borderId="1" fillId="37" fontId="8" numFmtId="1" xfId="0" applyAlignment="1" applyBorder="1" applyFill="1" applyFont="1" applyNumberFormat="1">
      <alignment horizontal="right" vertical="bottom"/>
    </xf>
    <xf borderId="1" fillId="3" fontId="8" numFmtId="1" xfId="0" applyAlignment="1" applyBorder="1" applyFill="1" applyFont="1" applyNumberFormat="1">
      <alignment horizontal="right" vertical="bottom"/>
    </xf>
    <xf borderId="2" fillId="3" fontId="8" numFmtId="0" xfId="0" applyAlignment="1" applyBorder="1" applyFill="1" applyFont="1">
      <alignment vertical="bottom"/>
    </xf>
    <xf borderId="2" fillId="3" fontId="8" numFmtId="3" xfId="0" applyAlignment="1" applyBorder="1" applyFill="1" applyFont="1" applyNumberFormat="1">
      <alignment horizontal="right" vertical="bottom"/>
    </xf>
    <xf borderId="2" fillId="3" fontId="23" numFmtId="166" xfId="0" applyAlignment="1" applyBorder="1" applyFill="1" applyFont="1" applyNumberFormat="1">
      <alignment horizontal="center" vertical="bottom"/>
    </xf>
    <xf borderId="0" fillId="3" fontId="8" numFmtId="0" xfId="0" applyAlignment="1" applyFill="1" applyFont="1">
      <alignment vertical="bottom"/>
    </xf>
    <xf borderId="1" fillId="4" fontId="5" numFmtId="0" xfId="0" applyAlignment="1" applyBorder="1" applyFill="1" applyFont="1">
      <alignment horizontal="right" readingOrder="0" shrinkToFit="0" vertical="bottom" wrapText="0"/>
    </xf>
    <xf borderId="2" fillId="4" fontId="5" numFmtId="0" xfId="0" applyAlignment="1" applyBorder="1" applyFill="1" applyFont="1">
      <alignment horizontal="center" shrinkToFit="0" vertical="bottom" wrapText="0"/>
    </xf>
    <xf borderId="3" fillId="4" fontId="5" numFmtId="0" xfId="0" applyAlignment="1" applyBorder="1" applyFill="1" applyFont="1">
      <alignment readingOrder="0" shrinkToFit="0" vertical="bottom" wrapText="0"/>
    </xf>
    <xf borderId="1" fillId="0" fontId="5" numFmtId="0" xfId="0" applyAlignment="1" applyBorder="1" applyFont="1">
      <alignment horizontal="right" readingOrder="0" shrinkToFit="0" vertical="bottom" wrapText="0"/>
    </xf>
    <xf borderId="2" fillId="0" fontId="5" numFmtId="0" xfId="0" applyAlignment="1" applyBorder="1" applyFont="1">
      <alignment horizontal="center" shrinkToFit="0" vertical="bottom" wrapText="0"/>
    </xf>
    <xf borderId="3" fillId="0" fontId="5" numFmtId="0" xfId="0" applyAlignment="1" applyBorder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ill="1" applyFont="1">
      <alignment readingOrder="0" shrinkToFit="0" wrapText="0"/>
    </xf>
    <xf borderId="3" fillId="4" fontId="5" numFmtId="0" xfId="0" applyAlignment="1" applyBorder="1" applyFill="1" applyFont="1">
      <alignment readingOrder="0" shrinkToFit="0" vertical="bottom" wrapText="0"/>
    </xf>
    <xf borderId="3" fillId="0" fontId="5" numFmtId="0" xfId="0" applyAlignment="1" applyBorder="1" applyFont="1">
      <alignment readingOrder="0" shrinkToFit="0" vertical="bottom" wrapText="0"/>
    </xf>
    <xf borderId="1" fillId="4" fontId="8" numFmtId="1" xfId="0" applyAlignment="1" applyBorder="1" applyFill="1" applyFont="1" applyNumberFormat="1">
      <alignment horizontal="center" vertical="bottom"/>
    </xf>
    <xf borderId="2" fillId="4" fontId="8" numFmtId="0" xfId="0" applyAlignment="1" applyBorder="1" applyFill="1" applyFont="1">
      <alignment horizontal="center" vertical="bottom"/>
    </xf>
    <xf borderId="2" fillId="4" fontId="8" numFmtId="3" xfId="0" applyAlignment="1" applyBorder="1" applyFill="1" applyFont="1" applyNumberFormat="1">
      <alignment horizontal="center" vertical="bottom"/>
    </xf>
    <xf borderId="2" fillId="4" fontId="8" numFmtId="10" xfId="0" applyAlignment="1" applyBorder="1" applyFill="1" applyFont="1" applyNumberFormat="1">
      <alignment horizontal="center" vertical="bottom"/>
    </xf>
    <xf borderId="0" fillId="0" fontId="33" numFmtId="0" xfId="0" applyAlignment="1" applyFont="1">
      <alignment horizontal="center" vertical="bottom"/>
    </xf>
    <xf borderId="3" fillId="4" fontId="8" numFmtId="0" xfId="0" applyAlignment="1" applyBorder="1" applyFill="1" applyFont="1">
      <alignment horizontal="center" vertical="bottom"/>
    </xf>
    <xf borderId="1" fillId="0" fontId="8" numFmtId="1" xfId="0" applyAlignment="1" applyBorder="1" applyFont="1" applyNumberFormat="1">
      <alignment horizontal="center" vertical="bottom"/>
    </xf>
    <xf borderId="2" fillId="0" fontId="8" numFmtId="0" xfId="0" applyAlignment="1" applyBorder="1" applyFont="1">
      <alignment horizontal="center" vertical="bottom"/>
    </xf>
    <xf borderId="2" fillId="0" fontId="8" numFmtId="3" xfId="0" applyAlignment="1" applyBorder="1" applyFont="1" applyNumberFormat="1">
      <alignment horizontal="center" vertical="bottom"/>
    </xf>
    <xf borderId="2" fillId="0" fontId="8" numFmtId="10" xfId="0" applyAlignment="1" applyBorder="1" applyFont="1" applyNumberFormat="1">
      <alignment horizontal="center" vertical="bottom"/>
    </xf>
    <xf borderId="3" fillId="0" fontId="8" numFmtId="0" xfId="0" applyAlignment="1" applyBorder="1" applyFont="1">
      <alignment horizontal="center" vertical="bottom"/>
    </xf>
    <xf borderId="2" fillId="3" fontId="8" numFmtId="0" xfId="0" applyAlignment="1" applyBorder="1" applyFill="1" applyFont="1">
      <alignment horizontal="center" vertical="bottom"/>
    </xf>
    <xf borderId="0" fillId="0" fontId="32" numFmtId="0" xfId="0" applyAlignment="1" applyFont="1">
      <alignment vertical="bottom"/>
    </xf>
    <xf borderId="2" fillId="2" fontId="1" numFmtId="10" xfId="0" applyAlignment="1" applyBorder="1" applyFill="1" applyFont="1" applyNumberFormat="1">
      <alignment horizontal="center" readingOrder="0" vertical="bottom"/>
    </xf>
    <xf borderId="3" fillId="2" fontId="1" numFmtId="0" xfId="0" applyAlignment="1" applyBorder="1" applyFill="1" applyFont="1">
      <alignment horizontal="left" readingOrder="0" shrinkToFit="0" vertical="bottom" wrapText="0"/>
    </xf>
    <xf borderId="0" fillId="4" fontId="5" numFmtId="164" xfId="0" applyAlignment="1" applyFill="1" applyFont="1" applyNumberFormat="1">
      <alignment horizontal="right" readingOrder="0" shrinkToFit="0" vertical="bottom" wrapText="0"/>
    </xf>
    <xf borderId="3" fillId="4" fontId="5" numFmtId="0" xfId="0" applyAlignment="1" applyBorder="1" applyFill="1" applyFont="1">
      <alignment horizontal="lef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3" fillId="0" fontId="5" numFmtId="0" xfId="0" applyAlignment="1" applyBorder="1" applyFont="1">
      <alignment horizontal="left" readingOrder="0" shrinkToFit="0" vertical="bottom" wrapText="0"/>
    </xf>
    <xf borderId="0" fillId="0" fontId="5" numFmtId="164" xfId="0" applyAlignment="1" applyFont="1" applyNumberFormat="1">
      <alignment horizontal="right" readingOrder="0" shrinkToFit="0" vertical="bottom" wrapText="0"/>
    </xf>
    <xf borderId="2" fillId="0" fontId="5" numFmtId="0" xfId="0" applyAlignment="1" applyBorder="1" applyFont="1">
      <alignment horizontal="center" shrinkToFit="0" vertical="bottom" wrapText="0"/>
    </xf>
    <xf borderId="0" fillId="4" fontId="5" numFmtId="0" xfId="0" applyAlignment="1" applyFill="1" applyFont="1">
      <alignment horizontal="right" readingOrder="0" shrinkToFit="0" vertical="bottom" wrapText="0"/>
    </xf>
    <xf borderId="2" fillId="4" fontId="5" numFmtId="0" xfId="0" applyAlignment="1" applyBorder="1" applyFill="1" applyFont="1">
      <alignment horizontal="center" shrinkToFit="0" vertical="bottom" wrapText="0"/>
    </xf>
    <xf borderId="0" fillId="0" fontId="4" numFmtId="10" xfId="0" applyAlignment="1" applyFont="1" applyNumberFormat="1">
      <alignment horizontal="center"/>
    </xf>
    <xf borderId="0" fillId="0" fontId="4" numFmtId="10" xfId="0" applyFont="1" applyNumberFormat="1"/>
    <xf borderId="2" fillId="3" fontId="2" numFmtId="0" xfId="0" applyAlignment="1" applyBorder="1" applyFill="1" applyFont="1">
      <alignment horizontal="center" readingOrder="0" shrinkToFit="0" vertical="bottom" wrapText="0"/>
    </xf>
    <xf borderId="4" fillId="3" fontId="2" numFmtId="0" xfId="0" applyAlignment="1" applyBorder="1" applyFill="1" applyFont="1">
      <alignment horizontal="center" readingOrder="0" shrinkToFit="0" vertical="bottom" wrapText="0"/>
    </xf>
    <xf borderId="2" fillId="2" fontId="1" numFmtId="0" xfId="0" applyAlignment="1" applyBorder="1" applyFill="1" applyFont="1">
      <alignment horizontal="center" readingOrder="0" shrinkToFit="0" vertical="bottom" wrapText="0"/>
    </xf>
    <xf borderId="0" fillId="2" fontId="34" numFmtId="0" xfId="0" applyAlignment="1" applyFill="1" applyFont="1">
      <alignment readingOrder="0" shrinkToFit="0" vertical="bottom" wrapText="0"/>
    </xf>
    <xf borderId="1" fillId="4" fontId="5" numFmtId="0" xfId="0" applyAlignment="1" applyBorder="1" applyFill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2" fillId="38" fontId="5" numFmtId="0" xfId="0" applyAlignment="1" applyBorder="1" applyFill="1" applyFont="1">
      <alignment horizontal="center" shrinkToFit="0" vertical="bottom" wrapText="0"/>
    </xf>
    <xf borderId="2" fillId="18" fontId="5" numFmtId="0" xfId="0" applyAlignment="1" applyBorder="1" applyFill="1" applyFont="1">
      <alignment horizontal="center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0" fillId="0" fontId="35" numFmtId="0" xfId="0" applyAlignment="1" applyFont="1">
      <alignment shrinkToFit="0" vertical="bottom" wrapText="0"/>
    </xf>
    <xf borderId="2" fillId="4" fontId="5" numFmtId="10" xfId="0" applyAlignment="1" applyBorder="1" applyFill="1" applyFont="1" applyNumberFormat="1">
      <alignment readingOrder="0" shrinkToFit="0" vertical="bottom" wrapText="0"/>
    </xf>
    <xf borderId="2" fillId="0" fontId="5" numFmtId="10" xfId="0" applyAlignment="1" applyBorder="1" applyFont="1" applyNumberFormat="1">
      <alignment readingOrder="0" shrinkToFit="0" vertical="bottom" wrapText="0"/>
    </xf>
    <xf borderId="2" fillId="0" fontId="21" numFmtId="0" xfId="0" applyBorder="1" applyFont="1"/>
    <xf borderId="11" fillId="4" fontId="5" numFmtId="0" xfId="0" applyAlignment="1" applyBorder="1" applyFill="1" applyFont="1">
      <alignment horizontal="right" readingOrder="0" shrinkToFit="0" vertical="bottom" wrapText="0"/>
    </xf>
    <xf borderId="4" fillId="4" fontId="5" numFmtId="0" xfId="0" applyAlignment="1" applyBorder="1" applyFill="1" applyFont="1">
      <alignment horizontal="center" readingOrder="0" shrinkToFit="0" vertical="bottom" wrapText="0"/>
    </xf>
    <xf borderId="4" fillId="4" fontId="5" numFmtId="10" xfId="0" applyAlignment="1" applyBorder="1" applyFill="1" applyFont="1" applyNumberFormat="1">
      <alignment horizontal="center" readingOrder="0" shrinkToFit="0" vertical="bottom" wrapText="0"/>
    </xf>
    <xf borderId="4" fillId="4" fontId="5" numFmtId="0" xfId="0" applyAlignment="1" applyBorder="1" applyFill="1" applyFont="1">
      <alignment horizontal="center" shrinkToFit="0" vertical="bottom" wrapText="0"/>
    </xf>
    <xf borderId="6" fillId="4" fontId="5" numFmtId="0" xfId="0" applyAlignment="1" applyBorder="1" applyFill="1" applyFont="1">
      <alignment readingOrder="0" shrinkToFit="0" vertical="bottom" wrapText="0"/>
    </xf>
    <xf borderId="11" fillId="0" fontId="5" numFmtId="0" xfId="0" applyAlignment="1" applyBorder="1" applyFont="1">
      <alignment horizontal="right" readingOrder="0" shrinkToFit="0" vertical="bottom" wrapText="0"/>
    </xf>
    <xf borderId="4" fillId="0" fontId="5" numFmtId="0" xfId="0" applyAlignment="1" applyBorder="1" applyFont="1">
      <alignment horizontal="center" readingOrder="0" shrinkToFit="0" vertical="bottom" wrapText="0"/>
    </xf>
    <xf borderId="4" fillId="0" fontId="5" numFmtId="10" xfId="0" applyAlignment="1" applyBorder="1" applyFont="1" applyNumberFormat="1">
      <alignment horizontal="center" readingOrder="0" shrinkToFit="0" vertical="bottom" wrapText="0"/>
    </xf>
    <xf borderId="4" fillId="0" fontId="5" numFmtId="0" xfId="0" applyAlignment="1" applyBorder="1" applyFont="1">
      <alignment horizontal="center" shrinkToFit="0" vertical="bottom" wrapText="0"/>
    </xf>
    <xf borderId="6" fillId="0" fontId="5" numFmtId="0" xfId="0" applyAlignment="1" applyBorder="1" applyFont="1">
      <alignment readingOrder="0" shrinkToFit="0" vertical="bottom" wrapText="0"/>
    </xf>
    <xf borderId="1" fillId="39" fontId="36" numFmtId="0" xfId="0" applyAlignment="1" applyBorder="1" applyFill="1" applyFont="1">
      <alignment horizontal="right" readingOrder="0" shrinkToFit="0" vertical="bottom" wrapText="0"/>
    </xf>
    <xf quotePrefix="1" borderId="4" fillId="4" fontId="5" numFmtId="0" xfId="0" applyAlignment="1" applyBorder="1" applyFill="1" applyFont="1">
      <alignment horizontal="center" readingOrder="0" shrinkToFit="0" vertical="bottom" wrapText="0"/>
    </xf>
    <xf borderId="11" fillId="10" fontId="5" numFmtId="0" xfId="0" applyAlignment="1" applyBorder="1" applyFill="1" applyFont="1">
      <alignment horizontal="right" readingOrder="0" shrinkToFit="0" vertical="bottom" wrapText="0"/>
    </xf>
    <xf borderId="4" fillId="10" fontId="5" numFmtId="0" xfId="0" applyAlignment="1" applyBorder="1" applyFill="1" applyFont="1">
      <alignment readingOrder="0" shrinkToFit="0" vertical="bottom" wrapText="0"/>
    </xf>
    <xf borderId="4" fillId="10" fontId="5" numFmtId="0" xfId="0" applyAlignment="1" applyBorder="1" applyFill="1" applyFont="1">
      <alignment horizontal="center" readingOrder="0" shrinkToFit="0" vertical="bottom" wrapText="0"/>
    </xf>
    <xf borderId="4" fillId="10" fontId="5" numFmtId="10" xfId="0" applyAlignment="1" applyBorder="1" applyFill="1" applyFont="1" applyNumberFormat="1">
      <alignment horizontal="center" readingOrder="0" shrinkToFit="0" vertical="bottom" wrapText="0"/>
    </xf>
    <xf borderId="4" fillId="10" fontId="37" numFmtId="0" xfId="0" applyAlignment="1" applyBorder="1" applyFill="1" applyFont="1">
      <alignment horizontal="center" readingOrder="0" shrinkToFit="0" vertical="bottom" wrapText="0"/>
    </xf>
    <xf borderId="4" fillId="0" fontId="21" numFmtId="0" xfId="0" applyBorder="1" applyFont="1"/>
    <xf borderId="4" fillId="10" fontId="37" numFmtId="0" xfId="0" applyAlignment="1" applyBorder="1" applyFill="1" applyFont="1">
      <alignment readingOrder="0" shrinkToFit="0" vertical="bottom" wrapText="0"/>
    </xf>
    <xf borderId="6" fillId="10" fontId="5" numFmtId="0" xfId="0" applyAlignment="1" applyBorder="1" applyFill="1" applyFont="1">
      <alignment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10" xfId="0" applyAlignment="1" applyFont="1" applyNumberFormat="1">
      <alignment horizontal="center" readingOrder="0" shrinkToFit="0" vertical="bottom" wrapText="0"/>
    </xf>
    <xf borderId="0" fillId="8" fontId="4" numFmtId="0" xfId="0" applyAlignment="1" applyFill="1" applyFont="1">
      <alignment horizontal="center" readingOrder="0"/>
    </xf>
    <xf borderId="4" fillId="8" fontId="5" numFmtId="0" xfId="0" applyAlignment="1" applyBorder="1" applyFill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8" fontId="5" numFmtId="0" xfId="0" applyAlignment="1" applyFill="1" applyFont="1">
      <alignment horizontal="center" readingOrder="0" shrinkToFit="0" vertical="bottom" wrapText="0"/>
    </xf>
    <xf borderId="2" fillId="8" fontId="5" numFmtId="0" xfId="0" applyAlignment="1" applyBorder="1" applyFill="1" applyFont="1">
      <alignment horizontal="center" readingOrder="0" shrinkToFit="0" vertical="bottom" wrapText="0"/>
    </xf>
    <xf borderId="2" fillId="8" fontId="5" numFmtId="0" xfId="0" applyAlignment="1" applyBorder="1" applyFill="1" applyFont="1">
      <alignment horizontal="center" shrinkToFit="0" vertical="bottom" wrapText="0"/>
    </xf>
    <xf borderId="0" fillId="8" fontId="4" numFmtId="0" xfId="0" applyAlignment="1" applyFill="1" applyFont="1">
      <alignment horizontal="center"/>
    </xf>
    <xf borderId="0" fillId="8" fontId="5" numFmtId="0" xfId="0" applyAlignment="1" applyFill="1" applyFont="1">
      <alignment horizontal="center" shrinkToFit="0" vertical="bottom" wrapText="0"/>
    </xf>
    <xf borderId="0" fillId="0" fontId="4" numFmtId="164" xfId="0" applyAlignment="1" applyFont="1" applyNumberFormat="1">
      <alignment horizontal="center" readingOrder="0"/>
    </xf>
    <xf borderId="6" fillId="0" fontId="5" numFmtId="0" xfId="0" applyAlignment="1" applyBorder="1" applyFont="1">
      <alignment shrinkToFit="0" vertical="bottom" wrapText="0"/>
    </xf>
    <xf borderId="6" fillId="4" fontId="5" numFmtId="0" xfId="0" applyAlignment="1" applyBorder="1" applyFill="1" applyFont="1">
      <alignment shrinkToFit="0" vertical="bottom" wrapText="0"/>
    </xf>
    <xf borderId="0" fillId="0" fontId="5" numFmtId="9" xfId="0" applyAlignment="1" applyFont="1" applyNumberFormat="1">
      <alignment horizontal="right" readingOrder="0" shrinkToFit="0" vertical="bottom" wrapText="0"/>
    </xf>
    <xf borderId="2" fillId="3" fontId="5" numFmtId="10" xfId="0" applyAlignment="1" applyBorder="1" applyFill="1" applyFont="1" applyNumberFormat="1">
      <alignment horizontal="right" readingOrder="0" shrinkToFit="0" vertical="bottom" wrapText="0"/>
    </xf>
    <xf borderId="2" fillId="4" fontId="5" numFmtId="0" xfId="0" applyAlignment="1" applyBorder="1" applyFill="1" applyFont="1">
      <alignment shrinkToFit="0" vertical="bottom" wrapText="0"/>
    </xf>
    <xf borderId="3" fillId="4" fontId="5" numFmtId="0" xfId="0" applyAlignment="1" applyBorder="1" applyFill="1" applyFont="1">
      <alignment shrinkToFit="0" vertical="bottom" wrapText="0"/>
    </xf>
    <xf borderId="3" fillId="0" fontId="5" numFmtId="0" xfId="0" applyAlignment="1" applyBorder="1" applyFont="1">
      <alignment horizontal="right" readingOrder="0" shrinkToFit="0" vertical="bottom" wrapText="0"/>
    </xf>
    <xf borderId="3" fillId="4" fontId="5" numFmtId="0" xfId="0" applyAlignment="1" applyBorder="1" applyFill="1" applyFont="1">
      <alignment horizontal="right" readingOrder="0" shrinkToFit="0" vertical="bottom" wrapText="0"/>
    </xf>
    <xf borderId="3" fillId="0" fontId="5" numFmtId="0" xfId="0" applyAlignment="1" applyBorder="1" applyFont="1">
      <alignment shrinkToFit="0" vertical="bottom" wrapText="0"/>
    </xf>
    <xf borderId="2" fillId="18" fontId="5" numFmtId="0" xfId="0" applyAlignment="1" applyBorder="1" applyFill="1" applyFont="1">
      <alignment readingOrder="0" shrinkToFit="0" vertical="bottom" wrapText="0"/>
    </xf>
    <xf borderId="2" fillId="40" fontId="5" numFmtId="0" xfId="0" applyAlignment="1" applyBorder="1" applyFill="1" applyFont="1">
      <alignment readingOrder="0" shrinkToFit="0" vertical="bottom" wrapText="0"/>
    </xf>
    <xf borderId="0" fillId="0" fontId="5" numFmtId="10" xfId="0" applyAlignment="1" applyFont="1" applyNumberFormat="1">
      <alignment horizontal="right" readingOrder="0" shrinkToFit="0" vertical="bottom" wrapText="0"/>
    </xf>
    <xf borderId="0" fillId="2" fontId="38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p.nexs.lenskart.com/historyPage/CCC161701603" TargetMode="External"/><Relationship Id="rId2" Type="http://schemas.openxmlformats.org/officeDocument/2006/relationships/hyperlink" Target="https://app.nexs.lenskart.com/historyPage/CCC161701774" TargetMode="External"/><Relationship Id="rId3" Type="http://schemas.openxmlformats.org/officeDocument/2006/relationships/hyperlink" Target="https://app.nexs.lenskart.com/historyPage/CCC161701769" TargetMode="External"/><Relationship Id="rId4" Type="http://schemas.openxmlformats.org/officeDocument/2006/relationships/hyperlink" Target="http://136711.fks26199f.org/" TargetMode="External"/><Relationship Id="rId5" Type="http://schemas.openxmlformats.org/officeDocument/2006/relationships/hyperlink" Target="http://209756.lsk26062202-a2.org/" TargetMode="External"/><Relationship Id="rId6" Type="http://schemas.openxmlformats.org/officeDocument/2006/relationships/hyperlink" Target="http://209756.lsk26081401-a9.org/" TargetMode="External"/><Relationship Id="rId7" Type="http://schemas.openxmlformats.org/officeDocument/2006/relationships/hyperlink" Target="http://234793.cin-000001870615.org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5"/>
    <col customWidth="1" min="3" max="3" width="15.13"/>
    <col customWidth="1" min="4" max="4" width="24.5"/>
    <col customWidth="1" min="12" max="12" width="13.5"/>
    <col customWidth="1" min="17" max="17" width="14.88"/>
    <col customWidth="1" min="18" max="18" width="15.13"/>
    <col customWidth="1" min="20" max="20" width="31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7" t="s">
        <v>13</v>
      </c>
      <c r="O1" s="8" t="s">
        <v>14</v>
      </c>
      <c r="P1" s="8" t="s">
        <v>15</v>
      </c>
      <c r="Q1" s="7" t="s">
        <v>16</v>
      </c>
      <c r="R1" s="5" t="s">
        <v>17</v>
      </c>
    </row>
    <row r="2">
      <c r="A2" s="9">
        <v>46195.86753077546</v>
      </c>
      <c r="B2" s="10">
        <v>241187.0</v>
      </c>
      <c r="C2" s="10" t="s">
        <v>18</v>
      </c>
      <c r="D2" s="11" t="str">
        <f>B2&amp;"."&amp;C2</f>
        <v>241187.IN26034K</v>
      </c>
      <c r="E2" s="12" t="s">
        <v>19</v>
      </c>
      <c r="F2" s="13">
        <v>0.013</v>
      </c>
      <c r="G2" s="10" t="s">
        <v>20</v>
      </c>
      <c r="H2" s="10">
        <v>49.8</v>
      </c>
      <c r="I2" s="10">
        <v>38.95</v>
      </c>
      <c r="J2" s="10">
        <v>148.15</v>
      </c>
      <c r="K2" s="10">
        <v>148.37</v>
      </c>
      <c r="L2" s="14" t="s">
        <v>21</v>
      </c>
      <c r="M2" s="10">
        <v>49.96</v>
      </c>
      <c r="N2" s="10">
        <v>39.15</v>
      </c>
      <c r="O2" s="10">
        <v>148.64</v>
      </c>
      <c r="P2" s="10">
        <v>148.25</v>
      </c>
      <c r="Q2" s="10" t="s">
        <v>19</v>
      </c>
      <c r="R2" s="14" t="s">
        <v>22</v>
      </c>
    </row>
    <row r="3">
      <c r="A3" s="15">
        <v>46198.0</v>
      </c>
      <c r="B3" s="10">
        <v>220126.0</v>
      </c>
      <c r="C3" s="10" t="s">
        <v>23</v>
      </c>
      <c r="D3" s="12" t="s">
        <v>24</v>
      </c>
      <c r="E3" s="12" t="s">
        <v>25</v>
      </c>
      <c r="F3" s="13">
        <v>0.0714</v>
      </c>
      <c r="G3" s="10" t="s">
        <v>20</v>
      </c>
      <c r="H3" s="10">
        <v>53.11</v>
      </c>
      <c r="I3" s="10">
        <v>31.73</v>
      </c>
      <c r="J3" s="10">
        <v>146.81</v>
      </c>
      <c r="K3" s="10">
        <v>147.16</v>
      </c>
      <c r="L3" s="16" t="s">
        <v>21</v>
      </c>
      <c r="M3" s="10">
        <v>53.34</v>
      </c>
      <c r="N3" s="10">
        <v>32.2</v>
      </c>
      <c r="O3" s="10">
        <v>147.97</v>
      </c>
      <c r="P3" s="10">
        <v>147.21</v>
      </c>
      <c r="Q3" s="10" t="s">
        <v>25</v>
      </c>
      <c r="R3" s="16" t="s">
        <v>26</v>
      </c>
    </row>
    <row r="4">
      <c r="A4" s="15">
        <v>46198.42403234953</v>
      </c>
      <c r="B4" s="10">
        <v>217022.0</v>
      </c>
      <c r="C4" s="10" t="s">
        <v>27</v>
      </c>
      <c r="D4" s="12" t="s">
        <v>28</v>
      </c>
      <c r="E4" s="12" t="s">
        <v>19</v>
      </c>
      <c r="F4" s="13">
        <v>0.129</v>
      </c>
      <c r="G4" s="10" t="s">
        <v>20</v>
      </c>
      <c r="H4" s="10">
        <v>52.69</v>
      </c>
      <c r="I4" s="10">
        <v>41.36</v>
      </c>
      <c r="J4" s="10">
        <v>160.11</v>
      </c>
      <c r="K4" s="10">
        <v>160.11</v>
      </c>
      <c r="L4" s="14" t="s">
        <v>21</v>
      </c>
      <c r="M4" s="10">
        <v>53.11</v>
      </c>
      <c r="N4" s="10">
        <v>41.63</v>
      </c>
      <c r="O4" s="10">
        <v>160.8</v>
      </c>
      <c r="P4" s="10">
        <v>160.77</v>
      </c>
      <c r="Q4" s="10" t="s">
        <v>19</v>
      </c>
      <c r="R4" s="14" t="s">
        <v>26</v>
      </c>
    </row>
    <row r="5">
      <c r="A5" s="15">
        <v>46198.426004583336</v>
      </c>
      <c r="B5" s="10">
        <v>241210.0</v>
      </c>
      <c r="C5" s="10" t="s">
        <v>29</v>
      </c>
      <c r="D5" s="12" t="s">
        <v>30</v>
      </c>
      <c r="E5" s="12" t="s">
        <v>19</v>
      </c>
      <c r="F5" s="13">
        <v>0.06</v>
      </c>
      <c r="G5" s="10" t="s">
        <v>20</v>
      </c>
      <c r="H5" s="10">
        <v>50.0</v>
      </c>
      <c r="I5" s="10">
        <v>38.96</v>
      </c>
      <c r="J5" s="10">
        <v>148.11</v>
      </c>
      <c r="K5" s="10">
        <v>148.11</v>
      </c>
      <c r="L5" s="16" t="s">
        <v>21</v>
      </c>
      <c r="M5" s="10">
        <v>50.11</v>
      </c>
      <c r="N5" s="10">
        <v>39.28</v>
      </c>
      <c r="O5" s="10">
        <v>148.78</v>
      </c>
      <c r="P5" s="10">
        <v>148.78</v>
      </c>
      <c r="Q5" s="10" t="s">
        <v>19</v>
      </c>
      <c r="R5" s="16" t="s">
        <v>26</v>
      </c>
    </row>
    <row r="6">
      <c r="A6" s="15">
        <v>46199.40246549768</v>
      </c>
      <c r="B6" s="10">
        <v>137935.0</v>
      </c>
      <c r="C6" s="10" t="s">
        <v>31</v>
      </c>
      <c r="D6" s="12" t="s">
        <v>32</v>
      </c>
      <c r="E6" s="12" t="s">
        <v>19</v>
      </c>
      <c r="F6" s="13">
        <v>0.095</v>
      </c>
      <c r="G6" s="10" t="s">
        <v>20</v>
      </c>
      <c r="H6" s="10">
        <v>53.49</v>
      </c>
      <c r="I6" s="10">
        <v>38.5</v>
      </c>
      <c r="J6" s="10">
        <v>148.44</v>
      </c>
      <c r="K6" s="10">
        <v>148.82</v>
      </c>
      <c r="L6" s="14" t="s">
        <v>21</v>
      </c>
      <c r="M6" s="10">
        <v>53.51</v>
      </c>
      <c r="N6" s="10">
        <v>38.98</v>
      </c>
      <c r="O6" s="10">
        <v>149.29</v>
      </c>
      <c r="P6" s="10">
        <v>149.12</v>
      </c>
      <c r="Q6" s="10" t="s">
        <v>19</v>
      </c>
      <c r="R6" s="14" t="s">
        <v>26</v>
      </c>
    </row>
    <row r="7">
      <c r="A7" s="15">
        <v>46199.406037650464</v>
      </c>
      <c r="B7" s="10">
        <v>239839.0</v>
      </c>
      <c r="C7" s="17"/>
      <c r="D7" s="11" t="str">
        <f>B7&amp;"."&amp;C7</f>
        <v>239839.</v>
      </c>
      <c r="E7" s="12" t="s">
        <v>19</v>
      </c>
      <c r="F7" s="13">
        <v>0.109</v>
      </c>
      <c r="G7" s="10" t="s">
        <v>20</v>
      </c>
      <c r="H7" s="10">
        <v>53.82</v>
      </c>
      <c r="I7" s="10">
        <v>36.01</v>
      </c>
      <c r="J7" s="10">
        <v>154.03</v>
      </c>
      <c r="K7" s="10">
        <v>153.97</v>
      </c>
      <c r="L7" s="16" t="s">
        <v>21</v>
      </c>
      <c r="M7" s="10">
        <v>53.6</v>
      </c>
      <c r="N7" s="10">
        <v>36.39</v>
      </c>
      <c r="O7" s="10">
        <v>154.47</v>
      </c>
      <c r="P7" s="10">
        <v>154.28</v>
      </c>
      <c r="Q7" s="10" t="s">
        <v>19</v>
      </c>
      <c r="R7" s="16" t="s">
        <v>26</v>
      </c>
    </row>
    <row r="8">
      <c r="A8" s="15">
        <v>46199.40903925926</v>
      </c>
      <c r="B8" s="10">
        <v>224781.0</v>
      </c>
      <c r="C8" s="10" t="s">
        <v>33</v>
      </c>
      <c r="D8" s="12" t="s">
        <v>34</v>
      </c>
      <c r="E8" s="12" t="s">
        <v>19</v>
      </c>
      <c r="F8" s="18">
        <v>0.5</v>
      </c>
      <c r="G8" s="10" t="s">
        <v>20</v>
      </c>
      <c r="H8" s="10">
        <v>52.68</v>
      </c>
      <c r="I8" s="10">
        <v>42.5</v>
      </c>
      <c r="J8" s="10">
        <v>155.8</v>
      </c>
      <c r="K8" s="10">
        <v>155.8</v>
      </c>
      <c r="L8" s="14" t="s">
        <v>21</v>
      </c>
      <c r="M8" s="10">
        <v>52.62</v>
      </c>
      <c r="N8" s="10">
        <v>42.78</v>
      </c>
      <c r="O8" s="10">
        <v>155.79</v>
      </c>
      <c r="P8" s="10">
        <v>155.29</v>
      </c>
      <c r="Q8" s="10" t="s">
        <v>19</v>
      </c>
      <c r="R8" s="14" t="s">
        <v>26</v>
      </c>
    </row>
    <row r="9" ht="18.0" customHeight="1">
      <c r="A9" s="15">
        <v>46199.45315758102</v>
      </c>
      <c r="B9" s="10">
        <v>149862.0</v>
      </c>
      <c r="C9" s="10" t="s">
        <v>35</v>
      </c>
      <c r="D9" s="12" t="s">
        <v>36</v>
      </c>
      <c r="E9" s="12" t="s">
        <v>19</v>
      </c>
      <c r="F9" s="13">
        <v>0.073</v>
      </c>
      <c r="G9" s="10" t="s">
        <v>20</v>
      </c>
      <c r="H9" s="10">
        <v>46.31</v>
      </c>
      <c r="I9" s="10">
        <v>35.38</v>
      </c>
      <c r="J9" s="10">
        <v>136.0</v>
      </c>
      <c r="K9" s="10">
        <v>136.03</v>
      </c>
      <c r="L9" s="16" t="s">
        <v>21</v>
      </c>
      <c r="M9" s="10">
        <v>46.38</v>
      </c>
      <c r="N9" s="10">
        <v>35.62</v>
      </c>
      <c r="O9" s="10">
        <v>136.61</v>
      </c>
      <c r="P9" s="10">
        <v>136.67</v>
      </c>
      <c r="Q9" s="10" t="s">
        <v>19</v>
      </c>
      <c r="R9" s="16" t="s">
        <v>26</v>
      </c>
    </row>
    <row r="10">
      <c r="A10" s="15">
        <v>46199.45701642361</v>
      </c>
      <c r="B10" s="10">
        <v>204342.0</v>
      </c>
      <c r="C10" s="10" t="s">
        <v>37</v>
      </c>
      <c r="D10" s="12" t="s">
        <v>38</v>
      </c>
      <c r="E10" s="12" t="s">
        <v>19</v>
      </c>
      <c r="F10" s="13">
        <v>0.115</v>
      </c>
      <c r="G10" s="10" t="s">
        <v>20</v>
      </c>
      <c r="H10" s="10">
        <v>46.52</v>
      </c>
      <c r="I10" s="10">
        <v>39.07</v>
      </c>
      <c r="J10" s="10">
        <v>137.64</v>
      </c>
      <c r="K10" s="10">
        <v>137.68</v>
      </c>
      <c r="L10" s="14" t="s">
        <v>21</v>
      </c>
      <c r="M10" s="10">
        <v>46.13</v>
      </c>
      <c r="N10" s="10">
        <v>39.18</v>
      </c>
      <c r="O10" s="10">
        <v>137.06</v>
      </c>
      <c r="P10" s="10">
        <v>137.12</v>
      </c>
      <c r="Q10" s="10" t="s">
        <v>19</v>
      </c>
      <c r="R10" s="14" t="s">
        <v>26</v>
      </c>
    </row>
    <row r="11">
      <c r="A11" s="15">
        <v>46199.46378451389</v>
      </c>
      <c r="B11" s="10">
        <v>242242.0</v>
      </c>
      <c r="C11" s="10" t="s">
        <v>39</v>
      </c>
      <c r="D11" s="12" t="s">
        <v>40</v>
      </c>
      <c r="E11" s="12" t="s">
        <v>19</v>
      </c>
      <c r="F11" s="13">
        <v>0.012</v>
      </c>
      <c r="G11" s="10" t="s">
        <v>20</v>
      </c>
      <c r="H11" s="10">
        <v>53.4</v>
      </c>
      <c r="I11" s="10">
        <v>38.49</v>
      </c>
      <c r="J11" s="10">
        <v>150.42</v>
      </c>
      <c r="K11" s="10">
        <v>150.42</v>
      </c>
      <c r="L11" s="16" t="s">
        <v>21</v>
      </c>
      <c r="M11" s="10">
        <v>53.32</v>
      </c>
      <c r="N11" s="10">
        <v>38.51</v>
      </c>
      <c r="O11" s="10">
        <v>150.86</v>
      </c>
      <c r="P11" s="10">
        <v>150.73</v>
      </c>
      <c r="Q11" s="10" t="s">
        <v>19</v>
      </c>
      <c r="R11" s="16" t="s">
        <v>26</v>
      </c>
    </row>
    <row r="12">
      <c r="A12" s="15">
        <v>46199.46606476852</v>
      </c>
      <c r="B12" s="10">
        <v>211307.0</v>
      </c>
      <c r="C12" s="17"/>
      <c r="D12" s="11" t="str">
        <f>B12&amp;"."&amp;C12</f>
        <v>211307.</v>
      </c>
      <c r="E12" s="12" t="s">
        <v>19</v>
      </c>
      <c r="F12" s="13">
        <v>0.2</v>
      </c>
      <c r="G12" s="10" t="s">
        <v>20</v>
      </c>
      <c r="H12" s="10">
        <v>52.62</v>
      </c>
      <c r="I12" s="10">
        <v>37.76</v>
      </c>
      <c r="J12" s="10">
        <v>145.67</v>
      </c>
      <c r="K12" s="10">
        <v>145.78</v>
      </c>
      <c r="L12" s="14" t="s">
        <v>21</v>
      </c>
      <c r="M12" s="10">
        <v>52.41</v>
      </c>
      <c r="N12" s="10">
        <v>37.61</v>
      </c>
      <c r="O12" s="10">
        <v>145.43</v>
      </c>
      <c r="P12" s="10">
        <v>144.84</v>
      </c>
      <c r="Q12" s="10" t="s">
        <v>19</v>
      </c>
      <c r="R12" s="14" t="s">
        <v>26</v>
      </c>
    </row>
    <row r="13">
      <c r="A13" s="15">
        <v>46199.538599907406</v>
      </c>
      <c r="B13" s="10">
        <v>219829.0</v>
      </c>
      <c r="C13" s="10" t="s">
        <v>41</v>
      </c>
      <c r="D13" s="12" t="s">
        <v>42</v>
      </c>
      <c r="E13" s="12" t="s">
        <v>43</v>
      </c>
      <c r="F13" s="13">
        <v>0.065</v>
      </c>
      <c r="G13" s="10" t="s">
        <v>20</v>
      </c>
      <c r="H13" s="10">
        <v>54.48</v>
      </c>
      <c r="I13" s="10">
        <v>41.95</v>
      </c>
      <c r="J13" s="10">
        <v>161.8</v>
      </c>
      <c r="K13" s="10">
        <v>161.88</v>
      </c>
      <c r="L13" s="16" t="s">
        <v>21</v>
      </c>
      <c r="M13" s="10">
        <v>54.33</v>
      </c>
      <c r="N13" s="10">
        <v>41.86</v>
      </c>
      <c r="O13" s="10">
        <v>161.52</v>
      </c>
      <c r="P13" s="10">
        <v>161.52</v>
      </c>
      <c r="Q13" s="10" t="s">
        <v>43</v>
      </c>
      <c r="R13" s="16" t="s">
        <v>26</v>
      </c>
    </row>
    <row r="14">
      <c r="A14" s="15">
        <v>46202.65619196759</v>
      </c>
      <c r="B14" s="17"/>
      <c r="C14" s="10" t="s">
        <v>44</v>
      </c>
      <c r="D14" s="12" t="s">
        <v>45</v>
      </c>
      <c r="E14" s="12" t="s">
        <v>19</v>
      </c>
      <c r="F14" s="13">
        <v>0.013</v>
      </c>
      <c r="G14" s="10" t="s">
        <v>20</v>
      </c>
      <c r="H14" s="10">
        <v>50.03</v>
      </c>
      <c r="I14" s="10">
        <v>38.96</v>
      </c>
      <c r="J14" s="10">
        <v>148.3</v>
      </c>
      <c r="K14" s="10">
        <v>148.24</v>
      </c>
      <c r="L14" s="14" t="s">
        <v>21</v>
      </c>
      <c r="M14" s="10">
        <v>50.05</v>
      </c>
      <c r="N14" s="10">
        <v>39.18</v>
      </c>
      <c r="O14" s="10">
        <v>148.59</v>
      </c>
      <c r="P14" s="10">
        <v>148.42</v>
      </c>
      <c r="Q14" s="10" t="s">
        <v>19</v>
      </c>
      <c r="R14" s="14" t="s">
        <v>22</v>
      </c>
    </row>
    <row r="15">
      <c r="A15" s="15">
        <v>46203.64164162037</v>
      </c>
      <c r="B15" s="17"/>
      <c r="C15" s="17"/>
      <c r="D15" s="12" t="s">
        <v>46</v>
      </c>
      <c r="E15" s="12" t="s">
        <v>19</v>
      </c>
      <c r="F15" s="17"/>
      <c r="G15" s="10" t="s">
        <v>47</v>
      </c>
      <c r="H15" s="10">
        <v>56.15</v>
      </c>
      <c r="I15" s="10">
        <v>45.43</v>
      </c>
      <c r="J15" s="10">
        <v>169.6</v>
      </c>
      <c r="K15" s="10">
        <v>169.6</v>
      </c>
      <c r="L15" s="16" t="s">
        <v>21</v>
      </c>
      <c r="M15" s="10">
        <v>56.59</v>
      </c>
      <c r="N15" s="10">
        <v>45.5</v>
      </c>
      <c r="O15" s="10">
        <v>170.54</v>
      </c>
      <c r="P15" s="10">
        <v>170.54</v>
      </c>
      <c r="Q15" s="10" t="s">
        <v>19</v>
      </c>
      <c r="R15" s="16" t="s">
        <v>22</v>
      </c>
    </row>
    <row r="16">
      <c r="A16" s="15">
        <v>46203.72360075232</v>
      </c>
      <c r="B16" s="17"/>
      <c r="C16" s="10">
        <v>0.0</v>
      </c>
      <c r="D16" s="12" t="s">
        <v>48</v>
      </c>
      <c r="E16" s="12" t="s">
        <v>19</v>
      </c>
      <c r="F16" s="17"/>
      <c r="G16" s="10" t="s">
        <v>47</v>
      </c>
      <c r="H16" s="10">
        <v>55.94</v>
      </c>
      <c r="I16" s="10">
        <v>45.62</v>
      </c>
      <c r="J16" s="10">
        <v>169.42</v>
      </c>
      <c r="K16" s="10">
        <v>169.42</v>
      </c>
      <c r="L16" s="14" t="s">
        <v>21</v>
      </c>
      <c r="M16" s="10">
        <v>56.29</v>
      </c>
      <c r="N16" s="10">
        <v>45.89</v>
      </c>
      <c r="O16" s="10">
        <v>170.56</v>
      </c>
      <c r="P16" s="10">
        <v>170.56</v>
      </c>
      <c r="Q16" s="10" t="s">
        <v>19</v>
      </c>
      <c r="R16" s="14" t="s">
        <v>22</v>
      </c>
    </row>
    <row r="17">
      <c r="A17" s="15">
        <v>46207.2913975463</v>
      </c>
      <c r="B17" s="10"/>
      <c r="C17" s="17"/>
      <c r="D17" s="12" t="s">
        <v>49</v>
      </c>
      <c r="E17" s="12" t="s">
        <v>19</v>
      </c>
      <c r="F17" s="17"/>
      <c r="G17" s="10" t="s">
        <v>20</v>
      </c>
      <c r="H17" s="10">
        <v>49.3</v>
      </c>
      <c r="I17" s="10">
        <v>43.97</v>
      </c>
      <c r="J17" s="10">
        <v>152.0</v>
      </c>
      <c r="K17" s="10">
        <v>147.27</v>
      </c>
      <c r="L17" s="10" t="s">
        <v>21</v>
      </c>
      <c r="M17" s="10">
        <v>49.29</v>
      </c>
      <c r="N17" s="10">
        <v>43.7</v>
      </c>
      <c r="O17" s="10">
        <v>151.98</v>
      </c>
      <c r="P17" s="10">
        <v>151.99</v>
      </c>
      <c r="Q17" s="10" t="s">
        <v>19</v>
      </c>
      <c r="R17" s="10" t="s">
        <v>22</v>
      </c>
      <c r="S17" s="19"/>
    </row>
    <row r="18">
      <c r="A18" s="15">
        <v>46207.43227240741</v>
      </c>
      <c r="B18" s="17"/>
      <c r="C18" s="17"/>
      <c r="D18" s="12" t="s">
        <v>50</v>
      </c>
      <c r="E18" s="12" t="s">
        <v>19</v>
      </c>
      <c r="F18" s="17"/>
      <c r="G18" s="10" t="s">
        <v>20</v>
      </c>
      <c r="H18" s="10">
        <v>49.84</v>
      </c>
      <c r="I18" s="10">
        <v>39.2</v>
      </c>
      <c r="J18" s="10">
        <v>148.23</v>
      </c>
      <c r="K18" s="10">
        <v>148.22</v>
      </c>
      <c r="L18" s="10" t="s">
        <v>21</v>
      </c>
      <c r="M18" s="10">
        <v>50.09</v>
      </c>
      <c r="N18" s="10">
        <v>39.41</v>
      </c>
      <c r="O18" s="10">
        <v>148.98</v>
      </c>
      <c r="P18" s="10">
        <v>148.68</v>
      </c>
      <c r="Q18" s="10" t="s">
        <v>19</v>
      </c>
      <c r="R18" s="10" t="s">
        <v>22</v>
      </c>
    </row>
    <row r="19">
      <c r="A19" s="15">
        <v>46210.77441856482</v>
      </c>
      <c r="B19" s="17"/>
      <c r="C19" s="17"/>
      <c r="D19" s="12" t="s">
        <v>51</v>
      </c>
      <c r="E19" s="12" t="s">
        <v>19</v>
      </c>
      <c r="F19" s="17"/>
      <c r="G19" s="10" t="s">
        <v>20</v>
      </c>
      <c r="H19" s="10">
        <v>50.84</v>
      </c>
      <c r="I19" s="10">
        <v>42.86</v>
      </c>
      <c r="J19" s="10">
        <v>153.97</v>
      </c>
      <c r="K19" s="10">
        <v>153.66</v>
      </c>
      <c r="L19" s="10" t="s">
        <v>21</v>
      </c>
      <c r="M19" s="10">
        <v>51.5</v>
      </c>
      <c r="N19" s="10">
        <v>42.81</v>
      </c>
      <c r="O19" s="10">
        <v>155.12</v>
      </c>
      <c r="P19" s="10">
        <v>154.28</v>
      </c>
      <c r="Q19" s="10" t="s">
        <v>19</v>
      </c>
      <c r="R19" s="10" t="s">
        <v>22</v>
      </c>
    </row>
    <row r="20">
      <c r="A20" s="15">
        <v>46210.775745810184</v>
      </c>
      <c r="B20" s="17"/>
      <c r="C20" s="17"/>
      <c r="D20" s="12" t="s">
        <v>52</v>
      </c>
      <c r="E20" s="12" t="s">
        <v>19</v>
      </c>
      <c r="F20" s="17"/>
      <c r="G20" s="10" t="s">
        <v>20</v>
      </c>
      <c r="H20" s="10">
        <v>50.58</v>
      </c>
      <c r="I20" s="10">
        <v>42.87</v>
      </c>
      <c r="J20" s="10">
        <v>152.23</v>
      </c>
      <c r="K20" s="10">
        <v>152.27</v>
      </c>
      <c r="L20" s="10" t="s">
        <v>21</v>
      </c>
      <c r="M20" s="10">
        <v>49.7</v>
      </c>
      <c r="N20" s="10">
        <v>42.49</v>
      </c>
      <c r="O20" s="10">
        <v>150.4</v>
      </c>
      <c r="P20" s="10">
        <v>150.33</v>
      </c>
      <c r="Q20" s="10" t="s">
        <v>19</v>
      </c>
      <c r="R20" s="10" t="s">
        <v>22</v>
      </c>
    </row>
    <row r="21">
      <c r="A21" s="20">
        <v>46241.0</v>
      </c>
      <c r="B21" s="17"/>
      <c r="C21" s="17"/>
      <c r="D21" s="12" t="s">
        <v>53</v>
      </c>
      <c r="E21" s="12" t="s">
        <v>19</v>
      </c>
      <c r="F21" s="17"/>
      <c r="G21" s="10" t="s">
        <v>20</v>
      </c>
      <c r="H21" s="10">
        <v>47.1</v>
      </c>
      <c r="I21" s="10">
        <v>41.49</v>
      </c>
      <c r="J21" s="10">
        <v>144.13</v>
      </c>
      <c r="K21" s="10">
        <v>144.13</v>
      </c>
      <c r="L21" s="10" t="s">
        <v>21</v>
      </c>
      <c r="M21" s="10">
        <v>48.69</v>
      </c>
      <c r="N21" s="10">
        <v>42.23</v>
      </c>
      <c r="O21" s="10">
        <v>147.41</v>
      </c>
      <c r="P21" s="10">
        <v>146.47</v>
      </c>
      <c r="Q21" s="10" t="s">
        <v>19</v>
      </c>
      <c r="R21" s="10" t="s">
        <v>54</v>
      </c>
    </row>
    <row r="22">
      <c r="A22" s="15">
        <v>46212.78063395833</v>
      </c>
      <c r="B22" s="17"/>
      <c r="C22" s="17"/>
      <c r="D22" s="12">
        <v>241132.0</v>
      </c>
      <c r="E22" s="12" t="s">
        <v>19</v>
      </c>
      <c r="F22" s="17"/>
      <c r="G22" s="10" t="s">
        <v>20</v>
      </c>
      <c r="H22" s="10">
        <v>55.88</v>
      </c>
      <c r="I22" s="10">
        <v>46.66</v>
      </c>
      <c r="J22" s="10">
        <v>169.75</v>
      </c>
      <c r="K22" s="10">
        <v>169.62</v>
      </c>
      <c r="L22" s="10" t="s">
        <v>21</v>
      </c>
      <c r="M22" s="10">
        <v>56.44</v>
      </c>
      <c r="N22" s="10">
        <v>46.8</v>
      </c>
      <c r="O22" s="10">
        <v>171.27</v>
      </c>
      <c r="P22" s="10">
        <v>170.83</v>
      </c>
      <c r="Q22" s="10" t="s">
        <v>19</v>
      </c>
      <c r="R22" s="10" t="s">
        <v>22</v>
      </c>
    </row>
    <row r="23">
      <c r="A23" s="15">
        <v>46214.76857300926</v>
      </c>
      <c r="B23" s="17"/>
      <c r="C23" s="17"/>
      <c r="D23" s="12" t="s">
        <v>55</v>
      </c>
      <c r="E23" s="12" t="s">
        <v>19</v>
      </c>
      <c r="F23" s="17"/>
      <c r="G23" s="10" t="s">
        <v>20</v>
      </c>
      <c r="H23" s="10">
        <v>50.61</v>
      </c>
      <c r="I23" s="10">
        <v>42.89</v>
      </c>
      <c r="J23" s="10">
        <v>153.59</v>
      </c>
      <c r="K23" s="10">
        <v>153.93</v>
      </c>
      <c r="L23" s="10" t="s">
        <v>21</v>
      </c>
      <c r="M23" s="10">
        <v>50.78</v>
      </c>
      <c r="N23" s="10">
        <v>43.07</v>
      </c>
      <c r="O23" s="10">
        <v>153.87</v>
      </c>
      <c r="P23" s="10">
        <v>153.75</v>
      </c>
      <c r="Q23" s="10" t="s">
        <v>19</v>
      </c>
      <c r="R23" s="10" t="s">
        <v>22</v>
      </c>
    </row>
    <row r="24">
      <c r="A24" s="15">
        <v>46214.77002627315</v>
      </c>
      <c r="B24" s="17"/>
      <c r="C24" s="17"/>
      <c r="D24" s="12" t="s">
        <v>56</v>
      </c>
      <c r="E24" s="12" t="s">
        <v>19</v>
      </c>
      <c r="F24" s="17"/>
      <c r="G24" s="10" t="s">
        <v>20</v>
      </c>
      <c r="H24" s="10">
        <v>44.26</v>
      </c>
      <c r="I24" s="10">
        <v>36.87</v>
      </c>
      <c r="J24" s="10">
        <v>131.02</v>
      </c>
      <c r="K24" s="10">
        <v>130.39</v>
      </c>
      <c r="L24" s="10" t="s">
        <v>21</v>
      </c>
      <c r="M24" s="10">
        <v>44.4</v>
      </c>
      <c r="N24" s="10">
        <v>37.1</v>
      </c>
      <c r="O24" s="10">
        <v>131.52</v>
      </c>
      <c r="P24" s="10">
        <v>131.57</v>
      </c>
      <c r="Q24" s="10" t="s">
        <v>19</v>
      </c>
      <c r="R24" s="10" t="s">
        <v>22</v>
      </c>
    </row>
    <row r="25">
      <c r="A25" s="15">
        <v>46214.787554525465</v>
      </c>
      <c r="B25" s="17"/>
      <c r="C25" s="17"/>
      <c r="D25" s="12">
        <v>234796.0</v>
      </c>
      <c r="E25" s="12" t="s">
        <v>43</v>
      </c>
      <c r="F25" s="17"/>
      <c r="G25" s="10" t="s">
        <v>20</v>
      </c>
      <c r="H25" s="10">
        <v>50.22</v>
      </c>
      <c r="I25" s="10">
        <v>46.92</v>
      </c>
      <c r="J25" s="10">
        <v>158.2</v>
      </c>
      <c r="K25" s="10">
        <v>158.2</v>
      </c>
      <c r="L25" s="10" t="s">
        <v>21</v>
      </c>
      <c r="M25" s="10">
        <v>49.12</v>
      </c>
      <c r="N25" s="10">
        <v>43.7</v>
      </c>
      <c r="O25" s="10">
        <v>151.74</v>
      </c>
      <c r="P25" s="10">
        <v>151.86</v>
      </c>
      <c r="Q25" s="10" t="s">
        <v>43</v>
      </c>
      <c r="R25" s="10" t="s">
        <v>22</v>
      </c>
    </row>
    <row r="26">
      <c r="A26" s="15">
        <v>46214.91128680555</v>
      </c>
      <c r="B26" s="17"/>
      <c r="C26" s="17"/>
      <c r="D26" s="12" t="s">
        <v>57</v>
      </c>
      <c r="E26" s="12" t="s">
        <v>43</v>
      </c>
      <c r="F26" s="17"/>
      <c r="G26" s="10" t="s">
        <v>20</v>
      </c>
      <c r="H26" s="10">
        <v>53.5</v>
      </c>
      <c r="I26" s="10">
        <v>41.89</v>
      </c>
      <c r="J26" s="10">
        <v>157.19</v>
      </c>
      <c r="K26" s="10">
        <v>156.95</v>
      </c>
      <c r="L26" s="10" t="s">
        <v>21</v>
      </c>
      <c r="M26" s="10">
        <v>53.29</v>
      </c>
      <c r="N26" s="10">
        <v>41.5</v>
      </c>
      <c r="O26" s="10">
        <v>156.17</v>
      </c>
      <c r="P26" s="10">
        <v>155.84</v>
      </c>
      <c r="Q26" s="10" t="s">
        <v>43</v>
      </c>
      <c r="R26" s="10" t="s">
        <v>22</v>
      </c>
    </row>
    <row r="27">
      <c r="A27" s="15">
        <v>46214.927434756944</v>
      </c>
      <c r="B27" s="17"/>
      <c r="C27" s="17"/>
      <c r="D27" s="12">
        <v>220376.0</v>
      </c>
      <c r="E27" s="12" t="s">
        <v>25</v>
      </c>
      <c r="F27" s="17"/>
      <c r="G27" s="10" t="s">
        <v>20</v>
      </c>
      <c r="H27" s="10">
        <v>54.93</v>
      </c>
      <c r="I27" s="10">
        <v>49.26</v>
      </c>
      <c r="J27" s="10">
        <v>169.96</v>
      </c>
      <c r="K27" s="10">
        <v>170.19</v>
      </c>
      <c r="L27" s="10" t="s">
        <v>21</v>
      </c>
      <c r="M27" s="10">
        <v>54.93</v>
      </c>
      <c r="N27" s="10">
        <v>49.26</v>
      </c>
      <c r="O27" s="10">
        <v>169.96</v>
      </c>
      <c r="P27" s="10">
        <v>170.19</v>
      </c>
      <c r="Q27" s="10" t="s">
        <v>25</v>
      </c>
      <c r="R27" s="10" t="s">
        <v>22</v>
      </c>
    </row>
    <row r="28">
      <c r="A28" s="21" t="s">
        <v>58</v>
      </c>
      <c r="B28" s="17"/>
      <c r="C28" s="17"/>
      <c r="D28" s="12" t="s">
        <v>59</v>
      </c>
      <c r="E28" s="12" t="s">
        <v>43</v>
      </c>
      <c r="F28" s="17"/>
      <c r="G28" s="10" t="s">
        <v>20</v>
      </c>
      <c r="H28" s="10">
        <v>50.15</v>
      </c>
      <c r="I28" s="10">
        <v>46.93</v>
      </c>
      <c r="J28" s="10">
        <v>158.2</v>
      </c>
      <c r="K28" s="10">
        <v>158.14</v>
      </c>
      <c r="L28" s="10" t="s">
        <v>21</v>
      </c>
      <c r="M28" s="10">
        <v>48.79</v>
      </c>
      <c r="N28" s="10">
        <v>43.6</v>
      </c>
      <c r="O28" s="10">
        <v>151.49</v>
      </c>
      <c r="P28" s="10">
        <v>151.49</v>
      </c>
      <c r="Q28" s="10" t="s">
        <v>43</v>
      </c>
      <c r="R28" s="10" t="s">
        <v>54</v>
      </c>
    </row>
    <row r="29">
      <c r="A29" s="15">
        <v>46217.7543496875</v>
      </c>
      <c r="B29" s="17"/>
      <c r="C29" s="17"/>
      <c r="D29" s="12">
        <v>207671.0</v>
      </c>
      <c r="E29" s="12" t="s">
        <v>43</v>
      </c>
      <c r="F29" s="17"/>
      <c r="G29" s="10" t="s">
        <v>20</v>
      </c>
      <c r="H29" s="10">
        <v>52.13</v>
      </c>
      <c r="I29" s="10">
        <v>42.76</v>
      </c>
      <c r="J29" s="10">
        <v>155.98</v>
      </c>
      <c r="K29" s="10">
        <v>153.59</v>
      </c>
      <c r="L29" s="10" t="s">
        <v>21</v>
      </c>
      <c r="M29" s="10">
        <v>50.81</v>
      </c>
      <c r="N29" s="10">
        <v>42.89</v>
      </c>
      <c r="O29" s="10">
        <v>153.64</v>
      </c>
      <c r="P29" s="10">
        <v>153.75</v>
      </c>
      <c r="Q29" s="10" t="s">
        <v>43</v>
      </c>
      <c r="R29" s="10" t="s">
        <v>54</v>
      </c>
    </row>
    <row r="30">
      <c r="A30" s="15">
        <v>46217.868927303236</v>
      </c>
      <c r="B30" s="17"/>
      <c r="C30" s="17"/>
      <c r="D30" s="12" t="s">
        <v>60</v>
      </c>
      <c r="E30" s="12" t="s">
        <v>25</v>
      </c>
      <c r="F30" s="17"/>
      <c r="G30" s="10" t="s">
        <v>20</v>
      </c>
      <c r="H30" s="10">
        <v>52.73</v>
      </c>
      <c r="I30" s="10">
        <v>36.4</v>
      </c>
      <c r="J30" s="10">
        <v>151.68</v>
      </c>
      <c r="K30" s="10">
        <v>151.52</v>
      </c>
      <c r="L30" s="10" t="s">
        <v>21</v>
      </c>
      <c r="M30" s="10">
        <v>52.73</v>
      </c>
      <c r="N30" s="10">
        <v>36.42</v>
      </c>
      <c r="O30" s="10">
        <v>151.74</v>
      </c>
      <c r="P30" s="10">
        <v>151.74</v>
      </c>
      <c r="Q30" s="10" t="s">
        <v>25</v>
      </c>
      <c r="R30" s="10" t="s">
        <v>22</v>
      </c>
    </row>
    <row r="31">
      <c r="A31" s="15">
        <v>46217.87176731481</v>
      </c>
      <c r="B31" s="17"/>
      <c r="C31" s="17"/>
      <c r="D31" s="12" t="s">
        <v>61</v>
      </c>
      <c r="E31" s="12" t="s">
        <v>25</v>
      </c>
      <c r="F31" s="17"/>
      <c r="G31" s="10" t="s">
        <v>20</v>
      </c>
      <c r="H31" s="10">
        <v>50.78</v>
      </c>
      <c r="I31" s="10">
        <v>34.55</v>
      </c>
      <c r="J31" s="10">
        <v>146.94</v>
      </c>
      <c r="K31" s="10">
        <v>146.97</v>
      </c>
      <c r="L31" s="10" t="s">
        <v>21</v>
      </c>
      <c r="M31" s="10">
        <v>50.66</v>
      </c>
      <c r="N31" s="10">
        <v>34.74</v>
      </c>
      <c r="O31" s="10">
        <v>146.27</v>
      </c>
      <c r="P31" s="10">
        <v>146.27</v>
      </c>
      <c r="Q31" s="10" t="s">
        <v>25</v>
      </c>
      <c r="R31" s="10" t="s">
        <v>22</v>
      </c>
    </row>
    <row r="32">
      <c r="A32" s="15">
        <v>46218.65771675926</v>
      </c>
      <c r="B32" s="17"/>
      <c r="C32" s="17"/>
      <c r="D32" s="12" t="s">
        <v>62</v>
      </c>
      <c r="E32" s="12" t="s">
        <v>25</v>
      </c>
      <c r="F32" s="17"/>
      <c r="G32" s="10" t="s">
        <v>20</v>
      </c>
      <c r="H32" s="10">
        <v>53.99</v>
      </c>
      <c r="I32" s="10">
        <v>41.37</v>
      </c>
      <c r="J32" s="10">
        <v>154.02</v>
      </c>
      <c r="K32" s="10">
        <v>154.59</v>
      </c>
      <c r="L32" s="10" t="s">
        <v>21</v>
      </c>
      <c r="M32" s="10">
        <v>54.06</v>
      </c>
      <c r="N32" s="10">
        <v>40.97</v>
      </c>
      <c r="O32" s="10">
        <v>153.47</v>
      </c>
      <c r="P32" s="10">
        <v>154.32</v>
      </c>
      <c r="Q32" s="10" t="s">
        <v>25</v>
      </c>
      <c r="R32" s="10" t="s">
        <v>54</v>
      </c>
    </row>
    <row r="33">
      <c r="A33" s="15">
        <v>46218.67250887732</v>
      </c>
      <c r="B33" s="17"/>
      <c r="C33" s="17"/>
      <c r="D33" s="12" t="s">
        <v>63</v>
      </c>
      <c r="E33" s="12" t="s">
        <v>43</v>
      </c>
      <c r="F33" s="17"/>
      <c r="G33" s="10" t="s">
        <v>20</v>
      </c>
      <c r="H33" s="10">
        <v>53.4</v>
      </c>
      <c r="I33" s="10">
        <v>43.26</v>
      </c>
      <c r="J33" s="10">
        <v>159.7</v>
      </c>
      <c r="K33" s="10">
        <v>159.7</v>
      </c>
      <c r="L33" s="10" t="s">
        <v>21</v>
      </c>
      <c r="M33" s="10">
        <v>53.42</v>
      </c>
      <c r="N33" s="10">
        <v>42.82</v>
      </c>
      <c r="O33" s="10">
        <v>158.75</v>
      </c>
      <c r="P33" s="10">
        <v>158.56</v>
      </c>
      <c r="Q33" s="10" t="s">
        <v>43</v>
      </c>
      <c r="R33" s="10" t="s">
        <v>54</v>
      </c>
    </row>
    <row r="34">
      <c r="A34" s="15">
        <v>46218.735665775464</v>
      </c>
      <c r="B34" s="17"/>
      <c r="C34" s="17"/>
      <c r="D34" s="12" t="s">
        <v>64</v>
      </c>
      <c r="E34" s="12" t="s">
        <v>43</v>
      </c>
      <c r="F34" s="17"/>
      <c r="G34" s="10" t="s">
        <v>20</v>
      </c>
      <c r="H34" s="10">
        <v>52.91</v>
      </c>
      <c r="I34" s="10">
        <v>42.04</v>
      </c>
      <c r="J34" s="10">
        <v>157.86</v>
      </c>
      <c r="K34" s="10">
        <v>157.99</v>
      </c>
      <c r="L34" s="10" t="s">
        <v>21</v>
      </c>
      <c r="M34" s="10">
        <v>52.8</v>
      </c>
      <c r="N34" s="10">
        <v>41.67</v>
      </c>
      <c r="O34" s="10">
        <v>157.19</v>
      </c>
      <c r="P34" s="10">
        <v>156.91</v>
      </c>
      <c r="Q34" s="10" t="s">
        <v>43</v>
      </c>
      <c r="R34" s="10" t="s">
        <v>54</v>
      </c>
    </row>
    <row r="35">
      <c r="A35" s="15">
        <v>46218.73902650463</v>
      </c>
      <c r="B35" s="17"/>
      <c r="C35" s="17"/>
      <c r="D35" s="12" t="s">
        <v>65</v>
      </c>
      <c r="E35" s="12" t="s">
        <v>19</v>
      </c>
      <c r="F35" s="17"/>
      <c r="G35" s="10" t="s">
        <v>20</v>
      </c>
      <c r="H35" s="10">
        <v>49.13</v>
      </c>
      <c r="I35" s="10">
        <v>43.95</v>
      </c>
      <c r="J35" s="10">
        <v>152.57</v>
      </c>
      <c r="K35" s="10">
        <v>152.03</v>
      </c>
      <c r="L35" s="10" t="s">
        <v>21</v>
      </c>
      <c r="M35" s="10">
        <v>50.46</v>
      </c>
      <c r="N35" s="10">
        <v>46.51</v>
      </c>
      <c r="O35" s="10">
        <v>157.78</v>
      </c>
      <c r="P35" s="10">
        <v>157.82</v>
      </c>
      <c r="Q35" s="10" t="s">
        <v>19</v>
      </c>
      <c r="R35" s="10" t="s">
        <v>54</v>
      </c>
    </row>
    <row r="36">
      <c r="A36" s="15">
        <v>46218.90215540509</v>
      </c>
      <c r="B36" s="17"/>
      <c r="C36" s="17"/>
      <c r="D36" s="12" t="s">
        <v>66</v>
      </c>
      <c r="E36" s="12" t="s">
        <v>19</v>
      </c>
      <c r="F36" s="17"/>
      <c r="G36" s="10" t="s">
        <v>20</v>
      </c>
      <c r="H36" s="10">
        <v>47.2</v>
      </c>
      <c r="I36" s="10">
        <v>40.78</v>
      </c>
      <c r="J36" s="10">
        <v>142.81</v>
      </c>
      <c r="K36" s="10">
        <v>142.81</v>
      </c>
      <c r="L36" s="10" t="s">
        <v>21</v>
      </c>
      <c r="M36" s="10">
        <v>47.77</v>
      </c>
      <c r="N36" s="10">
        <v>40.82</v>
      </c>
      <c r="O36" s="10">
        <v>143.57</v>
      </c>
      <c r="P36" s="10">
        <v>143.96</v>
      </c>
      <c r="Q36" s="10" t="s">
        <v>19</v>
      </c>
      <c r="R36" s="10" t="s">
        <v>54</v>
      </c>
    </row>
    <row r="37">
      <c r="A37" s="15">
        <v>46221.19048657407</v>
      </c>
      <c r="B37" s="17"/>
      <c r="C37" s="17"/>
      <c r="D37" s="12">
        <v>207671.0</v>
      </c>
      <c r="E37" s="12" t="s">
        <v>19</v>
      </c>
      <c r="F37" s="17"/>
      <c r="G37" s="10" t="s">
        <v>20</v>
      </c>
      <c r="H37" s="10">
        <v>50.81</v>
      </c>
      <c r="I37" s="10">
        <v>42.89</v>
      </c>
      <c r="J37" s="10">
        <v>153.64</v>
      </c>
      <c r="K37" s="10">
        <v>153.75</v>
      </c>
      <c r="L37" s="10" t="s">
        <v>21</v>
      </c>
      <c r="M37" s="10">
        <v>51.55</v>
      </c>
      <c r="N37" s="10">
        <v>43.66</v>
      </c>
      <c r="O37" s="10">
        <v>156.05</v>
      </c>
      <c r="P37" s="10">
        <v>156.0</v>
      </c>
      <c r="Q37" s="10" t="s">
        <v>19</v>
      </c>
      <c r="R37" s="10" t="s">
        <v>67</v>
      </c>
    </row>
    <row r="38">
      <c r="A38" s="15">
        <v>46221.74948788194</v>
      </c>
      <c r="B38" s="17"/>
      <c r="C38" s="17"/>
      <c r="D38" s="12" t="s">
        <v>68</v>
      </c>
      <c r="E38" s="12" t="s">
        <v>19</v>
      </c>
      <c r="F38" s="17"/>
      <c r="G38" s="10" t="s">
        <v>20</v>
      </c>
      <c r="H38" s="10">
        <v>53.08</v>
      </c>
      <c r="I38" s="10">
        <v>43.67</v>
      </c>
      <c r="J38" s="10">
        <v>161.39</v>
      </c>
      <c r="K38" s="10">
        <v>161.08</v>
      </c>
      <c r="L38" s="10" t="s">
        <v>21</v>
      </c>
      <c r="M38" s="10">
        <v>52.79</v>
      </c>
      <c r="N38" s="10">
        <v>43.89</v>
      </c>
      <c r="O38" s="10">
        <v>161.32</v>
      </c>
      <c r="P38" s="10">
        <v>161.02</v>
      </c>
      <c r="Q38" s="10" t="s">
        <v>19</v>
      </c>
      <c r="R38" s="10" t="s">
        <v>22</v>
      </c>
    </row>
    <row r="39">
      <c r="A39" s="15"/>
      <c r="B39" s="17"/>
      <c r="C39" s="17"/>
      <c r="D39" s="12" t="s">
        <v>59</v>
      </c>
      <c r="E39" s="12" t="s">
        <v>19</v>
      </c>
      <c r="F39" s="17"/>
      <c r="G39" s="10" t="s">
        <v>20</v>
      </c>
      <c r="H39" s="10">
        <v>48.79</v>
      </c>
      <c r="I39" s="10">
        <v>43.6</v>
      </c>
      <c r="J39" s="10">
        <v>151.49</v>
      </c>
      <c r="K39" s="10">
        <v>151.49</v>
      </c>
      <c r="L39" s="10" t="s">
        <v>21</v>
      </c>
      <c r="M39" s="10">
        <v>49.81</v>
      </c>
      <c r="N39" s="10">
        <v>47.29</v>
      </c>
      <c r="O39" s="10">
        <v>158.13</v>
      </c>
      <c r="P39" s="10">
        <v>158.24</v>
      </c>
      <c r="Q39" s="10" t="s">
        <v>19</v>
      </c>
      <c r="R39" s="10" t="s">
        <v>22</v>
      </c>
    </row>
    <row r="40">
      <c r="A40" s="15">
        <v>46221.75922219908</v>
      </c>
      <c r="B40" s="17"/>
      <c r="C40" s="17"/>
      <c r="D40" s="12" t="s">
        <v>69</v>
      </c>
      <c r="E40" s="12" t="s">
        <v>43</v>
      </c>
      <c r="F40" s="17"/>
      <c r="G40" s="10" t="s">
        <v>20</v>
      </c>
      <c r="H40" s="10">
        <v>53.58</v>
      </c>
      <c r="I40" s="10">
        <v>43.19</v>
      </c>
      <c r="J40" s="10">
        <v>160.9</v>
      </c>
      <c r="K40" s="10">
        <v>161.02</v>
      </c>
      <c r="L40" s="10" t="s">
        <v>21</v>
      </c>
      <c r="M40" s="10">
        <v>53.3</v>
      </c>
      <c r="N40" s="10">
        <v>42.67</v>
      </c>
      <c r="O40" s="10">
        <v>160.01</v>
      </c>
      <c r="P40" s="10">
        <v>159.9</v>
      </c>
      <c r="Q40" s="10" t="s">
        <v>43</v>
      </c>
      <c r="R40" s="10" t="s">
        <v>22</v>
      </c>
    </row>
    <row r="41">
      <c r="A41" s="15">
        <v>46221.76106927083</v>
      </c>
      <c r="B41" s="17"/>
      <c r="C41" s="17"/>
      <c r="D41" s="12" t="s">
        <v>70</v>
      </c>
      <c r="E41" s="12" t="s">
        <v>19</v>
      </c>
      <c r="F41" s="17"/>
      <c r="G41" s="10" t="s">
        <v>20</v>
      </c>
      <c r="H41" s="10">
        <v>54.38</v>
      </c>
      <c r="I41" s="10">
        <v>41.08</v>
      </c>
      <c r="J41" s="10">
        <v>160.91</v>
      </c>
      <c r="K41" s="10">
        <v>160.61</v>
      </c>
      <c r="L41" s="10" t="s">
        <v>21</v>
      </c>
      <c r="M41" s="10">
        <v>53.62</v>
      </c>
      <c r="N41" s="10">
        <v>40.95</v>
      </c>
      <c r="O41" s="10">
        <v>158.77</v>
      </c>
      <c r="P41" s="10">
        <v>158.77</v>
      </c>
      <c r="Q41" s="10" t="s">
        <v>19</v>
      </c>
      <c r="R41" s="10" t="s">
        <v>22</v>
      </c>
    </row>
    <row r="42">
      <c r="A42" s="15">
        <v>46221.76898577546</v>
      </c>
      <c r="B42" s="17"/>
      <c r="C42" s="17"/>
      <c r="D42" s="12" t="s">
        <v>71</v>
      </c>
      <c r="E42" s="12" t="s">
        <v>19</v>
      </c>
      <c r="F42" s="17"/>
      <c r="G42" s="10" t="s">
        <v>20</v>
      </c>
      <c r="H42" s="10">
        <v>52.68</v>
      </c>
      <c r="I42" s="10">
        <v>39.56</v>
      </c>
      <c r="J42" s="10">
        <v>155.61</v>
      </c>
      <c r="K42" s="10">
        <v>155.73</v>
      </c>
      <c r="L42" s="10" t="s">
        <v>21</v>
      </c>
      <c r="M42" s="10">
        <v>52.38</v>
      </c>
      <c r="N42" s="10">
        <v>40.42</v>
      </c>
      <c r="O42" s="10">
        <v>156.76</v>
      </c>
      <c r="P42" s="10">
        <v>156.82</v>
      </c>
      <c r="Q42" s="10" t="s">
        <v>19</v>
      </c>
      <c r="R42" s="10" t="s">
        <v>22</v>
      </c>
    </row>
    <row r="43">
      <c r="A43" s="15">
        <v>46221.77092792824</v>
      </c>
      <c r="B43" s="17"/>
      <c r="C43" s="17"/>
      <c r="D43" s="12" t="s">
        <v>72</v>
      </c>
      <c r="E43" s="12" t="s">
        <v>19</v>
      </c>
      <c r="F43" s="17"/>
      <c r="G43" s="10" t="s">
        <v>20</v>
      </c>
      <c r="H43" s="10">
        <v>52.3</v>
      </c>
      <c r="I43" s="10">
        <v>39.7</v>
      </c>
      <c r="J43" s="10">
        <v>155.27</v>
      </c>
      <c r="K43" s="10">
        <v>155.41</v>
      </c>
      <c r="L43" s="10" t="s">
        <v>21</v>
      </c>
      <c r="M43" s="10">
        <v>52.37</v>
      </c>
      <c r="N43" s="10">
        <v>40.43</v>
      </c>
      <c r="O43" s="10">
        <v>156.72</v>
      </c>
      <c r="P43" s="10">
        <v>156.76</v>
      </c>
      <c r="Q43" s="10" t="s">
        <v>19</v>
      </c>
      <c r="R43" s="10" t="s">
        <v>22</v>
      </c>
    </row>
    <row r="44">
      <c r="A44" s="15">
        <v>46221.787219143516</v>
      </c>
      <c r="B44" s="17"/>
      <c r="C44" s="17"/>
      <c r="D44" s="12" t="s">
        <v>73</v>
      </c>
      <c r="E44" s="12" t="s">
        <v>43</v>
      </c>
      <c r="F44" s="17"/>
      <c r="G44" s="10" t="s">
        <v>20</v>
      </c>
      <c r="H44" s="10">
        <v>53.59</v>
      </c>
      <c r="I44" s="10">
        <v>43.06</v>
      </c>
      <c r="J44" s="10">
        <v>159.71</v>
      </c>
      <c r="K44" s="10">
        <v>159.64</v>
      </c>
      <c r="L44" s="10" t="s">
        <v>21</v>
      </c>
      <c r="M44" s="10">
        <v>53.21</v>
      </c>
      <c r="N44" s="10">
        <v>42.71</v>
      </c>
      <c r="O44" s="10">
        <v>158.57</v>
      </c>
      <c r="P44" s="10">
        <v>158.55</v>
      </c>
      <c r="Q44" s="10" t="s">
        <v>43</v>
      </c>
      <c r="R44" s="10" t="s">
        <v>22</v>
      </c>
    </row>
    <row r="45">
      <c r="A45" s="15">
        <v>46222.55234258102</v>
      </c>
      <c r="B45" s="17"/>
      <c r="C45" s="17"/>
      <c r="D45" s="12" t="s">
        <v>74</v>
      </c>
      <c r="E45" s="12" t="s">
        <v>19</v>
      </c>
      <c r="F45" s="17"/>
      <c r="G45" s="10" t="s">
        <v>20</v>
      </c>
      <c r="H45" s="10">
        <v>50.75</v>
      </c>
      <c r="I45" s="10">
        <v>43.35</v>
      </c>
      <c r="J45" s="10">
        <v>153.37</v>
      </c>
      <c r="K45" s="10">
        <v>153.45</v>
      </c>
      <c r="L45" s="10" t="s">
        <v>21</v>
      </c>
      <c r="M45" s="10">
        <v>50.61</v>
      </c>
      <c r="N45" s="10">
        <v>43.5</v>
      </c>
      <c r="O45" s="10">
        <v>153.45</v>
      </c>
      <c r="P45" s="10">
        <v>153.4</v>
      </c>
      <c r="Q45" s="10" t="s">
        <v>19</v>
      </c>
      <c r="R45" s="17"/>
    </row>
    <row r="46">
      <c r="A46" s="15">
        <v>46222.55621594907</v>
      </c>
      <c r="B46" s="17"/>
      <c r="C46" s="17"/>
      <c r="D46" s="12" t="s">
        <v>75</v>
      </c>
      <c r="E46" s="12" t="s">
        <v>19</v>
      </c>
      <c r="F46" s="17"/>
      <c r="G46" s="10" t="s">
        <v>20</v>
      </c>
      <c r="H46" s="10">
        <v>50.67</v>
      </c>
      <c r="I46" s="10">
        <v>43.02</v>
      </c>
      <c r="J46" s="10">
        <v>153.92</v>
      </c>
      <c r="K46" s="10">
        <v>153.58</v>
      </c>
      <c r="L46" s="10" t="s">
        <v>21</v>
      </c>
      <c r="M46" s="10">
        <v>51.01</v>
      </c>
      <c r="N46" s="10">
        <v>43.46</v>
      </c>
      <c r="O46" s="10">
        <v>154.92</v>
      </c>
      <c r="P46" s="10">
        <v>154.39</v>
      </c>
      <c r="Q46" s="10" t="s">
        <v>19</v>
      </c>
      <c r="R46" s="17"/>
    </row>
    <row r="47">
      <c r="A47" s="15">
        <v>46222.55871776621</v>
      </c>
      <c r="B47" s="17"/>
      <c r="C47" s="17"/>
      <c r="D47" s="12" t="s">
        <v>76</v>
      </c>
      <c r="E47" s="12" t="s">
        <v>19</v>
      </c>
      <c r="F47" s="17"/>
      <c r="G47" s="10" t="s">
        <v>20</v>
      </c>
      <c r="H47" s="10">
        <v>49.99</v>
      </c>
      <c r="I47" s="10">
        <v>39.29</v>
      </c>
      <c r="J47" s="10">
        <v>148.25</v>
      </c>
      <c r="K47" s="10">
        <v>148.26</v>
      </c>
      <c r="L47" s="10" t="s">
        <v>21</v>
      </c>
      <c r="M47" s="10">
        <v>50.5</v>
      </c>
      <c r="N47" s="10">
        <v>39.5</v>
      </c>
      <c r="O47" s="10">
        <v>148.25</v>
      </c>
      <c r="P47" s="10">
        <v>149.62</v>
      </c>
      <c r="Q47" s="10" t="s">
        <v>19</v>
      </c>
      <c r="R47" s="17"/>
    </row>
    <row r="48">
      <c r="A48" s="15">
        <v>46222.56821435185</v>
      </c>
      <c r="B48" s="17"/>
      <c r="C48" s="17"/>
      <c r="D48" s="12">
        <v>234791.0</v>
      </c>
      <c r="E48" s="12" t="s">
        <v>19</v>
      </c>
      <c r="F48" s="17"/>
      <c r="G48" s="10" t="s">
        <v>20</v>
      </c>
      <c r="H48" s="10">
        <v>49.77</v>
      </c>
      <c r="I48" s="10">
        <v>42.09</v>
      </c>
      <c r="J48" s="10">
        <v>149.04</v>
      </c>
      <c r="K48" s="10">
        <v>149.62</v>
      </c>
      <c r="L48" s="10" t="s">
        <v>21</v>
      </c>
      <c r="M48" s="10">
        <v>49.91</v>
      </c>
      <c r="N48" s="10">
        <v>42.64</v>
      </c>
      <c r="O48" s="10">
        <v>150.18</v>
      </c>
      <c r="P48" s="10">
        <v>150.07</v>
      </c>
      <c r="Q48" s="10" t="s">
        <v>19</v>
      </c>
      <c r="R48" s="17"/>
    </row>
    <row r="49">
      <c r="A49" s="15">
        <v>46222.57605420139</v>
      </c>
      <c r="B49" s="17"/>
      <c r="C49" s="17"/>
      <c r="D49" s="12" t="s">
        <v>77</v>
      </c>
      <c r="E49" s="12" t="s">
        <v>19</v>
      </c>
      <c r="F49" s="17"/>
      <c r="G49" s="10" t="s">
        <v>20</v>
      </c>
      <c r="H49" s="10">
        <v>53.79</v>
      </c>
      <c r="I49" s="10">
        <v>42.16</v>
      </c>
      <c r="J49" s="10">
        <v>161.52</v>
      </c>
      <c r="K49" s="10">
        <v>161.55</v>
      </c>
      <c r="L49" s="10" t="s">
        <v>21</v>
      </c>
      <c r="M49" s="10">
        <v>53.81</v>
      </c>
      <c r="N49" s="10">
        <v>42.56</v>
      </c>
      <c r="O49" s="10">
        <v>162.33</v>
      </c>
      <c r="P49" s="10">
        <v>162.5</v>
      </c>
      <c r="Q49" s="10" t="s">
        <v>19</v>
      </c>
      <c r="R49" s="17"/>
    </row>
    <row r="50">
      <c r="A50" s="15">
        <v>46224.111980138885</v>
      </c>
      <c r="B50" s="17"/>
      <c r="C50" s="17"/>
      <c r="D50" s="12" t="s">
        <v>78</v>
      </c>
      <c r="E50" s="12" t="s">
        <v>19</v>
      </c>
      <c r="F50" s="17"/>
      <c r="G50" s="10" t="s">
        <v>20</v>
      </c>
      <c r="H50" s="10">
        <v>50.85</v>
      </c>
      <c r="I50" s="10">
        <v>42.83</v>
      </c>
      <c r="J50" s="10">
        <v>153.86</v>
      </c>
      <c r="K50" s="10">
        <v>153.55</v>
      </c>
      <c r="L50" s="10" t="s">
        <v>21</v>
      </c>
      <c r="M50" s="10">
        <v>51.46</v>
      </c>
      <c r="N50" s="10">
        <v>43.03</v>
      </c>
      <c r="O50" s="10">
        <v>155.28</v>
      </c>
      <c r="P50" s="10">
        <v>154.7</v>
      </c>
      <c r="Q50" s="10" t="s">
        <v>19</v>
      </c>
      <c r="R50" s="10" t="s">
        <v>67</v>
      </c>
    </row>
    <row r="51">
      <c r="A51" s="15">
        <v>46224.162406504634</v>
      </c>
      <c r="B51" s="17"/>
      <c r="C51" s="17"/>
      <c r="D51" s="12" t="s">
        <v>79</v>
      </c>
      <c r="E51" s="12" t="s">
        <v>19</v>
      </c>
      <c r="F51" s="17"/>
      <c r="G51" s="10" t="s">
        <v>20</v>
      </c>
      <c r="H51" s="10">
        <v>50.66</v>
      </c>
      <c r="I51" s="10">
        <v>43.02</v>
      </c>
      <c r="J51" s="10">
        <v>153.77</v>
      </c>
      <c r="K51" s="10">
        <v>153.58</v>
      </c>
      <c r="L51" s="10" t="s">
        <v>21</v>
      </c>
      <c r="M51" s="10">
        <v>50.98</v>
      </c>
      <c r="N51" s="10">
        <v>43.59</v>
      </c>
      <c r="O51" s="10">
        <v>155.0</v>
      </c>
      <c r="P51" s="10">
        <v>154.7</v>
      </c>
      <c r="Q51" s="10" t="s">
        <v>19</v>
      </c>
      <c r="R51" s="10" t="s">
        <v>67</v>
      </c>
    </row>
    <row r="52">
      <c r="A52" s="15">
        <v>46225.352303368054</v>
      </c>
      <c r="B52" s="17"/>
      <c r="C52" s="17"/>
      <c r="D52" s="12" t="s">
        <v>80</v>
      </c>
      <c r="E52" s="12" t="s">
        <v>19</v>
      </c>
      <c r="F52" s="17"/>
      <c r="G52" s="10" t="s">
        <v>20</v>
      </c>
      <c r="H52" s="10">
        <v>50.67</v>
      </c>
      <c r="I52" s="10">
        <v>42.74</v>
      </c>
      <c r="J52" s="10">
        <v>153.41</v>
      </c>
      <c r="K52" s="10">
        <v>153.61</v>
      </c>
      <c r="L52" s="10" t="s">
        <v>21</v>
      </c>
      <c r="M52" s="10">
        <v>51.16</v>
      </c>
      <c r="N52" s="10">
        <v>43.49</v>
      </c>
      <c r="O52" s="10">
        <v>155.32</v>
      </c>
      <c r="P52" s="10">
        <v>154.94</v>
      </c>
      <c r="Q52" s="10" t="s">
        <v>19</v>
      </c>
      <c r="R52" s="17"/>
    </row>
    <row r="53">
      <c r="A53" s="15">
        <v>46225.69186049768</v>
      </c>
      <c r="B53" s="17"/>
      <c r="C53" s="17"/>
      <c r="D53" s="12">
        <v>236911.0</v>
      </c>
      <c r="E53" s="11"/>
      <c r="F53" s="17"/>
      <c r="G53" s="10" t="s">
        <v>20</v>
      </c>
      <c r="H53" s="10">
        <v>50.49</v>
      </c>
      <c r="I53" s="10">
        <v>40.14</v>
      </c>
      <c r="J53" s="10">
        <v>152.14</v>
      </c>
      <c r="K53" s="10">
        <v>152.14</v>
      </c>
      <c r="L53" s="10" t="s">
        <v>21</v>
      </c>
      <c r="M53" s="10">
        <v>51.29</v>
      </c>
      <c r="N53" s="10">
        <v>40.84</v>
      </c>
      <c r="O53" s="10">
        <v>154.07</v>
      </c>
      <c r="P53" s="10">
        <v>154.22</v>
      </c>
      <c r="Q53" s="10" t="s">
        <v>19</v>
      </c>
      <c r="R53" s="10" t="s">
        <v>22</v>
      </c>
    </row>
    <row r="54">
      <c r="A54" s="15">
        <v>46226.46288861111</v>
      </c>
      <c r="B54" s="17"/>
      <c r="C54" s="17"/>
      <c r="D54" s="12">
        <v>225336.0</v>
      </c>
      <c r="E54" s="12" t="s">
        <v>19</v>
      </c>
      <c r="F54" s="17"/>
      <c r="G54" s="10" t="s">
        <v>20</v>
      </c>
      <c r="H54" s="10">
        <v>47.78</v>
      </c>
      <c r="I54" s="10">
        <v>40.82</v>
      </c>
      <c r="J54" s="10">
        <v>143.56</v>
      </c>
      <c r="K54" s="10">
        <v>143.56</v>
      </c>
      <c r="L54" s="10" t="s">
        <v>21</v>
      </c>
      <c r="M54" s="10">
        <v>47.96</v>
      </c>
      <c r="N54" s="10">
        <v>41.83</v>
      </c>
      <c r="O54" s="10">
        <v>145.84</v>
      </c>
      <c r="P54" s="10">
        <v>145.75</v>
      </c>
      <c r="Q54" s="10" t="s">
        <v>19</v>
      </c>
      <c r="R54" s="10" t="s">
        <v>22</v>
      </c>
    </row>
    <row r="55">
      <c r="A55" s="15">
        <v>46226.783741736115</v>
      </c>
      <c r="B55" s="17"/>
      <c r="C55" s="17"/>
      <c r="D55" s="12" t="s">
        <v>81</v>
      </c>
      <c r="E55" s="11"/>
      <c r="F55" s="17"/>
      <c r="G55" s="10" t="s">
        <v>20</v>
      </c>
      <c r="H55" s="10">
        <v>55.19</v>
      </c>
      <c r="I55" s="10">
        <v>34.61</v>
      </c>
      <c r="J55" s="10">
        <v>156.15</v>
      </c>
      <c r="K55" s="10">
        <v>155.18</v>
      </c>
      <c r="L55" s="10" t="s">
        <v>21</v>
      </c>
      <c r="M55" s="10">
        <v>55.07</v>
      </c>
      <c r="N55" s="10">
        <v>34.55</v>
      </c>
      <c r="O55" s="10">
        <v>155.94</v>
      </c>
      <c r="P55" s="10">
        <v>155.11</v>
      </c>
      <c r="Q55" s="10" t="s">
        <v>25</v>
      </c>
      <c r="R55" s="17"/>
    </row>
    <row r="56">
      <c r="A56" s="15">
        <v>46228.20861296296</v>
      </c>
      <c r="B56" s="17"/>
      <c r="C56" s="17"/>
      <c r="D56" s="12" t="s">
        <v>82</v>
      </c>
      <c r="E56" s="12" t="s">
        <v>19</v>
      </c>
      <c r="F56" s="17"/>
      <c r="G56" s="10" t="s">
        <v>20</v>
      </c>
      <c r="H56" s="10">
        <v>52.2</v>
      </c>
      <c r="I56" s="10">
        <v>42.33</v>
      </c>
      <c r="J56" s="10">
        <v>153.07</v>
      </c>
      <c r="K56" s="10">
        <v>150.32</v>
      </c>
      <c r="L56" s="10" t="s">
        <v>21</v>
      </c>
      <c r="M56" s="10">
        <v>50.05</v>
      </c>
      <c r="N56" s="10">
        <v>42.32</v>
      </c>
      <c r="O56" s="10">
        <v>149.77</v>
      </c>
      <c r="P56" s="10">
        <v>149.77</v>
      </c>
      <c r="Q56" s="10" t="s">
        <v>19</v>
      </c>
      <c r="R56" s="10" t="s">
        <v>67</v>
      </c>
    </row>
    <row r="57">
      <c r="A57" s="15">
        <v>46228.2123478125</v>
      </c>
      <c r="B57" s="17"/>
      <c r="C57" s="17"/>
      <c r="D57" s="12" t="s">
        <v>83</v>
      </c>
      <c r="E57" s="11"/>
      <c r="F57" s="17"/>
      <c r="G57" s="10" t="s">
        <v>20</v>
      </c>
      <c r="H57" s="10">
        <v>57.65</v>
      </c>
      <c r="I57" s="10">
        <v>46.51</v>
      </c>
      <c r="J57" s="10">
        <v>182.76</v>
      </c>
      <c r="K57" s="10">
        <v>183.16</v>
      </c>
      <c r="L57" s="10" t="s">
        <v>21</v>
      </c>
      <c r="M57" s="10">
        <v>57.62</v>
      </c>
      <c r="N57" s="10">
        <v>46.55</v>
      </c>
      <c r="O57" s="10">
        <v>183.48</v>
      </c>
      <c r="P57" s="10">
        <v>182.5</v>
      </c>
      <c r="Q57" s="10" t="s">
        <v>43</v>
      </c>
      <c r="R57" s="10" t="s">
        <v>67</v>
      </c>
    </row>
    <row r="58">
      <c r="A58" s="15">
        <v>46228.216409155095</v>
      </c>
      <c r="B58" s="17"/>
      <c r="C58" s="17"/>
      <c r="D58" s="22" t="s">
        <v>84</v>
      </c>
      <c r="E58" s="11"/>
      <c r="F58" s="17"/>
      <c r="G58" s="10" t="s">
        <v>20</v>
      </c>
      <c r="H58" s="23">
        <v>53.29</v>
      </c>
      <c r="I58" s="23">
        <v>38.9</v>
      </c>
      <c r="J58" s="23">
        <v>150.33</v>
      </c>
      <c r="K58" s="23">
        <v>150.4</v>
      </c>
      <c r="L58" s="10" t="s">
        <v>21</v>
      </c>
      <c r="M58" s="10">
        <v>53.26</v>
      </c>
      <c r="N58" s="10">
        <v>38.2</v>
      </c>
      <c r="O58" s="10">
        <v>150.52</v>
      </c>
      <c r="P58" s="10">
        <v>150.49</v>
      </c>
      <c r="Q58" s="10" t="s">
        <v>19</v>
      </c>
      <c r="R58" s="10" t="s">
        <v>67</v>
      </c>
    </row>
    <row r="59">
      <c r="A59" s="15">
        <v>46228.362423645834</v>
      </c>
      <c r="B59" s="17"/>
      <c r="C59" s="17"/>
      <c r="D59" s="12" t="s">
        <v>85</v>
      </c>
      <c r="E59" s="11"/>
      <c r="F59" s="17"/>
      <c r="G59" s="10" t="s">
        <v>20</v>
      </c>
      <c r="H59" s="10">
        <v>50.88</v>
      </c>
      <c r="I59" s="10">
        <v>42.77</v>
      </c>
      <c r="J59" s="10">
        <v>153.86</v>
      </c>
      <c r="K59" s="10">
        <v>153.67</v>
      </c>
      <c r="L59" s="10" t="s">
        <v>21</v>
      </c>
      <c r="M59" s="10">
        <v>51.35</v>
      </c>
      <c r="N59" s="10">
        <v>42.6</v>
      </c>
      <c r="O59" s="10">
        <v>154.64</v>
      </c>
      <c r="P59" s="10">
        <v>154.04</v>
      </c>
      <c r="Q59" s="17"/>
      <c r="R59" s="17"/>
    </row>
    <row r="60">
      <c r="A60" s="15">
        <v>46228.36511825232</v>
      </c>
      <c r="B60" s="17"/>
      <c r="C60" s="17"/>
      <c r="D60" s="12" t="s">
        <v>86</v>
      </c>
      <c r="E60" s="11"/>
      <c r="F60" s="17"/>
      <c r="G60" s="10" t="s">
        <v>20</v>
      </c>
      <c r="H60" s="10">
        <v>53.27</v>
      </c>
      <c r="I60" s="10">
        <v>40.59</v>
      </c>
      <c r="J60" s="10">
        <v>155.4</v>
      </c>
      <c r="K60" s="10">
        <v>155.29</v>
      </c>
      <c r="L60" s="10" t="s">
        <v>21</v>
      </c>
      <c r="M60" s="10">
        <v>52.79</v>
      </c>
      <c r="N60" s="10">
        <v>40.49</v>
      </c>
      <c r="O60" s="10">
        <v>154.13</v>
      </c>
      <c r="P60" s="10">
        <v>153.82</v>
      </c>
      <c r="Q60" s="17"/>
      <c r="R60" s="17"/>
    </row>
    <row r="61">
      <c r="A61" s="15">
        <v>46228.71254732639</v>
      </c>
      <c r="B61" s="17"/>
      <c r="C61" s="17"/>
      <c r="D61" s="12" t="s">
        <v>87</v>
      </c>
      <c r="E61" s="12" t="s">
        <v>88</v>
      </c>
      <c r="F61" s="17"/>
      <c r="G61" s="10" t="s">
        <v>20</v>
      </c>
      <c r="H61" s="10">
        <v>54.4</v>
      </c>
      <c r="I61" s="10">
        <v>34.54</v>
      </c>
      <c r="J61" s="10">
        <v>152.55</v>
      </c>
      <c r="K61" s="10">
        <v>152.55</v>
      </c>
      <c r="L61" s="10" t="s">
        <v>21</v>
      </c>
      <c r="M61" s="10">
        <v>56.7</v>
      </c>
      <c r="N61" s="10">
        <v>56.7</v>
      </c>
      <c r="O61" s="10">
        <v>159.2</v>
      </c>
      <c r="P61" s="10">
        <v>159.23</v>
      </c>
      <c r="Q61" s="10" t="s">
        <v>89</v>
      </c>
      <c r="R61" s="10" t="s">
        <v>22</v>
      </c>
    </row>
    <row r="62">
      <c r="A62" s="15">
        <v>46229.992148125</v>
      </c>
      <c r="B62" s="17"/>
      <c r="C62" s="17"/>
      <c r="D62" s="12">
        <v>146653.0</v>
      </c>
      <c r="E62" s="12" t="s">
        <v>19</v>
      </c>
      <c r="F62" s="17"/>
      <c r="G62" s="10" t="s">
        <v>20</v>
      </c>
      <c r="H62" s="10">
        <v>50.69</v>
      </c>
      <c r="I62" s="10">
        <v>36.13</v>
      </c>
      <c r="J62" s="10">
        <v>146.8</v>
      </c>
      <c r="K62" s="10">
        <v>147.17</v>
      </c>
      <c r="L62" s="10" t="s">
        <v>21</v>
      </c>
      <c r="M62" s="10">
        <v>50.69</v>
      </c>
      <c r="N62" s="10">
        <v>36.26</v>
      </c>
      <c r="O62" s="10">
        <v>147.15</v>
      </c>
      <c r="P62" s="10">
        <v>147.21</v>
      </c>
      <c r="Q62" s="17"/>
      <c r="R62" s="10" t="s">
        <v>22</v>
      </c>
    </row>
    <row r="63">
      <c r="A63" s="15">
        <v>46232.0</v>
      </c>
      <c r="B63" s="17"/>
      <c r="C63" s="17"/>
      <c r="D63" s="12" t="s">
        <v>90</v>
      </c>
      <c r="E63" s="12" t="s">
        <v>43</v>
      </c>
      <c r="F63" s="17"/>
      <c r="G63" s="10" t="s">
        <v>20</v>
      </c>
      <c r="H63" s="10">
        <v>46.96</v>
      </c>
      <c r="I63" s="10">
        <v>39.32</v>
      </c>
      <c r="J63" s="10">
        <v>139.19</v>
      </c>
      <c r="K63" s="10">
        <v>139.19</v>
      </c>
      <c r="L63" s="10" t="s">
        <v>21</v>
      </c>
      <c r="M63" s="10">
        <v>46.35</v>
      </c>
      <c r="N63" s="10">
        <v>39.23</v>
      </c>
      <c r="O63" s="10">
        <v>138.06</v>
      </c>
      <c r="P63" s="10">
        <v>137.76</v>
      </c>
      <c r="Q63" s="10" t="s">
        <v>43</v>
      </c>
      <c r="R63" s="10" t="s">
        <v>22</v>
      </c>
    </row>
    <row r="64">
      <c r="B64" s="17"/>
      <c r="C64" s="17"/>
      <c r="D64" s="12" t="s">
        <v>91</v>
      </c>
      <c r="E64" s="12" t="s">
        <v>19</v>
      </c>
      <c r="F64" s="17"/>
      <c r="G64" s="10" t="s">
        <v>20</v>
      </c>
      <c r="H64" s="10">
        <v>55.64</v>
      </c>
      <c r="I64" s="17"/>
      <c r="J64" s="17"/>
      <c r="K64" s="17"/>
      <c r="L64" s="10" t="s">
        <v>21</v>
      </c>
      <c r="M64" s="10">
        <v>47.96</v>
      </c>
      <c r="N64" s="10">
        <v>42.38</v>
      </c>
      <c r="O64" s="10">
        <v>146.36</v>
      </c>
      <c r="P64" s="10">
        <v>146.59</v>
      </c>
      <c r="Q64" s="10" t="s">
        <v>19</v>
      </c>
      <c r="R64" s="10" t="s">
        <v>22</v>
      </c>
    </row>
    <row r="65">
      <c r="A65" s="15">
        <v>46232.70051962963</v>
      </c>
      <c r="B65" s="17"/>
      <c r="C65" s="17"/>
      <c r="D65" s="12" t="s">
        <v>92</v>
      </c>
      <c r="E65" s="12" t="s">
        <v>43</v>
      </c>
      <c r="F65" s="17"/>
      <c r="G65" s="10" t="s">
        <v>20</v>
      </c>
      <c r="H65" s="10">
        <v>55.64</v>
      </c>
      <c r="I65" s="10">
        <v>35.12</v>
      </c>
      <c r="J65" s="10">
        <v>150.56</v>
      </c>
      <c r="K65" s="10">
        <v>150.68</v>
      </c>
      <c r="L65" s="10" t="s">
        <v>21</v>
      </c>
      <c r="M65" s="10">
        <v>55.6</v>
      </c>
      <c r="N65" s="10">
        <v>34.2</v>
      </c>
      <c r="O65" s="10">
        <v>148.93</v>
      </c>
      <c r="P65" s="10">
        <v>148.77</v>
      </c>
      <c r="Q65" s="10" t="s">
        <v>43</v>
      </c>
      <c r="R65" s="10" t="s">
        <v>22</v>
      </c>
    </row>
    <row r="66">
      <c r="A66" s="15">
        <v>46232.70479758102</v>
      </c>
      <c r="B66" s="17"/>
      <c r="C66" s="17"/>
      <c r="D66" s="12" t="s">
        <v>93</v>
      </c>
      <c r="E66" s="12" t="s">
        <v>19</v>
      </c>
      <c r="F66" s="17"/>
      <c r="G66" s="10" t="s">
        <v>20</v>
      </c>
      <c r="H66" s="10">
        <v>47.08</v>
      </c>
      <c r="I66" s="10">
        <v>42.73</v>
      </c>
      <c r="J66" s="10">
        <v>143.11</v>
      </c>
      <c r="K66" s="10">
        <v>143.11</v>
      </c>
      <c r="L66" s="10" t="s">
        <v>21</v>
      </c>
      <c r="M66" s="10">
        <v>47.28</v>
      </c>
      <c r="N66" s="10">
        <v>43.29</v>
      </c>
      <c r="O66" s="10">
        <v>147.76</v>
      </c>
      <c r="P66" s="10">
        <v>147.51</v>
      </c>
      <c r="Q66" s="10" t="s">
        <v>19</v>
      </c>
      <c r="R66" s="10" t="s">
        <v>22</v>
      </c>
    </row>
    <row r="67">
      <c r="A67" s="15">
        <v>46232.75815371527</v>
      </c>
      <c r="B67" s="17"/>
      <c r="C67" s="17"/>
      <c r="D67" s="12" t="s">
        <v>94</v>
      </c>
      <c r="E67" s="12" t="s">
        <v>19</v>
      </c>
      <c r="F67" s="17"/>
      <c r="G67" s="10" t="s">
        <v>20</v>
      </c>
      <c r="H67" s="10">
        <v>50.5</v>
      </c>
      <c r="I67" s="10">
        <v>42.2</v>
      </c>
      <c r="J67" s="10">
        <v>153.89</v>
      </c>
      <c r="K67" s="10">
        <v>152.71</v>
      </c>
      <c r="L67" s="10" t="s">
        <v>21</v>
      </c>
      <c r="M67" s="10">
        <v>49.96</v>
      </c>
      <c r="N67" s="10">
        <v>42.73</v>
      </c>
      <c r="O67" s="10">
        <v>153.7</v>
      </c>
      <c r="P67" s="10">
        <v>153.56</v>
      </c>
      <c r="Q67" s="10" t="s">
        <v>19</v>
      </c>
      <c r="R67" s="10" t="s">
        <v>22</v>
      </c>
    </row>
    <row r="68">
      <c r="A68" s="15">
        <v>46232.897407743054</v>
      </c>
      <c r="B68" s="17"/>
      <c r="C68" s="17"/>
      <c r="D68" s="12" t="s">
        <v>95</v>
      </c>
      <c r="E68" s="12" t="s">
        <v>25</v>
      </c>
      <c r="F68" s="17"/>
      <c r="G68" s="10" t="s">
        <v>20</v>
      </c>
      <c r="H68" s="10">
        <v>57.34</v>
      </c>
      <c r="I68" s="10">
        <v>37.98</v>
      </c>
      <c r="J68" s="10">
        <v>162.99</v>
      </c>
      <c r="K68" s="10">
        <v>162.94</v>
      </c>
      <c r="L68" s="10" t="s">
        <v>21</v>
      </c>
      <c r="M68" s="10">
        <v>55.6</v>
      </c>
      <c r="N68" s="10">
        <v>39.45</v>
      </c>
      <c r="O68" s="10">
        <v>161.82</v>
      </c>
      <c r="P68" s="10">
        <v>161.82</v>
      </c>
      <c r="Q68" s="10" t="s">
        <v>25</v>
      </c>
      <c r="R68" s="10" t="s">
        <v>22</v>
      </c>
    </row>
    <row r="69">
      <c r="A69" s="15">
        <v>46233.13673545139</v>
      </c>
      <c r="B69" s="17"/>
      <c r="C69" s="17"/>
      <c r="D69" s="12">
        <v>234791.0</v>
      </c>
      <c r="E69" s="12" t="s">
        <v>19</v>
      </c>
      <c r="F69" s="17"/>
      <c r="G69" s="10" t="s">
        <v>20</v>
      </c>
      <c r="H69" s="10">
        <v>49.91</v>
      </c>
      <c r="I69" s="10">
        <v>42.64</v>
      </c>
      <c r="J69" s="10">
        <v>150.18</v>
      </c>
      <c r="K69" s="10">
        <v>150.07</v>
      </c>
      <c r="L69" s="10" t="s">
        <v>21</v>
      </c>
      <c r="M69" s="10">
        <v>51.59</v>
      </c>
      <c r="N69" s="10">
        <v>43.83</v>
      </c>
      <c r="O69" s="10">
        <v>155.13</v>
      </c>
      <c r="P69" s="10">
        <v>155.18</v>
      </c>
      <c r="Q69" s="10" t="s">
        <v>19</v>
      </c>
      <c r="R69" s="10" t="s">
        <v>22</v>
      </c>
    </row>
    <row r="70">
      <c r="A70" s="15">
        <v>46233.573601701384</v>
      </c>
      <c r="B70" s="17"/>
      <c r="C70" s="17"/>
      <c r="D70" s="12" t="s">
        <v>96</v>
      </c>
      <c r="E70" s="12" t="s">
        <v>19</v>
      </c>
      <c r="F70" s="17"/>
      <c r="G70" s="10" t="s">
        <v>20</v>
      </c>
      <c r="H70" s="10">
        <v>52.95</v>
      </c>
      <c r="I70" s="10">
        <v>38.88</v>
      </c>
      <c r="J70" s="10">
        <v>155.54</v>
      </c>
      <c r="K70" s="10">
        <v>155.34</v>
      </c>
      <c r="L70" s="10" t="s">
        <v>21</v>
      </c>
      <c r="M70" s="10">
        <v>54.17</v>
      </c>
      <c r="N70" s="10">
        <v>40.15</v>
      </c>
      <c r="O70" s="10">
        <v>159.25</v>
      </c>
      <c r="P70" s="10">
        <v>159.07</v>
      </c>
      <c r="Q70" s="10" t="s">
        <v>19</v>
      </c>
      <c r="R70" s="10" t="s">
        <v>22</v>
      </c>
    </row>
    <row r="71">
      <c r="A71" s="15">
        <v>46234.4474695949</v>
      </c>
      <c r="B71" s="17"/>
      <c r="C71" s="17"/>
      <c r="D71" s="12" t="s">
        <v>97</v>
      </c>
      <c r="E71" s="12" t="s">
        <v>25</v>
      </c>
      <c r="F71" s="17"/>
      <c r="G71" s="10" t="s">
        <v>20</v>
      </c>
      <c r="H71" s="10">
        <v>52.9</v>
      </c>
      <c r="I71" s="10">
        <v>34.89</v>
      </c>
      <c r="J71" s="10">
        <v>148.45</v>
      </c>
      <c r="K71" s="10">
        <v>147.42</v>
      </c>
      <c r="L71" s="10" t="s">
        <v>21</v>
      </c>
      <c r="M71" s="10">
        <v>52.01</v>
      </c>
      <c r="N71" s="10">
        <v>34.77</v>
      </c>
      <c r="O71" s="10">
        <v>147.14</v>
      </c>
      <c r="P71" s="10">
        <v>147.07</v>
      </c>
      <c r="Q71" s="10" t="s">
        <v>25</v>
      </c>
      <c r="R71" s="10" t="s">
        <v>22</v>
      </c>
    </row>
    <row r="72">
      <c r="A72" s="15">
        <v>46234.44962520833</v>
      </c>
      <c r="B72" s="17"/>
      <c r="C72" s="17"/>
      <c r="D72" s="12" t="s">
        <v>98</v>
      </c>
      <c r="E72" s="12" t="s">
        <v>25</v>
      </c>
      <c r="F72" s="17"/>
      <c r="G72" s="10" t="s">
        <v>20</v>
      </c>
      <c r="H72" s="10">
        <v>53.79</v>
      </c>
      <c r="I72" s="10">
        <v>43.18</v>
      </c>
      <c r="J72" s="10">
        <v>159.98</v>
      </c>
      <c r="K72" s="10">
        <v>162.51</v>
      </c>
      <c r="L72" s="10" t="s">
        <v>21</v>
      </c>
      <c r="M72" s="10">
        <v>53.81</v>
      </c>
      <c r="N72" s="10">
        <v>43.04</v>
      </c>
      <c r="O72" s="10">
        <v>159.27</v>
      </c>
      <c r="P72" s="10">
        <v>159.36</v>
      </c>
      <c r="Q72" s="10" t="s">
        <v>25</v>
      </c>
      <c r="R72" s="10" t="s">
        <v>22</v>
      </c>
    </row>
    <row r="73">
      <c r="A73" s="15">
        <v>46234.59591329861</v>
      </c>
      <c r="B73" s="17"/>
      <c r="C73" s="17"/>
      <c r="D73" s="12" t="s">
        <v>99</v>
      </c>
      <c r="E73" s="12" t="s">
        <v>19</v>
      </c>
      <c r="F73" s="17"/>
      <c r="G73" s="10" t="s">
        <v>20</v>
      </c>
      <c r="H73" s="10">
        <v>50.22</v>
      </c>
      <c r="I73" s="10">
        <v>41.94</v>
      </c>
      <c r="J73" s="10">
        <v>148.67</v>
      </c>
      <c r="K73" s="10">
        <v>149.37</v>
      </c>
      <c r="L73" s="10" t="s">
        <v>21</v>
      </c>
      <c r="M73" s="10">
        <v>50.49</v>
      </c>
      <c r="N73" s="10">
        <v>42.22</v>
      </c>
      <c r="O73" s="10">
        <v>150.28</v>
      </c>
      <c r="P73" s="10">
        <v>150.23</v>
      </c>
      <c r="Q73" s="10" t="s">
        <v>19</v>
      </c>
      <c r="R73" s="10" t="s">
        <v>22</v>
      </c>
    </row>
    <row r="74">
      <c r="A74" s="15">
        <v>46235.370817013885</v>
      </c>
      <c r="B74" s="17"/>
      <c r="C74" s="17"/>
      <c r="D74" s="12" t="s">
        <v>100</v>
      </c>
      <c r="E74" s="12" t="s">
        <v>43</v>
      </c>
      <c r="F74" s="17"/>
      <c r="G74" s="10" t="s">
        <v>20</v>
      </c>
      <c r="H74" s="10">
        <v>51.13</v>
      </c>
      <c r="I74" s="10">
        <v>46.7</v>
      </c>
      <c r="J74" s="10">
        <v>160.78</v>
      </c>
      <c r="K74" s="10">
        <v>161.54</v>
      </c>
      <c r="L74" s="10" t="s">
        <v>21</v>
      </c>
      <c r="M74" s="10">
        <v>50.69</v>
      </c>
      <c r="N74" s="10">
        <v>46.42</v>
      </c>
      <c r="O74" s="10">
        <v>159.77</v>
      </c>
      <c r="P74" s="10">
        <v>159.66</v>
      </c>
      <c r="Q74" s="10" t="s">
        <v>43</v>
      </c>
      <c r="R74" s="10" t="s">
        <v>22</v>
      </c>
    </row>
    <row r="75">
      <c r="A75" s="15">
        <v>46235.85396807871</v>
      </c>
      <c r="B75" s="17"/>
      <c r="C75" s="17"/>
      <c r="D75" s="12" t="s">
        <v>101</v>
      </c>
      <c r="E75" s="12" t="s">
        <v>43</v>
      </c>
      <c r="F75" s="17"/>
      <c r="G75" s="10" t="s">
        <v>20</v>
      </c>
      <c r="H75" s="10">
        <v>52.16</v>
      </c>
      <c r="I75" s="10">
        <v>45.07</v>
      </c>
      <c r="J75" s="10">
        <v>158.11</v>
      </c>
      <c r="K75" s="10">
        <v>157.89</v>
      </c>
      <c r="L75" s="10" t="s">
        <v>21</v>
      </c>
      <c r="M75" s="10">
        <v>51.54</v>
      </c>
      <c r="N75" s="10">
        <v>44.08</v>
      </c>
      <c r="O75" s="10">
        <v>156.05</v>
      </c>
      <c r="P75" s="10">
        <v>156.09</v>
      </c>
      <c r="Q75" s="10" t="s">
        <v>43</v>
      </c>
      <c r="R75" s="10" t="s">
        <v>102</v>
      </c>
    </row>
    <row r="76">
      <c r="A76" s="15">
        <v>46237.73152320602</v>
      </c>
      <c r="B76" s="17"/>
      <c r="C76" s="17"/>
      <c r="D76" s="12" t="s">
        <v>103</v>
      </c>
      <c r="E76" s="12" t="s">
        <v>43</v>
      </c>
      <c r="F76" s="17"/>
      <c r="G76" s="10" t="s">
        <v>20</v>
      </c>
      <c r="H76" s="24">
        <v>53.88</v>
      </c>
      <c r="I76" s="24">
        <v>36.27</v>
      </c>
      <c r="J76" s="24">
        <v>154.76</v>
      </c>
      <c r="K76" s="24">
        <v>154.25</v>
      </c>
      <c r="L76" s="10" t="s">
        <v>21</v>
      </c>
      <c r="M76" s="10">
        <v>53.62</v>
      </c>
      <c r="N76" s="10">
        <v>36.13</v>
      </c>
      <c r="O76" s="10">
        <v>153.91</v>
      </c>
      <c r="P76" s="10">
        <v>153.91</v>
      </c>
      <c r="Q76" s="10" t="s">
        <v>43</v>
      </c>
      <c r="R76" s="10" t="s">
        <v>102</v>
      </c>
    </row>
    <row r="77">
      <c r="A77" s="15">
        <v>46238.06397017361</v>
      </c>
      <c r="B77" s="17"/>
      <c r="C77" s="17"/>
      <c r="D77" s="12">
        <v>234791.0</v>
      </c>
      <c r="E77" s="12" t="s">
        <v>43</v>
      </c>
      <c r="F77" s="17"/>
      <c r="G77" s="10" t="s">
        <v>47</v>
      </c>
      <c r="H77" s="10">
        <v>51.68</v>
      </c>
      <c r="I77" s="10">
        <v>43.95</v>
      </c>
      <c r="J77" s="10">
        <v>155.13</v>
      </c>
      <c r="K77" s="10">
        <v>155.18</v>
      </c>
      <c r="L77" s="10" t="s">
        <v>21</v>
      </c>
      <c r="M77" s="10">
        <v>50.1</v>
      </c>
      <c r="N77" s="10">
        <v>42.67</v>
      </c>
      <c r="O77" s="10">
        <v>150.28</v>
      </c>
      <c r="P77" s="10">
        <v>150.33</v>
      </c>
      <c r="Q77" s="10" t="s">
        <v>43</v>
      </c>
      <c r="R77" s="10" t="s">
        <v>67</v>
      </c>
    </row>
    <row r="78">
      <c r="A78" s="15">
        <v>46238.68410086806</v>
      </c>
      <c r="B78" s="17"/>
      <c r="C78" s="17"/>
      <c r="D78" s="12" t="s">
        <v>104</v>
      </c>
      <c r="E78" s="12" t="s">
        <v>19</v>
      </c>
      <c r="F78" s="17"/>
      <c r="G78" s="10" t="s">
        <v>20</v>
      </c>
      <c r="H78" s="10">
        <v>48.11</v>
      </c>
      <c r="I78" s="10">
        <v>42.43</v>
      </c>
      <c r="J78" s="10">
        <v>146.5</v>
      </c>
      <c r="K78" s="10">
        <v>146.83</v>
      </c>
      <c r="L78" s="10" t="s">
        <v>21</v>
      </c>
      <c r="M78" s="10">
        <v>48.19</v>
      </c>
      <c r="N78" s="10">
        <v>42.79</v>
      </c>
      <c r="O78" s="10">
        <v>147.5</v>
      </c>
      <c r="P78" s="10">
        <v>147.5</v>
      </c>
      <c r="Q78" s="10" t="s">
        <v>19</v>
      </c>
      <c r="R78" s="10" t="s">
        <v>102</v>
      </c>
    </row>
    <row r="79">
      <c r="A79" s="15">
        <v>46238.74898221064</v>
      </c>
      <c r="B79" s="17"/>
      <c r="C79" s="17"/>
      <c r="D79" s="12" t="s">
        <v>105</v>
      </c>
      <c r="E79" s="12" t="s">
        <v>43</v>
      </c>
      <c r="F79" s="17"/>
      <c r="G79" s="10" t="s">
        <v>20</v>
      </c>
      <c r="H79" s="10">
        <v>55.64</v>
      </c>
      <c r="I79" s="10">
        <v>39.15</v>
      </c>
      <c r="J79" s="10">
        <v>163.29</v>
      </c>
      <c r="K79" s="10">
        <v>163.37</v>
      </c>
      <c r="L79" s="10" t="s">
        <v>21</v>
      </c>
      <c r="M79" s="10">
        <v>55.59</v>
      </c>
      <c r="N79" s="10">
        <v>38.98</v>
      </c>
      <c r="O79" s="10">
        <v>163.02</v>
      </c>
      <c r="P79" s="10">
        <v>162.71</v>
      </c>
      <c r="Q79" s="10" t="s">
        <v>43</v>
      </c>
      <c r="R79" s="10" t="s">
        <v>102</v>
      </c>
    </row>
    <row r="80">
      <c r="B80" s="17"/>
      <c r="C80" s="17"/>
      <c r="D80" s="12" t="s">
        <v>106</v>
      </c>
      <c r="E80" s="12" t="s">
        <v>25</v>
      </c>
      <c r="F80" s="17"/>
      <c r="G80" s="10" t="s">
        <v>20</v>
      </c>
      <c r="H80" s="10">
        <v>53.51</v>
      </c>
      <c r="I80" s="10">
        <v>48.9</v>
      </c>
      <c r="J80" s="10">
        <v>163.34</v>
      </c>
      <c r="K80" s="10">
        <v>163.34</v>
      </c>
      <c r="L80" s="10" t="s">
        <v>21</v>
      </c>
      <c r="M80" s="10">
        <v>59.55</v>
      </c>
      <c r="N80" s="10">
        <v>52.19</v>
      </c>
      <c r="O80" s="10">
        <v>182.13</v>
      </c>
      <c r="P80" s="10">
        <v>181.77</v>
      </c>
      <c r="Q80" s="10" t="s">
        <v>25</v>
      </c>
      <c r="R80" s="10" t="s">
        <v>22</v>
      </c>
    </row>
    <row r="81">
      <c r="A81" s="15">
        <v>46241.72714611111</v>
      </c>
      <c r="B81" s="17"/>
      <c r="C81" s="17"/>
      <c r="D81" s="25" t="s">
        <v>107</v>
      </c>
      <c r="E81" s="12" t="s">
        <v>43</v>
      </c>
      <c r="F81" s="17"/>
      <c r="G81" s="10" t="s">
        <v>20</v>
      </c>
      <c r="H81" s="10">
        <v>49.87</v>
      </c>
      <c r="I81" s="10">
        <v>46.87</v>
      </c>
      <c r="J81" s="10">
        <v>158.05</v>
      </c>
      <c r="K81" s="10">
        <v>158.07</v>
      </c>
      <c r="L81" s="10" t="s">
        <v>21</v>
      </c>
      <c r="M81" s="10">
        <v>48.6</v>
      </c>
      <c r="N81" s="10">
        <v>44.4</v>
      </c>
      <c r="O81" s="10">
        <v>152.61</v>
      </c>
      <c r="P81" s="10">
        <v>152.56</v>
      </c>
      <c r="Q81" s="10" t="s">
        <v>43</v>
      </c>
      <c r="R81" s="10" t="s">
        <v>22</v>
      </c>
    </row>
    <row r="82">
      <c r="A82" s="15">
        <v>46241.735082037034</v>
      </c>
      <c r="B82" s="17"/>
      <c r="C82" s="17"/>
      <c r="D82" s="12" t="s">
        <v>108</v>
      </c>
      <c r="E82" s="12" t="s">
        <v>19</v>
      </c>
      <c r="F82" s="17"/>
      <c r="G82" s="10" t="s">
        <v>20</v>
      </c>
      <c r="H82" s="10">
        <v>50.65</v>
      </c>
      <c r="I82" s="10">
        <v>35.97</v>
      </c>
      <c r="J82" s="10">
        <v>146.43</v>
      </c>
      <c r="K82" s="10">
        <v>146.43</v>
      </c>
      <c r="L82" s="10" t="s">
        <v>21</v>
      </c>
      <c r="M82" s="10">
        <v>50.74</v>
      </c>
      <c r="N82" s="10">
        <v>36.28</v>
      </c>
      <c r="O82" s="10">
        <v>147.21</v>
      </c>
      <c r="P82" s="10">
        <v>147.71</v>
      </c>
      <c r="Q82" s="10" t="s">
        <v>19</v>
      </c>
      <c r="R82" s="10" t="s">
        <v>22</v>
      </c>
    </row>
    <row r="83">
      <c r="A83" s="15">
        <v>46241.76321252315</v>
      </c>
      <c r="B83" s="17"/>
      <c r="C83" s="17"/>
      <c r="D83" s="12" t="s">
        <v>109</v>
      </c>
      <c r="E83" s="12" t="s">
        <v>19</v>
      </c>
      <c r="F83" s="17"/>
      <c r="G83" s="10" t="s">
        <v>20</v>
      </c>
      <c r="H83" s="10">
        <v>50.77</v>
      </c>
      <c r="I83" s="10">
        <v>43.01</v>
      </c>
      <c r="J83" s="10">
        <v>153.74</v>
      </c>
      <c r="K83" s="10">
        <v>153.57</v>
      </c>
      <c r="L83" s="10" t="s">
        <v>21</v>
      </c>
      <c r="M83" s="10">
        <v>50.82</v>
      </c>
      <c r="N83" s="10">
        <v>43.54</v>
      </c>
      <c r="O83" s="10">
        <v>154.76</v>
      </c>
      <c r="P83" s="10">
        <v>154.18</v>
      </c>
      <c r="Q83" s="10" t="s">
        <v>19</v>
      </c>
      <c r="R83" s="10" t="s">
        <v>22</v>
      </c>
    </row>
    <row r="84">
      <c r="A84" s="15">
        <v>46241.77522848379</v>
      </c>
      <c r="B84" s="17"/>
      <c r="C84" s="17"/>
      <c r="D84" s="12" t="s">
        <v>110</v>
      </c>
      <c r="E84" s="12" t="s">
        <v>19</v>
      </c>
      <c r="F84" s="17"/>
      <c r="G84" s="10" t="s">
        <v>20</v>
      </c>
      <c r="H84" s="10">
        <v>50.47</v>
      </c>
      <c r="I84" s="10">
        <v>39.96</v>
      </c>
      <c r="J84" s="10">
        <v>152.29</v>
      </c>
      <c r="K84" s="10">
        <v>153.33</v>
      </c>
      <c r="L84" s="10" t="s">
        <v>21</v>
      </c>
      <c r="M84" s="10">
        <v>50.75</v>
      </c>
      <c r="N84" s="10">
        <v>40.12</v>
      </c>
      <c r="O84" s="10">
        <v>153.02</v>
      </c>
      <c r="P84" s="10">
        <v>153.79</v>
      </c>
      <c r="Q84" s="10" t="s">
        <v>19</v>
      </c>
      <c r="R84" s="10" t="s">
        <v>22</v>
      </c>
    </row>
    <row r="85">
      <c r="A85" s="15">
        <v>46241.79420106481</v>
      </c>
      <c r="B85" s="17"/>
      <c r="C85" s="17"/>
      <c r="D85" s="12" t="s">
        <v>111</v>
      </c>
      <c r="E85" s="12" t="s">
        <v>89</v>
      </c>
      <c r="F85" s="17"/>
      <c r="G85" s="10" t="s">
        <v>20</v>
      </c>
      <c r="H85" s="10">
        <v>51.35</v>
      </c>
      <c r="I85" s="10">
        <v>34.38</v>
      </c>
      <c r="J85" s="10">
        <v>148.06</v>
      </c>
      <c r="K85" s="10">
        <v>147.84</v>
      </c>
      <c r="L85" s="10" t="s">
        <v>21</v>
      </c>
      <c r="M85" s="10">
        <v>51.45</v>
      </c>
      <c r="N85" s="10">
        <v>34.45</v>
      </c>
      <c r="O85" s="10">
        <v>148.35</v>
      </c>
      <c r="P85" s="10">
        <v>148.05</v>
      </c>
      <c r="Q85" s="10" t="s">
        <v>19</v>
      </c>
      <c r="R85" s="10" t="s">
        <v>22</v>
      </c>
    </row>
    <row r="86">
      <c r="A86" s="15">
        <v>46241.8477591088</v>
      </c>
      <c r="B86" s="17"/>
      <c r="C86" s="17"/>
      <c r="D86" s="12" t="s">
        <v>112</v>
      </c>
      <c r="E86" s="11"/>
      <c r="F86" s="17"/>
      <c r="G86" s="10" t="s">
        <v>20</v>
      </c>
      <c r="H86" s="10">
        <v>52.33</v>
      </c>
      <c r="I86" s="10">
        <v>34.77</v>
      </c>
      <c r="J86" s="10">
        <v>147.53</v>
      </c>
      <c r="K86" s="10">
        <v>147.53</v>
      </c>
      <c r="L86" s="10" t="s">
        <v>21</v>
      </c>
      <c r="M86" s="10">
        <v>52.41</v>
      </c>
      <c r="N86" s="10">
        <v>34.85</v>
      </c>
      <c r="O86" s="10">
        <v>147.77</v>
      </c>
      <c r="P86" s="10">
        <v>147.85</v>
      </c>
      <c r="Q86" s="17"/>
      <c r="R86" s="10" t="s">
        <v>22</v>
      </c>
    </row>
    <row r="87">
      <c r="A87" s="15">
        <v>46241.850543657405</v>
      </c>
      <c r="B87" s="17"/>
      <c r="C87" s="17"/>
      <c r="D87" s="12" t="s">
        <v>113</v>
      </c>
      <c r="E87" s="12" t="s">
        <v>19</v>
      </c>
      <c r="F87" s="17"/>
      <c r="G87" s="10" t="s">
        <v>47</v>
      </c>
      <c r="H87" s="10">
        <v>56.47</v>
      </c>
      <c r="I87" s="10">
        <v>45.52</v>
      </c>
      <c r="J87" s="10">
        <v>170.0</v>
      </c>
      <c r="K87" s="10">
        <v>170.0</v>
      </c>
      <c r="L87" s="10" t="s">
        <v>21</v>
      </c>
      <c r="M87" s="10">
        <v>56.39</v>
      </c>
      <c r="N87" s="10">
        <v>45.52</v>
      </c>
      <c r="O87" s="10">
        <v>169.94</v>
      </c>
      <c r="P87" s="10">
        <v>169.94</v>
      </c>
      <c r="Q87" s="10" t="s">
        <v>19</v>
      </c>
      <c r="R87" s="10" t="s">
        <v>22</v>
      </c>
    </row>
    <row r="88">
      <c r="A88" s="15">
        <v>46241.85187358796</v>
      </c>
      <c r="B88" s="17"/>
      <c r="C88" s="17"/>
      <c r="D88" s="12" t="s">
        <v>114</v>
      </c>
      <c r="E88" s="12" t="s">
        <v>19</v>
      </c>
      <c r="F88" s="17"/>
      <c r="G88" s="10" t="s">
        <v>20</v>
      </c>
      <c r="H88" s="10">
        <v>43.94</v>
      </c>
      <c r="I88" s="10">
        <v>36.74</v>
      </c>
      <c r="J88" s="10">
        <v>129.92</v>
      </c>
      <c r="K88" s="10">
        <v>129.44</v>
      </c>
      <c r="L88" s="10" t="s">
        <v>21</v>
      </c>
      <c r="M88" s="10">
        <v>44.17</v>
      </c>
      <c r="N88" s="10">
        <v>36.93</v>
      </c>
      <c r="O88" s="10">
        <v>130.77</v>
      </c>
      <c r="P88" s="10">
        <v>130.34</v>
      </c>
      <c r="Q88" s="10" t="s">
        <v>19</v>
      </c>
      <c r="R88" s="10" t="s">
        <v>22</v>
      </c>
    </row>
    <row r="89">
      <c r="A89" s="15">
        <v>46241.854465069446</v>
      </c>
      <c r="B89" s="17"/>
      <c r="C89" s="17"/>
      <c r="D89" s="12" t="s">
        <v>94</v>
      </c>
      <c r="E89" s="12" t="s">
        <v>19</v>
      </c>
      <c r="F89" s="17"/>
      <c r="G89" s="10" t="s">
        <v>20</v>
      </c>
      <c r="H89" s="10">
        <v>50.5</v>
      </c>
      <c r="I89" s="10">
        <v>42.2</v>
      </c>
      <c r="J89" s="10">
        <v>153.89</v>
      </c>
      <c r="K89" s="10">
        <v>152.71</v>
      </c>
      <c r="L89" s="10" t="s">
        <v>21</v>
      </c>
      <c r="M89" s="10">
        <v>50.55</v>
      </c>
      <c r="N89" s="10">
        <v>42.73</v>
      </c>
      <c r="O89" s="10">
        <v>154.75</v>
      </c>
      <c r="P89" s="10">
        <v>154.31</v>
      </c>
      <c r="Q89" s="10" t="s">
        <v>19</v>
      </c>
      <c r="R89" s="10" t="s">
        <v>22</v>
      </c>
    </row>
    <row r="90">
      <c r="A90" s="15">
        <v>46241.860622962966</v>
      </c>
      <c r="B90" s="17"/>
      <c r="C90" s="17"/>
      <c r="D90" s="12" t="s">
        <v>115</v>
      </c>
      <c r="E90" s="12" t="s">
        <v>19</v>
      </c>
      <c r="F90" s="17"/>
      <c r="G90" s="10" t="s">
        <v>47</v>
      </c>
      <c r="H90" s="10">
        <v>56.38</v>
      </c>
      <c r="I90" s="10">
        <v>44.79</v>
      </c>
      <c r="J90" s="10">
        <v>168.86</v>
      </c>
      <c r="K90" s="10">
        <v>168.86</v>
      </c>
      <c r="L90" s="10" t="s">
        <v>21</v>
      </c>
      <c r="M90" s="10">
        <v>57.29</v>
      </c>
      <c r="N90" s="10">
        <v>44.8</v>
      </c>
      <c r="O90" s="10">
        <v>170.23</v>
      </c>
      <c r="P90" s="10">
        <v>170.23</v>
      </c>
      <c r="Q90" s="10" t="s">
        <v>19</v>
      </c>
      <c r="R90" s="10" t="s">
        <v>22</v>
      </c>
    </row>
    <row r="91">
      <c r="A91" s="15">
        <v>46241.86298670139</v>
      </c>
      <c r="B91" s="17"/>
      <c r="C91" s="17"/>
      <c r="D91" s="12" t="s">
        <v>116</v>
      </c>
      <c r="E91" s="12" t="s">
        <v>43</v>
      </c>
      <c r="F91" s="17"/>
      <c r="G91" s="17"/>
      <c r="H91" s="10">
        <v>55.83</v>
      </c>
      <c r="I91" s="10">
        <v>39.11</v>
      </c>
      <c r="J91" s="10">
        <v>164.12</v>
      </c>
      <c r="K91" s="10">
        <v>164.48</v>
      </c>
      <c r="L91" s="17"/>
      <c r="M91" s="10">
        <v>55.76</v>
      </c>
      <c r="N91" s="10">
        <v>39.05</v>
      </c>
      <c r="O91" s="10">
        <v>162.63</v>
      </c>
      <c r="P91" s="10">
        <v>163.21</v>
      </c>
      <c r="Q91" s="10" t="s">
        <v>19</v>
      </c>
      <c r="R91" s="17"/>
    </row>
    <row r="92">
      <c r="A92" s="15">
        <v>46241.86927969907</v>
      </c>
      <c r="B92" s="17"/>
      <c r="C92" s="17"/>
      <c r="D92" s="12" t="s">
        <v>117</v>
      </c>
      <c r="E92" s="11"/>
      <c r="F92" s="17"/>
      <c r="G92" s="17"/>
      <c r="H92" s="10">
        <v>53.93</v>
      </c>
      <c r="I92" s="10">
        <v>41.65</v>
      </c>
      <c r="J92" s="10">
        <v>159.46</v>
      </c>
      <c r="K92" s="10">
        <v>159.29</v>
      </c>
      <c r="L92" s="17"/>
      <c r="M92" s="10">
        <v>54.0</v>
      </c>
      <c r="N92" s="10">
        <v>41.71</v>
      </c>
      <c r="O92" s="10">
        <v>159.45</v>
      </c>
      <c r="P92" s="10">
        <v>159.31</v>
      </c>
      <c r="Q92" s="10" t="s">
        <v>43</v>
      </c>
      <c r="R92" s="17"/>
    </row>
    <row r="93">
      <c r="A93" s="15">
        <v>46241.8748221412</v>
      </c>
      <c r="B93" s="17"/>
      <c r="C93" s="17"/>
      <c r="D93" s="26" t="s">
        <v>118</v>
      </c>
      <c r="E93" s="11"/>
      <c r="F93" s="17"/>
      <c r="G93" s="17"/>
      <c r="H93" s="10">
        <v>56.83</v>
      </c>
      <c r="I93" s="10">
        <v>37.2</v>
      </c>
      <c r="J93" s="10">
        <v>159.63</v>
      </c>
      <c r="K93" s="10">
        <v>159.63</v>
      </c>
      <c r="L93" s="10" t="s">
        <v>119</v>
      </c>
      <c r="M93" s="10">
        <v>56.5</v>
      </c>
      <c r="N93" s="10">
        <v>36.9</v>
      </c>
      <c r="O93" s="10">
        <v>158.55</v>
      </c>
      <c r="P93" s="10">
        <v>158.88</v>
      </c>
      <c r="Q93" s="17"/>
      <c r="R93" s="17"/>
    </row>
    <row r="94">
      <c r="A94" s="15">
        <v>46241.87966979167</v>
      </c>
      <c r="B94" s="17"/>
      <c r="C94" s="17"/>
      <c r="D94" s="27" t="s">
        <v>120</v>
      </c>
      <c r="E94" s="11"/>
      <c r="F94" s="17"/>
      <c r="G94" s="17"/>
      <c r="H94" s="10">
        <v>58.12</v>
      </c>
      <c r="I94" s="10">
        <v>42.12</v>
      </c>
      <c r="J94" s="10">
        <v>171.95</v>
      </c>
      <c r="K94" s="10">
        <v>171.97</v>
      </c>
      <c r="L94" s="17"/>
      <c r="M94" s="10">
        <v>58.05</v>
      </c>
      <c r="N94" s="10">
        <v>42.05</v>
      </c>
      <c r="O94" s="10">
        <v>171.1</v>
      </c>
      <c r="P94" s="10">
        <v>171.01</v>
      </c>
      <c r="Q94" s="17"/>
      <c r="R94" s="17"/>
    </row>
    <row r="95">
      <c r="A95" s="15">
        <v>46241.87973983797</v>
      </c>
      <c r="B95" s="17"/>
      <c r="C95" s="17"/>
      <c r="D95" s="28" t="s">
        <v>121</v>
      </c>
      <c r="E95" s="11"/>
      <c r="F95" s="17"/>
      <c r="G95" s="17"/>
      <c r="H95" s="10">
        <v>57.0</v>
      </c>
      <c r="I95" s="10">
        <v>45.74</v>
      </c>
      <c r="J95" s="10">
        <v>170.33</v>
      </c>
      <c r="K95" s="10">
        <v>170.52</v>
      </c>
      <c r="L95" s="17"/>
      <c r="M95" s="10">
        <v>56.8</v>
      </c>
      <c r="N95" s="10">
        <v>45.55</v>
      </c>
      <c r="O95" s="10">
        <v>169.25</v>
      </c>
      <c r="P95" s="10">
        <v>169.33</v>
      </c>
      <c r="Q95" s="17"/>
      <c r="R95" s="17"/>
    </row>
    <row r="96">
      <c r="A96" s="15">
        <v>46241.882028113425</v>
      </c>
      <c r="B96" s="17"/>
      <c r="C96" s="17"/>
      <c r="D96" s="26" t="s">
        <v>122</v>
      </c>
      <c r="E96" s="11"/>
      <c r="F96" s="17"/>
      <c r="G96" s="17"/>
      <c r="H96" s="10">
        <v>52.4</v>
      </c>
      <c r="I96" s="10">
        <v>42.41</v>
      </c>
      <c r="J96" s="10">
        <v>154.64</v>
      </c>
      <c r="K96" s="10">
        <v>154.56</v>
      </c>
      <c r="L96" s="17"/>
      <c r="M96" s="10">
        <v>52.2</v>
      </c>
      <c r="N96" s="10">
        <v>42.2</v>
      </c>
      <c r="O96" s="10">
        <v>154.01</v>
      </c>
      <c r="P96" s="10">
        <v>153.65</v>
      </c>
      <c r="Q96" s="17"/>
      <c r="R96" s="17"/>
    </row>
    <row r="97">
      <c r="A97" s="15">
        <v>46241.907071180554</v>
      </c>
      <c r="B97" s="17"/>
      <c r="C97" s="17"/>
      <c r="D97" s="27" t="s">
        <v>123</v>
      </c>
      <c r="E97" s="11"/>
      <c r="F97" s="17"/>
      <c r="G97" s="17"/>
      <c r="H97" s="10">
        <v>52.45</v>
      </c>
      <c r="I97" s="10">
        <v>43.84</v>
      </c>
      <c r="J97" s="10">
        <v>157.31</v>
      </c>
      <c r="K97" s="10">
        <v>157.51</v>
      </c>
      <c r="L97" s="17"/>
      <c r="M97" s="10">
        <v>52.39</v>
      </c>
      <c r="N97" s="10">
        <v>43.8</v>
      </c>
      <c r="O97" s="10">
        <v>157.0</v>
      </c>
      <c r="P97" s="10">
        <v>157.09</v>
      </c>
      <c r="Q97" s="17"/>
      <c r="R97" s="17"/>
    </row>
    <row r="98">
      <c r="A98" s="15">
        <v>46241.91401813657</v>
      </c>
      <c r="B98" s="17"/>
      <c r="C98" s="17"/>
      <c r="D98" s="26" t="s">
        <v>124</v>
      </c>
      <c r="E98" s="12" t="s">
        <v>19</v>
      </c>
      <c r="F98" s="17"/>
      <c r="G98" s="17"/>
      <c r="H98" s="10">
        <v>51.14</v>
      </c>
      <c r="I98" s="10">
        <v>40.96</v>
      </c>
      <c r="J98" s="10">
        <v>155.27</v>
      </c>
      <c r="K98" s="10">
        <v>155.43</v>
      </c>
      <c r="L98" s="17"/>
      <c r="M98" s="10">
        <v>51.3</v>
      </c>
      <c r="N98" s="10">
        <v>41.05</v>
      </c>
      <c r="O98" s="10">
        <v>155.69</v>
      </c>
      <c r="P98" s="10">
        <v>155.79</v>
      </c>
      <c r="Q98" s="17"/>
      <c r="R98" s="17"/>
    </row>
    <row r="99">
      <c r="B99" s="17"/>
      <c r="C99" s="17"/>
      <c r="D99" s="11" t="str">
        <f t="shared" ref="D99:D101" si="1">B99&amp;"."&amp;C99</f>
        <v>.</v>
      </c>
      <c r="E99" s="11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</row>
    <row r="100">
      <c r="B100" s="17"/>
      <c r="C100" s="17"/>
      <c r="D100" s="11" t="str">
        <f t="shared" si="1"/>
        <v>.</v>
      </c>
      <c r="E100" s="11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</row>
    <row r="101">
      <c r="B101" s="17"/>
      <c r="C101" s="17"/>
      <c r="D101" s="11" t="str">
        <f t="shared" si="1"/>
        <v>.</v>
      </c>
      <c r="E101" s="11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</row>
    <row r="102">
      <c r="A102" s="15">
        <v>46241.905359571756</v>
      </c>
      <c r="B102" s="17"/>
      <c r="C102" s="17"/>
      <c r="D102" s="12" t="s">
        <v>125</v>
      </c>
      <c r="E102" s="11"/>
      <c r="F102" s="17"/>
      <c r="G102" s="10" t="s">
        <v>20</v>
      </c>
      <c r="H102" s="10">
        <v>49.53</v>
      </c>
      <c r="I102" s="10">
        <v>38.98</v>
      </c>
      <c r="J102" s="10">
        <v>146.86</v>
      </c>
      <c r="K102" s="10">
        <v>146.92</v>
      </c>
      <c r="L102" s="10" t="s">
        <v>119</v>
      </c>
      <c r="M102" s="10">
        <v>49.35</v>
      </c>
      <c r="N102" s="10">
        <v>38.7</v>
      </c>
      <c r="O102" s="10">
        <v>146.02</v>
      </c>
      <c r="P102" s="10">
        <v>156.41</v>
      </c>
      <c r="Q102" s="17"/>
      <c r="R102" s="10" t="s">
        <v>22</v>
      </c>
    </row>
    <row r="103">
      <c r="B103" s="17"/>
      <c r="C103" s="17"/>
      <c r="D103" s="26" t="s">
        <v>126</v>
      </c>
      <c r="E103" s="11"/>
      <c r="F103" s="17"/>
      <c r="G103" s="10" t="s">
        <v>20</v>
      </c>
      <c r="H103" s="10">
        <v>50.92</v>
      </c>
      <c r="I103" s="10">
        <v>35.87</v>
      </c>
      <c r="J103" s="10">
        <v>141.78</v>
      </c>
      <c r="K103" s="10">
        <v>141.74</v>
      </c>
      <c r="L103" s="10" t="s">
        <v>119</v>
      </c>
      <c r="M103" s="10">
        <v>50.72</v>
      </c>
      <c r="N103" s="10">
        <v>35.67</v>
      </c>
      <c r="O103" s="10">
        <v>141.12</v>
      </c>
      <c r="P103" s="10">
        <v>141.18</v>
      </c>
      <c r="Q103" s="17"/>
      <c r="R103" s="10" t="s">
        <v>22</v>
      </c>
    </row>
    <row r="104">
      <c r="A104" s="15">
        <v>46241.908999293984</v>
      </c>
      <c r="B104" s="17"/>
      <c r="C104" s="17"/>
      <c r="D104" s="26" t="s">
        <v>127</v>
      </c>
      <c r="E104" s="11"/>
      <c r="F104" s="17"/>
      <c r="G104" s="10" t="s">
        <v>20</v>
      </c>
      <c r="H104" s="10">
        <v>56.6</v>
      </c>
      <c r="I104" s="10">
        <v>36.94</v>
      </c>
      <c r="J104" s="10">
        <v>159.36</v>
      </c>
      <c r="K104" s="10">
        <v>159.24</v>
      </c>
      <c r="L104" s="10" t="s">
        <v>119</v>
      </c>
      <c r="M104" s="10">
        <v>56.4</v>
      </c>
      <c r="N104" s="10">
        <v>36.7</v>
      </c>
      <c r="O104" s="10">
        <v>158.25</v>
      </c>
      <c r="P104" s="10">
        <v>158.1</v>
      </c>
      <c r="Q104" s="17"/>
      <c r="R104" s="10" t="s">
        <v>22</v>
      </c>
    </row>
    <row r="105">
      <c r="A105" s="15">
        <v>46241.91238380787</v>
      </c>
      <c r="B105" s="17"/>
      <c r="C105" s="17"/>
      <c r="D105" s="12" t="s">
        <v>128</v>
      </c>
      <c r="E105" s="11"/>
      <c r="F105" s="17"/>
      <c r="G105" s="10" t="s">
        <v>20</v>
      </c>
      <c r="H105" s="10">
        <v>47.31</v>
      </c>
      <c r="I105" s="10">
        <v>43.4</v>
      </c>
      <c r="J105" s="10">
        <v>146.43</v>
      </c>
      <c r="K105" s="10">
        <v>146.95</v>
      </c>
      <c r="L105" s="10" t="s">
        <v>119</v>
      </c>
      <c r="M105" s="10">
        <v>47.5</v>
      </c>
      <c r="N105" s="10">
        <v>43.6</v>
      </c>
      <c r="O105" s="10">
        <v>147.08</v>
      </c>
      <c r="P105" s="10">
        <v>147.61</v>
      </c>
      <c r="Q105" s="17"/>
      <c r="R105" s="10" t="s">
        <v>22</v>
      </c>
    </row>
    <row r="106">
      <c r="A106" s="15">
        <v>46241.91523828704</v>
      </c>
      <c r="B106" s="17"/>
      <c r="C106" s="17"/>
      <c r="D106" s="26" t="s">
        <v>129</v>
      </c>
      <c r="E106" s="11"/>
      <c r="F106" s="17"/>
      <c r="G106" s="10" t="s">
        <v>20</v>
      </c>
      <c r="H106" s="10">
        <v>52.96</v>
      </c>
      <c r="I106" s="10">
        <v>40.1</v>
      </c>
      <c r="J106" s="10">
        <v>156.27</v>
      </c>
      <c r="K106" s="10">
        <v>156.29</v>
      </c>
      <c r="L106" s="10" t="s">
        <v>119</v>
      </c>
      <c r="M106" s="10">
        <v>52.75</v>
      </c>
      <c r="N106" s="10">
        <v>39.9</v>
      </c>
      <c r="O106" s="10">
        <v>155.44</v>
      </c>
      <c r="P106" s="10">
        <v>155.17</v>
      </c>
      <c r="Q106" s="17"/>
      <c r="R106" s="10" t="s">
        <v>22</v>
      </c>
    </row>
    <row r="107">
      <c r="A107" s="15">
        <v>46241.91742092592</v>
      </c>
      <c r="B107" s="17"/>
      <c r="C107" s="17"/>
      <c r="D107" s="28" t="s">
        <v>130</v>
      </c>
      <c r="E107" s="11"/>
      <c r="F107" s="17"/>
      <c r="G107" s="10" t="s">
        <v>20</v>
      </c>
      <c r="H107" s="10">
        <v>49.72</v>
      </c>
      <c r="I107" s="10">
        <v>40.3</v>
      </c>
      <c r="J107" s="10">
        <v>148.61</v>
      </c>
      <c r="K107" s="10">
        <v>148.61</v>
      </c>
      <c r="L107" s="10" t="s">
        <v>119</v>
      </c>
      <c r="M107" s="10">
        <v>49.62</v>
      </c>
      <c r="N107" s="10">
        <v>40.1</v>
      </c>
      <c r="O107" s="10">
        <v>148.18</v>
      </c>
      <c r="P107" s="10">
        <v>148.13</v>
      </c>
      <c r="Q107" s="17"/>
      <c r="R107" s="10" t="s">
        <v>22</v>
      </c>
    </row>
    <row r="108">
      <c r="A108" s="15">
        <v>46242.0</v>
      </c>
      <c r="B108" s="10" t="s">
        <v>131</v>
      </c>
      <c r="C108" s="10" t="s">
        <v>131</v>
      </c>
      <c r="D108" s="28" t="s">
        <v>132</v>
      </c>
      <c r="E108" s="12" t="s">
        <v>133</v>
      </c>
      <c r="F108" s="17"/>
      <c r="G108" s="10" t="s">
        <v>20</v>
      </c>
      <c r="H108" s="29">
        <v>56.5</v>
      </c>
      <c r="I108" s="29">
        <v>36.3</v>
      </c>
      <c r="J108" s="29">
        <v>157.52</v>
      </c>
      <c r="K108" s="29">
        <v>156.69</v>
      </c>
      <c r="L108" s="10" t="s">
        <v>21</v>
      </c>
      <c r="M108" s="10">
        <v>56.81</v>
      </c>
      <c r="N108" s="10">
        <v>36.38</v>
      </c>
      <c r="O108" s="10">
        <v>158.55</v>
      </c>
      <c r="P108" s="10">
        <v>158.55</v>
      </c>
      <c r="Q108" s="17"/>
      <c r="R108" s="10" t="s">
        <v>102</v>
      </c>
    </row>
    <row r="109">
      <c r="A109" s="15">
        <v>46242.54480275463</v>
      </c>
      <c r="B109" s="17"/>
      <c r="C109" s="17"/>
      <c r="D109" s="12" t="s">
        <v>134</v>
      </c>
      <c r="E109" s="12" t="s">
        <v>133</v>
      </c>
      <c r="F109" s="17"/>
      <c r="G109" s="10" t="s">
        <v>20</v>
      </c>
      <c r="H109" s="10">
        <v>50.52</v>
      </c>
      <c r="I109" s="10">
        <v>43.24</v>
      </c>
      <c r="J109" s="10">
        <v>152.11</v>
      </c>
      <c r="K109" s="10">
        <v>151.78</v>
      </c>
      <c r="L109" s="10" t="s">
        <v>21</v>
      </c>
      <c r="M109" s="10">
        <v>49.49</v>
      </c>
      <c r="N109" s="10">
        <v>41.61</v>
      </c>
      <c r="O109" s="10">
        <v>147.97</v>
      </c>
      <c r="P109" s="10">
        <v>149.06</v>
      </c>
      <c r="Q109" s="17"/>
      <c r="R109" s="10" t="s">
        <v>102</v>
      </c>
    </row>
    <row r="110">
      <c r="A110" s="15">
        <v>46242.551078749995</v>
      </c>
      <c r="B110" s="17"/>
      <c r="C110" s="17"/>
      <c r="D110" s="25" t="s">
        <v>107</v>
      </c>
      <c r="E110" s="12" t="s">
        <v>89</v>
      </c>
      <c r="F110" s="17"/>
      <c r="G110" s="10" t="s">
        <v>20</v>
      </c>
      <c r="H110" s="10">
        <v>48.6</v>
      </c>
      <c r="I110" s="10">
        <v>44.4</v>
      </c>
      <c r="J110" s="10">
        <v>152.06</v>
      </c>
      <c r="K110" s="10">
        <v>152.06</v>
      </c>
      <c r="L110" s="10" t="s">
        <v>21</v>
      </c>
      <c r="M110" s="10">
        <v>50.25</v>
      </c>
      <c r="N110" s="10">
        <v>46.97</v>
      </c>
      <c r="O110" s="10">
        <v>158.95</v>
      </c>
      <c r="P110" s="10">
        <v>158.07</v>
      </c>
      <c r="Q110" s="17"/>
      <c r="R110" s="10" t="s">
        <v>102</v>
      </c>
    </row>
    <row r="111">
      <c r="A111" s="15">
        <v>46243.0</v>
      </c>
      <c r="B111" s="17"/>
      <c r="C111" s="17"/>
      <c r="D111" s="12" t="s">
        <v>125</v>
      </c>
      <c r="E111" s="12" t="s">
        <v>133</v>
      </c>
      <c r="F111" s="17"/>
      <c r="G111" s="10" t="s">
        <v>20</v>
      </c>
      <c r="H111" s="10">
        <v>49.53</v>
      </c>
      <c r="I111" s="10">
        <v>38.98</v>
      </c>
      <c r="J111" s="10">
        <v>146.86</v>
      </c>
      <c r="K111" s="10">
        <v>146.92</v>
      </c>
      <c r="L111" s="10" t="s">
        <v>21</v>
      </c>
      <c r="M111" s="10">
        <v>49.45</v>
      </c>
      <c r="N111" s="10">
        <v>38.56</v>
      </c>
      <c r="O111" s="10">
        <v>145.96</v>
      </c>
      <c r="P111" s="10">
        <v>146.3</v>
      </c>
      <c r="Q111" s="17"/>
      <c r="R111" s="10" t="s">
        <v>102</v>
      </c>
    </row>
    <row r="112">
      <c r="A112" s="15">
        <v>46243.51264194444</v>
      </c>
      <c r="B112" s="17"/>
      <c r="C112" s="17"/>
      <c r="D112" s="30" t="s">
        <v>135</v>
      </c>
      <c r="E112" s="12" t="s">
        <v>133</v>
      </c>
      <c r="F112" s="17"/>
      <c r="G112" s="17"/>
      <c r="H112" s="10">
        <v>56.0</v>
      </c>
      <c r="I112" s="10">
        <v>39.53</v>
      </c>
      <c r="J112" s="10">
        <v>164.5</v>
      </c>
      <c r="K112" s="10">
        <v>163.84</v>
      </c>
      <c r="L112" s="17"/>
      <c r="M112" s="10">
        <v>55.9</v>
      </c>
      <c r="N112" s="10">
        <v>39.45</v>
      </c>
      <c r="O112" s="10">
        <v>164.9</v>
      </c>
      <c r="P112" s="10">
        <v>163.57</v>
      </c>
      <c r="Q112" s="17"/>
      <c r="R112" s="17"/>
    </row>
    <row r="113">
      <c r="A113" s="15">
        <v>46243.513806504634</v>
      </c>
      <c r="B113" s="17"/>
      <c r="C113" s="17"/>
      <c r="D113" s="31" t="s">
        <v>136</v>
      </c>
      <c r="E113" s="12" t="s">
        <v>137</v>
      </c>
      <c r="F113" s="17"/>
      <c r="G113" s="17"/>
      <c r="H113" s="10">
        <v>58.17</v>
      </c>
      <c r="I113" s="10">
        <v>47.18</v>
      </c>
      <c r="J113" s="10">
        <v>173.83</v>
      </c>
      <c r="K113" s="10">
        <v>174.02</v>
      </c>
      <c r="L113" s="17"/>
      <c r="M113" s="10">
        <v>58.12</v>
      </c>
      <c r="N113" s="10">
        <v>47.12</v>
      </c>
      <c r="O113" s="10">
        <v>173.7</v>
      </c>
      <c r="P113" s="10">
        <v>173.89</v>
      </c>
      <c r="Q113" s="17"/>
      <c r="R113" s="17"/>
    </row>
    <row r="114">
      <c r="A114" s="15">
        <v>46243.515375138886</v>
      </c>
      <c r="B114" s="17"/>
      <c r="C114" s="17"/>
      <c r="D114" s="30" t="s">
        <v>138</v>
      </c>
      <c r="E114" s="12" t="s">
        <v>139</v>
      </c>
      <c r="F114" s="17"/>
      <c r="G114" s="17"/>
      <c r="H114" s="10">
        <v>53.98</v>
      </c>
      <c r="I114" s="10">
        <v>40.81</v>
      </c>
      <c r="J114" s="10">
        <v>162.36</v>
      </c>
      <c r="K114" s="10">
        <v>161.88</v>
      </c>
      <c r="L114" s="17"/>
      <c r="M114" s="10">
        <v>53.93</v>
      </c>
      <c r="N114" s="10">
        <v>40.77</v>
      </c>
      <c r="O114" s="10">
        <v>162.16</v>
      </c>
      <c r="P114" s="10">
        <v>161.69</v>
      </c>
      <c r="Q114" s="17"/>
      <c r="R114" s="17"/>
    </row>
    <row r="115">
      <c r="A115" s="15">
        <v>46243.15859578704</v>
      </c>
      <c r="B115" s="17"/>
      <c r="C115" s="17"/>
      <c r="D115" s="12" t="s">
        <v>140</v>
      </c>
      <c r="E115" s="11"/>
      <c r="F115" s="17"/>
      <c r="G115" s="10" t="s">
        <v>20</v>
      </c>
      <c r="H115" s="10">
        <v>52.6</v>
      </c>
      <c r="I115" s="10">
        <v>36.37</v>
      </c>
      <c r="J115" s="10">
        <v>151.97</v>
      </c>
      <c r="K115" s="10">
        <v>152.08</v>
      </c>
      <c r="L115" s="10" t="s">
        <v>21</v>
      </c>
      <c r="M115" s="10">
        <v>52.68</v>
      </c>
      <c r="N115" s="10">
        <v>36.43</v>
      </c>
      <c r="O115" s="10">
        <v>152.03</v>
      </c>
      <c r="P115" s="10">
        <v>151.67</v>
      </c>
      <c r="Q115" s="10" t="s">
        <v>19</v>
      </c>
      <c r="R115" s="10" t="s">
        <v>67</v>
      </c>
    </row>
    <row r="116">
      <c r="A116" s="15">
        <v>46243.162306666665</v>
      </c>
      <c r="B116" s="17"/>
      <c r="C116" s="17"/>
      <c r="D116" s="12" t="s">
        <v>141</v>
      </c>
      <c r="E116" s="11"/>
      <c r="F116" s="17"/>
      <c r="G116" s="10" t="s">
        <v>20</v>
      </c>
      <c r="H116" s="10">
        <v>47.62</v>
      </c>
      <c r="I116" s="10">
        <v>32.94</v>
      </c>
      <c r="J116" s="10">
        <v>136.95</v>
      </c>
      <c r="K116" s="10">
        <v>137.75</v>
      </c>
      <c r="L116" s="10" t="s">
        <v>21</v>
      </c>
      <c r="M116" s="10">
        <v>47.58</v>
      </c>
      <c r="N116" s="10">
        <v>33.26</v>
      </c>
      <c r="O116" s="10">
        <v>136.97</v>
      </c>
      <c r="P116" s="10">
        <v>136.96</v>
      </c>
      <c r="Q116" s="10" t="s">
        <v>43</v>
      </c>
      <c r="R116" s="10" t="s">
        <v>67</v>
      </c>
    </row>
    <row r="117">
      <c r="A117" s="15">
        <v>46243.31997707176</v>
      </c>
      <c r="B117" s="17"/>
      <c r="C117" s="17"/>
      <c r="D117" s="28" t="s">
        <v>142</v>
      </c>
      <c r="E117" s="12" t="s">
        <v>19</v>
      </c>
      <c r="F117" s="10">
        <v>9.1</v>
      </c>
      <c r="G117" s="10" t="s">
        <v>20</v>
      </c>
      <c r="H117" s="10">
        <v>50.74</v>
      </c>
      <c r="I117" s="10">
        <v>30.9</v>
      </c>
      <c r="J117" s="10">
        <v>130.16</v>
      </c>
      <c r="K117" s="10">
        <v>130.44</v>
      </c>
      <c r="L117" s="10" t="s">
        <v>119</v>
      </c>
      <c r="M117" s="10">
        <v>50.89</v>
      </c>
      <c r="N117" s="10">
        <v>31.07</v>
      </c>
      <c r="O117" s="10">
        <v>129.69</v>
      </c>
      <c r="P117" s="10">
        <v>130.57</v>
      </c>
      <c r="Q117" s="10" t="s">
        <v>19</v>
      </c>
      <c r="R117" s="10" t="s">
        <v>102</v>
      </c>
    </row>
    <row r="118">
      <c r="A118" s="15">
        <v>46243.32493983796</v>
      </c>
      <c r="B118" s="17"/>
      <c r="C118" s="17"/>
      <c r="D118" s="28" t="s">
        <v>143</v>
      </c>
      <c r="E118" s="12" t="s">
        <v>19</v>
      </c>
      <c r="F118" s="10">
        <v>43.5</v>
      </c>
      <c r="G118" s="10" t="s">
        <v>20</v>
      </c>
      <c r="H118" s="10">
        <v>51.62</v>
      </c>
      <c r="I118" s="10">
        <v>43.52</v>
      </c>
      <c r="J118" s="10">
        <v>154.7</v>
      </c>
      <c r="K118" s="10">
        <v>155.13</v>
      </c>
      <c r="L118" s="10" t="s">
        <v>119</v>
      </c>
      <c r="M118" s="10">
        <v>51.79</v>
      </c>
      <c r="N118" s="10">
        <v>44.02</v>
      </c>
      <c r="O118" s="10">
        <v>155.44</v>
      </c>
      <c r="P118" s="10">
        <v>155.37</v>
      </c>
      <c r="Q118" s="10" t="s">
        <v>19</v>
      </c>
      <c r="R118" s="10" t="s">
        <v>102</v>
      </c>
    </row>
    <row r="119">
      <c r="A119" s="15">
        <v>46243.32763353009</v>
      </c>
      <c r="B119" s="17"/>
      <c r="C119" s="17"/>
      <c r="D119" s="12" t="s">
        <v>144</v>
      </c>
      <c r="E119" s="12" t="s">
        <v>19</v>
      </c>
      <c r="F119" s="10">
        <v>6.1</v>
      </c>
      <c r="G119" s="10" t="s">
        <v>20</v>
      </c>
      <c r="H119" s="10">
        <v>52.38</v>
      </c>
      <c r="I119" s="10">
        <v>41.9</v>
      </c>
      <c r="J119" s="10">
        <v>155.49</v>
      </c>
      <c r="K119" s="10">
        <v>155.49</v>
      </c>
      <c r="L119" s="17"/>
      <c r="M119" s="10">
        <v>52.47</v>
      </c>
      <c r="N119" s="10">
        <v>41.97</v>
      </c>
      <c r="O119" s="10">
        <v>155.79</v>
      </c>
      <c r="P119" s="10">
        <v>155.79</v>
      </c>
      <c r="Q119" s="10" t="s">
        <v>19</v>
      </c>
      <c r="R119" s="17"/>
    </row>
    <row r="120">
      <c r="A120" s="15">
        <v>46243.33158020834</v>
      </c>
      <c r="B120" s="17"/>
      <c r="C120" s="17"/>
      <c r="D120" s="28" t="s">
        <v>145</v>
      </c>
      <c r="E120" s="12" t="s">
        <v>43</v>
      </c>
      <c r="F120" s="10">
        <v>5.9</v>
      </c>
      <c r="G120" s="10" t="s">
        <v>20</v>
      </c>
      <c r="H120" s="10">
        <v>50.23</v>
      </c>
      <c r="I120" s="10">
        <v>38.09</v>
      </c>
      <c r="J120" s="10">
        <v>140.56</v>
      </c>
      <c r="K120" s="10">
        <v>140.75</v>
      </c>
      <c r="L120" s="17"/>
      <c r="M120" s="10">
        <v>49.77</v>
      </c>
      <c r="N120" s="10">
        <v>38.0</v>
      </c>
      <c r="O120" s="10">
        <v>140.42</v>
      </c>
      <c r="P120" s="10">
        <v>139.72</v>
      </c>
      <c r="Q120" s="10" t="s">
        <v>43</v>
      </c>
      <c r="R120" s="17"/>
    </row>
    <row r="121">
      <c r="A121" s="15">
        <v>46243.69680696759</v>
      </c>
      <c r="B121" s="17"/>
      <c r="C121" s="17"/>
      <c r="D121" s="27" t="s">
        <v>146</v>
      </c>
      <c r="E121" s="12" t="s">
        <v>43</v>
      </c>
      <c r="F121" s="17"/>
      <c r="G121" s="17"/>
      <c r="H121" s="10">
        <v>51.55</v>
      </c>
      <c r="I121" s="10">
        <v>41.05</v>
      </c>
      <c r="J121" s="10">
        <v>156.03</v>
      </c>
      <c r="K121" s="10">
        <v>156.32</v>
      </c>
      <c r="L121" s="17"/>
      <c r="M121" s="10">
        <v>51.49</v>
      </c>
      <c r="N121" s="10">
        <v>41.0</v>
      </c>
      <c r="O121" s="10">
        <v>155.76</v>
      </c>
      <c r="P121" s="10">
        <v>155.94</v>
      </c>
      <c r="Q121" s="17"/>
      <c r="R121" s="17"/>
    </row>
    <row r="122">
      <c r="A122" s="15">
        <v>46243.70175930556</v>
      </c>
      <c r="B122" s="17"/>
      <c r="C122" s="17"/>
      <c r="D122" s="27" t="s">
        <v>147</v>
      </c>
      <c r="E122" s="11"/>
      <c r="F122" s="17"/>
      <c r="G122" s="17"/>
      <c r="H122" s="10">
        <v>55.17</v>
      </c>
      <c r="I122" s="10">
        <v>34.59</v>
      </c>
      <c r="J122" s="10">
        <v>155.33</v>
      </c>
      <c r="K122" s="10">
        <v>155.61</v>
      </c>
      <c r="L122" s="17"/>
      <c r="M122" s="10">
        <v>55.11</v>
      </c>
      <c r="N122" s="10">
        <v>34.55</v>
      </c>
      <c r="O122" s="10">
        <v>154.83</v>
      </c>
      <c r="P122" s="10">
        <v>155.22</v>
      </c>
      <c r="Q122" s="17"/>
      <c r="R122" s="17"/>
    </row>
    <row r="123">
      <c r="A123" s="15">
        <v>46243.705922256944</v>
      </c>
      <c r="B123" s="17"/>
      <c r="C123" s="17"/>
      <c r="D123" s="27" t="s">
        <v>148</v>
      </c>
      <c r="E123" s="11"/>
      <c r="F123" s="17"/>
      <c r="G123" s="17"/>
      <c r="H123" s="10">
        <v>53.11</v>
      </c>
      <c r="I123" s="10">
        <v>40.44</v>
      </c>
      <c r="J123" s="10">
        <v>151.38</v>
      </c>
      <c r="K123" s="10">
        <v>151.34</v>
      </c>
      <c r="L123" s="17"/>
      <c r="M123" s="10">
        <v>53.06</v>
      </c>
      <c r="N123" s="10">
        <v>40.39</v>
      </c>
      <c r="O123" s="10">
        <v>151.06</v>
      </c>
      <c r="P123" s="10">
        <v>151.0</v>
      </c>
      <c r="Q123" s="17"/>
      <c r="R123" s="17"/>
    </row>
    <row r="124">
      <c r="A124" s="15">
        <v>46243.708939143515</v>
      </c>
      <c r="B124" s="17"/>
      <c r="C124" s="17"/>
      <c r="D124" s="27" t="s">
        <v>149</v>
      </c>
      <c r="E124" s="11"/>
      <c r="F124" s="17"/>
      <c r="G124" s="17"/>
      <c r="H124" s="10">
        <v>54.59</v>
      </c>
      <c r="I124" s="10">
        <v>41.83</v>
      </c>
      <c r="J124" s="10">
        <v>163.72</v>
      </c>
      <c r="K124" s="10">
        <v>163.75</v>
      </c>
      <c r="L124" s="17"/>
      <c r="M124" s="10">
        <v>54.54</v>
      </c>
      <c r="N124" s="10">
        <v>41.79</v>
      </c>
      <c r="O124" s="10">
        <v>163.21</v>
      </c>
      <c r="P124" s="10">
        <v>163.19</v>
      </c>
      <c r="Q124" s="17"/>
      <c r="R124" s="17"/>
    </row>
    <row r="125">
      <c r="A125" s="15">
        <v>46243.71587005787</v>
      </c>
      <c r="B125" s="17"/>
      <c r="C125" s="17"/>
      <c r="D125" s="27" t="s">
        <v>150</v>
      </c>
      <c r="E125" s="11"/>
      <c r="F125" s="17"/>
      <c r="G125" s="17"/>
      <c r="H125" s="10">
        <v>54.24</v>
      </c>
      <c r="I125" s="10">
        <v>37.5</v>
      </c>
      <c r="J125" s="10">
        <v>151.99</v>
      </c>
      <c r="K125" s="10">
        <v>151.89</v>
      </c>
      <c r="L125" s="17"/>
      <c r="M125" s="17"/>
      <c r="N125" s="17"/>
      <c r="O125" s="17"/>
      <c r="P125" s="17"/>
      <c r="Q125" s="17"/>
      <c r="R125" s="17"/>
    </row>
    <row r="126">
      <c r="A126" s="32">
        <v>46243.82649525463</v>
      </c>
      <c r="B126" s="33"/>
      <c r="C126" s="33"/>
      <c r="D126" s="34" t="s">
        <v>151</v>
      </c>
      <c r="E126" s="34" t="s">
        <v>89</v>
      </c>
      <c r="F126" s="33"/>
      <c r="G126" s="33"/>
      <c r="H126" s="35">
        <v>47.36</v>
      </c>
      <c r="I126" s="35">
        <v>41.58</v>
      </c>
      <c r="J126" s="35">
        <v>144.41</v>
      </c>
      <c r="K126" s="35">
        <v>144.41</v>
      </c>
      <c r="L126" s="33"/>
      <c r="M126" s="35">
        <v>49.19</v>
      </c>
      <c r="N126" s="35">
        <v>41.72</v>
      </c>
      <c r="O126" s="35">
        <v>147.69</v>
      </c>
      <c r="P126" s="35">
        <v>147.2</v>
      </c>
      <c r="Q126" s="33"/>
      <c r="R126" s="33"/>
      <c r="S126" s="36"/>
      <c r="T126" s="36"/>
      <c r="U126" s="36"/>
      <c r="V126" s="36"/>
      <c r="W126" s="36"/>
    </row>
    <row r="127">
      <c r="A127" s="15">
        <v>46243.0</v>
      </c>
      <c r="B127" s="17"/>
      <c r="C127" s="17"/>
      <c r="D127" s="12" t="s">
        <v>152</v>
      </c>
      <c r="E127" s="12" t="s">
        <v>19</v>
      </c>
      <c r="F127" s="17"/>
      <c r="G127" s="10" t="s">
        <v>20</v>
      </c>
      <c r="H127" s="10">
        <v>49.98</v>
      </c>
      <c r="I127" s="10">
        <v>39.17</v>
      </c>
      <c r="J127" s="10">
        <v>148.31</v>
      </c>
      <c r="K127" s="10">
        <v>154.9</v>
      </c>
      <c r="L127" s="10" t="s">
        <v>21</v>
      </c>
      <c r="M127" s="10">
        <v>49.98</v>
      </c>
      <c r="N127" s="10">
        <v>39.17</v>
      </c>
      <c r="O127" s="10">
        <v>148.31</v>
      </c>
      <c r="P127" s="10">
        <v>148.31</v>
      </c>
      <c r="Q127" s="10" t="s">
        <v>25</v>
      </c>
      <c r="R127" s="10" t="s">
        <v>67</v>
      </c>
    </row>
    <row r="128">
      <c r="A128" s="15">
        <v>46244.725285266206</v>
      </c>
      <c r="B128" s="17"/>
      <c r="C128" s="17"/>
      <c r="D128" s="12" t="s">
        <v>153</v>
      </c>
      <c r="E128" s="12" t="s">
        <v>19</v>
      </c>
      <c r="F128" s="17"/>
      <c r="G128" s="10" t="s">
        <v>20</v>
      </c>
      <c r="H128" s="10">
        <v>50.75</v>
      </c>
      <c r="I128" s="10">
        <v>43.26</v>
      </c>
      <c r="J128" s="10">
        <v>153.67</v>
      </c>
      <c r="K128" s="10">
        <v>153.67</v>
      </c>
      <c r="L128" s="10" t="s">
        <v>21</v>
      </c>
      <c r="M128" s="10">
        <v>50.69</v>
      </c>
      <c r="N128" s="10">
        <v>43.59</v>
      </c>
      <c r="O128" s="10">
        <v>154.09</v>
      </c>
      <c r="P128" s="10">
        <v>153.97</v>
      </c>
      <c r="Q128" s="10" t="s">
        <v>19</v>
      </c>
      <c r="R128" s="10" t="s">
        <v>22</v>
      </c>
    </row>
    <row r="129">
      <c r="A129" s="15">
        <v>46244.7279194213</v>
      </c>
      <c r="B129" s="17"/>
      <c r="C129" s="17"/>
      <c r="D129" s="12" t="s">
        <v>154</v>
      </c>
      <c r="E129" s="12" t="s">
        <v>19</v>
      </c>
      <c r="F129" s="17"/>
      <c r="G129" s="10" t="s">
        <v>20</v>
      </c>
      <c r="H129" s="10">
        <v>50.08</v>
      </c>
      <c r="I129" s="10">
        <v>42.22</v>
      </c>
      <c r="J129" s="10">
        <v>149.75</v>
      </c>
      <c r="K129" s="10">
        <v>149.68</v>
      </c>
      <c r="L129" s="10" t="s">
        <v>21</v>
      </c>
      <c r="M129" s="10">
        <v>51.91</v>
      </c>
      <c r="N129" s="10">
        <v>43.91</v>
      </c>
      <c r="O129" s="10">
        <v>155.25</v>
      </c>
      <c r="P129" s="10">
        <v>155.81</v>
      </c>
      <c r="Q129" s="10" t="s">
        <v>19</v>
      </c>
      <c r="R129" s="10" t="s">
        <v>22</v>
      </c>
    </row>
    <row r="130">
      <c r="A130" s="15">
        <v>46245.40101659722</v>
      </c>
      <c r="B130" s="17"/>
      <c r="C130" s="17"/>
      <c r="D130" s="12" t="s">
        <v>155</v>
      </c>
      <c r="E130" s="12" t="s">
        <v>156</v>
      </c>
      <c r="F130" s="17"/>
      <c r="G130" s="10" t="s">
        <v>20</v>
      </c>
      <c r="H130" s="10">
        <v>51.06</v>
      </c>
      <c r="I130" s="10">
        <v>44.31</v>
      </c>
      <c r="J130" s="10">
        <v>154.96</v>
      </c>
      <c r="K130" s="10">
        <v>155.65</v>
      </c>
      <c r="L130" s="10" t="s">
        <v>21</v>
      </c>
      <c r="M130" s="10">
        <v>57.76</v>
      </c>
      <c r="N130" s="10">
        <v>41.89</v>
      </c>
      <c r="O130" s="10">
        <v>168.28</v>
      </c>
      <c r="P130" s="10">
        <v>168.28</v>
      </c>
      <c r="Q130" s="17"/>
      <c r="R130" s="17"/>
    </row>
    <row r="131">
      <c r="B131" s="17"/>
      <c r="C131" s="17"/>
      <c r="D131" s="12" t="s">
        <v>157</v>
      </c>
      <c r="E131" s="12" t="s">
        <v>19</v>
      </c>
      <c r="F131" s="17"/>
      <c r="G131" s="10" t="s">
        <v>20</v>
      </c>
      <c r="H131" s="10">
        <v>49.58</v>
      </c>
      <c r="I131" s="10">
        <v>41.95</v>
      </c>
      <c r="J131" s="10">
        <v>148.89</v>
      </c>
      <c r="K131" s="10">
        <v>148.89</v>
      </c>
      <c r="L131" s="10" t="s">
        <v>21</v>
      </c>
      <c r="M131" s="10">
        <v>50.05</v>
      </c>
      <c r="N131" s="10">
        <v>42.56</v>
      </c>
      <c r="O131" s="10">
        <v>150.89</v>
      </c>
      <c r="P131" s="10">
        <v>151.06</v>
      </c>
      <c r="Q131" s="10"/>
      <c r="R131" s="17"/>
      <c r="S131" s="10">
        <v>151.06</v>
      </c>
    </row>
    <row r="132">
      <c r="A132" s="15">
        <v>46245.69432866898</v>
      </c>
      <c r="B132" s="17"/>
      <c r="C132" s="17"/>
      <c r="D132" s="12" t="s">
        <v>158</v>
      </c>
      <c r="E132" s="12" t="s">
        <v>19</v>
      </c>
      <c r="F132" s="17"/>
      <c r="G132" s="10" t="s">
        <v>20</v>
      </c>
      <c r="H132" s="10">
        <v>49.97</v>
      </c>
      <c r="I132" s="10">
        <v>42.4</v>
      </c>
      <c r="J132" s="10">
        <v>149.78</v>
      </c>
      <c r="K132" s="10">
        <v>149.72</v>
      </c>
      <c r="L132" s="10" t="s">
        <v>21</v>
      </c>
      <c r="M132" s="10">
        <v>51.98</v>
      </c>
      <c r="N132" s="10">
        <v>44.02</v>
      </c>
      <c r="O132" s="10">
        <v>155.59</v>
      </c>
      <c r="P132" s="10">
        <v>155.26</v>
      </c>
      <c r="Q132" s="10" t="s">
        <v>19</v>
      </c>
      <c r="R132" s="10" t="s">
        <v>22</v>
      </c>
      <c r="S132" s="21" t="s">
        <v>159</v>
      </c>
    </row>
    <row r="133">
      <c r="A133" s="15">
        <v>46245.7447917824</v>
      </c>
      <c r="B133" s="17"/>
      <c r="C133" s="17"/>
      <c r="D133" s="12" t="s">
        <v>160</v>
      </c>
      <c r="E133" s="12" t="s">
        <v>19</v>
      </c>
      <c r="F133" s="17"/>
      <c r="G133" s="10" t="s">
        <v>20</v>
      </c>
      <c r="H133" s="10">
        <v>50.77</v>
      </c>
      <c r="I133" s="10">
        <v>40.04</v>
      </c>
      <c r="J133" s="10">
        <v>152.84</v>
      </c>
      <c r="K133" s="10">
        <v>152.84</v>
      </c>
      <c r="L133" s="10" t="s">
        <v>21</v>
      </c>
      <c r="M133" s="10">
        <v>50.82</v>
      </c>
      <c r="N133" s="10">
        <v>40.08</v>
      </c>
      <c r="O133" s="10">
        <v>153.16</v>
      </c>
      <c r="P133" s="10">
        <v>153.98</v>
      </c>
      <c r="Q133" s="10" t="s">
        <v>19</v>
      </c>
      <c r="R133" s="10" t="s">
        <v>22</v>
      </c>
    </row>
    <row r="134">
      <c r="A134" s="15">
        <v>46246.54645388889</v>
      </c>
      <c r="B134" s="17"/>
      <c r="C134" s="17"/>
      <c r="D134" s="12" t="s">
        <v>161</v>
      </c>
      <c r="E134" s="12" t="s">
        <v>19</v>
      </c>
      <c r="F134" s="17"/>
      <c r="G134" s="10" t="s">
        <v>20</v>
      </c>
      <c r="H134" s="10">
        <v>49.78</v>
      </c>
      <c r="I134" s="10">
        <v>39.24</v>
      </c>
      <c r="J134" s="10">
        <v>148.14</v>
      </c>
      <c r="K134" s="10">
        <v>148.14</v>
      </c>
      <c r="L134" s="17"/>
      <c r="M134" s="10">
        <v>50.02</v>
      </c>
      <c r="N134" s="10">
        <v>39.33</v>
      </c>
      <c r="O134" s="10">
        <v>148.81</v>
      </c>
      <c r="P134" s="10">
        <v>148.81</v>
      </c>
      <c r="Q134" s="17"/>
      <c r="R134" s="17"/>
    </row>
    <row r="135">
      <c r="A135" s="15">
        <v>46246.55232754629</v>
      </c>
      <c r="B135" s="17"/>
      <c r="C135" s="17"/>
      <c r="D135" s="12">
        <v>219848.0</v>
      </c>
      <c r="E135" s="12" t="s">
        <v>89</v>
      </c>
      <c r="F135" s="17"/>
      <c r="G135" s="10" t="s">
        <v>20</v>
      </c>
      <c r="H135" s="10">
        <v>52.89</v>
      </c>
      <c r="I135" s="10">
        <v>40.94</v>
      </c>
      <c r="J135" s="10">
        <v>156.13</v>
      </c>
      <c r="K135" s="10">
        <v>156.13</v>
      </c>
      <c r="L135" s="17"/>
      <c r="M135" s="10">
        <v>53.29</v>
      </c>
      <c r="N135" s="10">
        <v>41.22</v>
      </c>
      <c r="O135" s="10">
        <v>157.19</v>
      </c>
      <c r="P135" s="10">
        <v>157.23</v>
      </c>
      <c r="Q135" s="17"/>
      <c r="R135" s="17"/>
      <c r="T135" s="21" t="s">
        <v>154</v>
      </c>
    </row>
    <row r="136">
      <c r="A136" s="15">
        <v>46246.555124328705</v>
      </c>
      <c r="B136" s="17"/>
      <c r="C136" s="17"/>
      <c r="D136" s="12" t="s">
        <v>162</v>
      </c>
      <c r="E136" s="12" t="s">
        <v>89</v>
      </c>
      <c r="F136" s="17"/>
      <c r="G136" s="10" t="s">
        <v>20</v>
      </c>
      <c r="H136" s="10">
        <v>50.68</v>
      </c>
      <c r="I136" s="10">
        <v>43.19</v>
      </c>
      <c r="J136" s="10">
        <v>153.61</v>
      </c>
      <c r="K136" s="10">
        <v>153.3</v>
      </c>
      <c r="L136" s="17"/>
      <c r="M136" s="10">
        <v>50.63</v>
      </c>
      <c r="N136" s="10">
        <v>43.33</v>
      </c>
      <c r="O136" s="10">
        <v>153.92</v>
      </c>
      <c r="P136" s="10">
        <v>153.72</v>
      </c>
      <c r="Q136" s="17"/>
      <c r="R136" s="17"/>
    </row>
    <row r="137">
      <c r="A137" s="15">
        <v>46247.915806273144</v>
      </c>
      <c r="B137" s="17"/>
      <c r="C137" s="17"/>
      <c r="D137" s="22" t="s">
        <v>158</v>
      </c>
      <c r="E137" s="37"/>
      <c r="F137" s="38"/>
      <c r="G137" s="39" t="s">
        <v>20</v>
      </c>
      <c r="H137" s="39">
        <v>51.98</v>
      </c>
      <c r="I137" s="39">
        <v>44.02</v>
      </c>
      <c r="J137" s="39">
        <v>155.59</v>
      </c>
      <c r="K137" s="39">
        <v>155.26</v>
      </c>
      <c r="L137" s="39" t="s">
        <v>21</v>
      </c>
      <c r="M137" s="39">
        <v>50.13</v>
      </c>
      <c r="N137" s="39">
        <v>41.98</v>
      </c>
      <c r="O137" s="39">
        <v>149.77</v>
      </c>
      <c r="P137" s="39">
        <v>149.89</v>
      </c>
      <c r="Q137" s="38"/>
      <c r="R137" s="10" t="s">
        <v>22</v>
      </c>
      <c r="T137" s="21" t="s">
        <v>163</v>
      </c>
    </row>
    <row r="138">
      <c r="A138" s="15">
        <v>46249.41335534722</v>
      </c>
      <c r="B138" s="17"/>
      <c r="C138" s="17"/>
      <c r="D138" s="12" t="s">
        <v>164</v>
      </c>
      <c r="E138" s="12" t="s">
        <v>19</v>
      </c>
      <c r="F138" s="17"/>
      <c r="G138" s="10" t="s">
        <v>20</v>
      </c>
      <c r="H138" s="10">
        <v>51.09</v>
      </c>
      <c r="I138" s="10">
        <v>43.03</v>
      </c>
      <c r="J138" s="10">
        <v>154.44</v>
      </c>
      <c r="K138" s="10">
        <v>153.86</v>
      </c>
      <c r="L138" s="10" t="s">
        <v>21</v>
      </c>
      <c r="M138" s="10">
        <v>51.17</v>
      </c>
      <c r="N138" s="10">
        <v>43.61</v>
      </c>
      <c r="O138" s="10">
        <v>155.69</v>
      </c>
      <c r="P138" s="10">
        <v>155.34</v>
      </c>
      <c r="Q138" s="10" t="s">
        <v>19</v>
      </c>
      <c r="R138" s="10" t="s">
        <v>22</v>
      </c>
    </row>
    <row r="139">
      <c r="A139" s="15">
        <v>46249.87628460648</v>
      </c>
      <c r="B139" s="17"/>
      <c r="C139" s="17"/>
      <c r="D139" s="31" t="s">
        <v>165</v>
      </c>
      <c r="E139" s="12" t="s">
        <v>137</v>
      </c>
      <c r="F139" s="17"/>
      <c r="G139" s="17"/>
      <c r="H139" s="10">
        <v>54.04</v>
      </c>
      <c r="I139" s="10">
        <v>38.14</v>
      </c>
      <c r="J139" s="10">
        <v>154.75</v>
      </c>
      <c r="K139" s="10">
        <v>154.46</v>
      </c>
      <c r="L139" s="17"/>
      <c r="M139" s="10">
        <v>54.0</v>
      </c>
      <c r="N139" s="10">
        <v>38.1</v>
      </c>
      <c r="O139" s="10">
        <v>154.62</v>
      </c>
      <c r="P139" s="10">
        <v>154.34</v>
      </c>
      <c r="Q139" s="17"/>
      <c r="R139" s="17"/>
    </row>
    <row r="140">
      <c r="A140" s="15">
        <v>46249.87736229166</v>
      </c>
      <c r="B140" s="17"/>
      <c r="C140" s="17"/>
      <c r="D140" s="31" t="s">
        <v>166</v>
      </c>
      <c r="E140" s="12" t="s">
        <v>19</v>
      </c>
      <c r="F140" s="17"/>
      <c r="G140" s="17"/>
      <c r="H140" s="10">
        <v>51.79</v>
      </c>
      <c r="I140" s="10">
        <v>38.43</v>
      </c>
      <c r="J140" s="10">
        <v>152.41</v>
      </c>
      <c r="K140" s="10">
        <v>152.56</v>
      </c>
      <c r="L140" s="17"/>
      <c r="M140" s="10">
        <v>51.9</v>
      </c>
      <c r="N140" s="10">
        <v>38.52</v>
      </c>
      <c r="O140" s="10">
        <v>152.54</v>
      </c>
      <c r="P140" s="10">
        <v>152.61</v>
      </c>
      <c r="Q140" s="17"/>
      <c r="R140" s="17"/>
    </row>
    <row r="141">
      <c r="A141" s="15">
        <v>46249.87853377315</v>
      </c>
      <c r="B141" s="17"/>
      <c r="C141" s="17"/>
      <c r="D141" s="30" t="s">
        <v>167</v>
      </c>
      <c r="E141" s="12" t="s">
        <v>19</v>
      </c>
      <c r="F141" s="17"/>
      <c r="G141" s="17"/>
      <c r="H141" s="10">
        <v>50.73</v>
      </c>
      <c r="I141" s="10">
        <v>43.48</v>
      </c>
      <c r="J141" s="10">
        <v>154.2</v>
      </c>
      <c r="K141" s="10">
        <v>154.29</v>
      </c>
      <c r="L141" s="17"/>
      <c r="M141" s="10">
        <v>50.83</v>
      </c>
      <c r="N141" s="10">
        <v>43.58</v>
      </c>
      <c r="O141" s="10">
        <v>154.49</v>
      </c>
      <c r="P141" s="10">
        <v>154.6</v>
      </c>
      <c r="Q141" s="17"/>
      <c r="R141" s="17"/>
    </row>
    <row r="142">
      <c r="A142" s="15">
        <v>46249.87958775463</v>
      </c>
      <c r="B142" s="17"/>
      <c r="C142" s="17"/>
      <c r="D142" s="31" t="s">
        <v>168</v>
      </c>
      <c r="E142" s="12" t="s">
        <v>169</v>
      </c>
      <c r="F142" s="17"/>
      <c r="G142" s="17"/>
      <c r="H142" s="10">
        <v>55.9</v>
      </c>
      <c r="I142" s="10">
        <v>39.07</v>
      </c>
      <c r="J142" s="10">
        <v>164.2</v>
      </c>
      <c r="K142" s="10">
        <v>164.03</v>
      </c>
      <c r="L142" s="17"/>
      <c r="M142" s="10">
        <v>55.84</v>
      </c>
      <c r="N142" s="10">
        <v>39.02</v>
      </c>
      <c r="O142" s="10">
        <v>162.71</v>
      </c>
      <c r="P142" s="10">
        <v>162.93</v>
      </c>
      <c r="Q142" s="17"/>
      <c r="R142" s="17"/>
    </row>
    <row r="143">
      <c r="A143" s="15">
        <v>46249.88065371528</v>
      </c>
      <c r="B143" s="17"/>
      <c r="C143" s="17"/>
      <c r="D143" s="12" t="s">
        <v>170</v>
      </c>
      <c r="E143" s="12" t="s">
        <v>137</v>
      </c>
      <c r="F143" s="17"/>
      <c r="G143" s="17"/>
      <c r="H143" s="10">
        <v>53.89</v>
      </c>
      <c r="I143" s="10">
        <v>41.48</v>
      </c>
      <c r="J143" s="10">
        <v>158.91</v>
      </c>
      <c r="K143" s="10">
        <v>158.64</v>
      </c>
      <c r="L143" s="17"/>
      <c r="M143" s="10">
        <v>53.83</v>
      </c>
      <c r="N143" s="10">
        <v>41.42</v>
      </c>
      <c r="O143" s="10">
        <v>158.76</v>
      </c>
      <c r="P143" s="10">
        <v>158.5</v>
      </c>
      <c r="Q143" s="17"/>
      <c r="R143" s="17"/>
    </row>
    <row r="144">
      <c r="A144" s="15">
        <v>46250.93561712963</v>
      </c>
      <c r="B144" s="17"/>
      <c r="C144" s="17"/>
      <c r="D144" s="12" t="s">
        <v>171</v>
      </c>
      <c r="E144" s="12" t="s">
        <v>169</v>
      </c>
      <c r="F144" s="17"/>
      <c r="G144" s="17"/>
      <c r="H144" s="10">
        <v>54.49</v>
      </c>
      <c r="I144" s="10">
        <v>39.43</v>
      </c>
      <c r="J144" s="10">
        <v>157.06</v>
      </c>
      <c r="K144" s="10">
        <v>157.75</v>
      </c>
      <c r="L144" s="17"/>
      <c r="M144" s="10">
        <v>54.44</v>
      </c>
      <c r="N144" s="10">
        <v>39.39</v>
      </c>
      <c r="O144" s="10">
        <v>156.87</v>
      </c>
      <c r="P144" s="10">
        <v>157.59</v>
      </c>
      <c r="Q144" s="17"/>
      <c r="R144" s="17"/>
    </row>
    <row r="145">
      <c r="A145" s="15">
        <v>46250.93899858797</v>
      </c>
      <c r="B145" s="17"/>
      <c r="C145" s="17"/>
      <c r="D145" s="12" t="s">
        <v>172</v>
      </c>
      <c r="E145" s="12" t="s">
        <v>169</v>
      </c>
      <c r="F145" s="17"/>
      <c r="G145" s="17"/>
      <c r="H145" s="10">
        <v>52.39</v>
      </c>
      <c r="I145" s="10">
        <v>43.94</v>
      </c>
      <c r="J145" s="10">
        <v>157.53</v>
      </c>
      <c r="K145" s="10">
        <v>157.64</v>
      </c>
      <c r="L145" s="17"/>
      <c r="M145" s="10">
        <v>52.34</v>
      </c>
      <c r="N145" s="10">
        <v>43.88</v>
      </c>
      <c r="O145" s="10">
        <v>157.16</v>
      </c>
      <c r="P145" s="10">
        <v>157.26</v>
      </c>
      <c r="Q145" s="17"/>
      <c r="R145" s="17"/>
    </row>
    <row r="146">
      <c r="A146" s="15">
        <v>46250.94235304398</v>
      </c>
      <c r="B146" s="17"/>
      <c r="C146" s="17"/>
      <c r="D146" s="12" t="s">
        <v>173</v>
      </c>
      <c r="E146" s="12" t="s">
        <v>169</v>
      </c>
      <c r="F146" s="17"/>
      <c r="G146" s="17"/>
      <c r="H146" s="10">
        <v>54.56</v>
      </c>
      <c r="I146" s="10">
        <v>41.98</v>
      </c>
      <c r="J146" s="10">
        <v>162.18</v>
      </c>
      <c r="K146" s="10">
        <v>162.56</v>
      </c>
      <c r="L146" s="17"/>
      <c r="M146" s="10">
        <v>54.51</v>
      </c>
      <c r="N146" s="10">
        <v>41.93</v>
      </c>
      <c r="O146" s="10">
        <v>161.76</v>
      </c>
      <c r="P146" s="10">
        <v>162.22</v>
      </c>
      <c r="Q146" s="17"/>
      <c r="R146" s="17"/>
    </row>
    <row r="147">
      <c r="A147" s="15">
        <v>46251.89260744213</v>
      </c>
      <c r="B147" s="17"/>
      <c r="C147" s="17"/>
      <c r="D147" s="31" t="s">
        <v>171</v>
      </c>
      <c r="E147" s="12" t="s">
        <v>169</v>
      </c>
      <c r="F147" s="17"/>
      <c r="G147" s="17"/>
      <c r="H147" s="10">
        <v>54.44</v>
      </c>
      <c r="I147" s="10">
        <v>39.39</v>
      </c>
      <c r="J147" s="10">
        <v>156.87</v>
      </c>
      <c r="K147" s="10">
        <v>157.59</v>
      </c>
      <c r="L147" s="17"/>
      <c r="M147" s="10">
        <v>54.44</v>
      </c>
      <c r="N147" s="10">
        <v>39.39</v>
      </c>
      <c r="O147" s="10">
        <v>156.87</v>
      </c>
      <c r="P147" s="10">
        <v>157.59</v>
      </c>
      <c r="Q147" s="10" t="s">
        <v>43</v>
      </c>
      <c r="R147" s="17"/>
    </row>
    <row r="148">
      <c r="A148" s="15">
        <v>46251.903134733795</v>
      </c>
      <c r="B148" s="17"/>
      <c r="C148" s="17"/>
      <c r="D148" s="12" t="s">
        <v>172</v>
      </c>
      <c r="E148" s="12" t="s">
        <v>169</v>
      </c>
      <c r="F148" s="17"/>
      <c r="G148" s="17"/>
      <c r="H148" s="10">
        <v>52.23</v>
      </c>
      <c r="I148" s="10">
        <v>44.14</v>
      </c>
      <c r="J148" s="10">
        <v>157.26</v>
      </c>
      <c r="K148" s="10">
        <v>157.26</v>
      </c>
      <c r="L148" s="17"/>
      <c r="M148" s="10">
        <v>52.24</v>
      </c>
      <c r="N148" s="10">
        <v>43.88</v>
      </c>
      <c r="O148" s="10">
        <v>156.99</v>
      </c>
      <c r="P148" s="10">
        <v>156.85</v>
      </c>
      <c r="Q148" s="10" t="s">
        <v>43</v>
      </c>
      <c r="R148" s="17"/>
    </row>
    <row r="149">
      <c r="A149" s="15">
        <v>46251.91084993056</v>
      </c>
      <c r="B149" s="17"/>
      <c r="C149" s="17"/>
      <c r="D149" s="12" t="s">
        <v>173</v>
      </c>
      <c r="E149" s="12" t="s">
        <v>169</v>
      </c>
      <c r="F149" s="17"/>
      <c r="G149" s="17"/>
      <c r="H149" s="10">
        <v>54.51</v>
      </c>
      <c r="I149" s="10">
        <v>41.93</v>
      </c>
      <c r="J149" s="10">
        <v>161.76</v>
      </c>
      <c r="K149" s="10">
        <v>162.22</v>
      </c>
      <c r="L149" s="17"/>
      <c r="M149" s="10">
        <v>54.51</v>
      </c>
      <c r="N149" s="10">
        <v>41.93</v>
      </c>
      <c r="O149" s="10">
        <v>161.75</v>
      </c>
      <c r="P149" s="10">
        <v>161.48</v>
      </c>
      <c r="Q149" s="10" t="s">
        <v>43</v>
      </c>
      <c r="R149" s="17"/>
    </row>
    <row r="150">
      <c r="A150" s="15">
        <v>46251.91798135417</v>
      </c>
      <c r="B150" s="17"/>
      <c r="C150" s="17"/>
      <c r="D150" s="30" t="s">
        <v>174</v>
      </c>
      <c r="E150" s="12" t="s">
        <v>169</v>
      </c>
      <c r="F150" s="17"/>
      <c r="G150" s="17"/>
      <c r="H150" s="10">
        <v>53.6</v>
      </c>
      <c r="I150" s="10">
        <v>41.69</v>
      </c>
      <c r="J150" s="10">
        <v>160.09</v>
      </c>
      <c r="K150" s="10">
        <v>160.06</v>
      </c>
      <c r="L150" s="17"/>
      <c r="M150" s="10">
        <v>53.57</v>
      </c>
      <c r="N150" s="10">
        <v>41.69</v>
      </c>
      <c r="O150" s="10">
        <v>160.03</v>
      </c>
      <c r="P150" s="10">
        <v>160.03</v>
      </c>
      <c r="Q150" s="10" t="s">
        <v>43</v>
      </c>
      <c r="R150" s="17"/>
    </row>
    <row r="151">
      <c r="A151" s="15">
        <v>46251.92798266203</v>
      </c>
      <c r="B151" s="17"/>
      <c r="C151" s="17"/>
      <c r="D151" s="31" t="s">
        <v>175</v>
      </c>
      <c r="E151" s="12" t="s">
        <v>169</v>
      </c>
      <c r="F151" s="17"/>
      <c r="G151" s="17"/>
      <c r="H151" s="10">
        <v>55.13</v>
      </c>
      <c r="I151" s="10">
        <v>37.82</v>
      </c>
      <c r="J151" s="10">
        <v>157.71</v>
      </c>
      <c r="K151" s="10">
        <v>157.33</v>
      </c>
      <c r="L151" s="17"/>
      <c r="M151" s="10">
        <v>55.13</v>
      </c>
      <c r="N151" s="10">
        <v>37.44</v>
      </c>
      <c r="O151" s="10">
        <v>156.76</v>
      </c>
      <c r="P151" s="10">
        <v>156.8</v>
      </c>
      <c r="Q151" s="10" t="s">
        <v>43</v>
      </c>
      <c r="R151" s="17"/>
    </row>
    <row r="152">
      <c r="A152" s="15">
        <v>46251.94049515046</v>
      </c>
      <c r="B152" s="17"/>
      <c r="C152" s="17"/>
      <c r="D152" s="30" t="s">
        <v>176</v>
      </c>
      <c r="E152" s="12" t="s">
        <v>177</v>
      </c>
      <c r="F152" s="17"/>
      <c r="G152" s="17"/>
      <c r="H152" s="10">
        <v>55.48</v>
      </c>
      <c r="I152" s="10">
        <v>39.54</v>
      </c>
      <c r="J152" s="10">
        <v>163.36</v>
      </c>
      <c r="K152" s="10">
        <v>162.79</v>
      </c>
      <c r="L152" s="17"/>
      <c r="M152" s="10">
        <v>55.43</v>
      </c>
      <c r="N152" s="10">
        <v>39.5</v>
      </c>
      <c r="O152" s="10">
        <v>163.21</v>
      </c>
      <c r="P152" s="10">
        <v>162.62</v>
      </c>
      <c r="Q152" s="10" t="s">
        <v>43</v>
      </c>
      <c r="R152" s="17"/>
    </row>
    <row r="153">
      <c r="A153" s="15">
        <v>46251.945789143516</v>
      </c>
      <c r="B153" s="17"/>
      <c r="C153" s="17"/>
      <c r="D153" s="31" t="s">
        <v>178</v>
      </c>
      <c r="E153" s="12" t="s">
        <v>169</v>
      </c>
      <c r="F153" s="17"/>
      <c r="G153" s="17"/>
      <c r="H153" s="10">
        <v>57.19</v>
      </c>
      <c r="I153" s="10">
        <v>46.63</v>
      </c>
      <c r="J153" s="10">
        <v>173.75</v>
      </c>
      <c r="K153" s="10">
        <v>173.65</v>
      </c>
      <c r="L153" s="17"/>
      <c r="M153" s="10">
        <v>57.05</v>
      </c>
      <c r="N153" s="10">
        <v>46.63</v>
      </c>
      <c r="O153" s="10">
        <v>173.13</v>
      </c>
      <c r="P153" s="10">
        <v>172.86</v>
      </c>
      <c r="Q153" s="10" t="s">
        <v>43</v>
      </c>
      <c r="R153" s="17"/>
    </row>
    <row r="154">
      <c r="A154" s="15">
        <v>46251.94705135417</v>
      </c>
      <c r="B154" s="17"/>
      <c r="C154" s="17"/>
      <c r="D154" s="30" t="s">
        <v>179</v>
      </c>
      <c r="E154" s="12" t="s">
        <v>169</v>
      </c>
      <c r="F154" s="17"/>
      <c r="G154" s="17"/>
      <c r="H154" s="10">
        <v>54.19</v>
      </c>
      <c r="I154" s="10">
        <v>42.4</v>
      </c>
      <c r="J154" s="10">
        <v>160.68</v>
      </c>
      <c r="K154" s="10">
        <v>160.65</v>
      </c>
      <c r="L154" s="17"/>
      <c r="M154" s="10">
        <v>54.14</v>
      </c>
      <c r="N154" s="10">
        <v>42.4</v>
      </c>
      <c r="O154" s="10">
        <v>160.61</v>
      </c>
      <c r="P154" s="10">
        <v>160.61</v>
      </c>
      <c r="Q154" s="10" t="s">
        <v>43</v>
      </c>
      <c r="R154" s="17"/>
    </row>
    <row r="155">
      <c r="A155" s="15">
        <v>46251.949654537035</v>
      </c>
      <c r="B155" s="17"/>
      <c r="C155" s="17"/>
      <c r="D155" s="31" t="s">
        <v>180</v>
      </c>
      <c r="E155" s="12" t="s">
        <v>169</v>
      </c>
      <c r="F155" s="17"/>
      <c r="G155" s="17"/>
      <c r="H155" s="10">
        <v>48.91</v>
      </c>
      <c r="I155" s="10">
        <v>40.65</v>
      </c>
      <c r="J155" s="10">
        <v>147.24</v>
      </c>
      <c r="K155" s="10">
        <v>147.18</v>
      </c>
      <c r="L155" s="17"/>
      <c r="M155" s="10">
        <v>48.91</v>
      </c>
      <c r="N155" s="10">
        <v>48.91</v>
      </c>
      <c r="O155" s="10">
        <v>147.27</v>
      </c>
      <c r="P155" s="10">
        <v>146.95</v>
      </c>
      <c r="Q155" s="10" t="s">
        <v>43</v>
      </c>
      <c r="R155" s="17"/>
    </row>
    <row r="156">
      <c r="A156" s="15">
        <v>46251.951414386574</v>
      </c>
      <c r="B156" s="17"/>
      <c r="C156" s="17"/>
      <c r="D156" s="30" t="s">
        <v>181</v>
      </c>
      <c r="E156" s="12" t="s">
        <v>169</v>
      </c>
      <c r="F156" s="17"/>
      <c r="G156" s="17"/>
      <c r="H156" s="10">
        <v>50.84</v>
      </c>
      <c r="I156" s="10">
        <v>38.91</v>
      </c>
      <c r="J156" s="10">
        <v>150.8</v>
      </c>
      <c r="K156" s="10">
        <v>151.21</v>
      </c>
      <c r="L156" s="17"/>
      <c r="M156" s="10">
        <v>50.34</v>
      </c>
      <c r="N156" s="10">
        <v>38.71</v>
      </c>
      <c r="O156" s="10">
        <v>150.78</v>
      </c>
      <c r="P156" s="10">
        <v>150.13</v>
      </c>
      <c r="Q156" s="10" t="s">
        <v>43</v>
      </c>
      <c r="R156" s="17"/>
    </row>
    <row r="157">
      <c r="A157" s="15">
        <v>46251.9581783912</v>
      </c>
      <c r="B157" s="17"/>
      <c r="C157" s="17"/>
      <c r="D157" s="31" t="s">
        <v>182</v>
      </c>
      <c r="E157" s="12" t="s">
        <v>169</v>
      </c>
      <c r="F157" s="17"/>
      <c r="G157" s="17"/>
      <c r="H157" s="10">
        <v>53.91</v>
      </c>
      <c r="I157" s="10">
        <v>36.08</v>
      </c>
      <c r="J157" s="10">
        <v>151.91</v>
      </c>
      <c r="K157" s="10">
        <v>151.78</v>
      </c>
      <c r="L157" s="17"/>
      <c r="M157" s="10">
        <v>53.87</v>
      </c>
      <c r="N157" s="10">
        <v>36.05</v>
      </c>
      <c r="O157" s="10">
        <v>151.78</v>
      </c>
      <c r="P157" s="10">
        <v>151.65</v>
      </c>
      <c r="Q157" s="10" t="s">
        <v>43</v>
      </c>
      <c r="R157" s="17"/>
    </row>
    <row r="158">
      <c r="A158" s="15">
        <v>46251.95985501158</v>
      </c>
      <c r="B158" s="17"/>
      <c r="C158" s="17"/>
      <c r="D158" s="30" t="s">
        <v>183</v>
      </c>
      <c r="E158" s="12" t="s">
        <v>184</v>
      </c>
      <c r="F158" s="17"/>
      <c r="G158" s="17"/>
      <c r="H158" s="10">
        <v>54.69</v>
      </c>
      <c r="I158" s="10">
        <v>34.32</v>
      </c>
      <c r="J158" s="10">
        <v>154.42</v>
      </c>
      <c r="K158" s="10">
        <v>154.79</v>
      </c>
      <c r="L158" s="17"/>
      <c r="M158" s="10">
        <v>54.86</v>
      </c>
      <c r="N158" s="10">
        <v>34.34</v>
      </c>
      <c r="O158" s="10">
        <v>154.74</v>
      </c>
      <c r="P158" s="10">
        <v>154.74</v>
      </c>
      <c r="Q158" s="10" t="s">
        <v>19</v>
      </c>
      <c r="R158" s="17"/>
    </row>
    <row r="159">
      <c r="A159" s="15">
        <v>46251.9616656713</v>
      </c>
      <c r="B159" s="17"/>
      <c r="C159" s="17"/>
      <c r="D159" s="31" t="s">
        <v>185</v>
      </c>
      <c r="E159" s="12" t="s">
        <v>184</v>
      </c>
      <c r="F159" s="17"/>
      <c r="G159" s="17"/>
      <c r="H159" s="10">
        <v>53.39</v>
      </c>
      <c r="I159" s="10">
        <v>42.93</v>
      </c>
      <c r="J159" s="10">
        <v>159.07</v>
      </c>
      <c r="K159" s="10">
        <v>159.07</v>
      </c>
      <c r="L159" s="17"/>
      <c r="M159" s="10">
        <v>53.44</v>
      </c>
      <c r="N159" s="10">
        <v>42.96</v>
      </c>
      <c r="O159" s="10">
        <v>159.23</v>
      </c>
      <c r="P159" s="10">
        <v>159.23</v>
      </c>
      <c r="Q159" s="10" t="s">
        <v>19</v>
      </c>
      <c r="R159" s="17"/>
    </row>
    <row r="160">
      <c r="A160" s="15">
        <v>46251.96521527778</v>
      </c>
      <c r="B160" s="17"/>
      <c r="C160" s="17"/>
      <c r="D160" s="30" t="s">
        <v>186</v>
      </c>
      <c r="E160" s="12" t="s">
        <v>169</v>
      </c>
      <c r="F160" s="17"/>
      <c r="G160" s="17"/>
      <c r="H160" s="10">
        <v>54.34</v>
      </c>
      <c r="I160" s="10">
        <v>37.65</v>
      </c>
      <c r="J160" s="10">
        <v>151.69</v>
      </c>
      <c r="K160" s="10">
        <v>151.86</v>
      </c>
      <c r="L160" s="17"/>
      <c r="M160" s="10">
        <v>54.19</v>
      </c>
      <c r="N160" s="10">
        <v>37.65</v>
      </c>
      <c r="O160" s="10">
        <v>151.47</v>
      </c>
      <c r="P160" s="10">
        <v>151.47</v>
      </c>
      <c r="Q160" s="10" t="s">
        <v>43</v>
      </c>
      <c r="R160" s="17"/>
    </row>
    <row r="161">
      <c r="A161" s="15">
        <v>46251.98043098379</v>
      </c>
      <c r="B161" s="17"/>
      <c r="C161" s="17"/>
      <c r="D161" s="31" t="s">
        <v>187</v>
      </c>
      <c r="E161" s="12" t="s">
        <v>169</v>
      </c>
      <c r="F161" s="17"/>
      <c r="G161" s="17"/>
      <c r="H161" s="10">
        <v>53.48</v>
      </c>
      <c r="I161" s="10">
        <v>41.99</v>
      </c>
      <c r="J161" s="10">
        <v>157.14</v>
      </c>
      <c r="K161" s="10">
        <v>157.27</v>
      </c>
      <c r="L161" s="17"/>
      <c r="M161" s="10">
        <v>53.48</v>
      </c>
      <c r="N161" s="10">
        <v>41.81</v>
      </c>
      <c r="O161" s="10">
        <v>156.81</v>
      </c>
      <c r="P161" s="10">
        <v>156.66</v>
      </c>
      <c r="Q161" s="10" t="s">
        <v>43</v>
      </c>
      <c r="R161" s="17"/>
    </row>
    <row r="162">
      <c r="A162" s="15">
        <v>46251.98188663194</v>
      </c>
      <c r="B162" s="17"/>
      <c r="C162" s="17"/>
      <c r="D162" s="30" t="s">
        <v>188</v>
      </c>
      <c r="E162" s="12" t="s">
        <v>169</v>
      </c>
      <c r="F162" s="17"/>
      <c r="G162" s="17"/>
      <c r="H162" s="10">
        <v>55.35</v>
      </c>
      <c r="I162" s="10">
        <v>34.6</v>
      </c>
      <c r="J162" s="10">
        <v>149.26</v>
      </c>
      <c r="K162" s="10">
        <v>149.63</v>
      </c>
      <c r="L162" s="17"/>
      <c r="M162" s="10">
        <v>55.29</v>
      </c>
      <c r="N162" s="10">
        <v>34.57</v>
      </c>
      <c r="O162" s="10">
        <v>149.07</v>
      </c>
      <c r="P162" s="10">
        <v>149.13</v>
      </c>
      <c r="Q162" s="10" t="s">
        <v>43</v>
      </c>
      <c r="R162" s="17"/>
    </row>
    <row r="163">
      <c r="A163" s="15">
        <v>46251.98381143519</v>
      </c>
      <c r="B163" s="17"/>
      <c r="C163" s="17"/>
      <c r="D163" s="31" t="s">
        <v>189</v>
      </c>
      <c r="E163" s="12" t="s">
        <v>169</v>
      </c>
      <c r="F163" s="17"/>
      <c r="G163" s="17"/>
      <c r="H163" s="16">
        <v>49.64</v>
      </c>
      <c r="I163" s="10">
        <v>39.08</v>
      </c>
      <c r="J163" s="10">
        <v>146.9</v>
      </c>
      <c r="K163" s="10">
        <v>147.05</v>
      </c>
      <c r="L163" s="17"/>
      <c r="M163" s="10">
        <v>49.54</v>
      </c>
      <c r="N163" s="10">
        <v>38.83</v>
      </c>
      <c r="O163" s="10">
        <v>146.7</v>
      </c>
      <c r="P163" s="10">
        <v>146.64</v>
      </c>
      <c r="Q163" s="10" t="s">
        <v>43</v>
      </c>
      <c r="R163" s="17"/>
    </row>
    <row r="164">
      <c r="A164" s="15">
        <v>46251.98515582176</v>
      </c>
      <c r="B164" s="17"/>
      <c r="C164" s="17"/>
      <c r="D164" s="30" t="s">
        <v>87</v>
      </c>
      <c r="E164" s="12" t="s">
        <v>169</v>
      </c>
      <c r="F164" s="17"/>
      <c r="G164" s="17"/>
      <c r="H164" s="10">
        <v>56.7</v>
      </c>
      <c r="I164" s="10">
        <v>37.01</v>
      </c>
      <c r="J164" s="10">
        <v>159.2</v>
      </c>
      <c r="K164" s="10">
        <v>159.23</v>
      </c>
      <c r="L164" s="17"/>
      <c r="M164" s="10">
        <v>56.68</v>
      </c>
      <c r="N164" s="10">
        <v>36.98</v>
      </c>
      <c r="O164" s="10">
        <v>159.11</v>
      </c>
      <c r="P164" s="10">
        <v>159.1</v>
      </c>
      <c r="Q164" s="10" t="s">
        <v>43</v>
      </c>
      <c r="R164" s="17"/>
    </row>
    <row r="165">
      <c r="A165" s="15">
        <v>46251.99114665509</v>
      </c>
      <c r="B165" s="17"/>
      <c r="C165" s="17"/>
      <c r="D165" s="31" t="s">
        <v>190</v>
      </c>
      <c r="E165" s="12" t="s">
        <v>169</v>
      </c>
      <c r="F165" s="17"/>
      <c r="G165" s="17"/>
      <c r="H165" s="10">
        <v>53.49</v>
      </c>
      <c r="I165" s="10">
        <v>40.79</v>
      </c>
      <c r="J165" s="10">
        <v>159.3</v>
      </c>
      <c r="K165" s="10">
        <v>159.81</v>
      </c>
      <c r="L165" s="17"/>
      <c r="M165" s="10">
        <v>53.11</v>
      </c>
      <c r="N165" s="10">
        <v>40.79</v>
      </c>
      <c r="O165" s="10">
        <v>158.79</v>
      </c>
      <c r="P165" s="10">
        <v>159.02</v>
      </c>
      <c r="Q165" s="10" t="s">
        <v>43</v>
      </c>
      <c r="R165" s="17"/>
    </row>
    <row r="166">
      <c r="A166" s="15">
        <v>46251.9929049537</v>
      </c>
      <c r="B166" s="17"/>
      <c r="C166" s="17"/>
      <c r="D166" s="30" t="s">
        <v>191</v>
      </c>
      <c r="E166" s="12" t="s">
        <v>169</v>
      </c>
      <c r="F166" s="17"/>
      <c r="G166" s="17"/>
      <c r="H166" s="10">
        <v>51.32</v>
      </c>
      <c r="I166" s="10">
        <v>43.02</v>
      </c>
      <c r="J166" s="10">
        <v>153.45</v>
      </c>
      <c r="K166" s="10">
        <v>153.67</v>
      </c>
      <c r="L166" s="17"/>
      <c r="M166" s="10">
        <v>51.16</v>
      </c>
      <c r="N166" s="10">
        <v>42.73</v>
      </c>
      <c r="O166" s="10">
        <v>153.49</v>
      </c>
      <c r="P166" s="10">
        <v>153.01</v>
      </c>
      <c r="Q166" s="10" t="s">
        <v>43</v>
      </c>
      <c r="R166" s="17"/>
    </row>
    <row r="167">
      <c r="A167" s="15">
        <v>46251.99555064815</v>
      </c>
      <c r="B167" s="17"/>
      <c r="C167" s="17"/>
      <c r="D167" s="31" t="s">
        <v>192</v>
      </c>
      <c r="E167" s="12" t="s">
        <v>19</v>
      </c>
      <c r="F167" s="17"/>
      <c r="G167" s="17"/>
      <c r="H167" s="10">
        <v>49.98</v>
      </c>
      <c r="I167" s="10">
        <v>42.4</v>
      </c>
      <c r="J167" s="10">
        <v>149.94</v>
      </c>
      <c r="K167" s="10">
        <v>149.76</v>
      </c>
      <c r="L167" s="17"/>
      <c r="M167" s="10">
        <v>50.2</v>
      </c>
      <c r="N167" s="10">
        <v>42.4</v>
      </c>
      <c r="O167" s="10">
        <v>150.24</v>
      </c>
      <c r="P167" s="10">
        <v>149.83</v>
      </c>
      <c r="Q167" s="10" t="s">
        <v>19</v>
      </c>
      <c r="R167" s="17"/>
    </row>
    <row r="168">
      <c r="A168" s="15">
        <v>46251.99841017361</v>
      </c>
      <c r="B168" s="17"/>
      <c r="C168" s="17"/>
      <c r="D168" s="30" t="s">
        <v>193</v>
      </c>
      <c r="E168" s="12" t="s">
        <v>169</v>
      </c>
      <c r="F168" s="17"/>
      <c r="G168" s="17"/>
      <c r="H168" s="10">
        <v>57.46</v>
      </c>
      <c r="I168" s="10">
        <v>46.88</v>
      </c>
      <c r="J168" s="10">
        <v>173.87</v>
      </c>
      <c r="K168" s="10">
        <v>173.96</v>
      </c>
      <c r="L168" s="17"/>
      <c r="M168" s="10">
        <v>57.44</v>
      </c>
      <c r="N168" s="10">
        <v>46.88</v>
      </c>
      <c r="O168" s="10">
        <v>173.88</v>
      </c>
      <c r="P168" s="10">
        <v>173.75</v>
      </c>
      <c r="Q168" s="10" t="s">
        <v>43</v>
      </c>
      <c r="R168" s="17"/>
    </row>
    <row r="169">
      <c r="A169" s="15">
        <v>46252.01141224537</v>
      </c>
      <c r="B169" s="17"/>
      <c r="C169" s="17"/>
      <c r="D169" s="31" t="s">
        <v>194</v>
      </c>
      <c r="E169" s="12" t="s">
        <v>169</v>
      </c>
      <c r="F169" s="17"/>
      <c r="G169" s="17"/>
      <c r="H169" s="10">
        <v>56.41</v>
      </c>
      <c r="I169" s="10">
        <v>43.39</v>
      </c>
      <c r="J169" s="10">
        <v>165.69</v>
      </c>
      <c r="K169" s="10">
        <v>165.86</v>
      </c>
      <c r="L169" s="17"/>
      <c r="M169" s="10">
        <v>56.42</v>
      </c>
      <c r="N169" s="10">
        <v>43.11</v>
      </c>
      <c r="O169" s="10">
        <v>165.2</v>
      </c>
      <c r="P169" s="10">
        <v>165.09</v>
      </c>
      <c r="Q169" s="10" t="s">
        <v>43</v>
      </c>
      <c r="R169" s="17"/>
    </row>
    <row r="170">
      <c r="A170" s="15">
        <v>46252.0331171412</v>
      </c>
      <c r="B170" s="17"/>
      <c r="C170" s="17"/>
      <c r="D170" s="30" t="s">
        <v>195</v>
      </c>
      <c r="E170" s="12" t="s">
        <v>169</v>
      </c>
      <c r="F170" s="17"/>
      <c r="G170" s="17"/>
      <c r="H170" s="10">
        <v>48.1</v>
      </c>
      <c r="I170" s="10">
        <v>41.81</v>
      </c>
      <c r="J170" s="10">
        <v>145.87</v>
      </c>
      <c r="K170" s="10">
        <v>145.73</v>
      </c>
      <c r="L170" s="17"/>
      <c r="M170" s="10">
        <v>47.97</v>
      </c>
      <c r="N170" s="10">
        <v>41.81</v>
      </c>
      <c r="O170" s="10">
        <v>145.68</v>
      </c>
      <c r="P170" s="10">
        <v>145.68</v>
      </c>
      <c r="Q170" s="10" t="s">
        <v>43</v>
      </c>
      <c r="R170" s="17"/>
    </row>
    <row r="171">
      <c r="A171" s="15">
        <v>46252.03436914352</v>
      </c>
      <c r="B171" s="17"/>
      <c r="C171" s="17"/>
      <c r="D171" s="31" t="s">
        <v>196</v>
      </c>
      <c r="E171" s="12" t="s">
        <v>169</v>
      </c>
      <c r="F171" s="17"/>
      <c r="G171" s="17"/>
      <c r="H171" s="10">
        <v>48.38</v>
      </c>
      <c r="I171" s="10">
        <v>41.72</v>
      </c>
      <c r="J171" s="10">
        <v>146.29</v>
      </c>
      <c r="K171" s="10">
        <v>146.29</v>
      </c>
      <c r="L171" s="17"/>
      <c r="M171" s="10">
        <v>48.32</v>
      </c>
      <c r="N171" s="10">
        <v>41.68</v>
      </c>
      <c r="O171" s="10">
        <v>146.06</v>
      </c>
      <c r="P171" s="10">
        <v>146.06</v>
      </c>
      <c r="Q171" s="10" t="s">
        <v>43</v>
      </c>
      <c r="R171" s="17"/>
    </row>
    <row r="172">
      <c r="A172" s="15">
        <v>46252.035392025464</v>
      </c>
      <c r="B172" s="17"/>
      <c r="C172" s="17"/>
      <c r="D172" s="30" t="s">
        <v>197</v>
      </c>
      <c r="E172" s="12" t="s">
        <v>169</v>
      </c>
      <c r="F172" s="17"/>
      <c r="G172" s="17"/>
      <c r="H172" s="10">
        <v>53.57</v>
      </c>
      <c r="I172" s="10">
        <v>35.81</v>
      </c>
      <c r="J172" s="10">
        <v>153.42</v>
      </c>
      <c r="K172" s="10">
        <v>153.07</v>
      </c>
      <c r="L172" s="17"/>
      <c r="M172" s="10">
        <v>53.54</v>
      </c>
      <c r="N172" s="10">
        <v>35.79</v>
      </c>
      <c r="O172" s="10">
        <v>153.32</v>
      </c>
      <c r="P172" s="10">
        <v>152.96</v>
      </c>
      <c r="Q172" s="17"/>
      <c r="R172" s="17"/>
    </row>
    <row r="173">
      <c r="A173" s="15">
        <v>46252.036417916665</v>
      </c>
      <c r="B173" s="17"/>
      <c r="C173" s="17"/>
      <c r="D173" s="31" t="s">
        <v>198</v>
      </c>
      <c r="E173" s="12" t="s">
        <v>169</v>
      </c>
      <c r="F173" s="17"/>
      <c r="G173" s="17"/>
      <c r="H173" s="10">
        <v>53.78</v>
      </c>
      <c r="I173" s="10">
        <v>42.97</v>
      </c>
      <c r="J173" s="10">
        <v>159.55</v>
      </c>
      <c r="K173" s="10">
        <v>160.13</v>
      </c>
      <c r="L173" s="17"/>
      <c r="M173" s="10">
        <v>53.67</v>
      </c>
      <c r="N173" s="10">
        <v>42.97</v>
      </c>
      <c r="O173" s="10">
        <v>159.09</v>
      </c>
      <c r="P173" s="10">
        <v>159.22</v>
      </c>
      <c r="Q173" s="17"/>
      <c r="R173" s="17"/>
    </row>
    <row r="174">
      <c r="A174" s="15">
        <v>46252.038016921295</v>
      </c>
      <c r="B174" s="17"/>
      <c r="C174" s="17"/>
      <c r="D174" s="30" t="s">
        <v>199</v>
      </c>
      <c r="E174" s="12" t="s">
        <v>169</v>
      </c>
      <c r="F174" s="17"/>
      <c r="G174" s="17"/>
      <c r="H174" s="10">
        <v>52.77</v>
      </c>
      <c r="I174" s="10">
        <v>33.69</v>
      </c>
      <c r="J174" s="10">
        <v>138.69</v>
      </c>
      <c r="K174" s="10">
        <v>138.69</v>
      </c>
      <c r="L174" s="17"/>
      <c r="M174" s="10">
        <v>52.73</v>
      </c>
      <c r="N174" s="10">
        <v>33.66</v>
      </c>
      <c r="O174" s="10">
        <v>138.47</v>
      </c>
      <c r="P174" s="10">
        <v>138.47</v>
      </c>
      <c r="Q174" s="17"/>
      <c r="R174" s="17"/>
    </row>
    <row r="175">
      <c r="A175" s="15">
        <v>46252.03993501158</v>
      </c>
      <c r="B175" s="17"/>
      <c r="C175" s="17"/>
      <c r="D175" s="31" t="s">
        <v>200</v>
      </c>
      <c r="E175" s="12" t="s">
        <v>169</v>
      </c>
      <c r="F175" s="17"/>
      <c r="G175" s="17"/>
      <c r="H175" s="10">
        <v>52.92</v>
      </c>
      <c r="I175" s="10">
        <v>40.29</v>
      </c>
      <c r="J175" s="10">
        <v>150.79</v>
      </c>
      <c r="K175" s="10">
        <v>150.85</v>
      </c>
      <c r="L175" s="17"/>
      <c r="M175" s="10">
        <v>52.92</v>
      </c>
      <c r="N175" s="10">
        <v>40.29</v>
      </c>
      <c r="O175" s="10">
        <v>150.74</v>
      </c>
      <c r="P175" s="10">
        <v>150.82</v>
      </c>
      <c r="Q175" s="17"/>
      <c r="R175" s="17"/>
    </row>
    <row r="176">
      <c r="A176" s="15">
        <v>46252.04159145833</v>
      </c>
      <c r="B176" s="17"/>
      <c r="C176" s="17"/>
      <c r="D176" s="30" t="s">
        <v>201</v>
      </c>
      <c r="E176" s="12" t="s">
        <v>19</v>
      </c>
      <c r="F176" s="17"/>
      <c r="G176" s="17"/>
      <c r="H176" s="10">
        <v>56.56</v>
      </c>
      <c r="I176" s="10">
        <v>44.56</v>
      </c>
      <c r="J176" s="10">
        <v>169.03</v>
      </c>
      <c r="K176" s="10">
        <v>169.03</v>
      </c>
      <c r="L176" s="17"/>
      <c r="M176" s="10">
        <v>56.6</v>
      </c>
      <c r="N176" s="10">
        <v>44.56</v>
      </c>
      <c r="O176" s="10">
        <v>169.19</v>
      </c>
      <c r="P176" s="10">
        <v>169.19</v>
      </c>
      <c r="Q176" s="17"/>
      <c r="R176" s="17"/>
    </row>
    <row r="177">
      <c r="A177" s="15">
        <v>46252.09156526621</v>
      </c>
      <c r="B177" s="17"/>
      <c r="C177" s="17"/>
      <c r="D177" s="31" t="s">
        <v>202</v>
      </c>
      <c r="E177" s="12" t="s">
        <v>169</v>
      </c>
      <c r="F177" s="17"/>
      <c r="G177" s="17"/>
      <c r="H177" s="10">
        <v>57.48</v>
      </c>
      <c r="I177" s="10">
        <v>41.82</v>
      </c>
      <c r="J177" s="10">
        <v>167.65</v>
      </c>
      <c r="K177" s="10">
        <v>167.75</v>
      </c>
      <c r="L177" s="17"/>
      <c r="M177" s="10">
        <v>57.45</v>
      </c>
      <c r="N177" s="10">
        <v>41.62</v>
      </c>
      <c r="O177" s="10">
        <v>167.32</v>
      </c>
      <c r="P177" s="10">
        <v>167.03</v>
      </c>
      <c r="Q177" s="17"/>
      <c r="R177" s="17"/>
    </row>
    <row r="178">
      <c r="A178" s="15">
        <v>46252.092856944444</v>
      </c>
      <c r="B178" s="17"/>
      <c r="C178" s="17"/>
      <c r="D178" s="30" t="s">
        <v>203</v>
      </c>
      <c r="E178" s="12" t="s">
        <v>169</v>
      </c>
      <c r="F178" s="17"/>
      <c r="G178" s="17"/>
      <c r="H178" s="10">
        <v>49.76</v>
      </c>
      <c r="I178" s="10">
        <v>45.35</v>
      </c>
      <c r="J178" s="10">
        <v>154.19</v>
      </c>
      <c r="K178" s="10">
        <v>154.19</v>
      </c>
      <c r="L178" s="17"/>
      <c r="M178" s="10">
        <v>49.7</v>
      </c>
      <c r="N178" s="10">
        <v>45.32</v>
      </c>
      <c r="O178" s="10">
        <v>154.03</v>
      </c>
      <c r="P178" s="10">
        <v>154.03</v>
      </c>
      <c r="Q178" s="17"/>
      <c r="R178" s="17"/>
    </row>
    <row r="179">
      <c r="A179" s="15">
        <v>46252.09399763889</v>
      </c>
      <c r="B179" s="17"/>
      <c r="C179" s="17"/>
      <c r="D179" s="31" t="s">
        <v>204</v>
      </c>
      <c r="E179" s="12" t="s">
        <v>19</v>
      </c>
      <c r="F179" s="17"/>
      <c r="G179" s="17"/>
      <c r="H179" s="10">
        <v>50.6</v>
      </c>
      <c r="I179" s="10">
        <v>42.97</v>
      </c>
      <c r="J179" s="10">
        <v>153.71</v>
      </c>
      <c r="K179" s="10">
        <v>153.55</v>
      </c>
      <c r="L179" s="17"/>
      <c r="M179" s="10">
        <v>50.64</v>
      </c>
      <c r="N179" s="10">
        <v>43.0</v>
      </c>
      <c r="O179" s="10">
        <v>153.68</v>
      </c>
      <c r="P179" s="10">
        <v>153.68</v>
      </c>
      <c r="Q179" s="17"/>
      <c r="R179" s="17"/>
    </row>
    <row r="180">
      <c r="A180" s="15">
        <v>46252.095357071754</v>
      </c>
      <c r="B180" s="17"/>
      <c r="C180" s="17"/>
      <c r="D180" s="30" t="s">
        <v>205</v>
      </c>
      <c r="E180" s="12" t="s">
        <v>169</v>
      </c>
      <c r="F180" s="17"/>
      <c r="G180" s="17"/>
      <c r="H180" s="10">
        <v>56.47</v>
      </c>
      <c r="I180" s="10">
        <v>43.58</v>
      </c>
      <c r="J180" s="10">
        <v>165.95</v>
      </c>
      <c r="K180" s="10">
        <v>165.77</v>
      </c>
      <c r="L180" s="17"/>
      <c r="M180" s="10">
        <v>56.36</v>
      </c>
      <c r="N180" s="10">
        <v>56.36</v>
      </c>
      <c r="O180" s="10">
        <v>165.47</v>
      </c>
      <c r="P180" s="10">
        <v>165.31</v>
      </c>
      <c r="Q180" s="17"/>
      <c r="R180" s="17"/>
    </row>
    <row r="181">
      <c r="A181" s="15">
        <v>46252.09733667824</v>
      </c>
      <c r="B181" s="17"/>
      <c r="C181" s="17"/>
      <c r="D181" s="31" t="s">
        <v>206</v>
      </c>
      <c r="E181" s="12" t="s">
        <v>169</v>
      </c>
      <c r="F181" s="17"/>
      <c r="G181" s="17"/>
      <c r="H181" s="10">
        <v>50.6</v>
      </c>
      <c r="I181" s="10">
        <v>38.1</v>
      </c>
      <c r="J181" s="10">
        <v>141.1</v>
      </c>
      <c r="K181" s="10">
        <v>141.35</v>
      </c>
      <c r="L181" s="17"/>
      <c r="M181" s="10">
        <v>50.45</v>
      </c>
      <c r="N181" s="10">
        <v>38.08</v>
      </c>
      <c r="O181" s="10">
        <v>141.14</v>
      </c>
      <c r="P181" s="10">
        <v>141.09</v>
      </c>
      <c r="Q181" s="17"/>
      <c r="R181" s="17"/>
    </row>
    <row r="182">
      <c r="A182" s="15">
        <v>46252.09866930556</v>
      </c>
      <c r="B182" s="17"/>
      <c r="C182" s="17"/>
      <c r="D182" s="30" t="s">
        <v>207</v>
      </c>
      <c r="E182" s="12" t="s">
        <v>169</v>
      </c>
      <c r="F182" s="17"/>
      <c r="G182" s="17"/>
      <c r="H182" s="10">
        <v>51.81</v>
      </c>
      <c r="I182" s="10">
        <v>44.05</v>
      </c>
      <c r="J182" s="10">
        <v>155.14</v>
      </c>
      <c r="K182" s="10">
        <v>155.36</v>
      </c>
      <c r="L182" s="17"/>
      <c r="M182" s="10">
        <v>51.81</v>
      </c>
      <c r="N182" s="10">
        <v>44.02</v>
      </c>
      <c r="O182" s="10">
        <v>155.02</v>
      </c>
      <c r="P182" s="10">
        <v>155.22</v>
      </c>
      <c r="Q182" s="17"/>
      <c r="R182" s="17"/>
    </row>
    <row r="183">
      <c r="A183" s="15">
        <v>46252.099989016206</v>
      </c>
      <c r="B183" s="17"/>
      <c r="C183" s="17"/>
      <c r="D183" s="31" t="s">
        <v>208</v>
      </c>
      <c r="E183" s="12" t="s">
        <v>169</v>
      </c>
      <c r="F183" s="17"/>
      <c r="G183" s="17"/>
      <c r="H183" s="10">
        <v>50.03</v>
      </c>
      <c r="I183" s="10">
        <v>38.95</v>
      </c>
      <c r="J183" s="10">
        <v>148.93</v>
      </c>
      <c r="K183" s="10">
        <v>148.8</v>
      </c>
      <c r="L183" s="17"/>
      <c r="M183" s="10">
        <v>50.02</v>
      </c>
      <c r="N183" s="10">
        <v>38.88</v>
      </c>
      <c r="O183" s="10">
        <v>148.83</v>
      </c>
      <c r="P183" s="10">
        <v>148.78</v>
      </c>
      <c r="Q183" s="17"/>
      <c r="R183" s="17"/>
    </row>
    <row r="184">
      <c r="A184" s="15">
        <v>46252.1013381713</v>
      </c>
      <c r="B184" s="17"/>
      <c r="C184" s="17"/>
      <c r="D184" s="30" t="s">
        <v>209</v>
      </c>
      <c r="E184" s="12" t="s">
        <v>19</v>
      </c>
      <c r="F184" s="17"/>
      <c r="G184" s="17"/>
      <c r="H184" s="10">
        <v>54.59</v>
      </c>
      <c r="I184" s="10">
        <v>36.09</v>
      </c>
      <c r="J184" s="10">
        <v>154.21</v>
      </c>
      <c r="K184" s="10">
        <v>154.46</v>
      </c>
      <c r="L184" s="17"/>
      <c r="M184" s="10">
        <v>54.63</v>
      </c>
      <c r="N184" s="10">
        <v>35.96</v>
      </c>
      <c r="O184" s="10">
        <v>153.96</v>
      </c>
      <c r="P184" s="10">
        <v>154.21</v>
      </c>
      <c r="Q184" s="17"/>
      <c r="R184" s="17"/>
    </row>
    <row r="185">
      <c r="A185" s="15">
        <v>46252.11113837963</v>
      </c>
      <c r="B185" s="17"/>
      <c r="C185" s="17"/>
      <c r="D185" s="31" t="s">
        <v>210</v>
      </c>
      <c r="E185" s="12" t="s">
        <v>169</v>
      </c>
      <c r="F185" s="17"/>
      <c r="G185" s="17"/>
      <c r="H185" s="10">
        <v>50.48</v>
      </c>
      <c r="I185" s="10">
        <v>38.04</v>
      </c>
      <c r="J185" s="10">
        <v>141.12</v>
      </c>
      <c r="K185" s="10">
        <v>141.37</v>
      </c>
      <c r="L185" s="17"/>
      <c r="M185" s="10">
        <v>50.48</v>
      </c>
      <c r="N185" s="10">
        <v>38.04</v>
      </c>
      <c r="O185" s="10">
        <v>141.08</v>
      </c>
      <c r="P185" s="10">
        <v>141.19</v>
      </c>
      <c r="Q185" s="17"/>
      <c r="R185" s="17"/>
    </row>
    <row r="186">
      <c r="A186" s="15">
        <v>46252.11428709491</v>
      </c>
      <c r="B186" s="17"/>
      <c r="C186" s="17"/>
      <c r="D186" s="30" t="s">
        <v>211</v>
      </c>
      <c r="E186" s="12" t="s">
        <v>169</v>
      </c>
      <c r="F186" s="17"/>
      <c r="G186" s="17"/>
      <c r="H186" s="10">
        <v>51.09</v>
      </c>
      <c r="I186" s="10">
        <v>30.85</v>
      </c>
      <c r="J186" s="10">
        <v>140.13</v>
      </c>
      <c r="K186" s="10">
        <v>140.45</v>
      </c>
      <c r="L186" s="17"/>
      <c r="M186" s="10">
        <v>51.03</v>
      </c>
      <c r="N186" s="10">
        <v>30.81</v>
      </c>
      <c r="O186" s="10">
        <v>139.84</v>
      </c>
      <c r="P186" s="10">
        <v>140.15</v>
      </c>
      <c r="Q186" s="17"/>
      <c r="R186" s="17"/>
    </row>
    <row r="187">
      <c r="A187" s="15">
        <v>46252.11617231481</v>
      </c>
      <c r="B187" s="17"/>
      <c r="C187" s="17"/>
      <c r="D187" s="31" t="s">
        <v>212</v>
      </c>
      <c r="E187" s="12" t="s">
        <v>169</v>
      </c>
      <c r="F187" s="17"/>
      <c r="G187" s="17"/>
      <c r="H187" s="10">
        <v>55.08</v>
      </c>
      <c r="I187" s="10">
        <v>44.65</v>
      </c>
      <c r="J187" s="10">
        <v>165.42</v>
      </c>
      <c r="K187" s="10">
        <v>165.77</v>
      </c>
      <c r="L187" s="17"/>
      <c r="M187" s="10">
        <v>55.03</v>
      </c>
      <c r="N187" s="10">
        <v>44.62</v>
      </c>
      <c r="O187" s="10">
        <v>165.06</v>
      </c>
      <c r="P187" s="10">
        <v>165.06</v>
      </c>
      <c r="Q187" s="17"/>
      <c r="R187" s="17"/>
    </row>
    <row r="188">
      <c r="A188" s="15">
        <v>46252.14150986111</v>
      </c>
      <c r="B188" s="17"/>
      <c r="C188" s="17"/>
      <c r="D188" s="30" t="s">
        <v>213</v>
      </c>
      <c r="E188" s="12" t="s">
        <v>19</v>
      </c>
      <c r="F188" s="17"/>
      <c r="G188" s="17"/>
      <c r="H188" s="10">
        <v>54.05</v>
      </c>
      <c r="I188" s="10">
        <v>39.86</v>
      </c>
      <c r="J188" s="10">
        <v>150.03</v>
      </c>
      <c r="K188" s="10">
        <v>150.07</v>
      </c>
      <c r="L188" s="17"/>
      <c r="M188" s="10">
        <v>54.05</v>
      </c>
      <c r="N188" s="10">
        <v>40.06</v>
      </c>
      <c r="O188" s="10">
        <v>150.2</v>
      </c>
      <c r="P188" s="10">
        <v>149.98</v>
      </c>
      <c r="Q188" s="17"/>
      <c r="R188" s="17"/>
    </row>
    <row r="189">
      <c r="A189" s="15">
        <v>46252.14633094908</v>
      </c>
      <c r="B189" s="17"/>
      <c r="C189" s="17"/>
      <c r="D189" s="31" t="s">
        <v>214</v>
      </c>
      <c r="E189" s="12" t="s">
        <v>19</v>
      </c>
      <c r="F189" s="17"/>
      <c r="G189" s="17"/>
      <c r="H189" s="10">
        <v>49.79</v>
      </c>
      <c r="I189" s="10">
        <v>42.11</v>
      </c>
      <c r="J189" s="10">
        <v>149.34</v>
      </c>
      <c r="K189" s="10">
        <v>149.66</v>
      </c>
      <c r="L189" s="17"/>
      <c r="M189" s="10">
        <v>50.2</v>
      </c>
      <c r="N189" s="10">
        <v>42.22</v>
      </c>
      <c r="O189" s="10">
        <v>150.06</v>
      </c>
      <c r="P189" s="10">
        <v>149.9</v>
      </c>
      <c r="Q189" s="17"/>
      <c r="R189" s="17"/>
    </row>
    <row r="190">
      <c r="A190" s="15">
        <v>46252.14953930555</v>
      </c>
      <c r="B190" s="17"/>
      <c r="C190" s="17"/>
      <c r="D190" s="30" t="s">
        <v>215</v>
      </c>
      <c r="E190" s="12" t="s">
        <v>169</v>
      </c>
      <c r="F190" s="17"/>
      <c r="G190" s="17"/>
      <c r="H190" s="10">
        <v>52.2</v>
      </c>
      <c r="I190" s="10">
        <v>45.92</v>
      </c>
      <c r="J190" s="10">
        <v>161.37</v>
      </c>
      <c r="K190" s="10">
        <v>160.2</v>
      </c>
      <c r="L190" s="17"/>
      <c r="M190" s="10">
        <v>51.45</v>
      </c>
      <c r="N190" s="10">
        <v>45.82</v>
      </c>
      <c r="O190" s="10">
        <v>159.98</v>
      </c>
      <c r="P190" s="10">
        <v>160.24</v>
      </c>
      <c r="Q190" s="17"/>
      <c r="R190" s="17"/>
    </row>
    <row r="191">
      <c r="A191" s="15">
        <v>46252.15166215278</v>
      </c>
      <c r="B191" s="17"/>
      <c r="C191" s="17"/>
      <c r="D191" s="31" t="s">
        <v>216</v>
      </c>
      <c r="E191" s="12" t="s">
        <v>169</v>
      </c>
      <c r="F191" s="17"/>
      <c r="G191" s="17"/>
      <c r="H191" s="10">
        <v>60.11</v>
      </c>
      <c r="I191" s="10">
        <v>48.62</v>
      </c>
      <c r="J191" s="10">
        <v>177.79</v>
      </c>
      <c r="K191" s="10">
        <v>177.66</v>
      </c>
      <c r="L191" s="17"/>
      <c r="M191" s="10">
        <v>60.07</v>
      </c>
      <c r="N191" s="10">
        <v>48.62</v>
      </c>
      <c r="O191" s="10">
        <v>177.43</v>
      </c>
      <c r="P191" s="10">
        <v>177.13</v>
      </c>
      <c r="Q191" s="17"/>
      <c r="R191" s="17"/>
    </row>
    <row r="192">
      <c r="A192" s="15">
        <v>46252.153803402776</v>
      </c>
      <c r="B192" s="17"/>
      <c r="C192" s="17"/>
      <c r="D192" s="30" t="s">
        <v>217</v>
      </c>
      <c r="E192" s="12" t="s">
        <v>169</v>
      </c>
      <c r="F192" s="17"/>
      <c r="G192" s="17"/>
      <c r="H192" s="10">
        <v>59.91</v>
      </c>
      <c r="I192" s="10">
        <v>48.77</v>
      </c>
      <c r="J192" s="10">
        <v>178.21</v>
      </c>
      <c r="K192" s="10">
        <v>178.24</v>
      </c>
      <c r="L192" s="17"/>
      <c r="M192" s="10">
        <v>59.91</v>
      </c>
      <c r="N192" s="10">
        <v>48.77</v>
      </c>
      <c r="O192" s="10">
        <v>177.86</v>
      </c>
      <c r="P192" s="10">
        <v>176.76</v>
      </c>
      <c r="Q192" s="17"/>
      <c r="R192" s="17"/>
    </row>
    <row r="193">
      <c r="A193" s="15">
        <v>46252.15527260417</v>
      </c>
      <c r="B193" s="17"/>
      <c r="C193" s="17"/>
      <c r="D193" s="31" t="s">
        <v>218</v>
      </c>
      <c r="E193" s="12" t="s">
        <v>169</v>
      </c>
      <c r="F193" s="17"/>
      <c r="G193" s="17"/>
      <c r="H193" s="10">
        <v>54.32</v>
      </c>
      <c r="I193" s="10">
        <v>36.66</v>
      </c>
      <c r="J193" s="10">
        <v>154.34</v>
      </c>
      <c r="K193" s="10">
        <v>154.66</v>
      </c>
      <c r="L193" s="17"/>
      <c r="M193" s="10">
        <v>54.24</v>
      </c>
      <c r="N193" s="10">
        <v>36.07</v>
      </c>
      <c r="O193" s="10">
        <v>154.08</v>
      </c>
      <c r="P193" s="10">
        <v>153.36</v>
      </c>
      <c r="Q193" s="17"/>
      <c r="R193" s="17"/>
    </row>
    <row r="194">
      <c r="A194" s="15">
        <v>46252.15673724537</v>
      </c>
      <c r="B194" s="17"/>
      <c r="C194" s="17"/>
      <c r="D194" s="30" t="s">
        <v>219</v>
      </c>
      <c r="E194" s="12" t="s">
        <v>169</v>
      </c>
      <c r="F194" s="17"/>
      <c r="G194" s="17"/>
      <c r="H194" s="10">
        <v>60.46</v>
      </c>
      <c r="I194" s="10">
        <v>49.08</v>
      </c>
      <c r="J194" s="10">
        <v>178.47</v>
      </c>
      <c r="K194" s="10">
        <v>178.14</v>
      </c>
      <c r="L194" s="17"/>
      <c r="M194" s="10">
        <v>60.34</v>
      </c>
      <c r="N194" s="10">
        <v>49.04</v>
      </c>
      <c r="O194" s="10">
        <v>178.49</v>
      </c>
      <c r="P194" s="10">
        <v>177.89</v>
      </c>
      <c r="Q194" s="17"/>
      <c r="R194" s="17"/>
    </row>
    <row r="195">
      <c r="A195" s="15">
        <v>46252.15776166666</v>
      </c>
      <c r="B195" s="17"/>
      <c r="C195" s="17"/>
      <c r="D195" s="31" t="s">
        <v>220</v>
      </c>
      <c r="E195" s="12" t="s">
        <v>169</v>
      </c>
      <c r="F195" s="17"/>
      <c r="G195" s="17"/>
      <c r="H195" s="10">
        <v>56.91</v>
      </c>
      <c r="I195" s="10">
        <v>56.91</v>
      </c>
      <c r="J195" s="10">
        <v>172.71</v>
      </c>
      <c r="K195" s="10">
        <v>172.6</v>
      </c>
      <c r="L195" s="17"/>
      <c r="M195" s="10">
        <v>56.71</v>
      </c>
      <c r="N195" s="10">
        <v>46.31</v>
      </c>
      <c r="O195" s="10">
        <v>172.35</v>
      </c>
      <c r="P195" s="10">
        <v>171.34</v>
      </c>
      <c r="Q195" s="17"/>
      <c r="R195" s="17"/>
    </row>
    <row r="196">
      <c r="A196" s="15">
        <v>46252.15944239583</v>
      </c>
      <c r="B196" s="17"/>
      <c r="C196" s="17"/>
      <c r="D196" s="30" t="s">
        <v>221</v>
      </c>
      <c r="E196" s="12" t="s">
        <v>19</v>
      </c>
      <c r="F196" s="17"/>
      <c r="G196" s="17"/>
      <c r="H196" s="10">
        <v>50.26</v>
      </c>
      <c r="I196" s="10">
        <v>37.76</v>
      </c>
      <c r="J196" s="10">
        <v>140.42</v>
      </c>
      <c r="K196" s="10">
        <v>140.29</v>
      </c>
      <c r="L196" s="17"/>
      <c r="M196" s="10">
        <v>50.44</v>
      </c>
      <c r="N196" s="10">
        <v>37.86</v>
      </c>
      <c r="O196" s="10">
        <v>140.87</v>
      </c>
      <c r="P196" s="10">
        <v>140.74</v>
      </c>
      <c r="Q196" s="17"/>
      <c r="R196" s="17"/>
    </row>
    <row r="197">
      <c r="A197" s="15">
        <v>46252.16342186343</v>
      </c>
      <c r="B197" s="17"/>
      <c r="C197" s="17"/>
      <c r="D197" s="31" t="s">
        <v>222</v>
      </c>
      <c r="E197" s="12" t="s">
        <v>19</v>
      </c>
      <c r="F197" s="17"/>
      <c r="G197" s="17"/>
      <c r="H197" s="10">
        <v>47.57</v>
      </c>
      <c r="I197" s="10">
        <v>40.62</v>
      </c>
      <c r="J197" s="10">
        <v>142.9</v>
      </c>
      <c r="K197" s="10">
        <v>142.74</v>
      </c>
      <c r="L197" s="17"/>
      <c r="M197" s="10">
        <v>47.68</v>
      </c>
      <c r="N197" s="10">
        <v>40.8</v>
      </c>
      <c r="O197" s="10">
        <v>143.36</v>
      </c>
      <c r="P197" s="10">
        <v>142.75</v>
      </c>
      <c r="Q197" s="17"/>
      <c r="R197" s="17"/>
    </row>
    <row r="198">
      <c r="A198" s="15">
        <v>46252.1646203125</v>
      </c>
      <c r="B198" s="17"/>
      <c r="C198" s="17"/>
      <c r="D198" s="30" t="s">
        <v>223</v>
      </c>
      <c r="E198" s="12" t="s">
        <v>19</v>
      </c>
      <c r="F198" s="17"/>
      <c r="G198" s="17"/>
      <c r="H198" s="10">
        <v>50.43</v>
      </c>
      <c r="I198" s="10">
        <v>41.83</v>
      </c>
      <c r="J198" s="10">
        <v>149.58</v>
      </c>
      <c r="K198" s="10">
        <v>149.62</v>
      </c>
      <c r="L198" s="17"/>
      <c r="M198" s="10">
        <v>50.43</v>
      </c>
      <c r="N198" s="10">
        <v>42.02</v>
      </c>
      <c r="O198" s="10">
        <v>42.02</v>
      </c>
      <c r="P198" s="10">
        <v>149.69</v>
      </c>
      <c r="Q198" s="17"/>
      <c r="R198" s="17"/>
    </row>
    <row r="199">
      <c r="A199" s="15">
        <v>46252.165929560186</v>
      </c>
      <c r="B199" s="17"/>
      <c r="C199" s="17"/>
      <c r="D199" s="31" t="s">
        <v>224</v>
      </c>
      <c r="E199" s="12" t="s">
        <v>19</v>
      </c>
      <c r="F199" s="17"/>
      <c r="G199" s="17"/>
      <c r="H199" s="10">
        <v>54.13</v>
      </c>
      <c r="I199" s="10">
        <v>38.97</v>
      </c>
      <c r="J199" s="10">
        <v>155.87</v>
      </c>
      <c r="K199" s="10">
        <v>155.35</v>
      </c>
      <c r="L199" s="17"/>
      <c r="M199" s="10">
        <v>54.19</v>
      </c>
      <c r="N199" s="10">
        <v>39.13</v>
      </c>
      <c r="O199" s="10">
        <v>155.88</v>
      </c>
      <c r="P199" s="10">
        <v>155.69</v>
      </c>
      <c r="Q199" s="17"/>
      <c r="R199" s="17"/>
    </row>
    <row r="200">
      <c r="A200" s="15">
        <v>46252.16696112268</v>
      </c>
      <c r="B200" s="17"/>
      <c r="C200" s="17"/>
      <c r="D200" s="12" t="s">
        <v>225</v>
      </c>
      <c r="E200" s="11"/>
      <c r="F200" s="17"/>
      <c r="G200" s="17"/>
      <c r="H200" s="10">
        <v>51.14</v>
      </c>
      <c r="I200" s="10">
        <v>41.01</v>
      </c>
      <c r="J200" s="10">
        <v>155.41</v>
      </c>
      <c r="K200" s="10">
        <v>155.46</v>
      </c>
      <c r="L200" s="17"/>
      <c r="M200" s="10">
        <v>51.15</v>
      </c>
      <c r="N200" s="10">
        <v>41.09</v>
      </c>
      <c r="O200" s="10">
        <v>155.43</v>
      </c>
      <c r="P200" s="10">
        <v>155.6</v>
      </c>
      <c r="Q200" s="17"/>
      <c r="R200" s="17"/>
    </row>
    <row r="201">
      <c r="A201" s="15">
        <v>46252.332470486115</v>
      </c>
      <c r="B201" s="17"/>
      <c r="C201" s="17"/>
      <c r="D201" s="12" t="s">
        <v>226</v>
      </c>
      <c r="E201" s="12" t="s">
        <v>19</v>
      </c>
      <c r="F201" s="17"/>
      <c r="G201" s="10" t="s">
        <v>20</v>
      </c>
      <c r="H201" s="10">
        <v>50.67</v>
      </c>
      <c r="I201" s="10">
        <v>39.48</v>
      </c>
      <c r="J201" s="10">
        <v>148.75</v>
      </c>
      <c r="K201" s="10">
        <v>148.9</v>
      </c>
      <c r="L201" s="10" t="s">
        <v>21</v>
      </c>
      <c r="M201" s="10">
        <v>50.88</v>
      </c>
      <c r="N201" s="10">
        <v>39.79</v>
      </c>
      <c r="O201" s="10">
        <v>149.57</v>
      </c>
      <c r="P201" s="10">
        <v>149.41</v>
      </c>
      <c r="Q201" s="10" t="s">
        <v>19</v>
      </c>
      <c r="R201" s="10" t="s">
        <v>227</v>
      </c>
    </row>
    <row r="202">
      <c r="A202" s="15">
        <v>46252.363952037034</v>
      </c>
      <c r="B202" s="17"/>
      <c r="C202" s="17"/>
      <c r="D202" s="12" t="s">
        <v>228</v>
      </c>
      <c r="E202" s="12" t="s">
        <v>19</v>
      </c>
      <c r="F202" s="17"/>
      <c r="G202" s="10" t="s">
        <v>20</v>
      </c>
      <c r="H202" s="10">
        <v>55.95</v>
      </c>
      <c r="I202" s="10">
        <v>32.42</v>
      </c>
      <c r="J202" s="10">
        <v>153.33</v>
      </c>
      <c r="K202" s="10">
        <v>153.33</v>
      </c>
      <c r="L202" s="10" t="s">
        <v>21</v>
      </c>
      <c r="M202" s="10">
        <v>56.22</v>
      </c>
      <c r="N202" s="10">
        <v>32.72</v>
      </c>
      <c r="O202" s="10">
        <v>154.37</v>
      </c>
      <c r="P202" s="10">
        <v>154.5</v>
      </c>
      <c r="Q202" s="10" t="s">
        <v>19</v>
      </c>
      <c r="R202" s="10" t="s">
        <v>227</v>
      </c>
    </row>
    <row r="203">
      <c r="A203" s="15">
        <v>46252.38861415509</v>
      </c>
      <c r="B203" s="17"/>
      <c r="C203" s="17"/>
      <c r="D203" s="12" t="s">
        <v>229</v>
      </c>
      <c r="E203" s="12" t="s">
        <v>19</v>
      </c>
      <c r="F203" s="17"/>
      <c r="G203" s="10" t="s">
        <v>20</v>
      </c>
      <c r="H203" s="10">
        <v>52.86</v>
      </c>
      <c r="I203" s="10">
        <v>41.72</v>
      </c>
      <c r="J203" s="10">
        <v>156.73</v>
      </c>
      <c r="K203" s="10">
        <v>156.82</v>
      </c>
      <c r="L203" s="10" t="s">
        <v>21</v>
      </c>
      <c r="M203" s="10">
        <v>52.96</v>
      </c>
      <c r="N203" s="10">
        <v>41.94</v>
      </c>
      <c r="O203" s="10">
        <v>157.34</v>
      </c>
      <c r="P203" s="10">
        <v>157.18</v>
      </c>
      <c r="Q203" s="10" t="s">
        <v>19</v>
      </c>
      <c r="R203" s="10" t="s">
        <v>227</v>
      </c>
    </row>
    <row r="204">
      <c r="A204" s="15">
        <v>46253.73107622685</v>
      </c>
      <c r="B204" s="17"/>
      <c r="C204" s="17"/>
      <c r="D204" s="12" t="s">
        <v>230</v>
      </c>
      <c r="E204" s="12" t="s">
        <v>19</v>
      </c>
      <c r="F204" s="17"/>
      <c r="G204" s="10" t="s">
        <v>20</v>
      </c>
      <c r="H204" s="10">
        <v>54.15</v>
      </c>
      <c r="I204" s="10">
        <v>41.08</v>
      </c>
      <c r="J204" s="10">
        <v>153.83</v>
      </c>
      <c r="K204" s="10">
        <v>156.92</v>
      </c>
      <c r="L204" s="10" t="s">
        <v>21</v>
      </c>
      <c r="M204" s="10">
        <v>54.13</v>
      </c>
      <c r="N204" s="10">
        <v>41.3</v>
      </c>
      <c r="O204" s="10">
        <v>154.21</v>
      </c>
      <c r="P204" s="10">
        <v>154.48</v>
      </c>
      <c r="Q204" s="10" t="s">
        <v>19</v>
      </c>
      <c r="R204" s="10" t="s">
        <v>54</v>
      </c>
    </row>
    <row r="205">
      <c r="A205" s="15">
        <v>46253.73468076389</v>
      </c>
      <c r="B205" s="17"/>
      <c r="C205" s="17"/>
      <c r="D205" s="12" t="s">
        <v>185</v>
      </c>
      <c r="E205" s="12" t="s">
        <v>19</v>
      </c>
      <c r="F205" s="17"/>
      <c r="G205" s="10" t="s">
        <v>20</v>
      </c>
      <c r="H205" s="10">
        <v>53.44</v>
      </c>
      <c r="I205" s="10">
        <v>42.96</v>
      </c>
      <c r="J205" s="10">
        <v>159.23</v>
      </c>
      <c r="K205" s="10">
        <v>159.23</v>
      </c>
      <c r="L205" s="10" t="s">
        <v>21</v>
      </c>
      <c r="M205" s="10">
        <v>53.92</v>
      </c>
      <c r="N205" s="10">
        <v>42.92</v>
      </c>
      <c r="O205" s="10">
        <v>160.93</v>
      </c>
      <c r="P205" s="10">
        <v>160.79</v>
      </c>
      <c r="Q205" s="10" t="s">
        <v>19</v>
      </c>
      <c r="R205" s="10" t="s">
        <v>54</v>
      </c>
    </row>
    <row r="206">
      <c r="A206" s="15">
        <v>46253.75995689815</v>
      </c>
      <c r="B206" s="17"/>
      <c r="C206" s="17"/>
      <c r="D206" s="12">
        <v>207481.0</v>
      </c>
      <c r="E206" s="12" t="s">
        <v>19</v>
      </c>
      <c r="F206" s="17"/>
      <c r="G206" s="10" t="s">
        <v>20</v>
      </c>
      <c r="H206" s="10">
        <v>50.72</v>
      </c>
      <c r="I206" s="10">
        <v>43.13</v>
      </c>
      <c r="J206" s="10">
        <v>153.89</v>
      </c>
      <c r="K206" s="10">
        <v>153.89</v>
      </c>
      <c r="L206" s="10" t="s">
        <v>21</v>
      </c>
      <c r="M206" s="40">
        <v>51.26</v>
      </c>
      <c r="N206" s="10">
        <v>43.51</v>
      </c>
      <c r="O206" s="10">
        <v>155.51</v>
      </c>
      <c r="P206" s="10">
        <v>155.29</v>
      </c>
      <c r="Q206" s="10" t="s">
        <v>19</v>
      </c>
      <c r="R206" s="10" t="s">
        <v>54</v>
      </c>
    </row>
    <row r="207">
      <c r="A207" s="15">
        <v>46253.76313609954</v>
      </c>
      <c r="B207" s="17"/>
      <c r="C207" s="17"/>
      <c r="D207" s="12" t="s">
        <v>220</v>
      </c>
      <c r="E207" s="12" t="s">
        <v>19</v>
      </c>
      <c r="F207" s="17"/>
      <c r="G207" s="10" t="s">
        <v>20</v>
      </c>
      <c r="H207" s="10">
        <v>56.71</v>
      </c>
      <c r="I207" s="10">
        <v>46.31</v>
      </c>
      <c r="J207" s="10">
        <v>172.35</v>
      </c>
      <c r="K207" s="10">
        <v>171.34</v>
      </c>
      <c r="L207" s="10" t="s">
        <v>21</v>
      </c>
      <c r="M207" s="10">
        <v>56.88</v>
      </c>
      <c r="N207" s="10">
        <v>46.15</v>
      </c>
      <c r="O207" s="10">
        <v>172.55</v>
      </c>
      <c r="P207" s="10">
        <v>172.2</v>
      </c>
      <c r="Q207" s="10" t="s">
        <v>19</v>
      </c>
      <c r="R207" s="10" t="s">
        <v>54</v>
      </c>
    </row>
    <row r="208">
      <c r="A208" s="15">
        <v>46254.48641434028</v>
      </c>
      <c r="B208" s="17"/>
      <c r="C208" s="17"/>
      <c r="D208" s="12">
        <v>241106.0</v>
      </c>
      <c r="E208" s="12" t="s">
        <v>19</v>
      </c>
      <c r="F208" s="17"/>
      <c r="G208" s="10" t="s">
        <v>20</v>
      </c>
      <c r="H208" s="10">
        <v>56.87</v>
      </c>
      <c r="I208" s="10">
        <v>41.44</v>
      </c>
      <c r="J208" s="10">
        <v>166.01</v>
      </c>
      <c r="K208" s="10">
        <v>165.79</v>
      </c>
      <c r="L208" s="10" t="s">
        <v>21</v>
      </c>
      <c r="M208" s="10">
        <v>57.36</v>
      </c>
      <c r="N208" s="10">
        <v>42.23</v>
      </c>
      <c r="O208" s="10">
        <v>168.01</v>
      </c>
      <c r="P208" s="10">
        <v>167.72</v>
      </c>
      <c r="Q208" s="10" t="s">
        <v>19</v>
      </c>
      <c r="R208" s="10" t="s">
        <v>227</v>
      </c>
    </row>
    <row r="209">
      <c r="A209" s="15">
        <v>46254.48705964121</v>
      </c>
      <c r="B209" s="17"/>
      <c r="C209" s="17"/>
      <c r="D209" s="12" t="s">
        <v>231</v>
      </c>
      <c r="E209" s="12" t="s">
        <v>25</v>
      </c>
      <c r="F209" s="17"/>
      <c r="G209" s="10" t="s">
        <v>20</v>
      </c>
      <c r="H209" s="10">
        <v>49.64</v>
      </c>
      <c r="I209" s="10">
        <v>36.56</v>
      </c>
      <c r="J209" s="10">
        <v>142.37</v>
      </c>
      <c r="K209" s="10">
        <v>142.37</v>
      </c>
      <c r="L209" s="10" t="s">
        <v>21</v>
      </c>
      <c r="M209" s="10">
        <v>52.9</v>
      </c>
      <c r="N209" s="10">
        <v>40.54</v>
      </c>
      <c r="O209" s="10">
        <v>154.56</v>
      </c>
      <c r="P209" s="10">
        <v>154.58</v>
      </c>
      <c r="Q209" s="10" t="s">
        <v>25</v>
      </c>
      <c r="R209" s="10" t="s">
        <v>227</v>
      </c>
    </row>
    <row r="210">
      <c r="B210" s="17"/>
      <c r="C210" s="17"/>
      <c r="D210" s="12" t="s">
        <v>192</v>
      </c>
      <c r="E210" s="11"/>
      <c r="F210" s="17"/>
      <c r="G210" s="17"/>
      <c r="H210" s="10"/>
      <c r="I210" s="17"/>
      <c r="J210" s="17"/>
      <c r="K210" s="17"/>
      <c r="L210" s="17"/>
      <c r="M210" s="10">
        <v>51.96</v>
      </c>
      <c r="N210" s="10">
        <v>43.92</v>
      </c>
      <c r="O210" s="10">
        <v>155.59</v>
      </c>
      <c r="P210" s="10">
        <v>155.26</v>
      </c>
      <c r="Q210" s="17"/>
      <c r="R210" s="17"/>
      <c r="S210" s="41" t="s">
        <v>232</v>
      </c>
    </row>
    <row r="211">
      <c r="B211" s="17"/>
      <c r="C211" s="17"/>
      <c r="D211" s="11" t="str">
        <f>B211&amp;"."&amp;C211</f>
        <v>.</v>
      </c>
      <c r="E211" s="11"/>
      <c r="F211" s="17"/>
      <c r="G211" s="17"/>
      <c r="H211" s="17"/>
      <c r="I211" s="17"/>
      <c r="J211" s="17"/>
      <c r="K211" s="17"/>
      <c r="L211" s="17"/>
      <c r="M211" s="10">
        <v>52.05</v>
      </c>
      <c r="N211" s="10">
        <v>43.74</v>
      </c>
      <c r="O211" s="10">
        <v>155.36</v>
      </c>
      <c r="P211" s="10">
        <v>155.36</v>
      </c>
      <c r="Q211" s="17"/>
      <c r="R211" s="17"/>
      <c r="S211" s="41" t="s">
        <v>233</v>
      </c>
    </row>
    <row r="212">
      <c r="A212" s="15">
        <v>46254.71929987268</v>
      </c>
      <c r="B212" s="17"/>
      <c r="C212" s="17"/>
      <c r="D212" s="42" t="s">
        <v>103</v>
      </c>
      <c r="E212" s="43" t="s">
        <v>43</v>
      </c>
      <c r="F212" s="17"/>
      <c r="G212" s="10" t="s">
        <v>20</v>
      </c>
      <c r="H212" s="10">
        <v>53.71</v>
      </c>
      <c r="I212" s="10">
        <v>36.21</v>
      </c>
      <c r="J212" s="10">
        <v>154.17</v>
      </c>
      <c r="K212" s="10">
        <v>154.17</v>
      </c>
      <c r="L212" s="10" t="s">
        <v>119</v>
      </c>
      <c r="M212" s="10">
        <v>53.56</v>
      </c>
      <c r="N212" s="10">
        <v>36.12</v>
      </c>
      <c r="O212" s="10">
        <v>153.74</v>
      </c>
      <c r="P212" s="10">
        <v>153.74</v>
      </c>
      <c r="Q212" s="17"/>
      <c r="R212" s="10" t="s">
        <v>234</v>
      </c>
      <c r="S212" s="41" t="s">
        <v>235</v>
      </c>
    </row>
    <row r="213">
      <c r="A213" s="15">
        <v>46254.72402494213</v>
      </c>
      <c r="B213" s="17"/>
      <c r="C213" s="17"/>
      <c r="D213" s="44" t="s">
        <v>236</v>
      </c>
      <c r="E213" s="45" t="s">
        <v>19</v>
      </c>
      <c r="F213" s="17"/>
      <c r="G213" s="10" t="s">
        <v>20</v>
      </c>
      <c r="H213" s="10">
        <v>54.94</v>
      </c>
      <c r="I213" s="10">
        <v>39.0</v>
      </c>
      <c r="J213" s="10">
        <v>159.98</v>
      </c>
      <c r="K213" s="10">
        <v>160.11</v>
      </c>
      <c r="L213" s="10" t="s">
        <v>119</v>
      </c>
      <c r="M213" s="10">
        <v>54.94</v>
      </c>
      <c r="N213" s="10">
        <v>39.0</v>
      </c>
      <c r="O213" s="10">
        <v>159.97</v>
      </c>
      <c r="P213" s="10">
        <v>160.38</v>
      </c>
      <c r="Q213" s="17"/>
      <c r="R213" s="10" t="s">
        <v>234</v>
      </c>
    </row>
    <row r="214">
      <c r="A214" s="15">
        <v>46254.7252525463</v>
      </c>
      <c r="B214" s="17"/>
      <c r="C214" s="17"/>
      <c r="D214" s="42" t="s">
        <v>237</v>
      </c>
      <c r="E214" s="43" t="s">
        <v>43</v>
      </c>
      <c r="F214" s="17"/>
      <c r="G214" s="10" t="s">
        <v>20</v>
      </c>
      <c r="H214" s="10">
        <v>55.39</v>
      </c>
      <c r="I214" s="10">
        <v>38.59</v>
      </c>
      <c r="J214" s="10">
        <v>158.47</v>
      </c>
      <c r="K214" s="10">
        <v>158.55</v>
      </c>
      <c r="L214" s="10" t="s">
        <v>119</v>
      </c>
      <c r="M214" s="10">
        <v>55.29</v>
      </c>
      <c r="N214" s="10">
        <v>55.29</v>
      </c>
      <c r="O214" s="10">
        <v>157.85</v>
      </c>
      <c r="P214" s="10">
        <v>157.85</v>
      </c>
      <c r="Q214" s="17"/>
      <c r="R214" s="10" t="s">
        <v>234</v>
      </c>
    </row>
    <row r="215">
      <c r="A215" s="15">
        <v>46254.726541724536</v>
      </c>
      <c r="B215" s="17"/>
      <c r="C215" s="17"/>
      <c r="D215" s="44" t="s">
        <v>238</v>
      </c>
      <c r="E215" s="45" t="s">
        <v>43</v>
      </c>
      <c r="F215" s="17"/>
      <c r="G215" s="10" t="s">
        <v>20</v>
      </c>
      <c r="H215" s="10">
        <v>55.71</v>
      </c>
      <c r="I215" s="10">
        <v>39.7</v>
      </c>
      <c r="J215" s="10">
        <v>162.71</v>
      </c>
      <c r="K215" s="10">
        <v>162.86</v>
      </c>
      <c r="L215" s="10" t="s">
        <v>119</v>
      </c>
      <c r="M215" s="10">
        <v>55.7</v>
      </c>
      <c r="N215" s="10">
        <v>39.55</v>
      </c>
      <c r="O215" s="10">
        <v>162.47</v>
      </c>
      <c r="P215" s="10">
        <v>162.4</v>
      </c>
      <c r="Q215" s="17"/>
      <c r="R215" s="10" t="s">
        <v>234</v>
      </c>
    </row>
    <row r="216">
      <c r="A216" s="15">
        <v>46254.72752054398</v>
      </c>
      <c r="B216" s="17"/>
      <c r="C216" s="17"/>
      <c r="D216" s="42" t="s">
        <v>239</v>
      </c>
      <c r="E216" s="43" t="s">
        <v>43</v>
      </c>
      <c r="F216" s="17"/>
      <c r="G216" s="10" t="s">
        <v>20</v>
      </c>
      <c r="H216" s="10">
        <v>54.65</v>
      </c>
      <c r="I216" s="10">
        <v>42.17</v>
      </c>
      <c r="J216" s="10">
        <v>162.28</v>
      </c>
      <c r="K216" s="10">
        <v>162.34</v>
      </c>
      <c r="L216" s="10" t="s">
        <v>119</v>
      </c>
      <c r="M216" s="10">
        <v>54.65</v>
      </c>
      <c r="N216" s="10">
        <v>41.9</v>
      </c>
      <c r="O216" s="10">
        <v>162.0</v>
      </c>
      <c r="P216" s="10">
        <v>161.69</v>
      </c>
      <c r="Q216" s="17"/>
      <c r="R216" s="10" t="s">
        <v>234</v>
      </c>
    </row>
    <row r="217">
      <c r="A217" s="15">
        <v>46254.72844259259</v>
      </c>
      <c r="B217" s="17"/>
      <c r="C217" s="17"/>
      <c r="D217" s="44" t="s">
        <v>240</v>
      </c>
      <c r="E217" s="45" t="s">
        <v>43</v>
      </c>
      <c r="F217" s="17"/>
      <c r="G217" s="10" t="s">
        <v>20</v>
      </c>
      <c r="H217" s="10">
        <v>52.98</v>
      </c>
      <c r="I217" s="10">
        <v>39.02</v>
      </c>
      <c r="J217" s="10">
        <v>154.57</v>
      </c>
      <c r="K217" s="10">
        <v>154.54</v>
      </c>
      <c r="L217" s="10" t="s">
        <v>119</v>
      </c>
      <c r="M217" s="10">
        <v>52.93</v>
      </c>
      <c r="N217" s="10">
        <v>38.84</v>
      </c>
      <c r="O217" s="10">
        <v>154.3</v>
      </c>
      <c r="P217" s="10">
        <v>154.12</v>
      </c>
      <c r="Q217" s="17"/>
      <c r="R217" s="10" t="s">
        <v>234</v>
      </c>
    </row>
    <row r="218">
      <c r="B218" s="17"/>
      <c r="C218" s="17"/>
      <c r="D218" s="42" t="s">
        <v>241</v>
      </c>
      <c r="E218" s="43" t="s">
        <v>242</v>
      </c>
      <c r="F218" s="17"/>
      <c r="G218" s="10" t="s">
        <v>20</v>
      </c>
      <c r="H218" s="17"/>
      <c r="I218" s="17"/>
      <c r="J218" s="17"/>
      <c r="K218" s="17"/>
      <c r="L218" s="10" t="s">
        <v>119</v>
      </c>
      <c r="M218" s="17"/>
      <c r="N218" s="17"/>
      <c r="O218" s="17"/>
      <c r="P218" s="17"/>
      <c r="Q218" s="17"/>
      <c r="R218" s="10" t="s">
        <v>234</v>
      </c>
    </row>
    <row r="219">
      <c r="A219" s="15">
        <v>46254.73335392361</v>
      </c>
      <c r="B219" s="17"/>
      <c r="C219" s="17"/>
      <c r="D219" s="44" t="s">
        <v>243</v>
      </c>
      <c r="E219" s="45" t="s">
        <v>43</v>
      </c>
      <c r="F219" s="17"/>
      <c r="G219" s="10" t="s">
        <v>20</v>
      </c>
      <c r="H219" s="10">
        <v>52.73</v>
      </c>
      <c r="I219" s="10">
        <v>43.21</v>
      </c>
      <c r="J219" s="10">
        <v>155.18</v>
      </c>
      <c r="K219" s="10">
        <v>155.25</v>
      </c>
      <c r="L219" s="10" t="s">
        <v>119</v>
      </c>
      <c r="M219" s="10">
        <v>52.55</v>
      </c>
      <c r="N219" s="10">
        <v>43.19</v>
      </c>
      <c r="O219" s="10">
        <v>155.2</v>
      </c>
      <c r="P219" s="10">
        <v>154.97</v>
      </c>
      <c r="Q219" s="17"/>
      <c r="R219" s="10" t="s">
        <v>234</v>
      </c>
    </row>
    <row r="220">
      <c r="A220" s="15">
        <v>46254.73447488426</v>
      </c>
      <c r="B220" s="17"/>
      <c r="C220" s="17"/>
      <c r="D220" s="42" t="s">
        <v>244</v>
      </c>
      <c r="E220" s="43" t="s">
        <v>43</v>
      </c>
      <c r="F220" s="17"/>
      <c r="G220" s="10" t="s">
        <v>20</v>
      </c>
      <c r="H220" s="10">
        <v>56.99</v>
      </c>
      <c r="I220" s="10">
        <v>43.51</v>
      </c>
      <c r="J220" s="10">
        <v>170.02</v>
      </c>
      <c r="K220" s="10">
        <v>169.97</v>
      </c>
      <c r="L220" s="10" t="s">
        <v>119</v>
      </c>
      <c r="M220" s="10">
        <v>56.89</v>
      </c>
      <c r="N220" s="10">
        <v>43.46</v>
      </c>
      <c r="O220" s="10">
        <v>169.57</v>
      </c>
      <c r="P220" s="10">
        <v>169.57</v>
      </c>
      <c r="Q220" s="17"/>
      <c r="R220" s="10" t="s">
        <v>234</v>
      </c>
    </row>
    <row r="221">
      <c r="A221" s="15">
        <v>46254.73545591436</v>
      </c>
      <c r="B221" s="17"/>
      <c r="C221" s="17"/>
      <c r="D221" s="44" t="s">
        <v>245</v>
      </c>
      <c r="E221" s="45" t="s">
        <v>43</v>
      </c>
      <c r="F221" s="17"/>
      <c r="G221" s="10" t="s">
        <v>20</v>
      </c>
      <c r="H221" s="10">
        <v>53.55</v>
      </c>
      <c r="I221" s="10">
        <v>38.55</v>
      </c>
      <c r="J221" s="10">
        <v>154.64</v>
      </c>
      <c r="K221" s="10">
        <v>154.8</v>
      </c>
      <c r="L221" s="10" t="s">
        <v>119</v>
      </c>
      <c r="M221" s="10">
        <v>53.47</v>
      </c>
      <c r="N221" s="10">
        <v>38.55</v>
      </c>
      <c r="O221" s="10">
        <v>154.39</v>
      </c>
      <c r="P221" s="10">
        <v>154.09</v>
      </c>
      <c r="Q221" s="17"/>
      <c r="R221" s="10" t="s">
        <v>234</v>
      </c>
    </row>
    <row r="222">
      <c r="A222" s="15">
        <v>46254.737128692126</v>
      </c>
      <c r="B222" s="17"/>
      <c r="C222" s="17"/>
      <c r="D222" s="42" t="s">
        <v>112</v>
      </c>
      <c r="E222" s="43" t="s">
        <v>43</v>
      </c>
      <c r="F222" s="17"/>
      <c r="G222" s="10" t="s">
        <v>20</v>
      </c>
      <c r="H222" s="10">
        <v>52.41</v>
      </c>
      <c r="I222" s="10">
        <v>34.85</v>
      </c>
      <c r="J222" s="10">
        <v>147.77</v>
      </c>
      <c r="K222" s="10">
        <v>147.85</v>
      </c>
      <c r="L222" s="10" t="s">
        <v>119</v>
      </c>
      <c r="M222" s="10">
        <v>52.35</v>
      </c>
      <c r="N222" s="10">
        <v>34.85</v>
      </c>
      <c r="O222" s="10">
        <v>147.62</v>
      </c>
      <c r="P222" s="10">
        <v>147.62</v>
      </c>
      <c r="Q222" s="17"/>
      <c r="R222" s="10" t="s">
        <v>234</v>
      </c>
    </row>
    <row r="223">
      <c r="A223" s="15">
        <v>46254.74223931713</v>
      </c>
      <c r="B223" s="17"/>
      <c r="C223" s="17"/>
      <c r="D223" s="44" t="s">
        <v>246</v>
      </c>
      <c r="E223" s="45" t="s">
        <v>43</v>
      </c>
      <c r="F223" s="17"/>
      <c r="G223" s="10" t="s">
        <v>20</v>
      </c>
      <c r="H223" s="10">
        <v>52.18</v>
      </c>
      <c r="I223" s="10">
        <v>42.1</v>
      </c>
      <c r="J223" s="10">
        <v>153.6</v>
      </c>
      <c r="K223" s="10">
        <v>153.51</v>
      </c>
      <c r="L223" s="10" t="s">
        <v>119</v>
      </c>
      <c r="M223" s="10">
        <v>52.1</v>
      </c>
      <c r="N223" s="10">
        <v>42.02</v>
      </c>
      <c r="O223" s="10">
        <v>153.25</v>
      </c>
      <c r="P223" s="10">
        <v>153.31</v>
      </c>
      <c r="Q223" s="17"/>
      <c r="R223" s="10" t="s">
        <v>234</v>
      </c>
    </row>
    <row r="224">
      <c r="A224" s="15">
        <v>46256.29272837963</v>
      </c>
      <c r="B224" s="17"/>
      <c r="C224" s="17"/>
      <c r="D224" s="42" t="s">
        <v>247</v>
      </c>
      <c r="E224" s="43" t="s">
        <v>43</v>
      </c>
      <c r="F224" s="17"/>
      <c r="G224" s="10" t="s">
        <v>20</v>
      </c>
      <c r="H224" s="10">
        <v>53.68</v>
      </c>
      <c r="I224" s="10">
        <v>39.14</v>
      </c>
      <c r="J224" s="10">
        <v>149.79</v>
      </c>
      <c r="K224" s="10">
        <v>149.9</v>
      </c>
      <c r="L224" s="10" t="s">
        <v>119</v>
      </c>
      <c r="M224" s="10">
        <v>53.66</v>
      </c>
      <c r="N224" s="10">
        <v>39.05</v>
      </c>
      <c r="O224" s="10">
        <v>149.76</v>
      </c>
      <c r="P224" s="10">
        <v>149.76</v>
      </c>
      <c r="Q224" s="17"/>
      <c r="R224" s="10" t="s">
        <v>234</v>
      </c>
    </row>
    <row r="225">
      <c r="B225" s="17"/>
      <c r="C225" s="17"/>
      <c r="D225" s="44" t="s">
        <v>248</v>
      </c>
      <c r="E225" s="45" t="s">
        <v>242</v>
      </c>
      <c r="F225" s="17"/>
      <c r="G225" s="10" t="s">
        <v>20</v>
      </c>
      <c r="H225" s="17"/>
      <c r="I225" s="17"/>
      <c r="J225" s="17"/>
      <c r="K225" s="17"/>
      <c r="L225" s="10" t="s">
        <v>119</v>
      </c>
      <c r="M225" s="17"/>
      <c r="N225" s="17"/>
      <c r="O225" s="17"/>
      <c r="P225" s="17"/>
      <c r="Q225" s="17"/>
      <c r="R225" s="17"/>
    </row>
    <row r="226">
      <c r="B226" s="17"/>
      <c r="C226" s="17"/>
      <c r="D226" s="42" t="s">
        <v>249</v>
      </c>
      <c r="E226" s="43" t="s">
        <v>242</v>
      </c>
      <c r="F226" s="17"/>
      <c r="G226" s="10" t="s">
        <v>20</v>
      </c>
      <c r="H226" s="17"/>
      <c r="I226" s="17"/>
      <c r="J226" s="17"/>
      <c r="K226" s="17"/>
      <c r="L226" s="10" t="s">
        <v>119</v>
      </c>
      <c r="M226" s="17"/>
      <c r="N226" s="17"/>
      <c r="O226" s="17"/>
      <c r="P226" s="17"/>
      <c r="Q226" s="17"/>
      <c r="R226" s="17"/>
    </row>
    <row r="227">
      <c r="A227" s="15">
        <v>46256.2938885301</v>
      </c>
      <c r="B227" s="17"/>
      <c r="C227" s="17"/>
      <c r="D227" s="44" t="s">
        <v>250</v>
      </c>
      <c r="E227" s="45" t="s">
        <v>43</v>
      </c>
      <c r="F227" s="17"/>
      <c r="G227" s="10" t="s">
        <v>20</v>
      </c>
      <c r="H227" s="10">
        <v>50.09</v>
      </c>
      <c r="I227" s="10">
        <v>38.16</v>
      </c>
      <c r="J227" s="10">
        <v>148.83</v>
      </c>
      <c r="K227" s="10">
        <v>148.69</v>
      </c>
      <c r="L227" s="10" t="s">
        <v>119</v>
      </c>
      <c r="M227" s="10">
        <v>50.07</v>
      </c>
      <c r="N227" s="10">
        <v>38.05</v>
      </c>
      <c r="O227" s="10">
        <v>148.75</v>
      </c>
      <c r="P227" s="10">
        <v>148.4</v>
      </c>
      <c r="Q227" s="17"/>
      <c r="R227" s="10" t="s">
        <v>102</v>
      </c>
    </row>
    <row r="228">
      <c r="A228" s="15">
        <v>46256.295142187504</v>
      </c>
      <c r="B228" s="17"/>
      <c r="C228" s="17"/>
      <c r="D228" s="42" t="s">
        <v>251</v>
      </c>
      <c r="E228" s="43" t="s">
        <v>43</v>
      </c>
      <c r="F228" s="17"/>
      <c r="G228" s="10" t="s">
        <v>20</v>
      </c>
      <c r="H228" s="10">
        <v>55.0</v>
      </c>
      <c r="I228" s="10">
        <v>38.66</v>
      </c>
      <c r="J228" s="10">
        <v>159.29</v>
      </c>
      <c r="K228" s="10">
        <v>159.29</v>
      </c>
      <c r="L228" s="10" t="s">
        <v>119</v>
      </c>
      <c r="M228" s="10">
        <v>54.95</v>
      </c>
      <c r="N228" s="10">
        <v>38.62</v>
      </c>
      <c r="O228" s="10">
        <v>159.11</v>
      </c>
      <c r="P228" s="10">
        <v>159.11</v>
      </c>
      <c r="Q228" s="17"/>
      <c r="R228" s="10" t="s">
        <v>102</v>
      </c>
    </row>
    <row r="229">
      <c r="A229" s="15">
        <v>46256.295564768516</v>
      </c>
      <c r="B229" s="17"/>
      <c r="C229" s="17"/>
      <c r="D229" s="44" t="s">
        <v>252</v>
      </c>
      <c r="E229" s="45" t="s">
        <v>43</v>
      </c>
      <c r="F229" s="17"/>
      <c r="G229" s="10" t="s">
        <v>20</v>
      </c>
      <c r="H229" s="10">
        <v>52.43</v>
      </c>
      <c r="I229" s="10">
        <v>34.94</v>
      </c>
      <c r="J229" s="10">
        <v>147.65</v>
      </c>
      <c r="K229" s="10">
        <v>147.49</v>
      </c>
      <c r="L229" s="10" t="s">
        <v>119</v>
      </c>
      <c r="M229" s="10">
        <v>52.08</v>
      </c>
      <c r="N229" s="10">
        <v>34.88</v>
      </c>
      <c r="O229" s="10">
        <v>147.08</v>
      </c>
      <c r="P229" s="10">
        <v>147.39</v>
      </c>
      <c r="Q229" s="17"/>
      <c r="R229" s="10" t="s">
        <v>102</v>
      </c>
    </row>
    <row r="230">
      <c r="A230" s="15">
        <v>46257.34594925926</v>
      </c>
      <c r="B230" s="17"/>
      <c r="C230" s="17"/>
      <c r="D230" s="12">
        <v>208272.0</v>
      </c>
      <c r="E230" s="12" t="s">
        <v>19</v>
      </c>
      <c r="F230" s="17"/>
      <c r="G230" s="10" t="s">
        <v>20</v>
      </c>
      <c r="H230" s="10">
        <v>51.25</v>
      </c>
      <c r="I230" s="10">
        <v>42.92</v>
      </c>
      <c r="J230" s="10">
        <v>154.17</v>
      </c>
      <c r="K230" s="10">
        <v>154.17</v>
      </c>
      <c r="L230" s="10" t="s">
        <v>21</v>
      </c>
      <c r="M230" s="10">
        <v>51.88</v>
      </c>
      <c r="N230" s="10">
        <v>42.81</v>
      </c>
      <c r="O230" s="10">
        <v>155.53</v>
      </c>
      <c r="P230" s="10">
        <v>154.91</v>
      </c>
      <c r="Q230" s="17"/>
      <c r="R230" s="10" t="s">
        <v>227</v>
      </c>
    </row>
    <row r="231">
      <c r="A231" s="15">
        <v>46257.357276469906</v>
      </c>
      <c r="B231" s="17"/>
      <c r="C231" s="17"/>
      <c r="D231" s="12" t="s">
        <v>253</v>
      </c>
      <c r="E231" s="12" t="s">
        <v>19</v>
      </c>
      <c r="F231" s="17"/>
      <c r="G231" s="10" t="s">
        <v>20</v>
      </c>
      <c r="H231" s="10">
        <v>50.66</v>
      </c>
      <c r="I231" s="10">
        <v>42.86</v>
      </c>
      <c r="J231" s="10">
        <v>153.47</v>
      </c>
      <c r="K231" s="10">
        <v>153.66</v>
      </c>
      <c r="L231" s="10" t="s">
        <v>21</v>
      </c>
      <c r="M231" s="10">
        <v>51.46</v>
      </c>
      <c r="N231" s="10">
        <v>42.92</v>
      </c>
      <c r="O231" s="10">
        <v>154.95</v>
      </c>
      <c r="P231" s="10">
        <v>155.29</v>
      </c>
      <c r="Q231" s="17"/>
      <c r="R231" s="10" t="s">
        <v>227</v>
      </c>
    </row>
    <row r="232">
      <c r="A232" s="15">
        <v>46258.7721674537</v>
      </c>
      <c r="B232" s="17"/>
      <c r="C232" s="17"/>
      <c r="D232" s="12" t="s">
        <v>254</v>
      </c>
      <c r="E232" s="12" t="s">
        <v>43</v>
      </c>
      <c r="F232" s="17"/>
      <c r="G232" s="10" t="s">
        <v>20</v>
      </c>
      <c r="H232" s="10">
        <v>51.61</v>
      </c>
      <c r="I232" s="10">
        <v>44.08</v>
      </c>
      <c r="J232" s="10">
        <v>155.03</v>
      </c>
      <c r="K232" s="10">
        <v>155.11</v>
      </c>
      <c r="L232" s="10" t="s">
        <v>21</v>
      </c>
      <c r="M232" s="10">
        <v>50.47</v>
      </c>
      <c r="N232" s="10">
        <v>41.56</v>
      </c>
      <c r="O232" s="10">
        <v>149.74</v>
      </c>
      <c r="P232" s="10">
        <v>149.85</v>
      </c>
      <c r="Q232" s="17"/>
      <c r="R232" s="17"/>
    </row>
    <row r="233">
      <c r="A233" s="15">
        <v>46259.50257113426</v>
      </c>
      <c r="B233" s="17"/>
      <c r="C233" s="17"/>
      <c r="D233" s="46" t="s">
        <v>213</v>
      </c>
      <c r="E233" s="46" t="s">
        <v>19</v>
      </c>
      <c r="F233" s="47">
        <v>0.5714</v>
      </c>
      <c r="G233" s="10" t="s">
        <v>20</v>
      </c>
      <c r="H233" s="10">
        <v>54.05</v>
      </c>
      <c r="I233" s="10">
        <v>40.06</v>
      </c>
      <c r="J233" s="10">
        <v>150.45</v>
      </c>
      <c r="K233" s="10">
        <v>150.32</v>
      </c>
      <c r="L233" s="10" t="s">
        <v>119</v>
      </c>
      <c r="M233" s="10">
        <v>54.24</v>
      </c>
      <c r="N233" s="10">
        <v>40.18</v>
      </c>
      <c r="O233" s="10">
        <v>150.72</v>
      </c>
      <c r="P233" s="10">
        <v>150.51</v>
      </c>
      <c r="Q233" s="17"/>
      <c r="R233" s="10" t="s">
        <v>102</v>
      </c>
    </row>
    <row r="234">
      <c r="A234" s="15">
        <v>46259.50463899305</v>
      </c>
      <c r="B234" s="17"/>
      <c r="C234" s="17"/>
      <c r="D234" s="48" t="s">
        <v>166</v>
      </c>
      <c r="E234" s="46" t="s">
        <v>19</v>
      </c>
      <c r="F234" s="47">
        <v>0.5</v>
      </c>
      <c r="G234" s="10" t="s">
        <v>20</v>
      </c>
      <c r="H234" s="10">
        <v>51.71</v>
      </c>
      <c r="I234" s="10">
        <v>38.52</v>
      </c>
      <c r="J234" s="10">
        <v>152.54</v>
      </c>
      <c r="K234" s="10">
        <v>152.61</v>
      </c>
      <c r="L234" s="10" t="s">
        <v>119</v>
      </c>
      <c r="M234" s="10">
        <v>51.9</v>
      </c>
      <c r="N234" s="10">
        <v>38.83</v>
      </c>
      <c r="O234" s="10">
        <v>153.04</v>
      </c>
      <c r="P234" s="10">
        <v>152.94</v>
      </c>
      <c r="Q234" s="17"/>
      <c r="R234" s="10" t="s">
        <v>102</v>
      </c>
    </row>
    <row r="235">
      <c r="A235" s="15">
        <v>46259.684534618056</v>
      </c>
      <c r="B235" s="17"/>
      <c r="C235" s="17"/>
      <c r="D235" s="46" t="s">
        <v>255</v>
      </c>
      <c r="E235" s="46" t="s">
        <v>19</v>
      </c>
      <c r="F235" s="47">
        <v>0.45</v>
      </c>
      <c r="G235" s="10" t="s">
        <v>20</v>
      </c>
      <c r="H235" s="10">
        <v>49.32</v>
      </c>
      <c r="I235" s="10">
        <v>37.14</v>
      </c>
      <c r="J235" s="10">
        <v>140.21</v>
      </c>
      <c r="K235" s="10">
        <v>140.05</v>
      </c>
      <c r="L235" s="10" t="s">
        <v>119</v>
      </c>
      <c r="M235" s="10">
        <v>49.36</v>
      </c>
      <c r="N235" s="10">
        <v>37.28</v>
      </c>
      <c r="O235" s="10">
        <v>140.47</v>
      </c>
      <c r="P235" s="10">
        <v>140.17</v>
      </c>
      <c r="Q235" s="17"/>
      <c r="R235" s="10" t="s">
        <v>102</v>
      </c>
    </row>
    <row r="236">
      <c r="A236" s="15">
        <v>46259.73521042824</v>
      </c>
      <c r="B236" s="17"/>
      <c r="C236" s="17"/>
      <c r="D236" s="31" t="s">
        <v>254</v>
      </c>
      <c r="E236" s="31" t="s">
        <v>19</v>
      </c>
      <c r="F236" s="49">
        <v>0.2676</v>
      </c>
      <c r="G236" s="10" t="s">
        <v>20</v>
      </c>
      <c r="H236" s="10">
        <v>50.47</v>
      </c>
      <c r="I236" s="10">
        <v>41.49</v>
      </c>
      <c r="J236" s="10">
        <v>149.74</v>
      </c>
      <c r="K236" s="10">
        <v>149.85</v>
      </c>
      <c r="L236" s="10" t="s">
        <v>119</v>
      </c>
      <c r="M236" s="10">
        <v>50.87</v>
      </c>
      <c r="N236" s="10">
        <v>41.56</v>
      </c>
      <c r="O236" s="10">
        <v>150.45</v>
      </c>
      <c r="P236" s="10">
        <v>150.02</v>
      </c>
      <c r="Q236" s="17"/>
      <c r="R236" s="10" t="s">
        <v>102</v>
      </c>
    </row>
    <row r="237">
      <c r="A237" s="15">
        <v>46259.737479143514</v>
      </c>
      <c r="B237" s="17"/>
      <c r="C237" s="17"/>
      <c r="D237" s="30" t="s">
        <v>158</v>
      </c>
      <c r="E237" s="30" t="s">
        <v>19</v>
      </c>
      <c r="F237" s="50">
        <v>0.2616</v>
      </c>
      <c r="G237" s="10" t="s">
        <v>20</v>
      </c>
      <c r="H237" s="10">
        <v>50.07</v>
      </c>
      <c r="I237" s="10">
        <v>42.16</v>
      </c>
      <c r="J237" s="10">
        <v>150.05</v>
      </c>
      <c r="K237" s="10">
        <v>150.13</v>
      </c>
      <c r="L237" s="10" t="s">
        <v>119</v>
      </c>
      <c r="M237" s="40">
        <v>50.31</v>
      </c>
      <c r="N237" s="10">
        <v>42.5</v>
      </c>
      <c r="O237" s="10">
        <v>150.44</v>
      </c>
      <c r="P237" s="10">
        <v>150.33</v>
      </c>
      <c r="Q237" s="17"/>
      <c r="R237" s="10" t="s">
        <v>102</v>
      </c>
    </row>
    <row r="238">
      <c r="A238" s="15">
        <v>46259.7380219676</v>
      </c>
      <c r="B238" s="17"/>
      <c r="C238" s="17"/>
      <c r="D238" s="31" t="s">
        <v>195</v>
      </c>
      <c r="E238" s="31" t="s">
        <v>19</v>
      </c>
      <c r="F238" s="49">
        <v>0.2593</v>
      </c>
      <c r="G238" s="10" t="s">
        <v>20</v>
      </c>
      <c r="H238" s="10">
        <v>47.97</v>
      </c>
      <c r="I238" s="10">
        <v>41.81</v>
      </c>
      <c r="J238" s="10">
        <v>145.68</v>
      </c>
      <c r="K238" s="10">
        <v>145.27</v>
      </c>
      <c r="L238" s="17"/>
      <c r="M238" s="10">
        <v>48.05</v>
      </c>
      <c r="N238" s="10">
        <v>41.91</v>
      </c>
      <c r="O238" s="10">
        <v>145.97</v>
      </c>
      <c r="P238" s="10">
        <v>145.55</v>
      </c>
      <c r="Q238" s="17"/>
      <c r="R238" s="10" t="s">
        <v>102</v>
      </c>
    </row>
    <row r="239">
      <c r="A239" s="15">
        <v>46259.740560983795</v>
      </c>
      <c r="B239" s="17"/>
      <c r="C239" s="17"/>
      <c r="D239" s="30" t="s">
        <v>192</v>
      </c>
      <c r="E239" s="30" t="s">
        <v>19</v>
      </c>
      <c r="F239" s="50">
        <v>0.2</v>
      </c>
      <c r="G239" s="10" t="s">
        <v>20</v>
      </c>
      <c r="H239" s="10">
        <v>50.2</v>
      </c>
      <c r="I239" s="10">
        <v>42.4</v>
      </c>
      <c r="J239" s="10">
        <v>150.24</v>
      </c>
      <c r="K239" s="10">
        <v>149.83</v>
      </c>
      <c r="L239" s="17"/>
      <c r="M239" s="10">
        <v>50.3</v>
      </c>
      <c r="N239" s="10">
        <v>42.48</v>
      </c>
      <c r="O239" s="10">
        <v>150.54</v>
      </c>
      <c r="P239" s="10">
        <v>150.14</v>
      </c>
      <c r="Q239" s="17"/>
      <c r="R239" s="10" t="s">
        <v>102</v>
      </c>
    </row>
    <row r="240">
      <c r="A240" s="15">
        <v>46259.74105052083</v>
      </c>
      <c r="B240" s="17"/>
      <c r="C240" s="17"/>
      <c r="D240" s="31" t="s">
        <v>228</v>
      </c>
      <c r="E240" s="31" t="s">
        <v>19</v>
      </c>
      <c r="F240" s="49">
        <v>0.1935</v>
      </c>
      <c r="G240" s="10" t="s">
        <v>20</v>
      </c>
      <c r="H240" s="10">
        <v>56.09</v>
      </c>
      <c r="I240" s="10">
        <v>32.62</v>
      </c>
      <c r="J240" s="10">
        <v>154.37</v>
      </c>
      <c r="K240" s="10">
        <v>154.5</v>
      </c>
      <c r="L240" s="17"/>
      <c r="M240" s="10">
        <v>56.22</v>
      </c>
      <c r="N240" s="10">
        <v>32.72</v>
      </c>
      <c r="O240" s="10">
        <v>154.32</v>
      </c>
      <c r="P240" s="10">
        <v>154.84</v>
      </c>
      <c r="Q240" s="17"/>
      <c r="R240" s="10" t="s">
        <v>102</v>
      </c>
    </row>
    <row r="241">
      <c r="A241" s="15">
        <v>46259.743257951384</v>
      </c>
      <c r="B241" s="17"/>
      <c r="C241" s="17"/>
      <c r="D241" s="31" t="s">
        <v>223</v>
      </c>
      <c r="E241" s="31" t="s">
        <v>19</v>
      </c>
      <c r="F241" s="49">
        <v>0.0833</v>
      </c>
      <c r="G241" s="10" t="s">
        <v>20</v>
      </c>
      <c r="H241" s="10">
        <v>50.48</v>
      </c>
      <c r="I241" s="10">
        <v>42.04</v>
      </c>
      <c r="J241" s="10">
        <v>150.12</v>
      </c>
      <c r="K241" s="10">
        <v>150.12</v>
      </c>
      <c r="L241" s="17"/>
      <c r="M241" s="10">
        <v>51.0</v>
      </c>
      <c r="N241" s="10">
        <v>42.18</v>
      </c>
      <c r="O241" s="10">
        <v>150.98</v>
      </c>
      <c r="P241" s="10">
        <v>150.98</v>
      </c>
      <c r="Q241" s="17"/>
      <c r="R241" s="10" t="s">
        <v>102</v>
      </c>
    </row>
    <row r="242">
      <c r="A242" s="15">
        <v>46259.74406246528</v>
      </c>
      <c r="B242" s="17"/>
      <c r="C242" s="17"/>
      <c r="D242" s="30" t="s">
        <v>256</v>
      </c>
      <c r="E242" s="30" t="s">
        <v>19</v>
      </c>
      <c r="F242" s="50">
        <v>0.0481</v>
      </c>
      <c r="G242" s="10" t="s">
        <v>20</v>
      </c>
      <c r="H242" s="10">
        <v>52.56</v>
      </c>
      <c r="I242" s="10">
        <v>39.4</v>
      </c>
      <c r="J242" s="10">
        <v>155.79</v>
      </c>
      <c r="K242" s="10">
        <v>156.61</v>
      </c>
      <c r="L242" s="17"/>
      <c r="M242" s="10">
        <v>53.13</v>
      </c>
      <c r="N242" s="10">
        <v>39.68</v>
      </c>
      <c r="O242" s="10">
        <v>157.25</v>
      </c>
      <c r="P242" s="10">
        <v>156.64</v>
      </c>
      <c r="Q242" s="17"/>
      <c r="R242" s="10" t="s">
        <v>102</v>
      </c>
    </row>
    <row r="243">
      <c r="A243" s="15">
        <v>46259.74518763889</v>
      </c>
      <c r="B243" s="17"/>
      <c r="C243" s="17"/>
      <c r="D243" s="31" t="s">
        <v>257</v>
      </c>
      <c r="E243" s="31" t="s">
        <v>43</v>
      </c>
      <c r="F243" s="49">
        <v>0.0638</v>
      </c>
      <c r="G243" s="10" t="s">
        <v>20</v>
      </c>
      <c r="H243" s="10">
        <v>51.18</v>
      </c>
      <c r="I243" s="10">
        <v>43.6</v>
      </c>
      <c r="J243" s="10">
        <v>155.4</v>
      </c>
      <c r="K243" s="10">
        <v>155.68</v>
      </c>
      <c r="L243" s="17"/>
      <c r="M243" s="10">
        <v>50.82</v>
      </c>
      <c r="N243" s="10">
        <v>43.6</v>
      </c>
      <c r="O243" s="10">
        <v>155.25</v>
      </c>
      <c r="P243" s="10">
        <v>155.05</v>
      </c>
      <c r="Q243" s="17"/>
      <c r="R243" s="10" t="s">
        <v>102</v>
      </c>
    </row>
    <row r="244">
      <c r="A244" s="15">
        <v>46259.74640804398</v>
      </c>
      <c r="B244" s="17"/>
      <c r="C244" s="17"/>
      <c r="D244" s="30" t="s">
        <v>258</v>
      </c>
      <c r="E244" s="30" t="s">
        <v>43</v>
      </c>
      <c r="F244" s="50">
        <v>0.1132</v>
      </c>
      <c r="G244" s="10" t="s">
        <v>20</v>
      </c>
      <c r="H244" s="10">
        <v>55.35</v>
      </c>
      <c r="I244" s="10">
        <v>43.33</v>
      </c>
      <c r="J244" s="10">
        <v>162.09</v>
      </c>
      <c r="K244" s="10">
        <v>164.89</v>
      </c>
      <c r="L244" s="17"/>
      <c r="M244" s="10">
        <v>54.13</v>
      </c>
      <c r="N244" s="10">
        <v>43.06</v>
      </c>
      <c r="O244" s="10">
        <v>161.93</v>
      </c>
      <c r="P244" s="10">
        <v>161.63</v>
      </c>
      <c r="Q244" s="17"/>
      <c r="R244" s="10" t="s">
        <v>102</v>
      </c>
    </row>
    <row r="245">
      <c r="A245" s="15">
        <v>46259.74753069444</v>
      </c>
      <c r="B245" s="17"/>
      <c r="C245" s="17"/>
      <c r="D245" s="31" t="s">
        <v>259</v>
      </c>
      <c r="E245" s="31" t="s">
        <v>43</v>
      </c>
      <c r="F245" s="49">
        <v>0.0952</v>
      </c>
      <c r="G245" s="10" t="s">
        <v>20</v>
      </c>
      <c r="H245" s="10">
        <v>54.6</v>
      </c>
      <c r="I245" s="10">
        <v>39.27</v>
      </c>
      <c r="J245" s="10">
        <v>156.59</v>
      </c>
      <c r="K245" s="10">
        <v>157.17</v>
      </c>
      <c r="L245" s="17"/>
      <c r="M245" s="10">
        <v>54.47</v>
      </c>
      <c r="N245" s="10">
        <v>39.09</v>
      </c>
      <c r="O245" s="10">
        <v>156.51</v>
      </c>
      <c r="P245" s="10">
        <v>156.51</v>
      </c>
      <c r="Q245" s="17"/>
      <c r="R245" s="10" t="s">
        <v>102</v>
      </c>
    </row>
    <row r="246">
      <c r="A246" s="15">
        <v>46259.7496930787</v>
      </c>
      <c r="B246" s="17"/>
      <c r="C246" s="17"/>
      <c r="D246" s="30" t="s">
        <v>260</v>
      </c>
      <c r="E246" s="30" t="s">
        <v>43</v>
      </c>
      <c r="F246" s="50">
        <v>0.0571</v>
      </c>
      <c r="G246" s="10" t="s">
        <v>20</v>
      </c>
      <c r="H246" s="10">
        <v>50.07</v>
      </c>
      <c r="I246" s="10">
        <v>39.4</v>
      </c>
      <c r="J246" s="10">
        <v>149.17</v>
      </c>
      <c r="K246" s="10">
        <v>149.13</v>
      </c>
      <c r="L246" s="17"/>
      <c r="M246" s="10">
        <v>49.98</v>
      </c>
      <c r="N246" s="10">
        <v>39.35</v>
      </c>
      <c r="O246" s="10">
        <v>149.07</v>
      </c>
      <c r="P246" s="10">
        <v>149.07</v>
      </c>
      <c r="Q246" s="17"/>
      <c r="R246" s="10" t="s">
        <v>102</v>
      </c>
    </row>
    <row r="247">
      <c r="A247" s="15">
        <v>46259.75158228009</v>
      </c>
      <c r="B247" s="17"/>
      <c r="C247" s="17"/>
      <c r="D247" s="31" t="s">
        <v>112</v>
      </c>
      <c r="E247" s="31" t="s">
        <v>43</v>
      </c>
      <c r="F247" s="49">
        <v>0.0446</v>
      </c>
      <c r="G247" s="10" t="s">
        <v>20</v>
      </c>
      <c r="H247" s="10">
        <v>52.35</v>
      </c>
      <c r="I247" s="10">
        <v>34.85</v>
      </c>
      <c r="J247" s="10">
        <v>147.62</v>
      </c>
      <c r="K247" s="10">
        <v>147.58</v>
      </c>
      <c r="L247" s="17"/>
      <c r="M247" s="10">
        <v>52.29</v>
      </c>
      <c r="N247" s="10">
        <v>34.77</v>
      </c>
      <c r="O247" s="10">
        <v>147.37</v>
      </c>
      <c r="P247" s="10">
        <v>147.37</v>
      </c>
      <c r="Q247" s="17"/>
      <c r="R247" s="10" t="s">
        <v>102</v>
      </c>
    </row>
    <row r="248">
      <c r="A248" s="15">
        <v>46259.753998831016</v>
      </c>
      <c r="B248" s="17"/>
      <c r="C248" s="17"/>
      <c r="D248" s="30" t="s">
        <v>261</v>
      </c>
      <c r="E248" s="30" t="s">
        <v>43</v>
      </c>
      <c r="F248" s="50">
        <v>0.0577</v>
      </c>
      <c r="G248" s="10" t="s">
        <v>20</v>
      </c>
      <c r="H248" s="10">
        <v>55.38</v>
      </c>
      <c r="I248" s="10">
        <v>45.14</v>
      </c>
      <c r="J248" s="10">
        <v>161.13</v>
      </c>
      <c r="K248" s="10">
        <v>160.02</v>
      </c>
      <c r="L248" s="17"/>
      <c r="M248" s="10">
        <v>54.53</v>
      </c>
      <c r="N248" s="10">
        <v>44.83</v>
      </c>
      <c r="O248" s="10">
        <v>159.78</v>
      </c>
      <c r="P248" s="10">
        <v>159.78</v>
      </c>
      <c r="Q248" s="17"/>
      <c r="R248" s="10" t="s">
        <v>102</v>
      </c>
    </row>
    <row r="249">
      <c r="A249" s="15">
        <v>46259.79223530093</v>
      </c>
      <c r="B249" s="17"/>
      <c r="C249" s="17"/>
      <c r="D249" s="31" t="s">
        <v>262</v>
      </c>
      <c r="E249" s="31" t="s">
        <v>43</v>
      </c>
      <c r="F249" s="49">
        <v>0.0682</v>
      </c>
      <c r="G249" s="10" t="s">
        <v>20</v>
      </c>
      <c r="H249" s="10">
        <v>55.51</v>
      </c>
      <c r="I249" s="10">
        <v>39.27</v>
      </c>
      <c r="J249" s="10">
        <v>160.57</v>
      </c>
      <c r="K249" s="10">
        <v>159.45</v>
      </c>
      <c r="L249" s="17"/>
      <c r="M249" s="10">
        <v>56.13</v>
      </c>
      <c r="N249" s="10">
        <v>38.87</v>
      </c>
      <c r="O249" s="10">
        <v>160.57</v>
      </c>
      <c r="P249" s="10">
        <v>159.83</v>
      </c>
      <c r="Q249" s="17"/>
      <c r="R249" s="10" t="s">
        <v>102</v>
      </c>
    </row>
    <row r="250">
      <c r="A250" s="15">
        <v>46259.78573645833</v>
      </c>
      <c r="B250" s="17"/>
      <c r="C250" s="17"/>
      <c r="D250" s="30" t="s">
        <v>263</v>
      </c>
      <c r="E250" s="30" t="s">
        <v>43</v>
      </c>
      <c r="F250" s="50">
        <v>0.0385</v>
      </c>
      <c r="G250" s="10" t="s">
        <v>20</v>
      </c>
      <c r="H250" s="10">
        <v>53.53</v>
      </c>
      <c r="I250" s="10">
        <v>43.92</v>
      </c>
      <c r="J250" s="10">
        <v>161.78</v>
      </c>
      <c r="K250" s="10">
        <v>162.21</v>
      </c>
      <c r="L250" s="17"/>
      <c r="M250" s="10">
        <v>53.38</v>
      </c>
      <c r="N250" s="10">
        <v>43.78</v>
      </c>
      <c r="O250" s="10">
        <v>161.42</v>
      </c>
      <c r="P250" s="10">
        <v>161.19</v>
      </c>
      <c r="Q250" s="17"/>
      <c r="R250" s="10" t="s">
        <v>102</v>
      </c>
    </row>
    <row r="251">
      <c r="A251" s="15">
        <v>46267.523707685184</v>
      </c>
      <c r="B251" s="17"/>
      <c r="C251" s="17"/>
      <c r="D251" s="31" t="s">
        <v>182</v>
      </c>
      <c r="E251" s="31" t="s">
        <v>43</v>
      </c>
      <c r="F251" s="49">
        <v>0.0345</v>
      </c>
      <c r="G251" s="10" t="s">
        <v>20</v>
      </c>
      <c r="H251" s="10">
        <v>53.87</v>
      </c>
      <c r="I251" s="10">
        <v>36.05</v>
      </c>
      <c r="J251" s="10">
        <v>151.78</v>
      </c>
      <c r="K251" s="10">
        <v>151.65</v>
      </c>
      <c r="L251" s="17"/>
      <c r="M251" s="10">
        <v>53.79</v>
      </c>
      <c r="N251" s="10">
        <v>35.98</v>
      </c>
      <c r="O251" s="10">
        <v>151.54</v>
      </c>
      <c r="P251" s="10">
        <v>151.4</v>
      </c>
      <c r="Q251" s="17"/>
      <c r="R251" s="10" t="s">
        <v>102</v>
      </c>
    </row>
    <row r="252">
      <c r="A252" s="15">
        <v>46267.52479055556</v>
      </c>
      <c r="B252" s="17"/>
      <c r="C252" s="17"/>
      <c r="D252" s="30" t="s">
        <v>264</v>
      </c>
      <c r="E252" s="30" t="s">
        <v>43</v>
      </c>
      <c r="F252" s="50">
        <v>0.0656</v>
      </c>
      <c r="G252" s="10" t="s">
        <v>20</v>
      </c>
      <c r="H252" s="10">
        <v>50.45</v>
      </c>
      <c r="I252" s="10">
        <v>43.19</v>
      </c>
      <c r="J252" s="10">
        <v>152.47</v>
      </c>
      <c r="K252" s="10">
        <v>152.39</v>
      </c>
      <c r="L252" s="17"/>
      <c r="M252" s="10">
        <v>50.37</v>
      </c>
      <c r="N252" s="10">
        <v>43.1</v>
      </c>
      <c r="O252" s="10">
        <v>152.18</v>
      </c>
      <c r="P252" s="10">
        <v>152.18</v>
      </c>
      <c r="Q252" s="17"/>
      <c r="R252" s="10" t="s">
        <v>102</v>
      </c>
    </row>
    <row r="253">
      <c r="A253" s="15">
        <v>46267.52562035879</v>
      </c>
      <c r="B253" s="17"/>
      <c r="C253" s="17"/>
      <c r="D253" s="30" t="s">
        <v>265</v>
      </c>
      <c r="E253" s="30" t="s">
        <v>19</v>
      </c>
      <c r="F253" s="50">
        <v>0.8</v>
      </c>
      <c r="G253" s="10" t="s">
        <v>20</v>
      </c>
      <c r="H253" s="10">
        <v>48.62</v>
      </c>
      <c r="I253" s="10">
        <v>44.48</v>
      </c>
      <c r="J253" s="10">
        <v>152.16</v>
      </c>
      <c r="K253" s="10">
        <v>152.16</v>
      </c>
      <c r="L253" s="17"/>
      <c r="M253" s="10">
        <v>48.75</v>
      </c>
      <c r="N253" s="10">
        <v>44.58</v>
      </c>
      <c r="O253" s="10">
        <v>152.49</v>
      </c>
      <c r="P253" s="10">
        <v>152.49</v>
      </c>
      <c r="Q253" s="17"/>
      <c r="R253" s="10" t="s">
        <v>102</v>
      </c>
    </row>
    <row r="254">
      <c r="A254" s="15">
        <v>46267.526760451394</v>
      </c>
      <c r="B254" s="17"/>
      <c r="C254" s="17"/>
      <c r="D254" s="31" t="s">
        <v>166</v>
      </c>
      <c r="E254" s="31" t="s">
        <v>19</v>
      </c>
      <c r="F254" s="49">
        <v>0.5758</v>
      </c>
      <c r="G254" s="10" t="s">
        <v>20</v>
      </c>
      <c r="H254" s="10">
        <v>51.9</v>
      </c>
      <c r="I254" s="10">
        <v>38.83</v>
      </c>
      <c r="J254" s="10">
        <v>153.04</v>
      </c>
      <c r="K254" s="10">
        <v>152.94</v>
      </c>
      <c r="L254" s="17"/>
      <c r="M254" s="10">
        <v>52.01</v>
      </c>
      <c r="N254" s="10">
        <v>38.91</v>
      </c>
      <c r="O254" s="10">
        <v>153.53</v>
      </c>
      <c r="P254" s="10">
        <v>153.26</v>
      </c>
      <c r="Q254" s="17"/>
      <c r="R254" s="10" t="s">
        <v>102</v>
      </c>
    </row>
    <row r="255">
      <c r="A255" s="15">
        <v>46267.52802789352</v>
      </c>
      <c r="B255" s="17"/>
      <c r="C255" s="17"/>
      <c r="D255" s="30" t="s">
        <v>254</v>
      </c>
      <c r="E255" s="30" t="s">
        <v>19</v>
      </c>
      <c r="F255" s="50">
        <v>0.5098</v>
      </c>
      <c r="G255" s="10" t="s">
        <v>20</v>
      </c>
      <c r="H255" s="10">
        <v>51.74</v>
      </c>
      <c r="I255" s="10">
        <v>43.66</v>
      </c>
      <c r="J255" s="10">
        <v>154.8</v>
      </c>
      <c r="K255" s="10">
        <v>155.04</v>
      </c>
      <c r="L255" s="17"/>
      <c r="M255" s="10">
        <v>51.85</v>
      </c>
      <c r="N255" s="10">
        <v>43.7</v>
      </c>
      <c r="O255" s="10">
        <v>154.99</v>
      </c>
      <c r="P255" s="10">
        <v>154.99</v>
      </c>
      <c r="Q255" s="17"/>
      <c r="R255" s="10" t="s">
        <v>102</v>
      </c>
    </row>
    <row r="256">
      <c r="A256" s="15">
        <v>46267.528886678236</v>
      </c>
      <c r="B256" s="17"/>
      <c r="C256" s="17"/>
      <c r="D256" s="31" t="s">
        <v>213</v>
      </c>
      <c r="E256" s="31" t="s">
        <v>19</v>
      </c>
      <c r="F256" s="49">
        <v>0.4796</v>
      </c>
      <c r="G256" s="10" t="s">
        <v>20</v>
      </c>
      <c r="H256" s="10">
        <v>54.24</v>
      </c>
      <c r="I256" s="10">
        <v>40.18</v>
      </c>
      <c r="J256" s="10">
        <v>150.72</v>
      </c>
      <c r="K256" s="10">
        <v>150.51</v>
      </c>
      <c r="L256" s="17"/>
      <c r="M256" s="10">
        <v>54.34</v>
      </c>
      <c r="N256" s="10">
        <v>40.26</v>
      </c>
      <c r="O256" s="10">
        <v>151.01</v>
      </c>
      <c r="P256" s="10">
        <v>150.81</v>
      </c>
      <c r="Q256" s="17"/>
      <c r="R256" s="10" t="s">
        <v>102</v>
      </c>
    </row>
    <row r="257">
      <c r="A257" s="15">
        <v>46267.53000416666</v>
      </c>
      <c r="B257" s="17"/>
      <c r="C257" s="17"/>
      <c r="D257" s="30" t="s">
        <v>266</v>
      </c>
      <c r="E257" s="30" t="s">
        <v>19</v>
      </c>
      <c r="F257" s="50">
        <v>0.4359</v>
      </c>
      <c r="G257" s="10" t="s">
        <v>20</v>
      </c>
      <c r="H257" s="10">
        <v>51.53</v>
      </c>
      <c r="I257" s="10">
        <v>34.02</v>
      </c>
      <c r="J257" s="10">
        <v>135.57</v>
      </c>
      <c r="K257" s="10">
        <v>135.57</v>
      </c>
      <c r="L257" s="17"/>
      <c r="M257" s="10">
        <v>51.63</v>
      </c>
      <c r="N257" s="10">
        <v>34.12</v>
      </c>
      <c r="O257" s="10">
        <v>135.92</v>
      </c>
      <c r="P257" s="10">
        <v>135.92</v>
      </c>
      <c r="Q257" s="17"/>
      <c r="R257" s="10" t="s">
        <v>102</v>
      </c>
    </row>
    <row r="258">
      <c r="A258" s="15">
        <v>46267.53152106481</v>
      </c>
      <c r="B258" s="17"/>
      <c r="C258" s="17"/>
      <c r="D258" s="31" t="s">
        <v>267</v>
      </c>
      <c r="E258" s="31" t="s">
        <v>19</v>
      </c>
      <c r="F258" s="49">
        <v>0.3793</v>
      </c>
      <c r="G258" s="10" t="s">
        <v>20</v>
      </c>
      <c r="H258" s="10">
        <v>56.24</v>
      </c>
      <c r="I258" s="10">
        <v>36.78</v>
      </c>
      <c r="J258" s="10">
        <v>152.93</v>
      </c>
      <c r="K258" s="10">
        <v>152.93</v>
      </c>
      <c r="L258" s="17"/>
      <c r="M258" s="10">
        <v>56.32</v>
      </c>
      <c r="N258" s="10">
        <v>36.86</v>
      </c>
      <c r="O258" s="10">
        <v>153.24</v>
      </c>
      <c r="P258" s="10">
        <v>153.24</v>
      </c>
      <c r="Q258" s="17"/>
      <c r="R258" s="10" t="s">
        <v>102</v>
      </c>
    </row>
    <row r="259">
      <c r="A259" s="15">
        <v>46267.53919899305</v>
      </c>
      <c r="B259" s="17"/>
      <c r="C259" s="17"/>
      <c r="D259" s="30" t="s">
        <v>268</v>
      </c>
      <c r="E259" s="30" t="s">
        <v>19</v>
      </c>
      <c r="F259" s="50">
        <v>0.3704</v>
      </c>
      <c r="G259" s="10" t="s">
        <v>20</v>
      </c>
      <c r="H259" s="10">
        <v>47.08</v>
      </c>
      <c r="I259" s="10">
        <v>42.03</v>
      </c>
      <c r="J259" s="10">
        <v>144.42</v>
      </c>
      <c r="K259" s="10">
        <v>144.44</v>
      </c>
      <c r="L259" s="17"/>
      <c r="M259" s="10">
        <v>46.74</v>
      </c>
      <c r="N259" s="10">
        <v>42.1</v>
      </c>
      <c r="O259" s="10">
        <v>144.47</v>
      </c>
      <c r="P259" s="10">
        <v>144.55</v>
      </c>
      <c r="Q259" s="17"/>
      <c r="R259" s="10" t="s">
        <v>102</v>
      </c>
    </row>
    <row r="260">
      <c r="A260" s="15">
        <v>46267.54060123843</v>
      </c>
      <c r="B260" s="17"/>
      <c r="C260" s="17"/>
      <c r="D260" s="31" t="s">
        <v>221</v>
      </c>
      <c r="E260" s="31" t="s">
        <v>19</v>
      </c>
      <c r="F260" s="49">
        <v>0.3333</v>
      </c>
      <c r="G260" s="10" t="s">
        <v>20</v>
      </c>
      <c r="H260" s="10">
        <v>50.44</v>
      </c>
      <c r="I260" s="10">
        <v>37.86</v>
      </c>
      <c r="J260" s="10">
        <v>140.87</v>
      </c>
      <c r="K260" s="10">
        <v>140.74</v>
      </c>
      <c r="L260" s="17"/>
      <c r="M260" s="10">
        <v>50.55</v>
      </c>
      <c r="N260" s="10">
        <v>37.94</v>
      </c>
      <c r="O260" s="10">
        <v>141.18</v>
      </c>
      <c r="P260" s="10">
        <v>141.06</v>
      </c>
      <c r="Q260" s="17"/>
      <c r="R260" s="10" t="s">
        <v>102</v>
      </c>
    </row>
    <row r="261">
      <c r="A261" s="15">
        <v>46267.54141993055</v>
      </c>
      <c r="B261" s="17"/>
      <c r="C261" s="17"/>
      <c r="D261" s="30" t="s">
        <v>269</v>
      </c>
      <c r="E261" s="30" t="s">
        <v>19</v>
      </c>
      <c r="F261" s="50">
        <v>0.2653</v>
      </c>
      <c r="G261" s="10" t="s">
        <v>20</v>
      </c>
      <c r="H261" s="10">
        <v>48.93</v>
      </c>
      <c r="I261" s="10">
        <v>41.58</v>
      </c>
      <c r="J261" s="10">
        <v>148.14</v>
      </c>
      <c r="K261" s="10">
        <v>148.14</v>
      </c>
      <c r="L261" s="17"/>
      <c r="M261" s="10">
        <v>49.01</v>
      </c>
      <c r="N261" s="10">
        <v>41.65</v>
      </c>
      <c r="O261" s="10">
        <v>148.44</v>
      </c>
      <c r="P261" s="10">
        <v>148.44</v>
      </c>
      <c r="Q261" s="17"/>
      <c r="R261" s="10" t="s">
        <v>102</v>
      </c>
    </row>
    <row r="262">
      <c r="A262" s="15">
        <v>46267.54234922453</v>
      </c>
      <c r="B262" s="17"/>
      <c r="C262" s="17"/>
      <c r="D262" s="31" t="s">
        <v>270</v>
      </c>
      <c r="E262" s="31" t="s">
        <v>19</v>
      </c>
      <c r="F262" s="49">
        <v>0.2222</v>
      </c>
      <c r="G262" s="10" t="s">
        <v>20</v>
      </c>
      <c r="H262" s="10">
        <v>47.9</v>
      </c>
      <c r="I262" s="10">
        <v>41.62</v>
      </c>
      <c r="J262" s="10">
        <v>145.12</v>
      </c>
      <c r="K262" s="10">
        <v>145.47</v>
      </c>
      <c r="L262" s="17"/>
      <c r="M262" s="10">
        <v>47.95</v>
      </c>
      <c r="N262" s="10">
        <v>41.9</v>
      </c>
      <c r="O262" s="10">
        <v>145.64</v>
      </c>
      <c r="P262" s="10">
        <v>145.47</v>
      </c>
      <c r="Q262" s="17"/>
      <c r="R262" s="10" t="s">
        <v>102</v>
      </c>
    </row>
    <row r="263">
      <c r="A263" s="15">
        <v>46267.54354540509</v>
      </c>
      <c r="B263" s="17"/>
      <c r="C263" s="17"/>
      <c r="D263" s="30" t="s">
        <v>271</v>
      </c>
      <c r="E263" s="30" t="s">
        <v>19</v>
      </c>
      <c r="F263" s="50">
        <v>0.193</v>
      </c>
      <c r="G263" s="10" t="s">
        <v>20</v>
      </c>
      <c r="H263" s="10">
        <v>48.99</v>
      </c>
      <c r="I263" s="10">
        <v>41.6</v>
      </c>
      <c r="J263" s="10">
        <v>148.21</v>
      </c>
      <c r="K263" s="10">
        <v>148.21</v>
      </c>
      <c r="L263" s="17"/>
      <c r="M263" s="10">
        <v>49.09</v>
      </c>
      <c r="N263" s="10">
        <v>41.68</v>
      </c>
      <c r="O263" s="10">
        <v>148.46</v>
      </c>
      <c r="P263" s="10">
        <v>148.46</v>
      </c>
      <c r="Q263" s="17"/>
      <c r="R263" s="10" t="s">
        <v>102</v>
      </c>
    </row>
    <row r="264">
      <c r="A264" s="15">
        <v>46267.54520835648</v>
      </c>
      <c r="B264" s="17"/>
      <c r="C264" s="17"/>
      <c r="D264" s="31" t="s">
        <v>272</v>
      </c>
      <c r="E264" s="31" t="s">
        <v>19</v>
      </c>
      <c r="F264" s="49">
        <v>0.1692</v>
      </c>
      <c r="G264" s="10" t="s">
        <v>20</v>
      </c>
      <c r="H264" s="10">
        <v>49.96</v>
      </c>
      <c r="I264" s="10">
        <v>42.21</v>
      </c>
      <c r="J264" s="10">
        <v>149.28</v>
      </c>
      <c r="K264" s="10">
        <v>149.54</v>
      </c>
      <c r="L264" s="17"/>
      <c r="M264" s="10">
        <v>50.13</v>
      </c>
      <c r="N264" s="10">
        <v>42.29</v>
      </c>
      <c r="O264" s="10">
        <v>149.56</v>
      </c>
      <c r="P264" s="10">
        <v>149.56</v>
      </c>
      <c r="Q264" s="17"/>
      <c r="R264" s="10" t="s">
        <v>102</v>
      </c>
    </row>
    <row r="265">
      <c r="A265" s="15">
        <v>46267.54988597222</v>
      </c>
      <c r="B265" s="17"/>
      <c r="C265" s="17"/>
      <c r="D265" s="30" t="s">
        <v>273</v>
      </c>
      <c r="E265" s="30" t="s">
        <v>19</v>
      </c>
      <c r="F265" s="50">
        <v>0.15</v>
      </c>
      <c r="G265" s="10" t="s">
        <v>20</v>
      </c>
      <c r="H265" s="10">
        <v>47.61</v>
      </c>
      <c r="I265" s="10">
        <v>41.6</v>
      </c>
      <c r="J265" s="10">
        <v>144.89</v>
      </c>
      <c r="K265" s="10">
        <v>144.89</v>
      </c>
      <c r="L265" s="17"/>
      <c r="M265" s="10">
        <v>47.8</v>
      </c>
      <c r="N265" s="10">
        <v>41.75</v>
      </c>
      <c r="O265" s="10">
        <v>145.14</v>
      </c>
      <c r="P265" s="10">
        <v>145.14</v>
      </c>
      <c r="Q265" s="17"/>
      <c r="R265" s="10" t="s">
        <v>102</v>
      </c>
    </row>
    <row r="266">
      <c r="A266" s="15">
        <v>46267.55738568287</v>
      </c>
      <c r="B266" s="17"/>
      <c r="C266" s="17"/>
      <c r="D266" s="31" t="s">
        <v>223</v>
      </c>
      <c r="E266" s="31" t="s">
        <v>19</v>
      </c>
      <c r="F266" s="49">
        <v>0.1364</v>
      </c>
      <c r="G266" s="10" t="s">
        <v>20</v>
      </c>
      <c r="H266" s="10">
        <v>50.99</v>
      </c>
      <c r="I266" s="10">
        <v>42.17</v>
      </c>
      <c r="J266" s="10">
        <v>150.98</v>
      </c>
      <c r="K266" s="10">
        <v>150.98</v>
      </c>
      <c r="L266" s="17"/>
      <c r="M266" s="10">
        <v>51.09</v>
      </c>
      <c r="N266" s="10">
        <v>42.27</v>
      </c>
      <c r="O266" s="10">
        <v>151.29</v>
      </c>
      <c r="P266" s="10">
        <v>151.19</v>
      </c>
      <c r="Q266" s="17"/>
      <c r="R266" s="10" t="s">
        <v>102</v>
      </c>
    </row>
    <row r="267">
      <c r="A267" s="15">
        <v>46267.55932475695</v>
      </c>
      <c r="B267" s="17"/>
      <c r="C267" s="17"/>
      <c r="D267" s="30" t="s">
        <v>274</v>
      </c>
      <c r="E267" s="30" t="s">
        <v>19</v>
      </c>
      <c r="F267" s="50">
        <v>0.1143</v>
      </c>
      <c r="G267" s="10" t="s">
        <v>20</v>
      </c>
      <c r="H267" s="10">
        <v>50.11</v>
      </c>
      <c r="I267" s="10">
        <v>44.72</v>
      </c>
      <c r="J267" s="10">
        <v>154.76</v>
      </c>
      <c r="K267" s="10">
        <v>154.81</v>
      </c>
      <c r="L267" s="17"/>
      <c r="M267" s="10">
        <v>50.44</v>
      </c>
      <c r="N267" s="10">
        <v>44.88</v>
      </c>
      <c r="O267" s="10">
        <v>154.95</v>
      </c>
      <c r="P267" s="10">
        <v>154.95</v>
      </c>
      <c r="Q267" s="17"/>
      <c r="R267" s="10" t="s">
        <v>102</v>
      </c>
    </row>
    <row r="268">
      <c r="A268" s="15">
        <v>46267.625343437496</v>
      </c>
      <c r="B268" s="17"/>
      <c r="C268" s="17"/>
      <c r="D268" s="31" t="s">
        <v>275</v>
      </c>
      <c r="E268" s="31" t="s">
        <v>43</v>
      </c>
      <c r="F268" s="49">
        <v>0.1818</v>
      </c>
      <c r="G268" s="10" t="s">
        <v>20</v>
      </c>
      <c r="H268" s="10">
        <v>52.01</v>
      </c>
      <c r="I268" s="10">
        <v>44.09</v>
      </c>
      <c r="J268" s="10">
        <v>155.14</v>
      </c>
      <c r="K268" s="10">
        <v>155.23</v>
      </c>
      <c r="L268" s="17"/>
      <c r="M268" s="10">
        <v>51.53</v>
      </c>
      <c r="N268" s="10">
        <v>43.72</v>
      </c>
      <c r="O268" s="10">
        <v>154.33</v>
      </c>
      <c r="P268" s="10">
        <v>154.59</v>
      </c>
      <c r="Q268" s="17"/>
      <c r="R268" s="10" t="s">
        <v>102</v>
      </c>
    </row>
    <row r="269">
      <c r="A269" s="15">
        <v>46267.627378819445</v>
      </c>
      <c r="B269" s="17"/>
      <c r="C269" s="17"/>
      <c r="D269" s="30" t="s">
        <v>276</v>
      </c>
      <c r="E269" s="30" t="s">
        <v>19</v>
      </c>
      <c r="F269" s="50">
        <v>0.1087</v>
      </c>
      <c r="G269" s="10" t="s">
        <v>20</v>
      </c>
      <c r="H269" s="10">
        <v>56.72</v>
      </c>
      <c r="I269" s="10">
        <v>47.88</v>
      </c>
      <c r="J269" s="10">
        <v>168.88</v>
      </c>
      <c r="K269" s="10">
        <v>168.88</v>
      </c>
      <c r="L269" s="17"/>
      <c r="M269" s="10">
        <v>56.82</v>
      </c>
      <c r="N269" s="10">
        <v>47.94</v>
      </c>
      <c r="O269" s="10">
        <v>169.19</v>
      </c>
      <c r="P269" s="10">
        <v>169.19</v>
      </c>
      <c r="Q269" s="17"/>
      <c r="R269" s="10" t="s">
        <v>102</v>
      </c>
    </row>
    <row r="270">
      <c r="A270" s="15">
        <v>46267.630605555554</v>
      </c>
      <c r="B270" s="17"/>
      <c r="C270" s="17"/>
      <c r="D270" s="31" t="s">
        <v>277</v>
      </c>
      <c r="E270" s="31" t="s">
        <v>19</v>
      </c>
      <c r="F270" s="49">
        <v>0.0962</v>
      </c>
      <c r="G270" s="10" t="s">
        <v>20</v>
      </c>
      <c r="H270" s="10">
        <v>56.73</v>
      </c>
      <c r="I270" s="10">
        <v>41.44</v>
      </c>
      <c r="J270" s="10">
        <v>166.01</v>
      </c>
      <c r="K270" s="10">
        <v>165.79</v>
      </c>
      <c r="L270" s="17"/>
      <c r="M270" s="10">
        <v>56.87</v>
      </c>
      <c r="N270" s="10">
        <v>41.49</v>
      </c>
      <c r="O270" s="10">
        <v>165.76</v>
      </c>
      <c r="P270" s="10">
        <v>165.73</v>
      </c>
      <c r="Q270" s="17"/>
      <c r="R270" s="10" t="s">
        <v>102</v>
      </c>
    </row>
    <row r="271">
      <c r="A271" s="15">
        <v>46267.63453631944</v>
      </c>
      <c r="B271" s="17"/>
      <c r="C271" s="17"/>
      <c r="D271" s="30" t="s">
        <v>278</v>
      </c>
      <c r="E271" s="30" t="s">
        <v>19</v>
      </c>
      <c r="F271" s="50">
        <v>0.0753</v>
      </c>
      <c r="G271" s="10" t="s">
        <v>20</v>
      </c>
      <c r="H271" s="10">
        <v>49.83</v>
      </c>
      <c r="I271" s="10">
        <v>39.0</v>
      </c>
      <c r="J271" s="10">
        <v>148.1</v>
      </c>
      <c r="K271" s="10">
        <v>148.16</v>
      </c>
      <c r="L271" s="17"/>
      <c r="M271" s="10">
        <v>49.96</v>
      </c>
      <c r="N271" s="10">
        <v>39.35</v>
      </c>
      <c r="O271" s="10">
        <v>148.78</v>
      </c>
      <c r="P271" s="10">
        <v>148.14</v>
      </c>
      <c r="Q271" s="17"/>
      <c r="R271" s="10" t="s">
        <v>102</v>
      </c>
    </row>
    <row r="272">
      <c r="B272" s="17"/>
      <c r="C272" s="17"/>
      <c r="D272" s="31" t="s">
        <v>258</v>
      </c>
      <c r="E272" s="31" t="s">
        <v>43</v>
      </c>
      <c r="F272" s="49">
        <v>0.0833</v>
      </c>
      <c r="G272" s="10" t="s">
        <v>20</v>
      </c>
      <c r="H272" s="10">
        <v>54.13</v>
      </c>
      <c r="I272" s="10">
        <v>43.06</v>
      </c>
      <c r="J272" s="10">
        <v>161.93</v>
      </c>
      <c r="K272" s="10">
        <v>161.63</v>
      </c>
      <c r="L272" s="17"/>
      <c r="M272" s="10">
        <v>54.26</v>
      </c>
      <c r="N272" s="10">
        <v>43.16</v>
      </c>
      <c r="O272" s="10">
        <v>162.28</v>
      </c>
      <c r="P272" s="10">
        <v>162.28</v>
      </c>
      <c r="Q272" s="17"/>
      <c r="R272" s="10" t="s">
        <v>102</v>
      </c>
    </row>
    <row r="273">
      <c r="A273" s="15">
        <v>46267.641464699074</v>
      </c>
      <c r="B273" s="17"/>
      <c r="C273" s="17"/>
      <c r="D273" s="30" t="s">
        <v>279</v>
      </c>
      <c r="E273" s="30" t="s">
        <v>43</v>
      </c>
      <c r="F273" s="50">
        <v>0.1393</v>
      </c>
      <c r="G273" s="10" t="s">
        <v>20</v>
      </c>
      <c r="H273" s="10">
        <v>54.59</v>
      </c>
      <c r="I273" s="10">
        <v>39.55</v>
      </c>
      <c r="J273" s="10">
        <v>157.0</v>
      </c>
      <c r="K273" s="10">
        <v>157.56</v>
      </c>
      <c r="L273" s="17"/>
      <c r="M273" s="10">
        <v>54.54</v>
      </c>
      <c r="N273" s="10">
        <v>39.34</v>
      </c>
      <c r="O273" s="10">
        <v>156.87</v>
      </c>
      <c r="P273" s="10">
        <v>157.15</v>
      </c>
      <c r="Q273" s="17"/>
      <c r="R273" s="10" t="s">
        <v>102</v>
      </c>
    </row>
    <row r="274">
      <c r="A274" s="15">
        <v>46267.643276539355</v>
      </c>
      <c r="B274" s="17"/>
      <c r="C274" s="17"/>
      <c r="D274" s="31" t="s">
        <v>280</v>
      </c>
      <c r="E274" s="31" t="s">
        <v>43</v>
      </c>
      <c r="F274" s="49">
        <v>0.2281</v>
      </c>
      <c r="G274" s="10" t="s">
        <v>20</v>
      </c>
      <c r="H274" s="10">
        <v>51.71</v>
      </c>
      <c r="I274" s="10">
        <v>45.48</v>
      </c>
      <c r="J274" s="10">
        <v>153.88</v>
      </c>
      <c r="K274" s="10">
        <v>156.97</v>
      </c>
      <c r="L274" s="17"/>
      <c r="M274" s="10">
        <v>49.61</v>
      </c>
      <c r="N274" s="10">
        <v>45.34</v>
      </c>
      <c r="O274" s="10">
        <v>153.83</v>
      </c>
      <c r="P274" s="10">
        <v>153.31</v>
      </c>
      <c r="Q274" s="17"/>
      <c r="R274" s="10" t="s">
        <v>102</v>
      </c>
    </row>
    <row r="275">
      <c r="A275" s="15">
        <v>46267.64816829861</v>
      </c>
      <c r="B275" s="17"/>
      <c r="C275" s="17"/>
      <c r="D275" s="30" t="s">
        <v>145</v>
      </c>
      <c r="E275" s="30" t="s">
        <v>19</v>
      </c>
      <c r="F275" s="50">
        <v>0.0517</v>
      </c>
      <c r="G275" s="10" t="s">
        <v>20</v>
      </c>
      <c r="H275" s="10">
        <v>49.77</v>
      </c>
      <c r="I275" s="10">
        <v>38.0</v>
      </c>
      <c r="J275" s="10">
        <v>140.42</v>
      </c>
      <c r="K275" s="10">
        <v>139.72</v>
      </c>
      <c r="L275" s="17"/>
      <c r="M275" s="10">
        <v>49.84</v>
      </c>
      <c r="N275" s="10">
        <v>38.12</v>
      </c>
      <c r="O275" s="10">
        <v>140.71</v>
      </c>
      <c r="P275" s="10">
        <v>140.01</v>
      </c>
      <c r="Q275" s="17"/>
      <c r="R275" s="10" t="s">
        <v>102</v>
      </c>
    </row>
    <row r="276">
      <c r="A276" s="15">
        <v>46267.65704496528</v>
      </c>
      <c r="B276" s="17"/>
      <c r="C276" s="17"/>
      <c r="D276" s="31" t="s">
        <v>281</v>
      </c>
      <c r="E276" s="31" t="s">
        <v>19</v>
      </c>
      <c r="F276" s="49">
        <v>0.0397</v>
      </c>
      <c r="G276" s="10" t="s">
        <v>20</v>
      </c>
      <c r="H276" s="10">
        <v>50.45</v>
      </c>
      <c r="I276" s="10">
        <v>40.65</v>
      </c>
      <c r="J276" s="10">
        <v>152.34</v>
      </c>
      <c r="K276" s="10">
        <v>152.56</v>
      </c>
      <c r="L276" s="17"/>
      <c r="M276" s="10">
        <v>50.51</v>
      </c>
      <c r="N276" s="10">
        <v>40.79</v>
      </c>
      <c r="O276" s="10">
        <v>152.28</v>
      </c>
      <c r="P276" s="10">
        <v>152.66</v>
      </c>
      <c r="Q276" s="17"/>
      <c r="R276" s="10" t="s">
        <v>102</v>
      </c>
    </row>
    <row r="277">
      <c r="A277" s="15">
        <v>46267.66033953703</v>
      </c>
      <c r="B277" s="17"/>
      <c r="C277" s="17"/>
      <c r="D277" s="30" t="s">
        <v>282</v>
      </c>
      <c r="E277" s="30" t="s">
        <v>19</v>
      </c>
      <c r="F277" s="50">
        <v>0.0361</v>
      </c>
      <c r="G277" s="10" t="s">
        <v>20</v>
      </c>
      <c r="H277" s="10">
        <v>52.29</v>
      </c>
      <c r="I277" s="10">
        <v>41.98</v>
      </c>
      <c r="J277" s="10">
        <v>155.37</v>
      </c>
      <c r="K277" s="10">
        <v>155.37</v>
      </c>
      <c r="L277" s="17"/>
      <c r="M277" s="10">
        <v>52.39</v>
      </c>
      <c r="N277" s="10">
        <v>42.05</v>
      </c>
      <c r="O277" s="10">
        <v>155.64</v>
      </c>
      <c r="P277" s="10">
        <v>155.64</v>
      </c>
      <c r="Q277" s="17"/>
      <c r="R277" s="10" t="s">
        <v>102</v>
      </c>
    </row>
    <row r="278">
      <c r="A278" s="15">
        <v>46267.66295346065</v>
      </c>
      <c r="B278" s="17"/>
      <c r="C278" s="17"/>
      <c r="D278" s="31" t="s">
        <v>283</v>
      </c>
      <c r="E278" s="31" t="s">
        <v>19</v>
      </c>
      <c r="F278" s="49">
        <v>0.0247</v>
      </c>
      <c r="G278" s="10" t="s">
        <v>20</v>
      </c>
      <c r="H278" s="10">
        <v>52.59</v>
      </c>
      <c r="I278" s="10">
        <v>39.31</v>
      </c>
      <c r="J278" s="10">
        <v>156.23</v>
      </c>
      <c r="K278" s="10">
        <v>156.66</v>
      </c>
      <c r="L278" s="17"/>
      <c r="M278" s="10">
        <v>53.17</v>
      </c>
      <c r="N278" s="10">
        <v>39.52</v>
      </c>
      <c r="O278" s="10">
        <v>157.59</v>
      </c>
      <c r="P278" s="10">
        <v>156.68</v>
      </c>
      <c r="Q278" s="17"/>
      <c r="R278" s="10" t="s">
        <v>102</v>
      </c>
    </row>
    <row r="279">
      <c r="A279" s="15">
        <v>46267.66599543982</v>
      </c>
      <c r="B279" s="17"/>
      <c r="C279" s="17"/>
      <c r="D279" s="30" t="s">
        <v>284</v>
      </c>
      <c r="E279" s="30" t="s">
        <v>43</v>
      </c>
      <c r="F279" s="50">
        <v>0.1163</v>
      </c>
      <c r="G279" s="10" t="s">
        <v>20</v>
      </c>
      <c r="H279" s="10">
        <v>59.39</v>
      </c>
      <c r="I279" s="10">
        <v>44.13</v>
      </c>
      <c r="J279" s="10">
        <v>174.34</v>
      </c>
      <c r="K279" s="10">
        <v>174.21</v>
      </c>
      <c r="L279" s="17"/>
      <c r="M279" s="10">
        <v>59.28</v>
      </c>
      <c r="N279" s="10">
        <v>44.1</v>
      </c>
      <c r="O279" s="10">
        <v>173.88</v>
      </c>
      <c r="P279" s="10">
        <v>173.99</v>
      </c>
      <c r="Q279" s="17"/>
      <c r="R279" s="10" t="s">
        <v>102</v>
      </c>
    </row>
    <row r="280">
      <c r="A280" s="15">
        <v>46267.66875653935</v>
      </c>
      <c r="B280" s="17"/>
      <c r="C280" s="17"/>
      <c r="D280" s="31" t="s">
        <v>285</v>
      </c>
      <c r="E280" s="31" t="s">
        <v>43</v>
      </c>
      <c r="F280" s="49">
        <v>0.1132</v>
      </c>
      <c r="G280" s="10" t="s">
        <v>20</v>
      </c>
      <c r="H280" s="10">
        <v>53.9</v>
      </c>
      <c r="I280" s="10">
        <v>43.22</v>
      </c>
      <c r="J280" s="10">
        <v>159.84</v>
      </c>
      <c r="K280" s="10">
        <v>159.98</v>
      </c>
      <c r="L280" s="17"/>
      <c r="M280" s="10">
        <v>53.81</v>
      </c>
      <c r="N280" s="10">
        <v>43.02</v>
      </c>
      <c r="O280" s="10">
        <v>159.57</v>
      </c>
      <c r="P280" s="10">
        <v>159.28</v>
      </c>
      <c r="Q280" s="17"/>
      <c r="R280" s="10" t="s">
        <v>102</v>
      </c>
    </row>
    <row r="281">
      <c r="A281" s="15">
        <v>46267.68189284722</v>
      </c>
      <c r="B281" s="17"/>
      <c r="C281" s="17"/>
      <c r="D281" s="30" t="s">
        <v>286</v>
      </c>
      <c r="E281" s="30" t="s">
        <v>43</v>
      </c>
      <c r="F281" s="50">
        <v>0.0377</v>
      </c>
      <c r="G281" s="10" t="s">
        <v>20</v>
      </c>
      <c r="H281" s="10">
        <v>54.61</v>
      </c>
      <c r="I281" s="10">
        <v>45.49</v>
      </c>
      <c r="J281" s="10">
        <v>168.82</v>
      </c>
      <c r="K281" s="10">
        <v>169.15</v>
      </c>
      <c r="L281" s="17"/>
      <c r="M281" s="10">
        <v>54.23</v>
      </c>
      <c r="N281" s="10">
        <v>45.18</v>
      </c>
      <c r="O281" s="10">
        <v>168.01</v>
      </c>
      <c r="P281" s="10">
        <v>168.5</v>
      </c>
      <c r="Q281" s="17"/>
      <c r="R281" s="10" t="s">
        <v>102</v>
      </c>
    </row>
    <row r="282">
      <c r="A282" s="15">
        <v>46267.83380519676</v>
      </c>
      <c r="B282" s="17"/>
      <c r="C282" s="17"/>
      <c r="D282" s="31" t="s">
        <v>287</v>
      </c>
      <c r="E282" s="31" t="s">
        <v>43</v>
      </c>
      <c r="F282" s="49">
        <v>0.0645</v>
      </c>
      <c r="G282" s="10" t="s">
        <v>20</v>
      </c>
      <c r="H282" s="10">
        <v>54.57</v>
      </c>
      <c r="I282" s="10">
        <v>41.91</v>
      </c>
      <c r="J282" s="10">
        <v>162.05</v>
      </c>
      <c r="K282" s="10">
        <v>162.05</v>
      </c>
      <c r="L282" s="17"/>
      <c r="M282" s="10">
        <v>54.49</v>
      </c>
      <c r="N282" s="10">
        <v>41.85</v>
      </c>
      <c r="O282" s="10">
        <v>161.81</v>
      </c>
      <c r="P282" s="10">
        <v>161.52</v>
      </c>
      <c r="Q282" s="17"/>
      <c r="R282" s="10" t="s">
        <v>102</v>
      </c>
    </row>
    <row r="283">
      <c r="A283" s="15">
        <v>46267.725140636576</v>
      </c>
      <c r="B283" s="17"/>
      <c r="C283" s="17"/>
      <c r="D283" s="30" t="s">
        <v>197</v>
      </c>
      <c r="E283" s="30" t="s">
        <v>43</v>
      </c>
      <c r="F283" s="50">
        <v>0.0986</v>
      </c>
      <c r="G283" s="10" t="s">
        <v>20</v>
      </c>
      <c r="H283" s="10">
        <v>53.54</v>
      </c>
      <c r="I283" s="10">
        <v>35.79</v>
      </c>
      <c r="J283" s="10">
        <v>153.32</v>
      </c>
      <c r="K283" s="10">
        <v>152.96</v>
      </c>
      <c r="L283" s="17"/>
      <c r="M283" s="10">
        <v>53.3</v>
      </c>
      <c r="N283" s="10">
        <v>35.65</v>
      </c>
      <c r="O283" s="10">
        <v>152.96</v>
      </c>
      <c r="P283" s="10">
        <v>152.96</v>
      </c>
      <c r="Q283" s="17"/>
      <c r="R283" s="10" t="s">
        <v>102</v>
      </c>
    </row>
    <row r="284">
      <c r="A284" s="15">
        <v>46267.72989761574</v>
      </c>
      <c r="B284" s="17"/>
      <c r="C284" s="17"/>
      <c r="D284" s="31" t="s">
        <v>180</v>
      </c>
      <c r="E284" s="31" t="s">
        <v>43</v>
      </c>
      <c r="F284" s="49">
        <v>0.1048</v>
      </c>
      <c r="G284" s="10" t="s">
        <v>20</v>
      </c>
      <c r="H284" s="10">
        <v>48.91</v>
      </c>
      <c r="I284" s="10">
        <v>40.65</v>
      </c>
      <c r="J284" s="10">
        <v>147.27</v>
      </c>
      <c r="K284" s="10">
        <v>146.95</v>
      </c>
      <c r="L284" s="17"/>
      <c r="M284" s="10">
        <v>48.6</v>
      </c>
      <c r="N284" s="10">
        <v>60.6</v>
      </c>
      <c r="O284" s="10">
        <v>146.95</v>
      </c>
      <c r="P284" s="10">
        <v>146.95</v>
      </c>
      <c r="Q284" s="17"/>
      <c r="R284" s="10" t="s">
        <v>102</v>
      </c>
    </row>
    <row r="285">
      <c r="A285" s="15">
        <v>46267.73174607639</v>
      </c>
      <c r="B285" s="17"/>
      <c r="C285" s="17"/>
      <c r="D285" s="30" t="s">
        <v>288</v>
      </c>
      <c r="E285" s="30" t="s">
        <v>43</v>
      </c>
      <c r="F285" s="50">
        <v>0.0381</v>
      </c>
      <c r="G285" s="10" t="s">
        <v>20</v>
      </c>
      <c r="H285" s="10">
        <v>55.32</v>
      </c>
      <c r="I285" s="10">
        <v>37.15</v>
      </c>
      <c r="J285" s="10">
        <v>157.71</v>
      </c>
      <c r="K285" s="10">
        <v>157.79</v>
      </c>
      <c r="L285" s="17"/>
      <c r="M285" s="10">
        <v>55.25</v>
      </c>
      <c r="N285" s="10">
        <v>37.1</v>
      </c>
      <c r="O285" s="10">
        <v>157.71</v>
      </c>
      <c r="P285" s="10">
        <v>157.71</v>
      </c>
      <c r="Q285" s="17"/>
      <c r="R285" s="10" t="s">
        <v>102</v>
      </c>
    </row>
    <row r="286">
      <c r="A286" s="15">
        <v>46267.73566519676</v>
      </c>
      <c r="B286" s="17"/>
      <c r="C286" s="17"/>
      <c r="D286" s="30" t="s">
        <v>289</v>
      </c>
      <c r="E286" s="30" t="s">
        <v>43</v>
      </c>
      <c r="F286" s="50">
        <v>0.038</v>
      </c>
      <c r="G286" s="10" t="s">
        <v>20</v>
      </c>
      <c r="H286" s="10">
        <v>51.6</v>
      </c>
      <c r="I286" s="10">
        <v>41.19</v>
      </c>
      <c r="J286" s="10">
        <v>156.44</v>
      </c>
      <c r="K286" s="10">
        <v>156.36</v>
      </c>
      <c r="L286" s="17"/>
      <c r="M286" s="10">
        <v>51.54</v>
      </c>
      <c r="N286" s="10">
        <v>41.16</v>
      </c>
      <c r="O286" s="10">
        <v>156.44</v>
      </c>
      <c r="P286" s="10">
        <v>156.44</v>
      </c>
      <c r="Q286" s="17"/>
      <c r="R286" s="10" t="s">
        <v>290</v>
      </c>
    </row>
    <row r="287">
      <c r="A287" s="15">
        <v>46267.73767548611</v>
      </c>
      <c r="B287" s="17"/>
      <c r="C287" s="17"/>
      <c r="D287" s="31" t="s">
        <v>291</v>
      </c>
      <c r="E287" s="31" t="s">
        <v>43</v>
      </c>
      <c r="F287" s="49">
        <v>0.0374</v>
      </c>
      <c r="G287" s="10" t="s">
        <v>20</v>
      </c>
      <c r="H287" s="10">
        <v>50.04</v>
      </c>
      <c r="I287" s="10">
        <v>39.32</v>
      </c>
      <c r="J287" s="10">
        <v>149.02</v>
      </c>
      <c r="K287" s="10">
        <v>149.02</v>
      </c>
      <c r="L287" s="17"/>
      <c r="M287" s="10">
        <v>149.02</v>
      </c>
      <c r="N287" s="10">
        <v>39.3</v>
      </c>
      <c r="O287" s="10">
        <v>149.02</v>
      </c>
      <c r="P287" s="10">
        <v>149.02</v>
      </c>
      <c r="Q287" s="17"/>
      <c r="R287" s="10" t="s">
        <v>290</v>
      </c>
    </row>
    <row r="288">
      <c r="A288" s="15">
        <v>46267.74247133102</v>
      </c>
      <c r="B288" s="17"/>
      <c r="C288" s="17"/>
      <c r="D288" s="30" t="s">
        <v>173</v>
      </c>
      <c r="E288" s="30" t="s">
        <v>43</v>
      </c>
      <c r="F288" s="50">
        <v>0.0812</v>
      </c>
      <c r="G288" s="10" t="s">
        <v>20</v>
      </c>
      <c r="H288" s="10">
        <v>54.51</v>
      </c>
      <c r="I288" s="10">
        <v>41.93</v>
      </c>
      <c r="J288" s="10">
        <v>161.75</v>
      </c>
      <c r="K288" s="10">
        <v>161.48</v>
      </c>
      <c r="L288" s="17"/>
      <c r="M288" s="10">
        <v>54.4</v>
      </c>
      <c r="N288" s="10">
        <v>41.85</v>
      </c>
      <c r="O288" s="10" t="s">
        <v>292</v>
      </c>
      <c r="P288" s="10">
        <v>141.68</v>
      </c>
      <c r="Q288" s="17"/>
      <c r="R288" s="10" t="s">
        <v>290</v>
      </c>
    </row>
    <row r="289">
      <c r="A289" s="15">
        <v>46267.74519868055</v>
      </c>
      <c r="B289" s="17"/>
      <c r="C289" s="17"/>
      <c r="D289" s="31" t="s">
        <v>293</v>
      </c>
      <c r="E289" s="31" t="s">
        <v>43</v>
      </c>
      <c r="F289" s="49">
        <v>0.2353</v>
      </c>
      <c r="G289" s="10" t="s">
        <v>20</v>
      </c>
      <c r="H289" s="10">
        <v>51.69</v>
      </c>
      <c r="I289" s="10">
        <v>37.23</v>
      </c>
      <c r="J289" s="10">
        <v>150.72</v>
      </c>
      <c r="K289" s="10">
        <v>150.94</v>
      </c>
      <c r="L289" s="17"/>
      <c r="M289" s="10">
        <v>51.45</v>
      </c>
      <c r="N289" s="10">
        <v>37.2</v>
      </c>
      <c r="O289" s="10">
        <v>150.72</v>
      </c>
      <c r="P289" s="10">
        <v>150.94</v>
      </c>
      <c r="Q289" s="17"/>
      <c r="R289" s="10" t="s">
        <v>290</v>
      </c>
    </row>
    <row r="290">
      <c r="A290" s="15">
        <v>46267.74690832176</v>
      </c>
      <c r="B290" s="17"/>
      <c r="C290" s="17"/>
      <c r="D290" s="30" t="s">
        <v>294</v>
      </c>
      <c r="E290" s="30" t="s">
        <v>43</v>
      </c>
      <c r="F290" s="50">
        <v>0.1667</v>
      </c>
      <c r="G290" s="10" t="s">
        <v>20</v>
      </c>
      <c r="H290" s="10">
        <v>60.5</v>
      </c>
      <c r="I290" s="10">
        <v>48.4</v>
      </c>
      <c r="J290" s="10">
        <v>177.63</v>
      </c>
      <c r="K290" s="10">
        <v>178.37</v>
      </c>
      <c r="L290" s="17"/>
      <c r="M290" s="10">
        <v>60.3</v>
      </c>
      <c r="N290" s="10">
        <v>48.3</v>
      </c>
      <c r="O290" s="10">
        <v>177.63</v>
      </c>
      <c r="P290" s="10">
        <v>178.37</v>
      </c>
      <c r="Q290" s="17"/>
      <c r="R290" s="10" t="s">
        <v>290</v>
      </c>
    </row>
    <row r="291">
      <c r="A291" s="15">
        <v>46267.74889446759</v>
      </c>
      <c r="B291" s="17"/>
      <c r="C291" s="17"/>
      <c r="D291" s="31" t="s">
        <v>295</v>
      </c>
      <c r="E291" s="31" t="s">
        <v>43</v>
      </c>
      <c r="F291" s="49">
        <v>0.1538</v>
      </c>
      <c r="G291" s="10" t="s">
        <v>20</v>
      </c>
      <c r="H291" s="10">
        <v>53.93</v>
      </c>
      <c r="I291" s="10">
        <v>48.3</v>
      </c>
      <c r="J291" s="10">
        <v>162.47</v>
      </c>
      <c r="K291" s="10">
        <v>162.74</v>
      </c>
      <c r="L291" s="10" t="s">
        <v>119</v>
      </c>
      <c r="M291" s="10">
        <v>53.8</v>
      </c>
      <c r="N291" s="10">
        <v>48.11</v>
      </c>
      <c r="O291" s="10">
        <v>162.47</v>
      </c>
      <c r="P291" s="10">
        <v>162.74</v>
      </c>
      <c r="Q291" s="17"/>
      <c r="R291" s="10" t="s">
        <v>290</v>
      </c>
    </row>
    <row r="292">
      <c r="A292" s="15">
        <v>46267.75152763889</v>
      </c>
      <c r="B292" s="17"/>
      <c r="C292" s="17"/>
      <c r="D292" s="30" t="s">
        <v>259</v>
      </c>
      <c r="E292" s="30" t="s">
        <v>43</v>
      </c>
      <c r="F292" s="50">
        <v>0.125</v>
      </c>
      <c r="G292" s="10" t="s">
        <v>20</v>
      </c>
      <c r="H292" s="10">
        <v>54.47</v>
      </c>
      <c r="I292" s="10">
        <v>39.09</v>
      </c>
      <c r="J292" s="10">
        <v>156.51</v>
      </c>
      <c r="K292" s="10">
        <v>156.51</v>
      </c>
      <c r="L292" s="17"/>
      <c r="M292" s="10">
        <v>54.3</v>
      </c>
      <c r="N292" s="10">
        <v>39.0</v>
      </c>
      <c r="O292" s="10">
        <v>156.51</v>
      </c>
      <c r="P292" s="10">
        <v>156.51</v>
      </c>
      <c r="Q292" s="17"/>
      <c r="R292" s="10" t="s">
        <v>290</v>
      </c>
    </row>
    <row r="293">
      <c r="A293" s="15">
        <v>46267.75302069444</v>
      </c>
      <c r="B293" s="17"/>
      <c r="C293" s="17"/>
      <c r="D293" s="31" t="s">
        <v>296</v>
      </c>
      <c r="E293" s="31" t="s">
        <v>43</v>
      </c>
      <c r="F293" s="49">
        <v>0.1111</v>
      </c>
      <c r="G293" s="10" t="s">
        <v>20</v>
      </c>
      <c r="H293" s="10">
        <v>54.38</v>
      </c>
      <c r="I293" s="10">
        <v>45.63</v>
      </c>
      <c r="J293" s="10">
        <v>168.61</v>
      </c>
      <c r="K293" s="10">
        <v>168.61</v>
      </c>
      <c r="L293" s="17"/>
      <c r="M293" s="10">
        <v>58.35</v>
      </c>
      <c r="N293" s="10">
        <v>45.25</v>
      </c>
      <c r="O293" s="10">
        <v>168.61</v>
      </c>
      <c r="P293" s="10">
        <v>168.61</v>
      </c>
      <c r="Q293" s="17"/>
      <c r="R293" s="10" t="s">
        <v>290</v>
      </c>
    </row>
    <row r="294">
      <c r="A294" s="15">
        <v>46267.754298125</v>
      </c>
      <c r="B294" s="17"/>
      <c r="C294" s="17"/>
      <c r="D294" s="30" t="s">
        <v>297</v>
      </c>
      <c r="E294" s="30" t="s">
        <v>43</v>
      </c>
      <c r="F294" s="50">
        <v>0.1053</v>
      </c>
      <c r="G294" s="10" t="s">
        <v>20</v>
      </c>
      <c r="H294" s="10">
        <v>53.85</v>
      </c>
      <c r="I294" s="10">
        <v>35.62</v>
      </c>
      <c r="J294" s="10">
        <v>148.79</v>
      </c>
      <c r="K294" s="10">
        <v>150.84</v>
      </c>
      <c r="L294" s="17"/>
      <c r="M294" s="10">
        <v>53.58</v>
      </c>
      <c r="N294" s="10">
        <v>35.17</v>
      </c>
      <c r="O294" s="10">
        <v>148.79</v>
      </c>
      <c r="P294" s="10">
        <v>150.84</v>
      </c>
      <c r="Q294" s="17"/>
      <c r="R294" s="10" t="s">
        <v>290</v>
      </c>
    </row>
    <row r="295">
      <c r="A295" s="15">
        <v>46267.755844907406</v>
      </c>
      <c r="B295" s="17"/>
      <c r="C295" s="17"/>
      <c r="D295" s="31" t="s">
        <v>298</v>
      </c>
      <c r="E295" s="31" t="s">
        <v>43</v>
      </c>
      <c r="F295" s="49">
        <v>0.1042</v>
      </c>
      <c r="G295" s="10" t="s">
        <v>20</v>
      </c>
      <c r="H295" s="10">
        <v>54.55</v>
      </c>
      <c r="I295" s="10">
        <v>43.58</v>
      </c>
      <c r="J295" s="10">
        <v>160.29</v>
      </c>
      <c r="K295" s="10">
        <v>160.29</v>
      </c>
      <c r="L295" s="17"/>
      <c r="M295" s="10">
        <v>53.15</v>
      </c>
      <c r="N295" s="10">
        <v>43.15</v>
      </c>
      <c r="O295" s="10">
        <v>160.29</v>
      </c>
      <c r="P295" s="10">
        <v>160.29</v>
      </c>
      <c r="Q295" s="17"/>
      <c r="R295" s="10" t="s">
        <v>290</v>
      </c>
    </row>
    <row r="296">
      <c r="A296" s="15">
        <v>46267.75845040509</v>
      </c>
      <c r="B296" s="17"/>
      <c r="C296" s="17"/>
      <c r="D296" s="30" t="s">
        <v>193</v>
      </c>
      <c r="E296" s="30" t="s">
        <v>43</v>
      </c>
      <c r="F296" s="50">
        <v>0.1009</v>
      </c>
      <c r="G296" s="10" t="s">
        <v>20</v>
      </c>
      <c r="H296" s="10">
        <v>57.44</v>
      </c>
      <c r="I296" s="10">
        <v>46.88</v>
      </c>
      <c r="J296" s="10">
        <v>173.88</v>
      </c>
      <c r="K296" s="10">
        <v>173.75</v>
      </c>
      <c r="L296" s="17"/>
      <c r="M296" s="10">
        <v>57.3</v>
      </c>
      <c r="N296" s="10">
        <v>46.75</v>
      </c>
      <c r="O296" s="10">
        <v>173.88</v>
      </c>
      <c r="P296" s="10">
        <v>173.75</v>
      </c>
      <c r="Q296" s="17"/>
      <c r="R296" s="10" t="s">
        <v>290</v>
      </c>
    </row>
    <row r="297">
      <c r="A297" s="15">
        <v>46267.791732199075</v>
      </c>
      <c r="B297" s="17"/>
      <c r="C297" s="17"/>
      <c r="D297" s="31" t="s">
        <v>299</v>
      </c>
      <c r="E297" s="31" t="s">
        <v>43</v>
      </c>
      <c r="F297" s="49">
        <v>0.1</v>
      </c>
      <c r="G297" s="10" t="s">
        <v>20</v>
      </c>
      <c r="H297" s="10">
        <v>51.45</v>
      </c>
      <c r="I297" s="10">
        <v>36.55</v>
      </c>
      <c r="J297" s="10">
        <v>148.55</v>
      </c>
      <c r="K297" s="10">
        <v>148.55</v>
      </c>
      <c r="L297" s="17"/>
      <c r="M297" s="10">
        <v>51.34</v>
      </c>
      <c r="N297" s="10">
        <v>36.42</v>
      </c>
      <c r="O297" s="10">
        <v>148.39</v>
      </c>
      <c r="P297" s="10">
        <v>148.39</v>
      </c>
      <c r="Q297" s="17"/>
      <c r="R297" s="10" t="s">
        <v>290</v>
      </c>
    </row>
    <row r="298">
      <c r="A298" s="15">
        <v>46267.79413008102</v>
      </c>
      <c r="B298" s="17"/>
      <c r="C298" s="17"/>
      <c r="D298" s="30" t="s">
        <v>300</v>
      </c>
      <c r="E298" s="30" t="s">
        <v>43</v>
      </c>
      <c r="F298" s="50">
        <v>0.0972</v>
      </c>
      <c r="G298" s="10" t="s">
        <v>20</v>
      </c>
      <c r="H298" s="10">
        <v>57.7</v>
      </c>
      <c r="I298" s="10">
        <v>42.26</v>
      </c>
      <c r="J298" s="10">
        <v>168.26</v>
      </c>
      <c r="K298" s="10">
        <v>168.49</v>
      </c>
      <c r="L298" s="17"/>
      <c r="M298" s="10">
        <v>57.49</v>
      </c>
      <c r="N298" s="10">
        <v>42.08</v>
      </c>
      <c r="O298" s="10">
        <v>167.98</v>
      </c>
      <c r="P298" s="10">
        <v>167.59</v>
      </c>
      <c r="Q298" s="17"/>
      <c r="R298" s="10" t="s">
        <v>290</v>
      </c>
    </row>
    <row r="299">
      <c r="A299" s="15">
        <v>46267.798699340274</v>
      </c>
      <c r="B299" s="17"/>
      <c r="C299" s="17"/>
      <c r="D299" s="31" t="s">
        <v>301</v>
      </c>
      <c r="E299" s="31" t="s">
        <v>43</v>
      </c>
      <c r="F299" s="49">
        <v>0.0827</v>
      </c>
      <c r="G299" s="10" t="s">
        <v>20</v>
      </c>
      <c r="H299" s="10">
        <v>39.4</v>
      </c>
      <c r="I299" s="10">
        <v>49.55</v>
      </c>
      <c r="J299" s="10">
        <v>146.86</v>
      </c>
      <c r="K299" s="10">
        <v>147.28</v>
      </c>
      <c r="L299" s="17"/>
      <c r="M299" s="10">
        <v>39.04</v>
      </c>
      <c r="N299" s="10">
        <v>49.49</v>
      </c>
      <c r="O299" s="10">
        <v>146.83</v>
      </c>
      <c r="P299" s="10">
        <v>146.56</v>
      </c>
      <c r="Q299" s="17"/>
      <c r="R299" s="10" t="s">
        <v>290</v>
      </c>
    </row>
    <row r="300">
      <c r="A300" s="15">
        <v>46267.79952510417</v>
      </c>
      <c r="B300" s="17"/>
      <c r="C300" s="17"/>
      <c r="D300" s="30" t="s">
        <v>302</v>
      </c>
      <c r="E300" s="30" t="s">
        <v>43</v>
      </c>
      <c r="F300" s="50">
        <v>0.0762</v>
      </c>
      <c r="G300" s="10" t="s">
        <v>20</v>
      </c>
      <c r="H300" s="10">
        <v>55.8</v>
      </c>
      <c r="I300" s="10">
        <v>37.6</v>
      </c>
      <c r="J300" s="10">
        <v>158.99</v>
      </c>
      <c r="K300" s="10">
        <v>159.1</v>
      </c>
      <c r="L300" s="17"/>
      <c r="M300" s="10">
        <v>55.77</v>
      </c>
      <c r="N300" s="10">
        <v>37.49</v>
      </c>
      <c r="O300" s="10">
        <v>158.93</v>
      </c>
      <c r="P300" s="10">
        <v>158.88</v>
      </c>
      <c r="Q300" s="17"/>
      <c r="R300" s="10" t="s">
        <v>290</v>
      </c>
    </row>
    <row r="301">
      <c r="A301" s="15">
        <v>46267.80097271991</v>
      </c>
      <c r="B301" s="17"/>
      <c r="C301" s="17"/>
      <c r="D301" s="31" t="s">
        <v>303</v>
      </c>
      <c r="E301" s="31" t="s">
        <v>43</v>
      </c>
      <c r="F301" s="49">
        <v>0.0566</v>
      </c>
      <c r="G301" s="10" t="s">
        <v>20</v>
      </c>
      <c r="H301" s="10">
        <v>58.04</v>
      </c>
      <c r="I301" s="10">
        <v>41.81</v>
      </c>
      <c r="J301" s="10">
        <v>168.45</v>
      </c>
      <c r="K301" s="10">
        <v>168.25</v>
      </c>
      <c r="L301" s="17"/>
      <c r="M301" s="10">
        <v>57.96</v>
      </c>
      <c r="N301" s="10">
        <v>41.57</v>
      </c>
      <c r="O301" s="10">
        <v>167.91</v>
      </c>
      <c r="P301" s="10">
        <v>167.63</v>
      </c>
      <c r="Q301" s="17"/>
      <c r="R301" s="10" t="s">
        <v>102</v>
      </c>
    </row>
    <row r="302">
      <c r="A302" s="15">
        <v>46267.80254377315</v>
      </c>
      <c r="B302" s="17"/>
      <c r="C302" s="17"/>
      <c r="D302" s="30" t="s">
        <v>304</v>
      </c>
      <c r="E302" s="30" t="s">
        <v>43</v>
      </c>
      <c r="F302" s="50">
        <v>0.0444</v>
      </c>
      <c r="G302" s="10" t="s">
        <v>20</v>
      </c>
      <c r="H302" s="10">
        <v>50.76</v>
      </c>
      <c r="I302" s="10">
        <v>43.74</v>
      </c>
      <c r="J302" s="10">
        <v>153.49</v>
      </c>
      <c r="K302" s="10">
        <v>153.49</v>
      </c>
      <c r="L302" s="17"/>
      <c r="M302" s="10">
        <v>50.33</v>
      </c>
      <c r="N302" s="10">
        <v>43.38</v>
      </c>
      <c r="O302" s="10">
        <v>152.79</v>
      </c>
      <c r="P302" s="10">
        <v>152.79</v>
      </c>
      <c r="Q302" s="17"/>
      <c r="R302" s="10" t="s">
        <v>102</v>
      </c>
    </row>
    <row r="303">
      <c r="A303" s="15">
        <v>46267.80321517361</v>
      </c>
      <c r="B303" s="17"/>
      <c r="C303" s="17"/>
      <c r="D303" s="31" t="s">
        <v>112</v>
      </c>
      <c r="E303" s="31" t="s">
        <v>43</v>
      </c>
      <c r="F303" s="49">
        <v>0.0442</v>
      </c>
      <c r="G303" s="10" t="s">
        <v>20</v>
      </c>
      <c r="H303" s="10">
        <v>52.29</v>
      </c>
      <c r="I303" s="10">
        <v>34.77</v>
      </c>
      <c r="J303" s="10">
        <v>147.37</v>
      </c>
      <c r="K303" s="10">
        <v>147.37</v>
      </c>
      <c r="L303" s="17"/>
      <c r="M303" s="10">
        <v>52.14</v>
      </c>
      <c r="N303" s="10">
        <v>34.59</v>
      </c>
      <c r="O303" s="10">
        <v>146.88</v>
      </c>
      <c r="P303" s="10">
        <v>146.76</v>
      </c>
      <c r="Q303" s="17"/>
      <c r="R303" s="10" t="s">
        <v>102</v>
      </c>
    </row>
    <row r="304">
      <c r="A304" s="15">
        <v>46267.807886712966</v>
      </c>
      <c r="B304" s="17"/>
      <c r="C304" s="17"/>
      <c r="D304" s="30" t="s">
        <v>305</v>
      </c>
      <c r="E304" s="30" t="s">
        <v>43</v>
      </c>
      <c r="F304" s="50">
        <v>0.0441</v>
      </c>
      <c r="G304" s="10" t="s">
        <v>20</v>
      </c>
      <c r="H304" s="10">
        <v>51.56</v>
      </c>
      <c r="I304" s="10">
        <v>38.62</v>
      </c>
      <c r="J304" s="10">
        <v>149.47</v>
      </c>
      <c r="K304" s="10">
        <v>149.47</v>
      </c>
      <c r="L304" s="17"/>
      <c r="M304" s="10">
        <v>51.49</v>
      </c>
      <c r="N304" s="10">
        <v>38.58</v>
      </c>
      <c r="O304" s="10">
        <v>149.2</v>
      </c>
      <c r="P304" s="10">
        <v>149.2</v>
      </c>
      <c r="Q304" s="17"/>
      <c r="R304" s="10" t="s">
        <v>102</v>
      </c>
    </row>
    <row r="305">
      <c r="A305" s="15">
        <v>46267.80940591435</v>
      </c>
      <c r="B305" s="17"/>
      <c r="C305" s="17"/>
      <c r="D305" s="31" t="s">
        <v>306</v>
      </c>
      <c r="E305" s="31" t="s">
        <v>43</v>
      </c>
      <c r="F305" s="49">
        <v>0.0413</v>
      </c>
      <c r="G305" s="10" t="s">
        <v>20</v>
      </c>
      <c r="H305" s="10">
        <v>50.43</v>
      </c>
      <c r="I305" s="10">
        <v>42.6</v>
      </c>
      <c r="J305" s="10">
        <v>151.12</v>
      </c>
      <c r="K305" s="10">
        <v>151.12</v>
      </c>
      <c r="L305" s="17"/>
      <c r="M305" s="10">
        <v>50.37</v>
      </c>
      <c r="N305" s="10">
        <v>42.55</v>
      </c>
      <c r="O305" s="10">
        <v>150.95</v>
      </c>
      <c r="P305" s="10">
        <v>150.95</v>
      </c>
      <c r="Q305" s="17"/>
      <c r="R305" s="10" t="s">
        <v>102</v>
      </c>
    </row>
    <row r="306">
      <c r="A306" s="15">
        <v>46267.819819826385</v>
      </c>
      <c r="B306" s="17"/>
      <c r="C306" s="17"/>
      <c r="D306" s="30" t="s">
        <v>307</v>
      </c>
      <c r="E306" s="30" t="s">
        <v>43</v>
      </c>
      <c r="F306" s="50">
        <v>0.0328</v>
      </c>
      <c r="G306" s="10" t="s">
        <v>20</v>
      </c>
      <c r="H306" s="10">
        <v>53.83</v>
      </c>
      <c r="I306" s="10">
        <v>41.41</v>
      </c>
      <c r="J306" s="10">
        <v>158.76</v>
      </c>
      <c r="K306" s="10">
        <v>158.5</v>
      </c>
      <c r="L306" s="17"/>
      <c r="M306" s="10">
        <v>53.63</v>
      </c>
      <c r="N306" s="10">
        <v>41.38</v>
      </c>
      <c r="O306" s="10">
        <v>158.34</v>
      </c>
      <c r="P306" s="10">
        <v>158.43</v>
      </c>
      <c r="Q306" s="17"/>
      <c r="R306" s="10" t="s">
        <v>102</v>
      </c>
    </row>
    <row r="307">
      <c r="A307" s="15">
        <v>46267.82243234954</v>
      </c>
      <c r="B307" s="17"/>
      <c r="C307" s="17"/>
      <c r="D307" s="31" t="s">
        <v>178</v>
      </c>
      <c r="E307" s="31" t="s">
        <v>43</v>
      </c>
      <c r="F307" s="49">
        <v>0.0323</v>
      </c>
      <c r="G307" s="10" t="s">
        <v>20</v>
      </c>
      <c r="H307" s="10">
        <v>57.05</v>
      </c>
      <c r="I307" s="10">
        <v>46.63</v>
      </c>
      <c r="J307" s="10">
        <v>173.13</v>
      </c>
      <c r="K307" s="10">
        <v>172.86</v>
      </c>
      <c r="L307" s="17"/>
      <c r="M307" s="10">
        <v>56.97</v>
      </c>
      <c r="N307" s="10">
        <v>46.57</v>
      </c>
      <c r="O307" s="10">
        <v>172.91</v>
      </c>
      <c r="P307" s="10">
        <v>172.65</v>
      </c>
      <c r="Q307" s="17"/>
      <c r="R307" s="10" t="s">
        <v>102</v>
      </c>
    </row>
    <row r="308">
      <c r="A308" s="15">
        <v>46267.825271724534</v>
      </c>
      <c r="B308" s="17"/>
      <c r="C308" s="17"/>
      <c r="D308" s="30" t="s">
        <v>308</v>
      </c>
      <c r="E308" s="30" t="s">
        <v>43</v>
      </c>
      <c r="F308" s="50">
        <v>0.047</v>
      </c>
      <c r="G308" s="10" t="s">
        <v>20</v>
      </c>
      <c r="H308" s="10">
        <v>53.9</v>
      </c>
      <c r="I308" s="10">
        <v>42.48</v>
      </c>
      <c r="J308" s="10">
        <v>159.96</v>
      </c>
      <c r="K308" s="10">
        <v>160.36</v>
      </c>
      <c r="L308" s="17"/>
      <c r="M308" s="10">
        <v>53.75</v>
      </c>
      <c r="N308" s="10">
        <v>42.16</v>
      </c>
      <c r="O308" s="10">
        <v>159.64</v>
      </c>
      <c r="P308" s="10">
        <v>159.64</v>
      </c>
      <c r="Q308" s="17"/>
      <c r="R308" s="10" t="s">
        <v>102</v>
      </c>
    </row>
    <row r="309">
      <c r="A309" s="15">
        <v>46269.41786591435</v>
      </c>
      <c r="B309" s="17"/>
      <c r="C309" s="17"/>
      <c r="D309" s="12" t="s">
        <v>309</v>
      </c>
      <c r="E309" s="12" t="s">
        <v>19</v>
      </c>
      <c r="F309" s="17"/>
      <c r="G309" s="10" t="s">
        <v>20</v>
      </c>
      <c r="H309" s="10">
        <v>50.53</v>
      </c>
      <c r="I309" s="10">
        <v>36.27</v>
      </c>
      <c r="J309" s="10">
        <v>146.39</v>
      </c>
      <c r="K309" s="10">
        <v>146.43</v>
      </c>
      <c r="L309" s="10" t="s">
        <v>21</v>
      </c>
      <c r="M309" s="10">
        <v>50.99</v>
      </c>
      <c r="N309" s="10">
        <v>36.14</v>
      </c>
      <c r="O309" s="10">
        <v>147.61</v>
      </c>
      <c r="P309" s="10">
        <v>147.75</v>
      </c>
      <c r="Q309" s="10" t="s">
        <v>19</v>
      </c>
      <c r="R309" s="10" t="s">
        <v>22</v>
      </c>
    </row>
    <row r="310">
      <c r="A310" s="15">
        <v>46272.73297540509</v>
      </c>
      <c r="B310" s="17"/>
      <c r="C310" s="17"/>
      <c r="D310" s="30" t="s">
        <v>310</v>
      </c>
      <c r="E310" s="30" t="s">
        <v>43</v>
      </c>
      <c r="F310" s="51">
        <v>0.375</v>
      </c>
      <c r="G310" s="10" t="s">
        <v>20</v>
      </c>
      <c r="H310" s="10">
        <v>43.99</v>
      </c>
      <c r="I310" s="10">
        <v>34.33</v>
      </c>
      <c r="J310" s="10">
        <v>129.97</v>
      </c>
      <c r="K310" s="10">
        <v>130.17</v>
      </c>
      <c r="L310" s="10" t="s">
        <v>119</v>
      </c>
      <c r="M310" s="10">
        <v>43.69</v>
      </c>
      <c r="N310" s="10">
        <v>34.04</v>
      </c>
      <c r="O310" s="10">
        <v>129.06</v>
      </c>
      <c r="P310" s="10">
        <v>129.45</v>
      </c>
      <c r="Q310" s="10" t="s">
        <v>43</v>
      </c>
      <c r="R310" s="10" t="s">
        <v>22</v>
      </c>
    </row>
    <row r="311">
      <c r="A311" s="15">
        <v>46272.73411173611</v>
      </c>
      <c r="B311" s="17"/>
      <c r="C311" s="17"/>
      <c r="D311" s="31" t="s">
        <v>262</v>
      </c>
      <c r="E311" s="31" t="s">
        <v>43</v>
      </c>
      <c r="F311" s="52">
        <v>0.1053</v>
      </c>
      <c r="G311" s="10" t="s">
        <v>20</v>
      </c>
      <c r="H311" s="10">
        <v>56.13</v>
      </c>
      <c r="I311" s="10">
        <v>38.87</v>
      </c>
      <c r="J311" s="10">
        <v>160.57</v>
      </c>
      <c r="K311" s="10">
        <v>159.83</v>
      </c>
      <c r="L311" s="10" t="s">
        <v>119</v>
      </c>
      <c r="M311" s="10">
        <v>55.9</v>
      </c>
      <c r="N311" s="10">
        <v>38.6</v>
      </c>
      <c r="O311" s="10">
        <v>159.73</v>
      </c>
      <c r="P311" s="10">
        <v>158.91</v>
      </c>
      <c r="Q311" s="10" t="s">
        <v>43</v>
      </c>
      <c r="R311" s="10" t="s">
        <v>22</v>
      </c>
    </row>
    <row r="312">
      <c r="A312" s="15">
        <v>46272.735313067125</v>
      </c>
      <c r="B312" s="17"/>
      <c r="C312" s="17"/>
      <c r="D312" s="30" t="s">
        <v>311</v>
      </c>
      <c r="E312" s="30" t="s">
        <v>43</v>
      </c>
      <c r="F312" s="51">
        <v>0.0526</v>
      </c>
      <c r="G312" s="10" t="s">
        <v>20</v>
      </c>
      <c r="H312" s="10">
        <v>53.29</v>
      </c>
      <c r="I312" s="10">
        <v>42.43</v>
      </c>
      <c r="J312" s="10">
        <v>158.81</v>
      </c>
      <c r="K312" s="10">
        <v>158.78</v>
      </c>
      <c r="L312" s="10" t="s">
        <v>119</v>
      </c>
      <c r="M312" s="10">
        <v>53.04</v>
      </c>
      <c r="N312" s="10">
        <v>42.19</v>
      </c>
      <c r="O312" s="10">
        <v>157.9</v>
      </c>
      <c r="P312" s="10">
        <v>158.01</v>
      </c>
      <c r="Q312" s="10" t="s">
        <v>43</v>
      </c>
      <c r="R312" s="10" t="s">
        <v>22</v>
      </c>
    </row>
    <row r="313">
      <c r="A313" s="15">
        <v>46272.73639005787</v>
      </c>
      <c r="B313" s="17"/>
      <c r="C313" s="17"/>
      <c r="D313" s="31" t="s">
        <v>312</v>
      </c>
      <c r="E313" s="31" t="s">
        <v>43</v>
      </c>
      <c r="F313" s="52">
        <v>0.0364</v>
      </c>
      <c r="G313" s="10" t="s">
        <v>20</v>
      </c>
      <c r="H313" s="10">
        <v>52.9</v>
      </c>
      <c r="I313" s="10">
        <v>37.93</v>
      </c>
      <c r="J313" s="10">
        <v>151.86</v>
      </c>
      <c r="K313" s="10">
        <v>151.99</v>
      </c>
      <c r="L313" s="10" t="s">
        <v>119</v>
      </c>
      <c r="M313" s="10">
        <v>52.69</v>
      </c>
      <c r="N313" s="10">
        <v>37.7</v>
      </c>
      <c r="O313" s="10">
        <v>151.02</v>
      </c>
      <c r="P313" s="10">
        <v>151.18</v>
      </c>
      <c r="Q313" s="10" t="s">
        <v>43</v>
      </c>
      <c r="R313" s="10" t="s">
        <v>22</v>
      </c>
    </row>
    <row r="314">
      <c r="A314" s="15">
        <v>46272.73734033565</v>
      </c>
      <c r="B314" s="17"/>
      <c r="C314" s="17"/>
      <c r="D314" s="30" t="s">
        <v>313</v>
      </c>
      <c r="E314" s="30" t="s">
        <v>43</v>
      </c>
      <c r="F314" s="51">
        <v>0.0508</v>
      </c>
      <c r="G314" s="10" t="s">
        <v>20</v>
      </c>
      <c r="H314" s="10">
        <v>53.12</v>
      </c>
      <c r="I314" s="10">
        <v>47.35</v>
      </c>
      <c r="J314" s="10">
        <v>162.43</v>
      </c>
      <c r="K314" s="10">
        <v>162.43</v>
      </c>
      <c r="L314" s="10" t="s">
        <v>119</v>
      </c>
      <c r="M314" s="10">
        <v>52.94</v>
      </c>
      <c r="N314" s="10">
        <v>47.15</v>
      </c>
      <c r="O314" s="10">
        <v>160.95</v>
      </c>
      <c r="P314" s="10">
        <v>160.8</v>
      </c>
      <c r="Q314" s="10" t="s">
        <v>43</v>
      </c>
      <c r="R314" s="10" t="s">
        <v>22</v>
      </c>
    </row>
    <row r="315">
      <c r="A315" s="15">
        <v>46272.73854128472</v>
      </c>
      <c r="B315" s="17"/>
      <c r="C315" s="17"/>
      <c r="D315" s="31" t="s">
        <v>314</v>
      </c>
      <c r="E315" s="31" t="s">
        <v>43</v>
      </c>
      <c r="F315" s="52">
        <v>0.0317</v>
      </c>
      <c r="G315" s="10" t="s">
        <v>20</v>
      </c>
      <c r="H315" s="10">
        <v>56.83</v>
      </c>
      <c r="I315" s="10">
        <v>43.92</v>
      </c>
      <c r="J315" s="10">
        <v>167.61</v>
      </c>
      <c r="K315" s="10">
        <v>167.59</v>
      </c>
      <c r="L315" s="10" t="s">
        <v>119</v>
      </c>
      <c r="M315" s="10">
        <v>56.62</v>
      </c>
      <c r="N315" s="10">
        <v>43.7</v>
      </c>
      <c r="O315" s="10">
        <v>166.89</v>
      </c>
      <c r="P315" s="10">
        <v>166.9</v>
      </c>
      <c r="Q315" s="10" t="s">
        <v>43</v>
      </c>
      <c r="R315" s="10" t="s">
        <v>22</v>
      </c>
    </row>
    <row r="316">
      <c r="A316" s="15">
        <v>46272.73978664352</v>
      </c>
      <c r="B316" s="17"/>
      <c r="C316" s="17"/>
      <c r="D316" s="30" t="s">
        <v>86</v>
      </c>
      <c r="E316" s="30" t="s">
        <v>43</v>
      </c>
      <c r="F316" s="51">
        <v>0.0376</v>
      </c>
      <c r="G316" s="10" t="s">
        <v>20</v>
      </c>
      <c r="H316" s="10">
        <v>53.27</v>
      </c>
      <c r="I316" s="10">
        <v>40.59</v>
      </c>
      <c r="J316" s="10">
        <v>155.4</v>
      </c>
      <c r="K316" s="10">
        <v>155.29</v>
      </c>
      <c r="L316" s="10" t="s">
        <v>119</v>
      </c>
      <c r="M316" s="10">
        <v>53.07</v>
      </c>
      <c r="N316" s="10">
        <v>40.4</v>
      </c>
      <c r="O316" s="10">
        <v>154.8</v>
      </c>
      <c r="P316" s="10">
        <v>154.7</v>
      </c>
      <c r="Q316" s="10" t="s">
        <v>43</v>
      </c>
      <c r="R316" s="10" t="s">
        <v>22</v>
      </c>
    </row>
    <row r="317">
      <c r="A317" s="15">
        <v>46272.74083460648</v>
      </c>
      <c r="B317" s="17"/>
      <c r="C317" s="17"/>
      <c r="D317" s="31" t="s">
        <v>315</v>
      </c>
      <c r="E317" s="31" t="s">
        <v>43</v>
      </c>
      <c r="F317" s="52">
        <v>0.0349</v>
      </c>
      <c r="G317" s="10" t="s">
        <v>20</v>
      </c>
      <c r="H317" s="10">
        <v>51.91</v>
      </c>
      <c r="I317" s="10">
        <v>40.23</v>
      </c>
      <c r="J317" s="10">
        <v>153.77</v>
      </c>
      <c r="K317" s="10">
        <v>154.8</v>
      </c>
      <c r="L317" s="10" t="s">
        <v>119</v>
      </c>
      <c r="M317" s="10">
        <v>51.7</v>
      </c>
      <c r="N317" s="10">
        <v>40.04</v>
      </c>
      <c r="O317" s="10">
        <v>153.03</v>
      </c>
      <c r="P317" s="10">
        <v>153.97</v>
      </c>
      <c r="Q317" s="10" t="s">
        <v>43</v>
      </c>
      <c r="R317" s="10" t="s">
        <v>22</v>
      </c>
    </row>
    <row r="318">
      <c r="B318" s="17"/>
      <c r="C318" s="17"/>
      <c r="D318" s="30" t="s">
        <v>172</v>
      </c>
      <c r="E318" s="30" t="s">
        <v>43</v>
      </c>
      <c r="F318" s="51">
        <v>0.0727</v>
      </c>
      <c r="G318" s="10" t="s">
        <v>20</v>
      </c>
      <c r="H318" s="10">
        <v>52.24</v>
      </c>
      <c r="I318" s="10">
        <v>43.88</v>
      </c>
      <c r="J318" s="10">
        <v>156.99</v>
      </c>
      <c r="K318" s="10">
        <v>156.85</v>
      </c>
      <c r="L318" s="10" t="s">
        <v>119</v>
      </c>
      <c r="M318" s="10">
        <v>51.91</v>
      </c>
      <c r="N318" s="10">
        <v>43.66</v>
      </c>
      <c r="O318" s="10">
        <v>156.07</v>
      </c>
      <c r="P318" s="10">
        <v>155.95</v>
      </c>
      <c r="Q318" s="10" t="s">
        <v>43</v>
      </c>
      <c r="R318" s="10" t="s">
        <v>22</v>
      </c>
    </row>
    <row r="319">
      <c r="A319" s="15">
        <v>46272.74316518518</v>
      </c>
      <c r="B319" s="17"/>
      <c r="C319" s="17"/>
      <c r="D319" s="31" t="s">
        <v>316</v>
      </c>
      <c r="E319" s="31" t="s">
        <v>43</v>
      </c>
      <c r="F319" s="52">
        <v>0.0612</v>
      </c>
      <c r="G319" s="10" t="s">
        <v>20</v>
      </c>
      <c r="H319" s="10">
        <v>51.47</v>
      </c>
      <c r="I319" s="10">
        <v>41.06</v>
      </c>
      <c r="J319" s="10">
        <v>156.0</v>
      </c>
      <c r="K319" s="10">
        <v>156.24</v>
      </c>
      <c r="L319" s="10" t="s">
        <v>119</v>
      </c>
      <c r="M319" s="10">
        <v>51.28</v>
      </c>
      <c r="N319" s="10">
        <v>40.9</v>
      </c>
      <c r="O319" s="10">
        <v>155.26</v>
      </c>
      <c r="P319" s="10">
        <v>155.39</v>
      </c>
      <c r="Q319" s="10" t="s">
        <v>43</v>
      </c>
      <c r="R319" s="10" t="s">
        <v>22</v>
      </c>
    </row>
    <row r="320">
      <c r="A320" s="15">
        <v>46272.74485671296</v>
      </c>
      <c r="B320" s="17"/>
      <c r="C320" s="17"/>
      <c r="D320" s="30" t="s">
        <v>317</v>
      </c>
      <c r="E320" s="30" t="s">
        <v>43</v>
      </c>
      <c r="F320" s="51">
        <v>0.1379</v>
      </c>
      <c r="G320" s="10" t="s">
        <v>20</v>
      </c>
      <c r="H320" s="10">
        <v>59.97</v>
      </c>
      <c r="I320" s="10">
        <v>52.37</v>
      </c>
      <c r="J320" s="10">
        <v>183.02</v>
      </c>
      <c r="K320" s="10">
        <v>182.76</v>
      </c>
      <c r="L320" s="10" t="s">
        <v>119</v>
      </c>
      <c r="M320" s="10">
        <v>59.7</v>
      </c>
      <c r="N320" s="10">
        <v>52.06</v>
      </c>
      <c r="O320" s="10">
        <v>181.8</v>
      </c>
      <c r="P320" s="10">
        <v>181.67</v>
      </c>
      <c r="Q320" s="10" t="s">
        <v>43</v>
      </c>
      <c r="R320" s="10" t="s">
        <v>22</v>
      </c>
    </row>
    <row r="321">
      <c r="A321" s="15">
        <v>46272.748884976856</v>
      </c>
      <c r="B321" s="17"/>
      <c r="C321" s="17"/>
      <c r="D321" s="31" t="s">
        <v>318</v>
      </c>
      <c r="E321" s="31" t="s">
        <v>43</v>
      </c>
      <c r="F321" s="52">
        <v>0.1429</v>
      </c>
      <c r="G321" s="10" t="s">
        <v>20</v>
      </c>
      <c r="H321" s="10">
        <v>54.54</v>
      </c>
      <c r="I321" s="10">
        <v>41.88</v>
      </c>
      <c r="J321" s="10">
        <v>162.13</v>
      </c>
      <c r="K321" s="10">
        <v>162.23</v>
      </c>
      <c r="L321" s="10" t="s">
        <v>119</v>
      </c>
      <c r="M321" s="10">
        <v>54.29</v>
      </c>
      <c r="N321" s="10">
        <v>41.6</v>
      </c>
      <c r="O321" s="10">
        <v>160.97</v>
      </c>
      <c r="P321" s="10">
        <v>160.65</v>
      </c>
      <c r="Q321" s="10" t="s">
        <v>43</v>
      </c>
      <c r="R321" s="10" t="s">
        <v>22</v>
      </c>
    </row>
    <row r="322">
      <c r="A322" s="15">
        <v>46272.86749296296</v>
      </c>
      <c r="B322" s="17"/>
      <c r="C322" s="17"/>
      <c r="D322" s="30" t="s">
        <v>319</v>
      </c>
      <c r="E322" s="30" t="s">
        <v>320</v>
      </c>
      <c r="F322" s="51">
        <v>0.0341</v>
      </c>
      <c r="G322" s="10" t="s">
        <v>20</v>
      </c>
      <c r="H322" s="10">
        <v>52.72</v>
      </c>
      <c r="I322" s="10">
        <v>36.68</v>
      </c>
      <c r="J322" s="10">
        <v>151.27</v>
      </c>
      <c r="K322" s="10">
        <v>151.7</v>
      </c>
      <c r="L322" s="10" t="s">
        <v>119</v>
      </c>
      <c r="M322" s="10">
        <v>52.51</v>
      </c>
      <c r="N322" s="10">
        <v>36.49</v>
      </c>
      <c r="O322" s="10">
        <v>150.38</v>
      </c>
      <c r="P322" s="10">
        <v>150.71</v>
      </c>
      <c r="Q322" s="10" t="s">
        <v>320</v>
      </c>
      <c r="R322" s="10" t="s">
        <v>22</v>
      </c>
    </row>
    <row r="323">
      <c r="A323" s="15">
        <v>46272.87558018518</v>
      </c>
      <c r="B323" s="17"/>
      <c r="C323" s="17"/>
      <c r="D323" s="31" t="s">
        <v>321</v>
      </c>
      <c r="E323" s="31" t="s">
        <v>320</v>
      </c>
      <c r="F323" s="52">
        <v>0.0612</v>
      </c>
      <c r="G323" s="10" t="s">
        <v>20</v>
      </c>
      <c r="H323" s="10">
        <v>52.7</v>
      </c>
      <c r="I323" s="10">
        <v>41.94</v>
      </c>
      <c r="J323" s="10">
        <v>157.63</v>
      </c>
      <c r="K323" s="10">
        <v>157.79</v>
      </c>
      <c r="L323" s="10" t="s">
        <v>119</v>
      </c>
      <c r="M323" s="10">
        <v>52.49</v>
      </c>
      <c r="N323" s="10">
        <v>41.7</v>
      </c>
      <c r="O323" s="10">
        <v>156.68</v>
      </c>
      <c r="P323" s="10">
        <v>157.0</v>
      </c>
      <c r="Q323" s="10" t="s">
        <v>320</v>
      </c>
      <c r="R323" s="10" t="s">
        <v>22</v>
      </c>
    </row>
    <row r="324">
      <c r="A324" s="15">
        <v>46272.878299097225</v>
      </c>
      <c r="B324" s="17"/>
      <c r="C324" s="17"/>
      <c r="D324" s="30" t="s">
        <v>322</v>
      </c>
      <c r="E324" s="30" t="s">
        <v>320</v>
      </c>
      <c r="F324" s="51">
        <v>0.0526</v>
      </c>
      <c r="G324" s="10" t="s">
        <v>20</v>
      </c>
      <c r="H324" s="10">
        <v>55.6</v>
      </c>
      <c r="I324" s="10">
        <v>38.87</v>
      </c>
      <c r="J324" s="10">
        <v>163.32</v>
      </c>
      <c r="K324" s="10">
        <v>164.29</v>
      </c>
      <c r="L324" s="10" t="s">
        <v>119</v>
      </c>
      <c r="M324" s="10">
        <v>55.39</v>
      </c>
      <c r="N324" s="10">
        <v>38.66</v>
      </c>
      <c r="O324" s="10">
        <v>161.61</v>
      </c>
      <c r="P324" s="10">
        <v>162.59</v>
      </c>
      <c r="Q324" s="10" t="s">
        <v>320</v>
      </c>
      <c r="R324" s="10" t="s">
        <v>22</v>
      </c>
    </row>
    <row r="325">
      <c r="A325" s="15">
        <v>46272.88140707176</v>
      </c>
      <c r="B325" s="17"/>
      <c r="C325" s="17"/>
      <c r="D325" s="31" t="s">
        <v>323</v>
      </c>
      <c r="E325" s="31" t="s">
        <v>320</v>
      </c>
      <c r="F325" s="52">
        <v>0.0385</v>
      </c>
      <c r="G325" s="10" t="s">
        <v>20</v>
      </c>
      <c r="H325" s="10">
        <v>53.19</v>
      </c>
      <c r="I325" s="10">
        <v>33.31</v>
      </c>
      <c r="J325" s="10">
        <v>146.73</v>
      </c>
      <c r="K325" s="10">
        <v>146.9</v>
      </c>
      <c r="L325" s="10" t="s">
        <v>119</v>
      </c>
      <c r="M325" s="10">
        <v>53.05</v>
      </c>
      <c r="N325" s="10">
        <v>33.11</v>
      </c>
      <c r="O325" s="10">
        <v>146.04</v>
      </c>
      <c r="P325" s="10">
        <v>146.14</v>
      </c>
      <c r="Q325" s="10" t="s">
        <v>320</v>
      </c>
      <c r="R325" s="10" t="s">
        <v>22</v>
      </c>
    </row>
    <row r="326">
      <c r="A326" s="15">
        <v>46272.88989947917</v>
      </c>
      <c r="B326" s="17"/>
      <c r="C326" s="17"/>
      <c r="D326" s="30" t="s">
        <v>324</v>
      </c>
      <c r="E326" s="30" t="s">
        <v>137</v>
      </c>
      <c r="F326" s="51">
        <v>0.2143</v>
      </c>
      <c r="G326" s="10" t="s">
        <v>20</v>
      </c>
      <c r="H326" s="10">
        <v>55.99</v>
      </c>
      <c r="I326" s="10">
        <v>32.46</v>
      </c>
      <c r="J326" s="10">
        <v>153.55</v>
      </c>
      <c r="K326" s="10">
        <v>153.85</v>
      </c>
      <c r="L326" s="10" t="s">
        <v>119</v>
      </c>
      <c r="M326" s="10">
        <v>55.7</v>
      </c>
      <c r="N326" s="10">
        <v>32.2</v>
      </c>
      <c r="O326" s="10">
        <v>152.53</v>
      </c>
      <c r="P326" s="10">
        <v>152.44</v>
      </c>
      <c r="Q326" s="10" t="s">
        <v>137</v>
      </c>
      <c r="R326" s="10" t="s">
        <v>22</v>
      </c>
    </row>
    <row r="327">
      <c r="A327" s="15">
        <v>46272.89107142361</v>
      </c>
      <c r="B327" s="17"/>
      <c r="C327" s="17"/>
      <c r="D327" s="31" t="s">
        <v>325</v>
      </c>
      <c r="E327" s="31" t="s">
        <v>137</v>
      </c>
      <c r="F327" s="52">
        <v>0.0682</v>
      </c>
      <c r="G327" s="10" t="s">
        <v>20</v>
      </c>
      <c r="H327" s="10">
        <v>53.95</v>
      </c>
      <c r="I327" s="10">
        <v>42.15</v>
      </c>
      <c r="J327" s="10">
        <v>160.01</v>
      </c>
      <c r="K327" s="10">
        <v>160.65</v>
      </c>
      <c r="L327" s="10" t="s">
        <v>119</v>
      </c>
      <c r="M327" s="10">
        <v>53.76</v>
      </c>
      <c r="N327" s="10">
        <v>41.89</v>
      </c>
      <c r="O327" s="10">
        <v>159.17</v>
      </c>
      <c r="P327" s="10">
        <v>159.67</v>
      </c>
      <c r="Q327" s="10" t="s">
        <v>137</v>
      </c>
      <c r="R327" s="10" t="s">
        <v>22</v>
      </c>
    </row>
    <row r="328">
      <c r="A328" s="15">
        <v>46272.898339224535</v>
      </c>
      <c r="B328" s="17"/>
      <c r="C328" s="17"/>
      <c r="D328" s="30" t="s">
        <v>326</v>
      </c>
      <c r="E328" s="30" t="s">
        <v>137</v>
      </c>
      <c r="F328" s="51">
        <v>0.0282</v>
      </c>
      <c r="G328" s="10" t="s">
        <v>20</v>
      </c>
      <c r="H328" s="10">
        <v>52.89</v>
      </c>
      <c r="I328" s="10">
        <v>36.58</v>
      </c>
      <c r="J328" s="10">
        <v>151.31</v>
      </c>
      <c r="K328" s="10">
        <v>151.67</v>
      </c>
      <c r="L328" s="10" t="s">
        <v>119</v>
      </c>
      <c r="M328" s="10">
        <v>52.85</v>
      </c>
      <c r="N328" s="10">
        <v>36.48</v>
      </c>
      <c r="O328" s="10">
        <v>150.87</v>
      </c>
      <c r="P328" s="10">
        <v>150.08</v>
      </c>
      <c r="Q328" s="10" t="s">
        <v>137</v>
      </c>
      <c r="R328" s="10" t="s">
        <v>22</v>
      </c>
    </row>
    <row r="329">
      <c r="A329" s="15">
        <v>46272.899437939814</v>
      </c>
      <c r="B329" s="17"/>
      <c r="C329" s="17"/>
      <c r="D329" s="31" t="s">
        <v>136</v>
      </c>
      <c r="E329" s="31" t="s">
        <v>137</v>
      </c>
      <c r="F329" s="52">
        <v>0.0263</v>
      </c>
      <c r="G329" s="10" t="s">
        <v>20</v>
      </c>
      <c r="H329" s="10">
        <v>58.12</v>
      </c>
      <c r="I329" s="10">
        <v>47.12</v>
      </c>
      <c r="J329" s="10">
        <v>173.7</v>
      </c>
      <c r="K329" s="10">
        <v>173.89</v>
      </c>
      <c r="L329" s="10" t="s">
        <v>119</v>
      </c>
      <c r="M329" s="10">
        <v>58.04</v>
      </c>
      <c r="N329" s="10">
        <v>46.95</v>
      </c>
      <c r="O329" s="10">
        <v>173.31</v>
      </c>
      <c r="P329" s="10">
        <v>173.38</v>
      </c>
      <c r="Q329" s="10" t="s">
        <v>137</v>
      </c>
      <c r="R329" s="10" t="s">
        <v>22</v>
      </c>
    </row>
    <row r="330">
      <c r="A330" s="15">
        <v>46272.90068976852</v>
      </c>
      <c r="B330" s="17"/>
      <c r="C330" s="17"/>
      <c r="D330" s="30" t="s">
        <v>327</v>
      </c>
      <c r="E330" s="30" t="s">
        <v>137</v>
      </c>
      <c r="F330" s="51">
        <v>0.0336</v>
      </c>
      <c r="G330" s="10" t="s">
        <v>20</v>
      </c>
      <c r="H330" s="10">
        <v>51.65</v>
      </c>
      <c r="I330" s="10">
        <v>41.1</v>
      </c>
      <c r="J330" s="10">
        <v>156.06</v>
      </c>
      <c r="K330" s="10">
        <v>156.24</v>
      </c>
      <c r="L330" s="10" t="s">
        <v>119</v>
      </c>
      <c r="M330" s="10">
        <v>51.49</v>
      </c>
      <c r="N330" s="10">
        <v>40.9</v>
      </c>
      <c r="O330" s="10">
        <v>155.41</v>
      </c>
      <c r="P330" s="10">
        <v>155.77</v>
      </c>
      <c r="Q330" s="10" t="s">
        <v>137</v>
      </c>
      <c r="R330" s="10" t="s">
        <v>22</v>
      </c>
    </row>
    <row r="331">
      <c r="B331" s="17"/>
      <c r="C331" s="17"/>
      <c r="D331" s="31" t="s">
        <v>328</v>
      </c>
      <c r="E331" s="31" t="s">
        <v>47</v>
      </c>
      <c r="F331" s="52">
        <v>0.2273</v>
      </c>
      <c r="G331" s="10" t="s">
        <v>47</v>
      </c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0" t="s">
        <v>22</v>
      </c>
    </row>
    <row r="332">
      <c r="A332" s="15">
        <v>46272.902776435185</v>
      </c>
      <c r="B332" s="17"/>
      <c r="C332" s="17"/>
      <c r="D332" s="30" t="s">
        <v>329</v>
      </c>
      <c r="E332" s="30" t="s">
        <v>137</v>
      </c>
      <c r="F332" s="51">
        <v>0.0652</v>
      </c>
      <c r="G332" s="10" t="s">
        <v>20</v>
      </c>
      <c r="H332" s="10">
        <v>49.99</v>
      </c>
      <c r="I332" s="10">
        <v>46.53</v>
      </c>
      <c r="J332" s="10">
        <v>154.44</v>
      </c>
      <c r="K332" s="10">
        <v>153.99</v>
      </c>
      <c r="L332" s="10" t="s">
        <v>119</v>
      </c>
      <c r="M332" s="10">
        <v>49.7</v>
      </c>
      <c r="N332" s="10">
        <v>46.33</v>
      </c>
      <c r="O332" s="10">
        <v>153.69</v>
      </c>
      <c r="P332" s="10">
        <v>153.36</v>
      </c>
      <c r="Q332" s="10" t="s">
        <v>137</v>
      </c>
      <c r="R332" s="10" t="s">
        <v>22</v>
      </c>
    </row>
    <row r="333">
      <c r="A333" s="15">
        <v>46272.90391908565</v>
      </c>
      <c r="B333" s="17"/>
      <c r="C333" s="17"/>
      <c r="D333" s="31" t="s">
        <v>330</v>
      </c>
      <c r="E333" s="31" t="s">
        <v>19</v>
      </c>
      <c r="F333" s="52">
        <v>0.1625</v>
      </c>
      <c r="G333" s="10" t="s">
        <v>20</v>
      </c>
      <c r="H333" s="10">
        <v>54.11</v>
      </c>
      <c r="I333" s="10">
        <v>38.98</v>
      </c>
      <c r="J333" s="10">
        <v>155.54</v>
      </c>
      <c r="K333" s="10">
        <v>155.6</v>
      </c>
      <c r="L333" s="10" t="s">
        <v>119</v>
      </c>
      <c r="M333" s="10">
        <v>54.4</v>
      </c>
      <c r="N333" s="10">
        <v>39.2</v>
      </c>
      <c r="O333" s="10">
        <v>156.31</v>
      </c>
      <c r="P333" s="10">
        <v>156.52</v>
      </c>
      <c r="Q333" s="10" t="s">
        <v>19</v>
      </c>
      <c r="R333" s="10" t="s">
        <v>22</v>
      </c>
    </row>
    <row r="334">
      <c r="A334" s="15">
        <v>46272.905488159726</v>
      </c>
      <c r="B334" s="17"/>
      <c r="C334" s="17"/>
      <c r="D334" s="30" t="s">
        <v>331</v>
      </c>
      <c r="E334" s="30" t="s">
        <v>19</v>
      </c>
      <c r="F334" s="51">
        <v>0.4167</v>
      </c>
      <c r="G334" s="10" t="s">
        <v>20</v>
      </c>
      <c r="H334" s="10">
        <v>45.96</v>
      </c>
      <c r="I334" s="10">
        <v>29.38</v>
      </c>
      <c r="J334" s="10">
        <v>125.86</v>
      </c>
      <c r="K334" s="10">
        <v>125.66</v>
      </c>
      <c r="L334" s="10" t="s">
        <v>119</v>
      </c>
      <c r="M334" s="10">
        <v>46.2</v>
      </c>
      <c r="N334" s="10">
        <v>29.7</v>
      </c>
      <c r="O334" s="10">
        <v>126.6</v>
      </c>
      <c r="P334" s="10">
        <v>126.6</v>
      </c>
      <c r="Q334" s="10" t="s">
        <v>19</v>
      </c>
      <c r="R334" s="10" t="s">
        <v>22</v>
      </c>
    </row>
    <row r="335">
      <c r="B335" s="17"/>
      <c r="C335" s="17"/>
      <c r="D335" s="31" t="s">
        <v>332</v>
      </c>
      <c r="E335" s="31" t="s">
        <v>19</v>
      </c>
      <c r="F335" s="52">
        <v>0.5455</v>
      </c>
      <c r="G335" s="10" t="s">
        <v>20</v>
      </c>
      <c r="H335" s="39" t="s">
        <v>333</v>
      </c>
      <c r="R335" s="10" t="s">
        <v>22</v>
      </c>
    </row>
    <row r="336">
      <c r="A336" s="15">
        <v>46272.91089564815</v>
      </c>
      <c r="B336" s="17"/>
      <c r="C336" s="17"/>
      <c r="D336" s="30" t="s">
        <v>334</v>
      </c>
      <c r="E336" s="30" t="s">
        <v>19</v>
      </c>
      <c r="F336" s="51">
        <v>0.6667</v>
      </c>
      <c r="G336" s="10" t="s">
        <v>20</v>
      </c>
      <c r="H336" s="10">
        <v>47.17</v>
      </c>
      <c r="I336" s="10">
        <v>47.17</v>
      </c>
      <c r="J336" s="10">
        <v>146.39</v>
      </c>
      <c r="K336" s="10">
        <v>145.55</v>
      </c>
      <c r="L336" s="10" t="s">
        <v>119</v>
      </c>
      <c r="M336" s="10">
        <v>47.4</v>
      </c>
      <c r="N336" s="10">
        <v>43.81</v>
      </c>
      <c r="O336" s="10">
        <v>43.81</v>
      </c>
      <c r="P336" s="10">
        <v>146.95</v>
      </c>
      <c r="Q336" s="10" t="s">
        <v>19</v>
      </c>
      <c r="R336" s="10" t="s">
        <v>22</v>
      </c>
    </row>
    <row r="337">
      <c r="B337" s="17"/>
      <c r="C337" s="17"/>
      <c r="D337" s="31" t="s">
        <v>335</v>
      </c>
      <c r="E337" s="31" t="s">
        <v>336</v>
      </c>
      <c r="F337" s="52">
        <v>0.0313</v>
      </c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</row>
    <row r="338">
      <c r="B338" s="17"/>
      <c r="C338" s="17"/>
      <c r="D338" s="30" t="s">
        <v>337</v>
      </c>
      <c r="E338" s="30" t="s">
        <v>336</v>
      </c>
      <c r="F338" s="51">
        <v>0.0182</v>
      </c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</row>
    <row r="339">
      <c r="B339" s="17"/>
      <c r="C339" s="17"/>
      <c r="D339" s="31" t="s">
        <v>338</v>
      </c>
      <c r="E339" s="31" t="s">
        <v>336</v>
      </c>
      <c r="F339" s="52">
        <v>0.0159</v>
      </c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</row>
    <row r="340">
      <c r="B340" s="17"/>
      <c r="C340" s="17"/>
      <c r="D340" s="30" t="s">
        <v>339</v>
      </c>
      <c r="E340" s="30" t="s">
        <v>336</v>
      </c>
      <c r="F340" s="51">
        <v>0.0395</v>
      </c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</row>
    <row r="341">
      <c r="A341" s="15">
        <v>46270.32726835649</v>
      </c>
      <c r="B341" s="17"/>
      <c r="C341" s="17"/>
      <c r="D341" s="12" t="s">
        <v>274</v>
      </c>
      <c r="E341" s="12" t="s">
        <v>133</v>
      </c>
      <c r="F341" s="17"/>
      <c r="G341" s="10" t="s">
        <v>20</v>
      </c>
      <c r="H341" s="10">
        <v>49.25</v>
      </c>
      <c r="I341" s="10">
        <v>44.44</v>
      </c>
      <c r="J341" s="10">
        <v>152.3</v>
      </c>
      <c r="K341" s="10">
        <v>152.03</v>
      </c>
      <c r="L341" s="10" t="s">
        <v>21</v>
      </c>
      <c r="M341" s="10">
        <v>49.64</v>
      </c>
      <c r="N341" s="10">
        <v>44.03</v>
      </c>
      <c r="O341" s="10">
        <v>152.5</v>
      </c>
      <c r="P341" s="10">
        <v>152.08</v>
      </c>
      <c r="Q341" s="10" t="s">
        <v>133</v>
      </c>
      <c r="R341" s="10" t="s">
        <v>22</v>
      </c>
    </row>
    <row r="342">
      <c r="B342" s="17"/>
      <c r="C342" s="17"/>
      <c r="D342" s="12" t="s">
        <v>269</v>
      </c>
      <c r="E342" s="12" t="s">
        <v>19</v>
      </c>
      <c r="F342" s="17"/>
      <c r="G342" s="10" t="s">
        <v>20</v>
      </c>
      <c r="H342" s="10">
        <v>49.01</v>
      </c>
      <c r="I342" s="10">
        <v>41.65</v>
      </c>
      <c r="J342" s="10">
        <v>148.44</v>
      </c>
      <c r="K342" s="10">
        <v>148.44</v>
      </c>
      <c r="L342" s="10" t="s">
        <v>21</v>
      </c>
      <c r="M342" s="10">
        <v>49.59</v>
      </c>
      <c r="N342" s="10">
        <v>41.89</v>
      </c>
      <c r="O342" s="10">
        <v>149.44</v>
      </c>
      <c r="P342" s="10">
        <v>149.44</v>
      </c>
      <c r="Q342" s="10" t="s">
        <v>19</v>
      </c>
      <c r="R342" s="10" t="s">
        <v>22</v>
      </c>
    </row>
    <row r="343">
      <c r="A343" s="15">
        <v>46272.699105277774</v>
      </c>
      <c r="B343" s="17"/>
      <c r="C343" s="17"/>
      <c r="D343" s="12" t="s">
        <v>166</v>
      </c>
      <c r="E343" s="12" t="s">
        <v>19</v>
      </c>
      <c r="F343" s="17"/>
      <c r="G343" s="10" t="s">
        <v>20</v>
      </c>
      <c r="H343" s="10">
        <v>52.02</v>
      </c>
      <c r="I343" s="10">
        <v>39.01</v>
      </c>
      <c r="J343" s="10">
        <v>153.53</v>
      </c>
      <c r="K343" s="10">
        <v>153.26</v>
      </c>
      <c r="L343" s="10" t="s">
        <v>21</v>
      </c>
      <c r="M343" s="10">
        <v>53.37</v>
      </c>
      <c r="N343" s="10">
        <v>39.77</v>
      </c>
      <c r="O343" s="10">
        <v>157.39</v>
      </c>
      <c r="P343" s="10">
        <v>157.34</v>
      </c>
      <c r="Q343" s="10" t="s">
        <v>19</v>
      </c>
      <c r="R343" s="10" t="s">
        <v>22</v>
      </c>
    </row>
    <row r="344">
      <c r="A344" s="15">
        <v>46272.699105277774</v>
      </c>
      <c r="B344" s="17"/>
      <c r="C344" s="17"/>
      <c r="D344" s="12" t="s">
        <v>280</v>
      </c>
      <c r="E344" s="12" t="s">
        <v>25</v>
      </c>
      <c r="F344" s="17"/>
      <c r="G344" s="10" t="s">
        <v>20</v>
      </c>
      <c r="H344" s="10">
        <v>49.61</v>
      </c>
      <c r="I344" s="10">
        <v>45.34</v>
      </c>
      <c r="J344" s="10">
        <v>153.83</v>
      </c>
      <c r="K344" s="10">
        <v>153.31</v>
      </c>
      <c r="L344" s="10" t="s">
        <v>21</v>
      </c>
      <c r="M344" s="10">
        <v>49.89</v>
      </c>
      <c r="N344" s="10">
        <v>44.9</v>
      </c>
      <c r="O344" s="10">
        <v>153.92</v>
      </c>
      <c r="P344" s="10">
        <v>154.18</v>
      </c>
      <c r="Q344" s="10" t="s">
        <v>25</v>
      </c>
      <c r="R344" s="10" t="s">
        <v>22</v>
      </c>
    </row>
    <row r="345">
      <c r="A345" s="15">
        <v>46272.90917684028</v>
      </c>
      <c r="B345" s="17"/>
      <c r="C345" s="17"/>
      <c r="D345" s="12" t="s">
        <v>340</v>
      </c>
      <c r="E345" s="12" t="s">
        <v>25</v>
      </c>
      <c r="F345" s="17"/>
      <c r="G345" s="10" t="s">
        <v>20</v>
      </c>
      <c r="H345" s="10">
        <v>54.8</v>
      </c>
      <c r="I345" s="10">
        <v>43.34</v>
      </c>
      <c r="J345" s="10">
        <v>160.35</v>
      </c>
      <c r="K345" s="10">
        <v>162.09</v>
      </c>
      <c r="L345" s="10" t="s">
        <v>21</v>
      </c>
      <c r="M345" s="10">
        <v>54.18</v>
      </c>
      <c r="N345" s="10">
        <v>43.43</v>
      </c>
      <c r="O345" s="10">
        <v>159.52</v>
      </c>
      <c r="P345" s="10">
        <v>159.35</v>
      </c>
      <c r="Q345" s="10" t="s">
        <v>25</v>
      </c>
      <c r="R345" s="10" t="s">
        <v>22</v>
      </c>
    </row>
    <row r="346">
      <c r="A346" s="15">
        <v>46273.594662986114</v>
      </c>
      <c r="B346" s="17"/>
      <c r="C346" s="17"/>
      <c r="D346" s="30" t="s">
        <v>341</v>
      </c>
      <c r="E346" s="30" t="s">
        <v>43</v>
      </c>
      <c r="F346" s="51">
        <v>0.2778</v>
      </c>
      <c r="G346" s="10" t="s">
        <v>20</v>
      </c>
      <c r="H346" s="10">
        <v>48.68</v>
      </c>
      <c r="I346" s="10">
        <v>42.38</v>
      </c>
      <c r="J346" s="10">
        <v>148.27</v>
      </c>
      <c r="K346" s="10">
        <v>148.66</v>
      </c>
      <c r="L346" s="10" t="s">
        <v>119</v>
      </c>
      <c r="M346" s="10">
        <v>48.48</v>
      </c>
      <c r="N346" s="10">
        <v>42.2</v>
      </c>
      <c r="O346" s="10">
        <v>147.45</v>
      </c>
      <c r="P346" s="10">
        <v>147.45</v>
      </c>
      <c r="Q346" s="10" t="s">
        <v>43</v>
      </c>
      <c r="R346" s="10" t="s">
        <v>22</v>
      </c>
    </row>
    <row r="347">
      <c r="A347" s="15">
        <v>46273.59575450231</v>
      </c>
      <c r="B347" s="17"/>
      <c r="C347" s="17"/>
      <c r="D347" s="31" t="s">
        <v>342</v>
      </c>
      <c r="E347" s="31" t="s">
        <v>43</v>
      </c>
      <c r="F347" s="52">
        <v>0.1143</v>
      </c>
      <c r="G347" s="10" t="s">
        <v>20</v>
      </c>
      <c r="H347" s="10">
        <v>51.64</v>
      </c>
      <c r="I347" s="10">
        <v>37.45</v>
      </c>
      <c r="J347" s="10">
        <v>150.89</v>
      </c>
      <c r="K347" s="10">
        <v>150.94</v>
      </c>
      <c r="L347" s="10" t="s">
        <v>119</v>
      </c>
      <c r="M347" s="10">
        <v>51.43</v>
      </c>
      <c r="N347" s="10">
        <v>51.43</v>
      </c>
      <c r="O347" s="10">
        <v>150.14</v>
      </c>
      <c r="P347" s="10">
        <v>150.14</v>
      </c>
      <c r="Q347" s="10" t="s">
        <v>43</v>
      </c>
      <c r="R347" s="10" t="s">
        <v>22</v>
      </c>
    </row>
    <row r="348">
      <c r="A348" s="15">
        <v>46273.59662679398</v>
      </c>
      <c r="B348" s="17"/>
      <c r="C348" s="17"/>
      <c r="D348" s="30" t="s">
        <v>343</v>
      </c>
      <c r="E348" s="30" t="s">
        <v>43</v>
      </c>
      <c r="F348" s="51">
        <v>0.1587</v>
      </c>
      <c r="G348" s="10" t="s">
        <v>20</v>
      </c>
      <c r="H348" s="10">
        <v>55.45</v>
      </c>
      <c r="I348" s="10">
        <v>34.84</v>
      </c>
      <c r="J348" s="10">
        <v>150.05</v>
      </c>
      <c r="K348" s="10">
        <v>150.57</v>
      </c>
      <c r="L348" s="10" t="s">
        <v>119</v>
      </c>
      <c r="M348" s="10">
        <v>55.2</v>
      </c>
      <c r="N348" s="10">
        <v>34.65</v>
      </c>
      <c r="O348" s="10">
        <v>149.33</v>
      </c>
      <c r="P348" s="10">
        <v>149.87</v>
      </c>
      <c r="Q348" s="10" t="s">
        <v>43</v>
      </c>
      <c r="R348" s="10" t="s">
        <v>22</v>
      </c>
    </row>
    <row r="349">
      <c r="A349" s="15">
        <v>46273.597636273145</v>
      </c>
      <c r="B349" s="17"/>
      <c r="C349" s="17"/>
      <c r="D349" s="31" t="s">
        <v>344</v>
      </c>
      <c r="E349" s="31" t="s">
        <v>43</v>
      </c>
      <c r="F349" s="52">
        <v>0.0857</v>
      </c>
      <c r="G349" s="10" t="s">
        <v>20</v>
      </c>
      <c r="H349" s="10">
        <v>54.3</v>
      </c>
      <c r="I349" s="10">
        <v>42.18</v>
      </c>
      <c r="J349" s="10">
        <v>162.58</v>
      </c>
      <c r="K349" s="10">
        <v>162.49</v>
      </c>
      <c r="L349" s="10" t="s">
        <v>119</v>
      </c>
      <c r="M349" s="10">
        <v>54.1</v>
      </c>
      <c r="N349" s="10">
        <v>42.06</v>
      </c>
      <c r="O349" s="10">
        <v>161.67</v>
      </c>
      <c r="P349" s="10">
        <v>161.58</v>
      </c>
      <c r="Q349" s="10" t="s">
        <v>43</v>
      </c>
      <c r="R349" s="10" t="s">
        <v>22</v>
      </c>
    </row>
    <row r="350">
      <c r="A350" s="15">
        <v>46273.59892211806</v>
      </c>
      <c r="B350" s="17"/>
      <c r="C350" s="17"/>
      <c r="D350" s="30" t="s">
        <v>345</v>
      </c>
      <c r="E350" s="30" t="s">
        <v>43</v>
      </c>
      <c r="F350" s="51">
        <v>0.0732</v>
      </c>
      <c r="G350" s="10" t="s">
        <v>20</v>
      </c>
      <c r="H350" s="10">
        <v>54.88</v>
      </c>
      <c r="I350" s="10">
        <v>44.72</v>
      </c>
      <c r="J350" s="10">
        <v>165.0</v>
      </c>
      <c r="K350" s="10">
        <v>165.21</v>
      </c>
      <c r="L350" s="10" t="s">
        <v>119</v>
      </c>
      <c r="M350" s="10">
        <v>54.66</v>
      </c>
      <c r="N350" s="10">
        <v>44.51</v>
      </c>
      <c r="O350" s="10">
        <v>164.22</v>
      </c>
      <c r="P350" s="10">
        <v>163.96</v>
      </c>
      <c r="Q350" s="10" t="s">
        <v>43</v>
      </c>
      <c r="R350" s="10" t="s">
        <v>22</v>
      </c>
    </row>
    <row r="351">
      <c r="A351" s="15">
        <v>46273.62007887731</v>
      </c>
      <c r="B351" s="17"/>
      <c r="C351" s="17"/>
      <c r="D351" s="31" t="s">
        <v>346</v>
      </c>
      <c r="E351" s="31" t="s">
        <v>43</v>
      </c>
      <c r="F351" s="52">
        <v>0.0556</v>
      </c>
      <c r="G351" s="10" t="s">
        <v>20</v>
      </c>
      <c r="H351" s="10">
        <v>53.53</v>
      </c>
      <c r="I351" s="10">
        <v>40.01</v>
      </c>
      <c r="J351" s="10">
        <v>159.33</v>
      </c>
      <c r="K351" s="10">
        <v>159.96</v>
      </c>
      <c r="L351" s="10" t="s">
        <v>119</v>
      </c>
      <c r="M351" s="10">
        <v>53.3</v>
      </c>
      <c r="N351" s="10">
        <v>39.9</v>
      </c>
      <c r="O351" s="10">
        <v>158.62</v>
      </c>
      <c r="P351" s="10">
        <v>158.81</v>
      </c>
      <c r="Q351" s="17"/>
      <c r="R351" s="10" t="s">
        <v>22</v>
      </c>
    </row>
    <row r="352">
      <c r="B352" s="17"/>
      <c r="C352" s="17"/>
      <c r="D352" s="53" t="s">
        <v>347</v>
      </c>
      <c r="E352" s="30" t="s">
        <v>43</v>
      </c>
      <c r="F352" s="51">
        <v>0.0759</v>
      </c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</row>
    <row r="353">
      <c r="A353" s="15">
        <v>46273.624537407406</v>
      </c>
      <c r="B353" s="17"/>
      <c r="C353" s="17"/>
      <c r="D353" s="31" t="s">
        <v>348</v>
      </c>
      <c r="E353" s="31" t="s">
        <v>43</v>
      </c>
      <c r="F353" s="52">
        <v>0.0704</v>
      </c>
      <c r="G353" s="10" t="s">
        <v>20</v>
      </c>
      <c r="H353" s="16">
        <v>54.55</v>
      </c>
      <c r="I353" s="10">
        <v>36.05</v>
      </c>
      <c r="J353" s="10">
        <v>154.38</v>
      </c>
      <c r="K353" s="10">
        <v>154.97</v>
      </c>
      <c r="L353" s="10" t="s">
        <v>119</v>
      </c>
      <c r="M353" s="10">
        <v>54.3</v>
      </c>
      <c r="N353" s="10">
        <v>35.9</v>
      </c>
      <c r="O353" s="10">
        <v>35.9</v>
      </c>
      <c r="P353" s="10">
        <v>153.97</v>
      </c>
      <c r="Q353" s="10" t="s">
        <v>43</v>
      </c>
      <c r="R353" s="10" t="s">
        <v>22</v>
      </c>
    </row>
    <row r="354">
      <c r="A354" s="15">
        <v>46273.630992164355</v>
      </c>
      <c r="B354" s="17"/>
      <c r="C354" s="17"/>
      <c r="D354" s="30" t="s">
        <v>349</v>
      </c>
      <c r="E354" s="30" t="s">
        <v>43</v>
      </c>
      <c r="F354" s="51">
        <v>0.0741</v>
      </c>
      <c r="G354" s="10" t="s">
        <v>20</v>
      </c>
      <c r="H354" s="10">
        <v>54.58</v>
      </c>
      <c r="I354" s="10">
        <v>41.91</v>
      </c>
      <c r="J354" s="10">
        <v>162.08</v>
      </c>
      <c r="K354" s="10">
        <v>161.91</v>
      </c>
      <c r="L354" s="10" t="s">
        <v>119</v>
      </c>
      <c r="M354" s="10">
        <v>54.5</v>
      </c>
      <c r="N354" s="10">
        <v>41.7</v>
      </c>
      <c r="O354" s="10">
        <v>161.39</v>
      </c>
      <c r="P354" s="10">
        <v>160.88</v>
      </c>
      <c r="Q354" s="10" t="s">
        <v>43</v>
      </c>
      <c r="R354" s="10" t="s">
        <v>22</v>
      </c>
    </row>
    <row r="355">
      <c r="A355" s="15">
        <v>46273.6325877662</v>
      </c>
      <c r="B355" s="17"/>
      <c r="C355" s="17"/>
      <c r="D355" s="30" t="s">
        <v>350</v>
      </c>
      <c r="E355" s="30" t="s">
        <v>43</v>
      </c>
      <c r="F355" s="51">
        <v>0.0727</v>
      </c>
      <c r="G355" s="10" t="s">
        <v>20</v>
      </c>
      <c r="H355" s="10">
        <v>56.79</v>
      </c>
      <c r="I355" s="10">
        <v>43.56</v>
      </c>
      <c r="J355" s="10">
        <v>166.78</v>
      </c>
      <c r="K355" s="10">
        <v>166.75</v>
      </c>
      <c r="L355" s="10" t="s">
        <v>119</v>
      </c>
      <c r="M355" s="10">
        <v>56.54</v>
      </c>
      <c r="N355" s="10">
        <v>43.36</v>
      </c>
      <c r="O355" s="10">
        <v>166.04</v>
      </c>
      <c r="P355" s="10">
        <v>166.06</v>
      </c>
      <c r="Q355" s="10" t="s">
        <v>43</v>
      </c>
      <c r="R355" s="10" t="s">
        <v>22</v>
      </c>
    </row>
    <row r="356">
      <c r="A356" s="15">
        <v>46273.63755329861</v>
      </c>
      <c r="B356" s="17"/>
      <c r="C356" s="17"/>
      <c r="D356" s="31" t="s">
        <v>351</v>
      </c>
      <c r="E356" s="31" t="s">
        <v>43</v>
      </c>
      <c r="F356" s="52">
        <v>0.0462</v>
      </c>
      <c r="G356" s="10" t="s">
        <v>20</v>
      </c>
      <c r="H356" s="10">
        <v>52.64</v>
      </c>
      <c r="I356" s="10">
        <v>42.73</v>
      </c>
      <c r="J356" s="10">
        <v>154.6</v>
      </c>
      <c r="K356" s="10">
        <v>154.93</v>
      </c>
      <c r="L356" s="10" t="s">
        <v>119</v>
      </c>
      <c r="M356" s="10">
        <v>52.42</v>
      </c>
      <c r="N356" s="10">
        <v>42.5</v>
      </c>
      <c r="O356" s="10">
        <v>153.75</v>
      </c>
      <c r="P356" s="10">
        <v>154.53</v>
      </c>
      <c r="Q356" s="10" t="s">
        <v>43</v>
      </c>
      <c r="R356" s="10" t="s">
        <v>22</v>
      </c>
    </row>
    <row r="357">
      <c r="A357" s="15">
        <v>46273.64013049769</v>
      </c>
      <c r="B357" s="17"/>
      <c r="C357" s="17"/>
      <c r="D357" s="31" t="s">
        <v>352</v>
      </c>
      <c r="E357" s="31" t="s">
        <v>43</v>
      </c>
      <c r="F357" s="52">
        <v>0.0506</v>
      </c>
      <c r="G357" s="10" t="s">
        <v>20</v>
      </c>
      <c r="H357" s="10">
        <v>56.82</v>
      </c>
      <c r="I357" s="10">
        <v>36.97</v>
      </c>
      <c r="J357" s="10">
        <v>159.54</v>
      </c>
      <c r="K357" s="10">
        <v>159.52</v>
      </c>
      <c r="L357" s="10" t="s">
        <v>119</v>
      </c>
      <c r="M357" s="10">
        <v>56.59</v>
      </c>
      <c r="N357" s="10">
        <v>36.75</v>
      </c>
      <c r="O357" s="10">
        <v>158.38</v>
      </c>
      <c r="P357" s="10">
        <v>158.36</v>
      </c>
      <c r="Q357" s="10" t="s">
        <v>43</v>
      </c>
      <c r="R357" s="10" t="s">
        <v>22</v>
      </c>
    </row>
    <row r="358">
      <c r="A358" s="15">
        <v>46273.64277049768</v>
      </c>
      <c r="B358" s="17"/>
      <c r="C358" s="17"/>
      <c r="D358" s="30" t="s">
        <v>353</v>
      </c>
      <c r="E358" s="30" t="s">
        <v>43</v>
      </c>
      <c r="F358" s="51">
        <v>0.0659</v>
      </c>
      <c r="G358" s="10" t="s">
        <v>20</v>
      </c>
      <c r="H358" s="10">
        <v>55.3</v>
      </c>
      <c r="I358" s="10">
        <v>44.6</v>
      </c>
      <c r="J358" s="10">
        <v>164.01</v>
      </c>
      <c r="K358" s="10">
        <v>164.07</v>
      </c>
      <c r="L358" s="10" t="s">
        <v>119</v>
      </c>
      <c r="M358" s="10">
        <v>55.1</v>
      </c>
      <c r="N358" s="10">
        <v>44.4</v>
      </c>
      <c r="O358" s="10">
        <v>163.36</v>
      </c>
      <c r="P358" s="10">
        <v>166.77</v>
      </c>
      <c r="Q358" s="10" t="s">
        <v>43</v>
      </c>
      <c r="R358" s="10" t="s">
        <v>22</v>
      </c>
    </row>
    <row r="359">
      <c r="A359" s="15">
        <v>46273.64467795139</v>
      </c>
      <c r="B359" s="17"/>
      <c r="C359" s="17"/>
      <c r="D359" s="30" t="s">
        <v>354</v>
      </c>
      <c r="E359" s="30" t="s">
        <v>43</v>
      </c>
      <c r="F359" s="51">
        <v>0.0504</v>
      </c>
      <c r="G359" s="10" t="s">
        <v>20</v>
      </c>
      <c r="H359" s="10">
        <v>58.43</v>
      </c>
      <c r="I359" s="10">
        <v>37.6</v>
      </c>
      <c r="J359" s="10">
        <v>163.11</v>
      </c>
      <c r="K359" s="10">
        <v>163.21</v>
      </c>
      <c r="L359" s="10" t="s">
        <v>119</v>
      </c>
      <c r="M359" s="10">
        <v>58.22</v>
      </c>
      <c r="N359" s="10">
        <v>37.4</v>
      </c>
      <c r="O359" s="10">
        <v>162.35</v>
      </c>
      <c r="P359" s="10">
        <v>162.45</v>
      </c>
      <c r="Q359" s="10" t="s">
        <v>43</v>
      </c>
      <c r="R359" s="10" t="s">
        <v>22</v>
      </c>
    </row>
    <row r="360">
      <c r="A360" s="15">
        <v>46273.646300821754</v>
      </c>
      <c r="B360" s="17"/>
      <c r="C360" s="17"/>
      <c r="D360" s="31" t="s">
        <v>355</v>
      </c>
      <c r="E360" s="31" t="s">
        <v>43</v>
      </c>
      <c r="F360" s="52">
        <v>0.0417</v>
      </c>
      <c r="G360" s="10" t="s">
        <v>20</v>
      </c>
      <c r="H360" s="10">
        <v>53.92</v>
      </c>
      <c r="I360" s="10">
        <v>43.3</v>
      </c>
      <c r="J360" s="10">
        <v>159.71</v>
      </c>
      <c r="K360" s="10">
        <v>159.79</v>
      </c>
      <c r="L360" s="10" t="s">
        <v>119</v>
      </c>
      <c r="M360" s="10">
        <v>53.7</v>
      </c>
      <c r="N360" s="10">
        <v>43.1</v>
      </c>
      <c r="O360" s="10">
        <v>158.86</v>
      </c>
      <c r="P360" s="10">
        <v>159.11</v>
      </c>
      <c r="Q360" s="10" t="s">
        <v>43</v>
      </c>
      <c r="R360" s="10" t="s">
        <v>22</v>
      </c>
    </row>
    <row r="361">
      <c r="A361" s="15">
        <v>46273.64782871528</v>
      </c>
      <c r="B361" s="17"/>
      <c r="C361" s="17"/>
      <c r="D361" s="30" t="s">
        <v>356</v>
      </c>
      <c r="E361" s="30" t="s">
        <v>43</v>
      </c>
      <c r="F361" s="51">
        <v>0.0423</v>
      </c>
      <c r="G361" s="10" t="s">
        <v>20</v>
      </c>
      <c r="H361" s="10">
        <v>53.33</v>
      </c>
      <c r="I361" s="10">
        <v>37.42</v>
      </c>
      <c r="J361" s="10">
        <v>154.12</v>
      </c>
      <c r="K361" s="10">
        <v>154.31</v>
      </c>
      <c r="L361" s="10" t="s">
        <v>119</v>
      </c>
      <c r="M361" s="10">
        <v>53.1</v>
      </c>
      <c r="N361" s="10">
        <v>37.2</v>
      </c>
      <c r="O361" s="10">
        <v>153.36</v>
      </c>
      <c r="P361" s="10">
        <v>153.53</v>
      </c>
      <c r="Q361" s="10" t="s">
        <v>43</v>
      </c>
      <c r="R361" s="10" t="s">
        <v>22</v>
      </c>
    </row>
    <row r="362">
      <c r="A362" s="15">
        <v>46273.64893989584</v>
      </c>
      <c r="B362" s="17"/>
      <c r="C362" s="17"/>
      <c r="D362" s="31" t="s">
        <v>357</v>
      </c>
      <c r="E362" s="31" t="s">
        <v>43</v>
      </c>
      <c r="F362" s="52">
        <v>0.042</v>
      </c>
      <c r="G362" s="10" t="s">
        <v>20</v>
      </c>
      <c r="H362" s="10">
        <v>52.44</v>
      </c>
      <c r="I362" s="10">
        <v>41.7</v>
      </c>
      <c r="J362" s="10">
        <v>155.67</v>
      </c>
      <c r="K362" s="10">
        <v>155.67</v>
      </c>
      <c r="L362" s="10" t="s">
        <v>119</v>
      </c>
      <c r="M362" s="10">
        <v>52.2</v>
      </c>
      <c r="N362" s="10">
        <v>41.5</v>
      </c>
      <c r="O362" s="10">
        <v>154.98</v>
      </c>
      <c r="P362" s="10">
        <v>154.98</v>
      </c>
      <c r="Q362" s="10" t="s">
        <v>43</v>
      </c>
      <c r="R362" s="10" t="s">
        <v>22</v>
      </c>
    </row>
    <row r="363">
      <c r="A363" s="15">
        <v>46273.65098200232</v>
      </c>
      <c r="B363" s="17"/>
      <c r="C363" s="17"/>
      <c r="D363" s="30" t="s">
        <v>358</v>
      </c>
      <c r="E363" s="30" t="s">
        <v>320</v>
      </c>
      <c r="F363" s="51">
        <v>0.087</v>
      </c>
      <c r="G363" s="10" t="s">
        <v>20</v>
      </c>
      <c r="H363" s="10">
        <v>55.65</v>
      </c>
      <c r="I363" s="10">
        <v>39.37</v>
      </c>
      <c r="J363" s="10">
        <v>163.85</v>
      </c>
      <c r="K363" s="10">
        <v>163.63</v>
      </c>
      <c r="L363" s="10" t="s">
        <v>119</v>
      </c>
      <c r="M363" s="10">
        <v>55.44</v>
      </c>
      <c r="N363" s="10">
        <v>39.17</v>
      </c>
      <c r="O363" s="10">
        <v>39.17</v>
      </c>
      <c r="P363" s="10">
        <v>162.86</v>
      </c>
      <c r="Q363" s="10" t="s">
        <v>320</v>
      </c>
      <c r="R363" s="10" t="s">
        <v>22</v>
      </c>
    </row>
    <row r="364">
      <c r="A364" s="15">
        <v>46273.6525369213</v>
      </c>
      <c r="B364" s="17"/>
      <c r="C364" s="17"/>
      <c r="D364" s="31" t="s">
        <v>359</v>
      </c>
      <c r="E364" s="31" t="s">
        <v>320</v>
      </c>
      <c r="F364" s="52">
        <v>0.0408</v>
      </c>
      <c r="G364" s="10" t="s">
        <v>20</v>
      </c>
      <c r="H364" s="10">
        <v>53.93</v>
      </c>
      <c r="I364" s="10">
        <v>42.2</v>
      </c>
      <c r="J364" s="10">
        <v>160.13</v>
      </c>
      <c r="K364" s="10">
        <v>159.87</v>
      </c>
      <c r="L364" s="10" t="s">
        <v>119</v>
      </c>
      <c r="M364" s="10">
        <v>53.7</v>
      </c>
      <c r="N364" s="10">
        <v>42.06</v>
      </c>
      <c r="O364" s="10">
        <v>159.53</v>
      </c>
      <c r="P364" s="10">
        <v>159.27</v>
      </c>
      <c r="Q364" s="10" t="s">
        <v>320</v>
      </c>
      <c r="R364" s="10" t="s">
        <v>22</v>
      </c>
    </row>
    <row r="365">
      <c r="A365" s="15">
        <v>46273.65430631944</v>
      </c>
      <c r="B365" s="17"/>
      <c r="C365" s="17"/>
      <c r="D365" s="54" t="s">
        <v>214</v>
      </c>
      <c r="E365" s="54" t="s">
        <v>320</v>
      </c>
      <c r="F365" s="55">
        <v>0.0278</v>
      </c>
      <c r="G365" s="17"/>
      <c r="H365" s="10"/>
      <c r="I365" s="10"/>
      <c r="J365" s="10"/>
      <c r="K365" s="10"/>
      <c r="L365" s="17"/>
      <c r="M365" s="17"/>
      <c r="N365" s="17"/>
      <c r="O365" s="17"/>
      <c r="P365" s="17"/>
      <c r="Q365" s="17"/>
      <c r="R365" s="17"/>
    </row>
    <row r="366">
      <c r="A366" s="15">
        <v>46273.6554006713</v>
      </c>
      <c r="B366" s="17"/>
      <c r="C366" s="17"/>
      <c r="D366" s="31" t="s">
        <v>360</v>
      </c>
      <c r="E366" s="31" t="s">
        <v>320</v>
      </c>
      <c r="F366" s="52">
        <v>0.0345</v>
      </c>
      <c r="G366" s="10" t="s">
        <v>20</v>
      </c>
      <c r="H366" s="10">
        <v>53.19</v>
      </c>
      <c r="I366" s="10">
        <v>44.91</v>
      </c>
      <c r="J366" s="10">
        <v>163.18</v>
      </c>
      <c r="K366" s="10">
        <v>163.55</v>
      </c>
      <c r="L366" s="10" t="s">
        <v>119</v>
      </c>
      <c r="M366" s="10">
        <v>53.09</v>
      </c>
      <c r="N366" s="10">
        <v>44.81</v>
      </c>
      <c r="O366" s="10">
        <v>162.72</v>
      </c>
      <c r="P366" s="10">
        <v>162.77</v>
      </c>
      <c r="Q366" s="10" t="s">
        <v>320</v>
      </c>
      <c r="R366" s="10" t="s">
        <v>22</v>
      </c>
    </row>
    <row r="367">
      <c r="A367" s="15">
        <v>46273.65887246528</v>
      </c>
      <c r="B367" s="17"/>
      <c r="C367" s="17"/>
      <c r="D367" s="31" t="s">
        <v>361</v>
      </c>
      <c r="E367" s="31" t="s">
        <v>320</v>
      </c>
      <c r="F367" s="52">
        <v>0.0333</v>
      </c>
      <c r="G367" s="10" t="s">
        <v>20</v>
      </c>
      <c r="H367" s="10">
        <v>56.65</v>
      </c>
      <c r="I367" s="10">
        <v>43.37</v>
      </c>
      <c r="J367" s="10">
        <v>166.22</v>
      </c>
      <c r="K367" s="10">
        <v>166.03</v>
      </c>
      <c r="L367" s="10" t="s">
        <v>119</v>
      </c>
      <c r="M367" s="10">
        <v>56.45</v>
      </c>
      <c r="N367" s="10">
        <v>43.17</v>
      </c>
      <c r="O367" s="10">
        <v>165.54</v>
      </c>
      <c r="P367" s="10">
        <v>165.45</v>
      </c>
      <c r="Q367" s="10" t="s">
        <v>320</v>
      </c>
      <c r="R367" s="10" t="s">
        <v>22</v>
      </c>
    </row>
    <row r="368">
      <c r="A368" s="15">
        <v>46273.66114002315</v>
      </c>
      <c r="B368" s="17"/>
      <c r="C368" s="17"/>
      <c r="D368" s="31" t="s">
        <v>362</v>
      </c>
      <c r="E368" s="31" t="s">
        <v>320</v>
      </c>
      <c r="F368" s="52">
        <v>0.0204</v>
      </c>
      <c r="G368" s="10" t="s">
        <v>20</v>
      </c>
      <c r="H368" s="10">
        <v>52.55</v>
      </c>
      <c r="I368" s="10">
        <v>41.77</v>
      </c>
      <c r="J368" s="10">
        <v>155.81</v>
      </c>
      <c r="K368" s="10">
        <v>165.45</v>
      </c>
      <c r="L368" s="10" t="s">
        <v>119</v>
      </c>
      <c r="M368" s="10">
        <v>52.35</v>
      </c>
      <c r="N368" s="10">
        <v>41.58</v>
      </c>
      <c r="O368" s="10">
        <v>155.04</v>
      </c>
      <c r="P368" s="10">
        <v>155.29</v>
      </c>
      <c r="Q368" s="10" t="s">
        <v>320</v>
      </c>
      <c r="R368" s="10" t="s">
        <v>22</v>
      </c>
    </row>
    <row r="369">
      <c r="A369" s="56"/>
      <c r="B369" s="57"/>
      <c r="C369" s="57"/>
      <c r="D369" s="58" t="s">
        <v>363</v>
      </c>
      <c r="E369" s="58" t="s">
        <v>364</v>
      </c>
      <c r="F369" s="59">
        <v>0.0417</v>
      </c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6"/>
      <c r="T369" s="56"/>
      <c r="U369" s="56"/>
      <c r="V369" s="56"/>
      <c r="W369" s="56"/>
    </row>
    <row r="370">
      <c r="A370" s="56"/>
      <c r="B370" s="57"/>
      <c r="C370" s="57"/>
      <c r="D370" s="58" t="s">
        <v>365</v>
      </c>
      <c r="E370" s="58" t="s">
        <v>364</v>
      </c>
      <c r="F370" s="59">
        <v>0.0313</v>
      </c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6"/>
      <c r="T370" s="56"/>
      <c r="U370" s="56"/>
      <c r="V370" s="56"/>
      <c r="W370" s="56"/>
    </row>
    <row r="371">
      <c r="B371" s="17"/>
      <c r="C371" s="17"/>
      <c r="D371" s="60" t="s">
        <v>366</v>
      </c>
      <c r="E371" s="31" t="s">
        <v>137</v>
      </c>
      <c r="F371" s="52">
        <v>0.3636</v>
      </c>
      <c r="G371" s="10" t="s">
        <v>47</v>
      </c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</row>
    <row r="372">
      <c r="B372" s="17"/>
      <c r="C372" s="17"/>
      <c r="D372" s="60" t="s">
        <v>367</v>
      </c>
      <c r="E372" s="30" t="s">
        <v>137</v>
      </c>
      <c r="F372" s="51">
        <v>0.4</v>
      </c>
      <c r="G372" s="10" t="s">
        <v>47</v>
      </c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</row>
    <row r="373">
      <c r="A373" s="15">
        <v>46273.667734120376</v>
      </c>
      <c r="B373" s="17"/>
      <c r="C373" s="17"/>
      <c r="D373" s="30" t="s">
        <v>368</v>
      </c>
      <c r="E373" s="30" t="s">
        <v>137</v>
      </c>
      <c r="F373" s="51">
        <v>0.0769</v>
      </c>
      <c r="G373" s="10" t="s">
        <v>20</v>
      </c>
      <c r="H373" s="10">
        <v>53.07</v>
      </c>
      <c r="I373" s="10">
        <v>36.78</v>
      </c>
      <c r="J373" s="10">
        <v>154.13</v>
      </c>
      <c r="K373" s="10">
        <v>154.13</v>
      </c>
      <c r="L373" s="10" t="s">
        <v>119</v>
      </c>
      <c r="M373" s="10">
        <v>52.9</v>
      </c>
      <c r="N373" s="10">
        <v>36.6</v>
      </c>
      <c r="O373" s="10">
        <v>153.22</v>
      </c>
      <c r="P373" s="10">
        <v>152.88</v>
      </c>
      <c r="Q373" s="10" t="s">
        <v>137</v>
      </c>
      <c r="R373" s="10" t="s">
        <v>22</v>
      </c>
    </row>
    <row r="374">
      <c r="A374" s="15">
        <v>46273.66902821759</v>
      </c>
      <c r="B374" s="17"/>
      <c r="C374" s="17"/>
      <c r="D374" s="31" t="s">
        <v>369</v>
      </c>
      <c r="E374" s="31" t="s">
        <v>137</v>
      </c>
      <c r="F374" s="52">
        <v>0.0714</v>
      </c>
      <c r="G374" s="10" t="s">
        <v>20</v>
      </c>
      <c r="H374" s="10">
        <v>50.66</v>
      </c>
      <c r="I374" s="10">
        <v>40.82</v>
      </c>
      <c r="J374" s="10">
        <v>152.89</v>
      </c>
      <c r="K374" s="10">
        <v>152.39</v>
      </c>
      <c r="L374" s="10" t="s">
        <v>119</v>
      </c>
      <c r="M374" s="10">
        <v>50.4</v>
      </c>
      <c r="N374" s="10">
        <v>40.6</v>
      </c>
      <c r="O374" s="10">
        <v>152.14</v>
      </c>
      <c r="P374" s="10">
        <v>151.72</v>
      </c>
      <c r="Q374" s="10" t="s">
        <v>137</v>
      </c>
      <c r="R374" s="10" t="s">
        <v>22</v>
      </c>
    </row>
    <row r="375">
      <c r="B375" s="17"/>
      <c r="C375" s="17"/>
      <c r="D375" s="60" t="s">
        <v>370</v>
      </c>
      <c r="E375" s="31" t="s">
        <v>137</v>
      </c>
      <c r="F375" s="52">
        <v>0.0769</v>
      </c>
      <c r="G375" s="10" t="s">
        <v>47</v>
      </c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</row>
    <row r="376">
      <c r="B376" s="17"/>
      <c r="C376" s="17"/>
      <c r="D376" s="31" t="s">
        <v>371</v>
      </c>
      <c r="E376" s="31" t="s">
        <v>137</v>
      </c>
      <c r="F376" s="52">
        <v>0.0822</v>
      </c>
      <c r="G376" s="10" t="s">
        <v>47</v>
      </c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</row>
    <row r="377">
      <c r="A377" s="15">
        <v>46273.68885608796</v>
      </c>
      <c r="B377" s="17"/>
      <c r="C377" s="17"/>
      <c r="D377" s="31" t="s">
        <v>372</v>
      </c>
      <c r="E377" s="31" t="s">
        <v>137</v>
      </c>
      <c r="F377" s="52">
        <v>0.0326</v>
      </c>
      <c r="G377" s="10" t="s">
        <v>20</v>
      </c>
      <c r="H377" s="10">
        <v>56.72</v>
      </c>
      <c r="I377" s="10">
        <v>43.1</v>
      </c>
      <c r="J377" s="10">
        <v>166.28</v>
      </c>
      <c r="K377" s="10">
        <v>166.33</v>
      </c>
      <c r="L377" s="10" t="s">
        <v>119</v>
      </c>
      <c r="M377" s="10">
        <v>56.49</v>
      </c>
      <c r="N377" s="10">
        <v>42.9</v>
      </c>
      <c r="O377" s="10">
        <v>165.44</v>
      </c>
      <c r="P377" s="10">
        <v>165.55</v>
      </c>
      <c r="Q377" s="10" t="s">
        <v>137</v>
      </c>
      <c r="R377" s="10" t="s">
        <v>22</v>
      </c>
    </row>
    <row r="378">
      <c r="A378" s="15">
        <v>46273.68997398148</v>
      </c>
      <c r="B378" s="17"/>
      <c r="C378" s="17"/>
      <c r="D378" s="30" t="s">
        <v>373</v>
      </c>
      <c r="E378" s="30" t="s">
        <v>137</v>
      </c>
      <c r="F378" s="51">
        <v>0.0397</v>
      </c>
      <c r="G378" s="10" t="s">
        <v>20</v>
      </c>
      <c r="H378" s="10">
        <v>53.48</v>
      </c>
      <c r="I378" s="10">
        <v>41.41</v>
      </c>
      <c r="J378" s="10">
        <v>158.21</v>
      </c>
      <c r="K378" s="10">
        <v>158.26</v>
      </c>
      <c r="L378" s="10" t="s">
        <v>119</v>
      </c>
      <c r="M378" s="10">
        <v>53.29</v>
      </c>
      <c r="N378" s="10">
        <v>41.19</v>
      </c>
      <c r="O378" s="10">
        <v>157.4</v>
      </c>
      <c r="P378" s="10">
        <v>157.4</v>
      </c>
      <c r="Q378" s="10" t="s">
        <v>137</v>
      </c>
      <c r="R378" s="10" t="s">
        <v>22</v>
      </c>
    </row>
    <row r="379">
      <c r="A379" s="15">
        <v>46273.69118631944</v>
      </c>
      <c r="B379" s="17"/>
      <c r="C379" s="17"/>
      <c r="D379" s="30" t="s">
        <v>374</v>
      </c>
      <c r="E379" s="30" t="s">
        <v>137</v>
      </c>
      <c r="F379" s="51">
        <v>0.0452</v>
      </c>
      <c r="G379" s="10" t="s">
        <v>20</v>
      </c>
      <c r="H379" s="10">
        <v>51.49</v>
      </c>
      <c r="I379" s="10">
        <v>38.55</v>
      </c>
      <c r="J379" s="10">
        <v>149.44</v>
      </c>
      <c r="K379" s="10">
        <v>149.31</v>
      </c>
      <c r="L379" s="10" t="s">
        <v>119</v>
      </c>
      <c r="M379" s="10">
        <v>51.29</v>
      </c>
      <c r="N379" s="10">
        <v>38.35</v>
      </c>
      <c r="O379" s="10">
        <v>148.7</v>
      </c>
      <c r="P379" s="10">
        <v>148.78</v>
      </c>
      <c r="Q379" s="10" t="s">
        <v>137</v>
      </c>
      <c r="R379" s="10" t="s">
        <v>22</v>
      </c>
    </row>
    <row r="380">
      <c r="A380" s="15">
        <v>46273.69362479167</v>
      </c>
      <c r="B380" s="17"/>
      <c r="C380" s="17"/>
      <c r="D380" s="30" t="s">
        <v>375</v>
      </c>
      <c r="E380" s="30" t="s">
        <v>19</v>
      </c>
      <c r="F380" s="51">
        <v>0.5833</v>
      </c>
      <c r="G380" s="10" t="s">
        <v>20</v>
      </c>
      <c r="H380" s="10">
        <v>52.73</v>
      </c>
      <c r="I380" s="10">
        <v>47.86</v>
      </c>
      <c r="J380" s="10">
        <v>163.19</v>
      </c>
      <c r="K380" s="10">
        <v>163.4</v>
      </c>
      <c r="L380" s="10" t="s">
        <v>119</v>
      </c>
      <c r="M380" s="10">
        <v>53.05</v>
      </c>
      <c r="N380" s="10">
        <v>48.1</v>
      </c>
      <c r="O380" s="10">
        <v>163.43</v>
      </c>
      <c r="P380" s="10">
        <v>164.11</v>
      </c>
      <c r="Q380" s="10" t="s">
        <v>19</v>
      </c>
      <c r="R380" s="10" t="s">
        <v>22</v>
      </c>
    </row>
    <row r="381">
      <c r="B381" s="17"/>
      <c r="C381" s="17"/>
      <c r="D381" s="60" t="s">
        <v>376</v>
      </c>
      <c r="E381" s="31" t="s">
        <v>19</v>
      </c>
      <c r="F381" s="52">
        <v>0.2</v>
      </c>
      <c r="G381" s="10" t="s">
        <v>47</v>
      </c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</row>
    <row r="382">
      <c r="A382" s="15">
        <v>46273.694869756946</v>
      </c>
      <c r="B382" s="17"/>
      <c r="C382" s="17"/>
      <c r="D382" s="31" t="s">
        <v>377</v>
      </c>
      <c r="E382" s="31" t="s">
        <v>19</v>
      </c>
      <c r="F382" s="52">
        <v>0.2353</v>
      </c>
      <c r="G382" s="10" t="s">
        <v>20</v>
      </c>
      <c r="H382" s="10">
        <v>52.56</v>
      </c>
      <c r="I382" s="10">
        <v>47.68</v>
      </c>
      <c r="J382" s="10">
        <v>161.82</v>
      </c>
      <c r="K382" s="10">
        <v>162.9</v>
      </c>
      <c r="L382" s="10" t="s">
        <v>119</v>
      </c>
      <c r="M382" s="10">
        <v>52.8</v>
      </c>
      <c r="N382" s="10">
        <v>47.91</v>
      </c>
      <c r="O382" s="10">
        <v>162.61</v>
      </c>
      <c r="P382" s="10">
        <v>163.46</v>
      </c>
      <c r="Q382" s="10" t="s">
        <v>19</v>
      </c>
      <c r="R382" s="10" t="s">
        <v>22</v>
      </c>
    </row>
    <row r="383">
      <c r="A383" s="15">
        <v>46273.696477210644</v>
      </c>
      <c r="B383" s="17"/>
      <c r="C383" s="17"/>
      <c r="D383" s="30" t="s">
        <v>378</v>
      </c>
      <c r="E383" s="30" t="s">
        <v>19</v>
      </c>
      <c r="F383" s="51">
        <v>0.0571</v>
      </c>
      <c r="G383" s="10" t="s">
        <v>20</v>
      </c>
      <c r="H383" s="10">
        <v>46.5</v>
      </c>
      <c r="I383" s="10">
        <v>42.37</v>
      </c>
      <c r="J383" s="10">
        <v>144.82</v>
      </c>
      <c r="K383" s="10">
        <v>144.41</v>
      </c>
      <c r="L383" s="10" t="s">
        <v>119</v>
      </c>
      <c r="M383" s="10">
        <v>46.7</v>
      </c>
      <c r="N383" s="10">
        <v>42.61</v>
      </c>
      <c r="O383" s="10">
        <v>145.51</v>
      </c>
      <c r="P383" s="10">
        <v>145.04</v>
      </c>
      <c r="Q383" s="10" t="s">
        <v>19</v>
      </c>
      <c r="R383" s="10" t="s">
        <v>22</v>
      </c>
    </row>
    <row r="384">
      <c r="B384" s="17"/>
      <c r="C384" s="17"/>
      <c r="D384" s="61" t="s">
        <v>379</v>
      </c>
      <c r="E384" s="31" t="s">
        <v>19</v>
      </c>
      <c r="F384" s="52">
        <v>0.0417</v>
      </c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</row>
    <row r="385">
      <c r="A385" s="15">
        <v>46273.69774996528</v>
      </c>
      <c r="B385" s="17"/>
      <c r="C385" s="17"/>
      <c r="D385" s="30" t="s">
        <v>380</v>
      </c>
      <c r="E385" s="30" t="s">
        <v>19</v>
      </c>
      <c r="F385" s="51">
        <v>0.0385</v>
      </c>
      <c r="G385" s="10" t="s">
        <v>20</v>
      </c>
      <c r="H385" s="10">
        <v>52.86</v>
      </c>
      <c r="I385" s="10">
        <v>36.86</v>
      </c>
      <c r="J385" s="10">
        <v>152.67</v>
      </c>
      <c r="K385" s="10">
        <v>152.69</v>
      </c>
      <c r="L385" s="10" t="s">
        <v>119</v>
      </c>
      <c r="M385" s="10">
        <v>53.05</v>
      </c>
      <c r="N385" s="10">
        <v>37.09</v>
      </c>
      <c r="O385" s="10">
        <v>153.4</v>
      </c>
      <c r="P385" s="10">
        <v>153.44</v>
      </c>
      <c r="Q385" s="10" t="s">
        <v>19</v>
      </c>
      <c r="R385" s="10" t="s">
        <v>22</v>
      </c>
    </row>
    <row r="386">
      <c r="A386" s="15">
        <v>46273.69887799768</v>
      </c>
      <c r="B386" s="17"/>
      <c r="C386" s="17"/>
      <c r="D386" s="30" t="s">
        <v>381</v>
      </c>
      <c r="E386" s="30" t="s">
        <v>19</v>
      </c>
      <c r="F386" s="51">
        <v>0.0424</v>
      </c>
      <c r="G386" s="10" t="s">
        <v>20</v>
      </c>
      <c r="H386" s="10">
        <v>49.91</v>
      </c>
      <c r="I386" s="10">
        <v>39.06</v>
      </c>
      <c r="J386" s="10">
        <v>148.12</v>
      </c>
      <c r="K386" s="10">
        <v>148.15</v>
      </c>
      <c r="L386" s="10" t="s">
        <v>119</v>
      </c>
      <c r="M386" s="10">
        <v>50.1</v>
      </c>
      <c r="N386" s="10">
        <v>39.3</v>
      </c>
      <c r="O386" s="10">
        <v>148.75</v>
      </c>
      <c r="P386" s="10">
        <v>148.9</v>
      </c>
      <c r="Q386" s="10" t="s">
        <v>19</v>
      </c>
      <c r="R386" s="10" t="s">
        <v>22</v>
      </c>
    </row>
    <row r="387">
      <c r="A387" s="15">
        <v>46273.70046663194</v>
      </c>
      <c r="B387" s="17"/>
      <c r="C387" s="17"/>
      <c r="D387" s="30" t="s">
        <v>382</v>
      </c>
      <c r="E387" s="30" t="s">
        <v>19</v>
      </c>
      <c r="F387" s="51">
        <v>0.042</v>
      </c>
      <c r="G387" s="10" t="s">
        <v>20</v>
      </c>
      <c r="H387" s="10">
        <v>50.75</v>
      </c>
      <c r="I387" s="10">
        <v>39.18</v>
      </c>
      <c r="J387" s="10">
        <v>146.97</v>
      </c>
      <c r="K387" s="10">
        <v>146.33</v>
      </c>
      <c r="L387" s="10" t="s">
        <v>119</v>
      </c>
      <c r="M387" s="10">
        <v>50.96</v>
      </c>
      <c r="N387" s="10">
        <v>39.4</v>
      </c>
      <c r="O387" s="10">
        <v>147.57</v>
      </c>
      <c r="P387" s="10">
        <v>147.77</v>
      </c>
      <c r="Q387" s="10" t="s">
        <v>19</v>
      </c>
      <c r="R387" s="10" t="s">
        <v>22</v>
      </c>
    </row>
    <row r="388">
      <c r="B388" s="17"/>
      <c r="C388" s="17"/>
      <c r="D388" s="30" t="s">
        <v>383</v>
      </c>
      <c r="E388" s="30" t="s">
        <v>384</v>
      </c>
      <c r="F388" s="51">
        <v>0.1429</v>
      </c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</row>
    <row r="389">
      <c r="B389" s="17"/>
      <c r="C389" s="17"/>
      <c r="D389" s="31" t="s">
        <v>385</v>
      </c>
      <c r="E389" s="31" t="s">
        <v>384</v>
      </c>
      <c r="F389" s="52">
        <v>0.0238</v>
      </c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</row>
    <row r="390">
      <c r="B390" s="17"/>
      <c r="C390" s="17"/>
      <c r="D390" s="31" t="s">
        <v>386</v>
      </c>
      <c r="E390" s="31" t="s">
        <v>336</v>
      </c>
      <c r="F390" s="52">
        <v>0.0268</v>
      </c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</row>
    <row r="391">
      <c r="A391" s="15">
        <v>46273.41215113426</v>
      </c>
      <c r="B391" s="17"/>
      <c r="C391" s="17"/>
      <c r="D391" s="12" t="s">
        <v>313</v>
      </c>
      <c r="E391" s="11"/>
      <c r="F391" s="17"/>
      <c r="G391" s="10" t="s">
        <v>20</v>
      </c>
      <c r="H391" s="10">
        <v>52.94</v>
      </c>
      <c r="I391" s="10">
        <v>47.15</v>
      </c>
      <c r="J391" s="10">
        <v>160.95</v>
      </c>
      <c r="K391" s="10">
        <v>161.8</v>
      </c>
      <c r="L391" s="10" t="s">
        <v>21</v>
      </c>
      <c r="M391" s="10">
        <v>53.12</v>
      </c>
      <c r="N391" s="10">
        <v>47.77</v>
      </c>
      <c r="O391" s="10">
        <v>162.5</v>
      </c>
      <c r="P391" s="10">
        <v>162.5</v>
      </c>
      <c r="Q391" s="10" t="s">
        <v>25</v>
      </c>
      <c r="R391" s="10" t="s">
        <v>22</v>
      </c>
    </row>
    <row r="392">
      <c r="A392" s="15">
        <v>46273.413767199076</v>
      </c>
      <c r="B392" s="17"/>
      <c r="C392" s="17"/>
      <c r="D392" s="12" t="s">
        <v>315</v>
      </c>
      <c r="E392" s="11"/>
      <c r="F392" s="17"/>
      <c r="G392" s="10" t="s">
        <v>20</v>
      </c>
      <c r="H392" s="10">
        <v>51.7</v>
      </c>
      <c r="I392" s="10">
        <v>40.04</v>
      </c>
      <c r="J392" s="10">
        <v>153.03</v>
      </c>
      <c r="K392" s="10">
        <v>153.97</v>
      </c>
      <c r="L392" s="10" t="s">
        <v>21</v>
      </c>
      <c r="M392" s="10">
        <v>52.1</v>
      </c>
      <c r="N392" s="10">
        <v>40.59</v>
      </c>
      <c r="O392" s="10">
        <v>154.58</v>
      </c>
      <c r="P392" s="10">
        <v>154.61</v>
      </c>
      <c r="Q392" s="10" t="s">
        <v>19</v>
      </c>
      <c r="R392" s="10" t="s">
        <v>22</v>
      </c>
    </row>
    <row r="393">
      <c r="B393" s="17"/>
      <c r="C393" s="17"/>
      <c r="D393" s="30" t="s">
        <v>311</v>
      </c>
      <c r="E393" s="12" t="s">
        <v>89</v>
      </c>
      <c r="F393" s="17"/>
      <c r="G393" s="10" t="s">
        <v>20</v>
      </c>
      <c r="H393" s="10">
        <v>53.04</v>
      </c>
      <c r="I393" s="10">
        <v>42.19</v>
      </c>
      <c r="J393" s="10">
        <v>157.9</v>
      </c>
      <c r="K393" s="10">
        <v>158.01</v>
      </c>
      <c r="L393" s="10" t="s">
        <v>21</v>
      </c>
      <c r="M393" s="10">
        <v>53.49</v>
      </c>
      <c r="N393" s="10">
        <v>42.65</v>
      </c>
      <c r="O393" s="10">
        <v>159.42</v>
      </c>
      <c r="P393" s="10">
        <v>159.42</v>
      </c>
      <c r="Q393" s="17"/>
      <c r="R393" s="10" t="s">
        <v>102</v>
      </c>
    </row>
    <row r="394">
      <c r="B394" s="17"/>
      <c r="C394" s="17"/>
      <c r="D394" s="12" t="s">
        <v>374</v>
      </c>
      <c r="E394" s="12" t="s">
        <v>387</v>
      </c>
      <c r="F394" s="17"/>
      <c r="G394" s="17"/>
      <c r="H394" s="10">
        <v>51.29</v>
      </c>
      <c r="I394" s="10">
        <v>38.35</v>
      </c>
      <c r="J394" s="10">
        <v>148.7</v>
      </c>
      <c r="K394" s="10">
        <v>148.78</v>
      </c>
      <c r="L394" s="10" t="s">
        <v>21</v>
      </c>
      <c r="M394" s="10">
        <v>51.64</v>
      </c>
      <c r="N394" s="10">
        <v>38.84</v>
      </c>
      <c r="O394" s="10">
        <v>150.09</v>
      </c>
      <c r="P394" s="10">
        <v>150.09</v>
      </c>
      <c r="Q394" s="17"/>
      <c r="R394" s="17"/>
    </row>
    <row r="395">
      <c r="A395" s="15">
        <v>46275.30366586805</v>
      </c>
      <c r="B395" s="17"/>
      <c r="C395" s="17"/>
      <c r="D395" s="12" t="s">
        <v>283</v>
      </c>
      <c r="E395" s="12" t="s">
        <v>25</v>
      </c>
      <c r="F395" s="17"/>
      <c r="G395" s="10" t="s">
        <v>20</v>
      </c>
      <c r="H395" s="10">
        <v>53.16</v>
      </c>
      <c r="I395" s="10">
        <v>39.52</v>
      </c>
      <c r="J395" s="10">
        <v>157.59</v>
      </c>
      <c r="K395" s="10">
        <v>157.59</v>
      </c>
      <c r="L395" s="10" t="s">
        <v>21</v>
      </c>
      <c r="M395" s="10">
        <v>53.29</v>
      </c>
      <c r="N395" s="10">
        <v>39.27</v>
      </c>
      <c r="O395" s="10">
        <v>157.01</v>
      </c>
      <c r="P395" s="10">
        <v>157.08</v>
      </c>
      <c r="Q395" s="10" t="s">
        <v>25</v>
      </c>
      <c r="R395" s="10" t="s">
        <v>22</v>
      </c>
    </row>
    <row r="396">
      <c r="A396" s="15">
        <v>46275.490962800926</v>
      </c>
      <c r="B396" s="17"/>
      <c r="C396" s="17"/>
      <c r="D396" s="31" t="s">
        <v>388</v>
      </c>
      <c r="E396" s="12" t="s">
        <v>25</v>
      </c>
      <c r="F396" s="17"/>
      <c r="G396" s="10" t="s">
        <v>20</v>
      </c>
      <c r="H396" s="10">
        <v>51.1</v>
      </c>
      <c r="I396" s="10">
        <v>48.03</v>
      </c>
      <c r="J396" s="10">
        <v>157.63</v>
      </c>
      <c r="K396" s="10">
        <v>157.63</v>
      </c>
      <c r="L396" s="10" t="s">
        <v>21</v>
      </c>
      <c r="M396" s="10">
        <v>51.4</v>
      </c>
      <c r="N396" s="10">
        <v>47.88</v>
      </c>
      <c r="O396" s="10">
        <v>158.0</v>
      </c>
      <c r="P396" s="10">
        <v>158.0</v>
      </c>
      <c r="Q396" s="10" t="s">
        <v>25</v>
      </c>
      <c r="R396" s="10" t="s">
        <v>22</v>
      </c>
    </row>
    <row r="397">
      <c r="A397" s="15">
        <v>46275.492668252315</v>
      </c>
      <c r="B397" s="17"/>
      <c r="C397" s="17"/>
      <c r="D397" s="12" t="s">
        <v>389</v>
      </c>
      <c r="E397" s="12" t="s">
        <v>25</v>
      </c>
      <c r="F397" s="17"/>
      <c r="G397" s="10" t="s">
        <v>20</v>
      </c>
      <c r="H397" s="10">
        <v>53.05</v>
      </c>
      <c r="I397" s="10">
        <v>46.96</v>
      </c>
      <c r="J397" s="10">
        <v>163.45</v>
      </c>
      <c r="K397" s="10">
        <v>167.35</v>
      </c>
      <c r="L397" s="10" t="s">
        <v>21</v>
      </c>
      <c r="M397" s="10">
        <v>53.05</v>
      </c>
      <c r="N397" s="10">
        <v>46.97</v>
      </c>
      <c r="O397" s="10">
        <v>163.51</v>
      </c>
      <c r="P397" s="10">
        <v>163.47</v>
      </c>
      <c r="Q397" s="10" t="s">
        <v>25</v>
      </c>
      <c r="R397" s="10" t="s">
        <v>22</v>
      </c>
    </row>
    <row r="398">
      <c r="A398" s="15">
        <v>46275.8149124537</v>
      </c>
      <c r="B398" s="17"/>
      <c r="C398" s="17"/>
      <c r="D398" s="30" t="s">
        <v>390</v>
      </c>
      <c r="E398" s="30" t="s">
        <v>43</v>
      </c>
      <c r="F398" s="51">
        <v>0.3333</v>
      </c>
      <c r="G398" s="10" t="s">
        <v>20</v>
      </c>
      <c r="H398" s="10">
        <v>49.98</v>
      </c>
      <c r="I398" s="10">
        <v>39.45</v>
      </c>
      <c r="J398" s="10">
        <v>148.35</v>
      </c>
      <c r="K398" s="10">
        <v>149.01</v>
      </c>
      <c r="L398" s="10" t="s">
        <v>119</v>
      </c>
      <c r="M398" s="10">
        <v>49.81</v>
      </c>
      <c r="N398" s="10">
        <v>39.32</v>
      </c>
      <c r="O398" s="10">
        <v>148.35</v>
      </c>
      <c r="P398" s="10">
        <v>148.51</v>
      </c>
      <c r="Q398" s="17"/>
      <c r="R398" s="10" t="s">
        <v>227</v>
      </c>
    </row>
    <row r="399">
      <c r="A399" s="15">
        <v>46275.81590710648</v>
      </c>
      <c r="B399" s="17"/>
      <c r="C399" s="17"/>
      <c r="D399" s="31" t="s">
        <v>391</v>
      </c>
      <c r="E399" s="31" t="s">
        <v>43</v>
      </c>
      <c r="F399" s="52">
        <v>0.2222</v>
      </c>
      <c r="G399" s="10" t="s">
        <v>20</v>
      </c>
      <c r="H399" s="10">
        <v>54.06</v>
      </c>
      <c r="I399" s="10">
        <v>50.48</v>
      </c>
      <c r="J399" s="10">
        <v>166.44</v>
      </c>
      <c r="K399" s="10">
        <v>166.49</v>
      </c>
      <c r="L399" s="10" t="s">
        <v>119</v>
      </c>
      <c r="M399" s="10">
        <v>53.86</v>
      </c>
      <c r="N399" s="10">
        <v>50.27</v>
      </c>
      <c r="O399" s="10">
        <v>166.05</v>
      </c>
      <c r="P399" s="10">
        <v>166.05</v>
      </c>
      <c r="Q399" s="17"/>
      <c r="R399" s="10" t="s">
        <v>227</v>
      </c>
    </row>
    <row r="400">
      <c r="A400" s="15">
        <v>46275.81917737269</v>
      </c>
      <c r="B400" s="17"/>
      <c r="C400" s="17"/>
      <c r="D400" s="30" t="s">
        <v>199</v>
      </c>
      <c r="E400" s="30" t="s">
        <v>43</v>
      </c>
      <c r="F400" s="51">
        <v>0.2143</v>
      </c>
      <c r="G400" s="10" t="s">
        <v>20</v>
      </c>
      <c r="H400" s="10">
        <v>52.73</v>
      </c>
      <c r="I400" s="10">
        <v>33.66</v>
      </c>
      <c r="J400" s="10">
        <v>138.47</v>
      </c>
      <c r="K400" s="10">
        <v>138.47</v>
      </c>
      <c r="L400" s="10" t="s">
        <v>119</v>
      </c>
      <c r="M400" s="10">
        <v>52.68</v>
      </c>
      <c r="N400" s="10">
        <v>33.62</v>
      </c>
      <c r="O400" s="10">
        <v>138.33</v>
      </c>
      <c r="P400" s="10">
        <v>138.33</v>
      </c>
      <c r="Q400" s="17"/>
      <c r="R400" s="10" t="s">
        <v>227</v>
      </c>
    </row>
    <row r="401">
      <c r="A401" s="15">
        <v>46275.82040831019</v>
      </c>
      <c r="B401" s="17"/>
      <c r="C401" s="17"/>
      <c r="D401" s="31" t="s">
        <v>347</v>
      </c>
      <c r="E401" s="31" t="s">
        <v>43</v>
      </c>
      <c r="F401" s="52">
        <v>0.125</v>
      </c>
      <c r="G401" s="10" t="s">
        <v>20</v>
      </c>
      <c r="H401" s="10">
        <v>54.2</v>
      </c>
      <c r="I401" s="10">
        <v>46.16</v>
      </c>
      <c r="J401" s="10">
        <v>166.16</v>
      </c>
      <c r="K401" s="10">
        <v>166.42</v>
      </c>
      <c r="L401" s="10" t="s">
        <v>119</v>
      </c>
      <c r="M401" s="10">
        <v>53.99</v>
      </c>
      <c r="N401" s="10">
        <v>45.93</v>
      </c>
      <c r="O401" s="10">
        <v>165.76</v>
      </c>
      <c r="P401" s="10">
        <v>165.97</v>
      </c>
      <c r="Q401" s="17"/>
      <c r="R401" s="10" t="s">
        <v>227</v>
      </c>
    </row>
    <row r="402">
      <c r="A402" s="15">
        <v>46275.82206706019</v>
      </c>
      <c r="B402" s="17"/>
      <c r="C402" s="17"/>
      <c r="D402" s="30" t="s">
        <v>180</v>
      </c>
      <c r="E402" s="30" t="s">
        <v>43</v>
      </c>
      <c r="F402" s="51">
        <v>0.0909</v>
      </c>
      <c r="G402" s="10" t="s">
        <v>20</v>
      </c>
      <c r="H402" s="10">
        <v>48.81</v>
      </c>
      <c r="I402" s="10">
        <v>40.6</v>
      </c>
      <c r="J402" s="10">
        <v>147.01</v>
      </c>
      <c r="K402" s="10">
        <v>147.01</v>
      </c>
      <c r="L402" s="10" t="s">
        <v>119</v>
      </c>
      <c r="M402" s="10">
        <v>48.76</v>
      </c>
      <c r="N402" s="10">
        <v>40.55</v>
      </c>
      <c r="O402" s="10">
        <v>146.83</v>
      </c>
      <c r="P402" s="10">
        <v>146.51</v>
      </c>
      <c r="Q402" s="17"/>
      <c r="R402" s="10" t="s">
        <v>227</v>
      </c>
    </row>
    <row r="403">
      <c r="A403" s="15">
        <v>46275.82513013889</v>
      </c>
      <c r="B403" s="17"/>
      <c r="C403" s="17"/>
      <c r="D403" s="31" t="s">
        <v>392</v>
      </c>
      <c r="E403" s="31" t="s">
        <v>43</v>
      </c>
      <c r="F403" s="52">
        <v>0.0833</v>
      </c>
      <c r="G403" s="10" t="s">
        <v>20</v>
      </c>
      <c r="H403" s="10">
        <v>53.25</v>
      </c>
      <c r="I403" s="10">
        <v>40.72</v>
      </c>
      <c r="J403" s="10">
        <v>157.49</v>
      </c>
      <c r="K403" s="10">
        <v>157.89</v>
      </c>
      <c r="L403" s="10" t="s">
        <v>119</v>
      </c>
      <c r="M403" s="10">
        <v>53.01</v>
      </c>
      <c r="N403" s="10">
        <v>40.69</v>
      </c>
      <c r="O403" s="10">
        <v>157.46</v>
      </c>
      <c r="P403" s="10">
        <v>157.46</v>
      </c>
      <c r="Q403" s="17"/>
      <c r="R403" s="10" t="s">
        <v>227</v>
      </c>
    </row>
    <row r="404">
      <c r="A404" s="15">
        <v>46275.82626524306</v>
      </c>
      <c r="B404" s="17"/>
      <c r="C404" s="17"/>
      <c r="D404" s="30" t="s">
        <v>193</v>
      </c>
      <c r="E404" s="30" t="s">
        <v>43</v>
      </c>
      <c r="F404" s="51">
        <v>0.0714</v>
      </c>
      <c r="G404" s="10" t="s">
        <v>20</v>
      </c>
      <c r="H404" s="10">
        <v>57.3</v>
      </c>
      <c r="I404" s="10">
        <v>46.75</v>
      </c>
      <c r="J404" s="10">
        <v>173.43</v>
      </c>
      <c r="K404" s="10">
        <v>173.43</v>
      </c>
      <c r="L404" s="10" t="s">
        <v>119</v>
      </c>
      <c r="M404" s="10">
        <v>57.25</v>
      </c>
      <c r="N404" s="10">
        <v>46.68</v>
      </c>
      <c r="O404" s="10">
        <v>173.25</v>
      </c>
      <c r="P404" s="10">
        <v>173.25</v>
      </c>
      <c r="Q404" s="17"/>
      <c r="R404" s="10" t="s">
        <v>227</v>
      </c>
    </row>
    <row r="405">
      <c r="A405" s="15">
        <v>46275.826997881944</v>
      </c>
      <c r="B405" s="17"/>
      <c r="C405" s="17"/>
      <c r="D405" s="31" t="s">
        <v>393</v>
      </c>
      <c r="E405" s="31" t="s">
        <v>43</v>
      </c>
      <c r="F405" s="52">
        <v>0.0571</v>
      </c>
      <c r="G405" s="10" t="s">
        <v>20</v>
      </c>
      <c r="H405" s="10">
        <v>52.59</v>
      </c>
      <c r="I405" s="10">
        <v>36.83</v>
      </c>
      <c r="J405" s="10">
        <v>151.21</v>
      </c>
      <c r="K405" s="10">
        <v>151.04</v>
      </c>
      <c r="L405" s="10" t="s">
        <v>119</v>
      </c>
      <c r="M405" s="10">
        <v>52.48</v>
      </c>
      <c r="N405" s="10">
        <v>36.51</v>
      </c>
      <c r="O405" s="10">
        <v>150.85</v>
      </c>
      <c r="P405" s="10">
        <v>150.08</v>
      </c>
      <c r="Q405" s="17"/>
      <c r="R405" s="10" t="s">
        <v>227</v>
      </c>
    </row>
    <row r="406">
      <c r="A406" s="15">
        <v>46275.82814197917</v>
      </c>
      <c r="B406" s="17"/>
      <c r="C406" s="17"/>
      <c r="D406" s="30" t="s">
        <v>307</v>
      </c>
      <c r="E406" s="30" t="s">
        <v>43</v>
      </c>
      <c r="F406" s="51">
        <v>0.0543</v>
      </c>
      <c r="G406" s="10" t="s">
        <v>20</v>
      </c>
      <c r="H406" s="10">
        <v>53.62</v>
      </c>
      <c r="I406" s="10">
        <v>41.38</v>
      </c>
      <c r="J406" s="10">
        <v>158.34</v>
      </c>
      <c r="K406" s="10">
        <v>158.43</v>
      </c>
      <c r="L406" s="10" t="s">
        <v>119</v>
      </c>
      <c r="M406" s="10">
        <v>53.57</v>
      </c>
      <c r="N406" s="10">
        <v>41.34</v>
      </c>
      <c r="O406" s="10">
        <v>158.13</v>
      </c>
      <c r="P406" s="10">
        <v>158.26</v>
      </c>
      <c r="Q406" s="17"/>
      <c r="R406" s="10" t="s">
        <v>227</v>
      </c>
    </row>
    <row r="407">
      <c r="A407" s="15">
        <v>46275.829447951386</v>
      </c>
      <c r="B407" s="17"/>
      <c r="C407" s="17"/>
      <c r="D407" s="31" t="s">
        <v>352</v>
      </c>
      <c r="E407" s="31" t="s">
        <v>43</v>
      </c>
      <c r="F407" s="52">
        <v>0.0351</v>
      </c>
      <c r="G407" s="10" t="s">
        <v>20</v>
      </c>
      <c r="H407" s="10">
        <v>56.69</v>
      </c>
      <c r="I407" s="10">
        <v>36.8</v>
      </c>
      <c r="J407" s="10">
        <v>158.38</v>
      </c>
      <c r="K407" s="40">
        <v>158.38</v>
      </c>
      <c r="L407" s="10" t="s">
        <v>119</v>
      </c>
      <c r="M407" s="10">
        <v>56.59</v>
      </c>
      <c r="N407" s="10">
        <v>36.75</v>
      </c>
      <c r="O407" s="10">
        <v>158.38</v>
      </c>
      <c r="P407" s="10">
        <v>158.1</v>
      </c>
      <c r="Q407" s="17"/>
      <c r="R407" s="10" t="s">
        <v>227</v>
      </c>
    </row>
    <row r="408" ht="28.5" customHeight="1">
      <c r="A408" s="15">
        <v>46275.76958474537</v>
      </c>
      <c r="B408" s="17"/>
      <c r="C408" s="17"/>
      <c r="D408" s="30" t="s">
        <v>178</v>
      </c>
      <c r="E408" s="30" t="s">
        <v>320</v>
      </c>
      <c r="F408" s="51">
        <v>0.0638</v>
      </c>
      <c r="G408" s="10" t="s">
        <v>20</v>
      </c>
      <c r="H408" s="10">
        <v>56.97</v>
      </c>
      <c r="I408" s="10">
        <v>46.57</v>
      </c>
      <c r="J408" s="10">
        <v>172.91</v>
      </c>
      <c r="K408" s="10">
        <v>172.65</v>
      </c>
      <c r="L408" s="10" t="s">
        <v>119</v>
      </c>
      <c r="M408" s="10">
        <v>56.93</v>
      </c>
      <c r="N408" s="10">
        <v>46.53</v>
      </c>
      <c r="O408" s="10">
        <v>172.78</v>
      </c>
      <c r="P408" s="10">
        <v>172.51</v>
      </c>
      <c r="Q408" s="17"/>
      <c r="R408" s="10" t="s">
        <v>102</v>
      </c>
    </row>
    <row r="409">
      <c r="A409" s="56"/>
      <c r="B409" s="57"/>
      <c r="C409" s="57"/>
      <c r="D409" s="58" t="s">
        <v>394</v>
      </c>
      <c r="E409" s="58" t="s">
        <v>395</v>
      </c>
      <c r="F409" s="59">
        <v>0.16</v>
      </c>
      <c r="G409" s="62" t="s">
        <v>20</v>
      </c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6"/>
      <c r="T409" s="56"/>
      <c r="U409" s="56"/>
      <c r="V409" s="56"/>
      <c r="W409" s="56"/>
    </row>
    <row r="410">
      <c r="A410" s="56"/>
      <c r="B410" s="57"/>
      <c r="C410" s="57"/>
      <c r="D410" s="58" t="s">
        <v>396</v>
      </c>
      <c r="E410" s="58" t="s">
        <v>395</v>
      </c>
      <c r="F410" s="59">
        <v>0.14</v>
      </c>
      <c r="G410" s="62" t="s">
        <v>20</v>
      </c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6"/>
      <c r="T410" s="56"/>
      <c r="U410" s="56"/>
      <c r="V410" s="56"/>
      <c r="W410" s="56"/>
    </row>
    <row r="411">
      <c r="A411" s="56"/>
      <c r="B411" s="57"/>
      <c r="C411" s="57"/>
      <c r="D411" s="58" t="s">
        <v>313</v>
      </c>
      <c r="E411" s="58" t="s">
        <v>395</v>
      </c>
      <c r="F411" s="59">
        <v>0.1282</v>
      </c>
      <c r="G411" s="62" t="s">
        <v>20</v>
      </c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6"/>
      <c r="T411" s="56"/>
      <c r="U411" s="56"/>
      <c r="V411" s="56"/>
      <c r="W411" s="56"/>
    </row>
    <row r="412">
      <c r="A412" s="56"/>
      <c r="B412" s="57"/>
      <c r="C412" s="57"/>
      <c r="D412" s="58" t="s">
        <v>338</v>
      </c>
      <c r="E412" s="58" t="s">
        <v>395</v>
      </c>
      <c r="F412" s="59">
        <v>0.1077</v>
      </c>
      <c r="G412" s="62" t="s">
        <v>20</v>
      </c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6"/>
      <c r="T412" s="56"/>
      <c r="U412" s="56"/>
      <c r="V412" s="56"/>
      <c r="W412" s="56"/>
    </row>
    <row r="413">
      <c r="B413" s="17"/>
      <c r="C413" s="17"/>
      <c r="D413" s="31" t="s">
        <v>397</v>
      </c>
      <c r="E413" s="31" t="s">
        <v>398</v>
      </c>
      <c r="F413" s="52">
        <v>0.0405</v>
      </c>
      <c r="G413" s="10" t="s">
        <v>20</v>
      </c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6"/>
    </row>
    <row r="414">
      <c r="B414" s="17"/>
      <c r="C414" s="17"/>
      <c r="D414" s="30" t="s">
        <v>399</v>
      </c>
      <c r="E414" s="30" t="s">
        <v>364</v>
      </c>
      <c r="F414" s="51">
        <v>0.0357</v>
      </c>
      <c r="G414" s="10" t="s">
        <v>20</v>
      </c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6"/>
    </row>
    <row r="415">
      <c r="B415" s="17"/>
      <c r="C415" s="17"/>
      <c r="D415" s="60" t="s">
        <v>400</v>
      </c>
      <c r="E415" s="31" t="s">
        <v>137</v>
      </c>
      <c r="F415" s="52">
        <v>0.32</v>
      </c>
      <c r="G415" s="10" t="s">
        <v>20</v>
      </c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10" t="s">
        <v>102</v>
      </c>
    </row>
    <row r="416">
      <c r="A416" s="15">
        <v>46275.78452130787</v>
      </c>
      <c r="B416" s="17"/>
      <c r="C416" s="17"/>
      <c r="D416" s="30" t="s">
        <v>401</v>
      </c>
      <c r="E416" s="30" t="s">
        <v>137</v>
      </c>
      <c r="F416" s="51">
        <v>0.1739</v>
      </c>
      <c r="G416" s="10" t="s">
        <v>20</v>
      </c>
      <c r="H416" s="10">
        <v>53.95</v>
      </c>
      <c r="I416" s="10">
        <v>42.35</v>
      </c>
      <c r="J416" s="10">
        <v>159.99</v>
      </c>
      <c r="K416" s="10">
        <v>160.32</v>
      </c>
      <c r="L416" s="10" t="s">
        <v>119</v>
      </c>
      <c r="M416" s="10">
        <v>42.28</v>
      </c>
      <c r="N416" s="10">
        <v>53.93</v>
      </c>
      <c r="O416" s="10">
        <v>159.77</v>
      </c>
      <c r="P416" s="10">
        <v>160.08</v>
      </c>
      <c r="Q416" s="17"/>
      <c r="R416" s="10" t="s">
        <v>102</v>
      </c>
    </row>
    <row r="417">
      <c r="A417" s="15">
        <v>46275.79072159722</v>
      </c>
      <c r="B417" s="17"/>
      <c r="C417" s="17"/>
      <c r="D417" s="31" t="s">
        <v>402</v>
      </c>
      <c r="E417" s="31" t="s">
        <v>137</v>
      </c>
      <c r="F417" s="52">
        <v>0.1176</v>
      </c>
      <c r="G417" s="10" t="s">
        <v>20</v>
      </c>
      <c r="H417" s="10">
        <v>52.77</v>
      </c>
      <c r="I417" s="10">
        <v>44.83</v>
      </c>
      <c r="J417" s="10">
        <v>160.41</v>
      </c>
      <c r="K417" s="10">
        <v>160.41</v>
      </c>
      <c r="L417" s="10" t="s">
        <v>119</v>
      </c>
      <c r="M417" s="10">
        <v>44.78</v>
      </c>
      <c r="N417" s="10">
        <v>52.75</v>
      </c>
      <c r="O417" s="10">
        <v>160.22</v>
      </c>
      <c r="P417" s="10">
        <v>160.22</v>
      </c>
      <c r="Q417" s="17"/>
      <c r="R417" s="10" t="s">
        <v>102</v>
      </c>
    </row>
    <row r="418">
      <c r="A418" s="15">
        <v>46275.79413435185</v>
      </c>
      <c r="B418" s="17"/>
      <c r="C418" s="17"/>
      <c r="D418" s="30" t="s">
        <v>369</v>
      </c>
      <c r="E418" s="30" t="s">
        <v>137</v>
      </c>
      <c r="F418" s="51">
        <v>0.1</v>
      </c>
      <c r="G418" s="10" t="s">
        <v>20</v>
      </c>
      <c r="H418" s="10">
        <v>50.4</v>
      </c>
      <c r="I418" s="10">
        <v>40.6</v>
      </c>
      <c r="J418" s="10">
        <v>151.14</v>
      </c>
      <c r="K418" s="10">
        <v>151.72</v>
      </c>
      <c r="L418" s="10" t="s">
        <v>119</v>
      </c>
      <c r="M418" s="10">
        <v>50.35</v>
      </c>
      <c r="N418" s="10">
        <v>40.55</v>
      </c>
      <c r="O418" s="10">
        <v>151.94</v>
      </c>
      <c r="P418" s="10">
        <v>151.72</v>
      </c>
      <c r="Q418" s="17"/>
      <c r="R418" s="10" t="s">
        <v>102</v>
      </c>
    </row>
    <row r="419">
      <c r="A419" s="15">
        <v>46275.7951375463</v>
      </c>
      <c r="B419" s="17"/>
      <c r="C419" s="17"/>
      <c r="D419" s="31" t="s">
        <v>403</v>
      </c>
      <c r="E419" s="31" t="s">
        <v>137</v>
      </c>
      <c r="F419" s="52">
        <v>0.0938</v>
      </c>
      <c r="G419" s="10" t="s">
        <v>20</v>
      </c>
      <c r="H419" s="10">
        <v>56.47</v>
      </c>
      <c r="I419" s="10">
        <v>44.15</v>
      </c>
      <c r="J419" s="10">
        <v>169.1</v>
      </c>
      <c r="K419" s="10">
        <v>169.14</v>
      </c>
      <c r="L419" s="10" t="s">
        <v>119</v>
      </c>
      <c r="M419" s="10">
        <v>56.42</v>
      </c>
      <c r="N419" s="10">
        <v>44.1</v>
      </c>
      <c r="O419" s="10">
        <v>168.79</v>
      </c>
      <c r="P419" s="10">
        <v>168.79</v>
      </c>
      <c r="Q419" s="17"/>
      <c r="R419" s="10" t="s">
        <v>102</v>
      </c>
    </row>
    <row r="420">
      <c r="B420" s="17"/>
      <c r="C420" s="17"/>
      <c r="D420" s="30" t="s">
        <v>374</v>
      </c>
      <c r="E420" s="30" t="s">
        <v>137</v>
      </c>
      <c r="F420" s="51">
        <v>0.0816</v>
      </c>
      <c r="G420" s="10" t="s">
        <v>20</v>
      </c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10" t="s">
        <v>102</v>
      </c>
    </row>
    <row r="421">
      <c r="A421" s="15">
        <v>46275.798928530094</v>
      </c>
      <c r="B421" s="17"/>
      <c r="C421" s="17"/>
      <c r="D421" s="31" t="s">
        <v>182</v>
      </c>
      <c r="E421" s="31" t="s">
        <v>137</v>
      </c>
      <c r="F421" s="52">
        <v>0.0588</v>
      </c>
      <c r="G421" s="10" t="s">
        <v>20</v>
      </c>
      <c r="H421" s="10">
        <v>53.8</v>
      </c>
      <c r="I421" s="10">
        <v>35.98</v>
      </c>
      <c r="J421" s="10">
        <v>151.75</v>
      </c>
      <c r="K421" s="10">
        <v>151.73</v>
      </c>
      <c r="L421" s="10" t="s">
        <v>119</v>
      </c>
      <c r="M421" s="10">
        <v>53.76</v>
      </c>
      <c r="N421" s="10">
        <v>35.96</v>
      </c>
      <c r="O421" s="10">
        <v>151.34</v>
      </c>
      <c r="P421" s="10">
        <v>151.47</v>
      </c>
      <c r="Q421" s="17"/>
      <c r="R421" s="10" t="s">
        <v>102</v>
      </c>
    </row>
    <row r="422">
      <c r="A422" s="63"/>
      <c r="B422" s="64"/>
      <c r="C422" s="64"/>
      <c r="D422" s="65" t="s">
        <v>404</v>
      </c>
      <c r="E422" s="65" t="s">
        <v>405</v>
      </c>
      <c r="F422" s="66">
        <v>0.2</v>
      </c>
      <c r="G422" s="67" t="s">
        <v>20</v>
      </c>
      <c r="H422" s="64"/>
      <c r="I422" s="64"/>
      <c r="J422" s="64"/>
      <c r="K422" s="64"/>
      <c r="L422" s="67" t="s">
        <v>119</v>
      </c>
      <c r="M422" s="64"/>
      <c r="N422" s="64"/>
      <c r="O422" s="64"/>
      <c r="P422" s="64"/>
      <c r="Q422" s="64"/>
      <c r="R422" s="64"/>
      <c r="S422" s="63"/>
      <c r="T422" s="63"/>
      <c r="U422" s="63"/>
      <c r="V422" s="63"/>
      <c r="W422" s="63"/>
    </row>
    <row r="423">
      <c r="A423" s="63"/>
      <c r="B423" s="64"/>
      <c r="C423" s="64"/>
      <c r="D423" s="65" t="s">
        <v>330</v>
      </c>
      <c r="E423" s="65" t="s">
        <v>405</v>
      </c>
      <c r="F423" s="66">
        <v>0.1591</v>
      </c>
      <c r="G423" s="67" t="s">
        <v>20</v>
      </c>
      <c r="H423" s="64"/>
      <c r="I423" s="64"/>
      <c r="J423" s="64"/>
      <c r="K423" s="64"/>
      <c r="L423" s="67" t="s">
        <v>119</v>
      </c>
      <c r="M423" s="64"/>
      <c r="N423" s="64"/>
      <c r="O423" s="64"/>
      <c r="P423" s="64"/>
      <c r="Q423" s="64"/>
      <c r="R423" s="64"/>
      <c r="S423" s="63"/>
      <c r="T423" s="63"/>
      <c r="U423" s="63"/>
      <c r="V423" s="63"/>
      <c r="W423" s="63"/>
    </row>
    <row r="424">
      <c r="A424" s="63"/>
      <c r="B424" s="64"/>
      <c r="C424" s="64"/>
      <c r="D424" s="65" t="s">
        <v>406</v>
      </c>
      <c r="E424" s="65" t="s">
        <v>405</v>
      </c>
      <c r="F424" s="66">
        <v>0.0952</v>
      </c>
      <c r="G424" s="67" t="s">
        <v>20</v>
      </c>
      <c r="H424" s="64"/>
      <c r="I424" s="64"/>
      <c r="J424" s="64"/>
      <c r="K424" s="64"/>
      <c r="L424" s="67" t="s">
        <v>119</v>
      </c>
      <c r="M424" s="64"/>
      <c r="N424" s="64"/>
      <c r="O424" s="64"/>
      <c r="P424" s="64"/>
      <c r="Q424" s="64"/>
      <c r="R424" s="64"/>
      <c r="S424" s="63"/>
      <c r="T424" s="63"/>
      <c r="U424" s="63"/>
      <c r="V424" s="63"/>
      <c r="W424" s="63"/>
    </row>
    <row r="425">
      <c r="A425" s="63"/>
      <c r="B425" s="64"/>
      <c r="C425" s="64"/>
      <c r="D425" s="65" t="s">
        <v>407</v>
      </c>
      <c r="E425" s="65" t="s">
        <v>405</v>
      </c>
      <c r="F425" s="66">
        <v>0.0536</v>
      </c>
      <c r="G425" s="67" t="s">
        <v>20</v>
      </c>
      <c r="H425" s="64"/>
      <c r="I425" s="64"/>
      <c r="J425" s="64"/>
      <c r="K425" s="64"/>
      <c r="L425" s="67" t="s">
        <v>119</v>
      </c>
      <c r="M425" s="64"/>
      <c r="N425" s="64"/>
      <c r="O425" s="64"/>
      <c r="P425" s="64"/>
      <c r="Q425" s="64"/>
      <c r="R425" s="64"/>
      <c r="S425" s="63"/>
      <c r="T425" s="63"/>
      <c r="U425" s="63"/>
      <c r="V425" s="63"/>
      <c r="W425" s="63"/>
    </row>
    <row r="426">
      <c r="A426" s="63"/>
      <c r="B426" s="64"/>
      <c r="C426" s="64"/>
      <c r="D426" s="65" t="s">
        <v>408</v>
      </c>
      <c r="E426" s="65" t="s">
        <v>409</v>
      </c>
      <c r="F426" s="66">
        <v>0.0267</v>
      </c>
      <c r="G426" s="67" t="s">
        <v>20</v>
      </c>
      <c r="H426" s="64"/>
      <c r="I426" s="64"/>
      <c r="J426" s="64"/>
      <c r="K426" s="64"/>
      <c r="L426" s="67" t="s">
        <v>119</v>
      </c>
      <c r="M426" s="64"/>
      <c r="N426" s="64"/>
      <c r="O426" s="64"/>
      <c r="P426" s="64"/>
      <c r="Q426" s="64"/>
      <c r="R426" s="64"/>
      <c r="S426" s="63"/>
      <c r="T426" s="63"/>
      <c r="U426" s="63"/>
      <c r="V426" s="63"/>
      <c r="W426" s="63"/>
    </row>
    <row r="427">
      <c r="A427" s="15">
        <v>46275.834679328706</v>
      </c>
      <c r="B427" s="17"/>
      <c r="C427" s="17"/>
      <c r="D427" s="31" t="s">
        <v>334</v>
      </c>
      <c r="E427" s="31" t="s">
        <v>19</v>
      </c>
      <c r="F427" s="52">
        <v>0.6</v>
      </c>
      <c r="G427" s="10" t="s">
        <v>20</v>
      </c>
      <c r="H427" s="10">
        <v>47.19</v>
      </c>
      <c r="I427" s="10">
        <v>43.81</v>
      </c>
      <c r="J427" s="10">
        <v>147.39</v>
      </c>
      <c r="K427" s="10">
        <v>146.95</v>
      </c>
      <c r="L427" s="10" t="s">
        <v>119</v>
      </c>
      <c r="M427" s="10">
        <v>47.4</v>
      </c>
      <c r="N427" s="10">
        <v>43.95</v>
      </c>
      <c r="O427" s="10">
        <v>147.63</v>
      </c>
      <c r="P427" s="10">
        <v>147.29</v>
      </c>
      <c r="Q427" s="17"/>
      <c r="R427" s="10" t="s">
        <v>227</v>
      </c>
    </row>
    <row r="428">
      <c r="A428" s="15">
        <v>46275.83924706018</v>
      </c>
      <c r="B428" s="17"/>
      <c r="C428" s="17"/>
      <c r="D428" s="30" t="s">
        <v>213</v>
      </c>
      <c r="E428" s="30" t="s">
        <v>19</v>
      </c>
      <c r="F428" s="51">
        <v>0.4211</v>
      </c>
      <c r="G428" s="10" t="s">
        <v>20</v>
      </c>
      <c r="H428" s="10">
        <v>54.34</v>
      </c>
      <c r="I428" s="10">
        <v>40.26</v>
      </c>
      <c r="J428" s="10">
        <v>151.02</v>
      </c>
      <c r="K428" s="10">
        <v>150.81</v>
      </c>
      <c r="L428" s="10" t="s">
        <v>119</v>
      </c>
      <c r="M428" s="10">
        <v>54.45</v>
      </c>
      <c r="N428" s="10">
        <v>40.37</v>
      </c>
      <c r="O428" s="10">
        <v>151.38</v>
      </c>
      <c r="P428" s="10">
        <v>151.16</v>
      </c>
      <c r="Q428" s="17"/>
      <c r="R428" s="10" t="s">
        <v>227</v>
      </c>
    </row>
    <row r="429">
      <c r="A429" s="15">
        <v>46275.84088592592</v>
      </c>
      <c r="B429" s="17"/>
      <c r="C429" s="17"/>
      <c r="D429" s="31" t="s">
        <v>272</v>
      </c>
      <c r="E429" s="31" t="s">
        <v>19</v>
      </c>
      <c r="F429" s="52">
        <v>0.2813</v>
      </c>
      <c r="G429" s="10" t="s">
        <v>20</v>
      </c>
      <c r="H429" s="10">
        <v>50.13</v>
      </c>
      <c r="I429" s="10">
        <v>42.29</v>
      </c>
      <c r="J429" s="10">
        <v>149.56</v>
      </c>
      <c r="K429" s="10">
        <v>149.5</v>
      </c>
      <c r="L429" s="10" t="s">
        <v>119</v>
      </c>
      <c r="M429" s="10">
        <v>50.29</v>
      </c>
      <c r="N429" s="10">
        <v>42.45</v>
      </c>
      <c r="O429" s="10">
        <v>150.08</v>
      </c>
      <c r="P429" s="10">
        <v>150.01</v>
      </c>
      <c r="Q429" s="17"/>
      <c r="R429" s="10" t="s">
        <v>227</v>
      </c>
    </row>
    <row r="430">
      <c r="A430" s="15">
        <v>46275.84323503472</v>
      </c>
      <c r="B430" s="17"/>
      <c r="C430" s="17"/>
      <c r="D430" s="30" t="s">
        <v>410</v>
      </c>
      <c r="E430" s="30" t="s">
        <v>19</v>
      </c>
      <c r="F430" s="51">
        <v>0.2632</v>
      </c>
      <c r="G430" s="10" t="s">
        <v>20</v>
      </c>
      <c r="H430" s="10">
        <v>50.48</v>
      </c>
      <c r="I430" s="10">
        <v>42.41</v>
      </c>
      <c r="J430" s="10">
        <v>150.26</v>
      </c>
      <c r="K430" s="10">
        <v>151.97</v>
      </c>
      <c r="L430" s="10" t="s">
        <v>119</v>
      </c>
      <c r="M430" s="10">
        <v>51.09</v>
      </c>
      <c r="N430" s="10">
        <v>42.65</v>
      </c>
      <c r="O430" s="10">
        <v>151.55</v>
      </c>
      <c r="P430" s="10">
        <v>151.31</v>
      </c>
      <c r="Q430" s="17"/>
      <c r="R430" s="10" t="s">
        <v>227</v>
      </c>
    </row>
    <row r="431">
      <c r="A431" s="15">
        <v>46275.846170324076</v>
      </c>
      <c r="B431" s="17"/>
      <c r="C431" s="17"/>
      <c r="D431" s="31" t="s">
        <v>411</v>
      </c>
      <c r="E431" s="31" t="s">
        <v>19</v>
      </c>
      <c r="F431" s="52">
        <v>0.1818</v>
      </c>
      <c r="G431" s="10" t="s">
        <v>20</v>
      </c>
      <c r="H431" s="10">
        <v>49.86</v>
      </c>
      <c r="I431" s="10">
        <v>39.3</v>
      </c>
      <c r="J431" s="10">
        <v>148.41</v>
      </c>
      <c r="K431" s="10">
        <v>148.19</v>
      </c>
      <c r="L431" s="10" t="s">
        <v>119</v>
      </c>
      <c r="M431" s="10">
        <v>49.98</v>
      </c>
      <c r="N431" s="10">
        <v>39.46</v>
      </c>
      <c r="O431" s="10">
        <v>148.77</v>
      </c>
      <c r="P431" s="10">
        <v>148.43</v>
      </c>
      <c r="Q431" s="17"/>
      <c r="R431" s="10" t="s">
        <v>227</v>
      </c>
    </row>
    <row r="432">
      <c r="A432" s="15">
        <v>46275.849534988425</v>
      </c>
      <c r="B432" s="17"/>
      <c r="C432" s="17"/>
      <c r="D432" s="30" t="s">
        <v>267</v>
      </c>
      <c r="E432" s="30" t="s">
        <v>19</v>
      </c>
      <c r="F432" s="51">
        <v>0.1667</v>
      </c>
      <c r="G432" s="10" t="s">
        <v>20</v>
      </c>
      <c r="H432" s="10">
        <v>56.32</v>
      </c>
      <c r="I432" s="10">
        <v>36.86</v>
      </c>
      <c r="J432" s="10">
        <v>153.24</v>
      </c>
      <c r="K432" s="10">
        <v>153.24</v>
      </c>
      <c r="L432" s="10" t="s">
        <v>119</v>
      </c>
      <c r="M432" s="10">
        <v>56.45</v>
      </c>
      <c r="N432" s="10">
        <v>36.98</v>
      </c>
      <c r="O432" s="10">
        <v>153.65</v>
      </c>
      <c r="P432" s="10">
        <v>153.65</v>
      </c>
      <c r="Q432" s="17"/>
      <c r="R432" s="10" t="s">
        <v>227</v>
      </c>
    </row>
    <row r="433">
      <c r="A433" s="15">
        <v>46275.85189255787</v>
      </c>
      <c r="B433" s="17"/>
      <c r="C433" s="17"/>
      <c r="D433" s="31" t="s">
        <v>311</v>
      </c>
      <c r="E433" s="31" t="s">
        <v>19</v>
      </c>
      <c r="F433" s="52">
        <v>0.1163</v>
      </c>
      <c r="G433" s="10" t="s">
        <v>20</v>
      </c>
      <c r="H433" s="10">
        <v>53.49</v>
      </c>
      <c r="I433" s="10">
        <v>42.65</v>
      </c>
      <c r="J433" s="10">
        <v>159.42</v>
      </c>
      <c r="K433" s="10">
        <v>158.92</v>
      </c>
      <c r="L433" s="10" t="s">
        <v>119</v>
      </c>
      <c r="M433" s="10">
        <v>53.58</v>
      </c>
      <c r="N433" s="10">
        <v>42.75</v>
      </c>
      <c r="O433" s="10">
        <v>159.73</v>
      </c>
      <c r="P433" s="10">
        <v>159.55</v>
      </c>
      <c r="Q433" s="17"/>
      <c r="R433" s="10" t="s">
        <v>227</v>
      </c>
    </row>
    <row r="434">
      <c r="A434" s="15">
        <v>46275.854109085645</v>
      </c>
      <c r="B434" s="17"/>
      <c r="C434" s="17"/>
      <c r="D434" s="30" t="s">
        <v>346</v>
      </c>
      <c r="E434" s="30" t="s">
        <v>19</v>
      </c>
      <c r="F434" s="51">
        <v>0.1034</v>
      </c>
      <c r="G434" s="10" t="s">
        <v>20</v>
      </c>
      <c r="H434" s="10">
        <v>53.3</v>
      </c>
      <c r="I434" s="10">
        <v>39.9</v>
      </c>
      <c r="J434" s="10">
        <v>158.62</v>
      </c>
      <c r="K434" s="10">
        <v>158.81</v>
      </c>
      <c r="L434" s="10" t="s">
        <v>119</v>
      </c>
      <c r="M434" s="10">
        <v>53.42</v>
      </c>
      <c r="N434" s="10">
        <v>40.19</v>
      </c>
      <c r="O434" s="10">
        <v>159.32</v>
      </c>
      <c r="P434" s="10">
        <v>158.7</v>
      </c>
      <c r="Q434" s="17"/>
      <c r="R434" s="10" t="s">
        <v>227</v>
      </c>
    </row>
    <row r="435">
      <c r="A435" s="15">
        <v>46275.855883807875</v>
      </c>
      <c r="B435" s="17"/>
      <c r="C435" s="17"/>
      <c r="D435" s="31" t="s">
        <v>214</v>
      </c>
      <c r="E435" s="31" t="s">
        <v>19</v>
      </c>
      <c r="F435" s="52">
        <v>0.1</v>
      </c>
      <c r="G435" s="10" t="s">
        <v>20</v>
      </c>
      <c r="H435" s="10">
        <v>50.11</v>
      </c>
      <c r="I435" s="10">
        <v>42.16</v>
      </c>
      <c r="J435" s="10">
        <v>149.73</v>
      </c>
      <c r="K435" s="10">
        <v>149.24</v>
      </c>
      <c r="L435" s="10" t="s">
        <v>119</v>
      </c>
      <c r="M435" s="10">
        <v>50.15</v>
      </c>
      <c r="N435" s="10">
        <v>42.22</v>
      </c>
      <c r="O435" s="10">
        <v>149.89</v>
      </c>
      <c r="P435" s="10">
        <v>149.77</v>
      </c>
      <c r="Q435" s="17"/>
      <c r="R435" s="10" t="s">
        <v>227</v>
      </c>
    </row>
    <row r="436">
      <c r="B436" s="17"/>
      <c r="C436" s="17"/>
      <c r="D436" s="30" t="s">
        <v>412</v>
      </c>
      <c r="E436" s="30" t="s">
        <v>19</v>
      </c>
      <c r="F436" s="51">
        <v>0.0909</v>
      </c>
      <c r="G436" s="10" t="s">
        <v>20</v>
      </c>
      <c r="H436" s="17"/>
      <c r="I436" s="17"/>
      <c r="J436" s="17"/>
      <c r="K436" s="17"/>
      <c r="L436" s="10" t="s">
        <v>119</v>
      </c>
      <c r="M436" s="17"/>
      <c r="N436" s="17"/>
      <c r="O436" s="17"/>
      <c r="P436" s="17"/>
      <c r="Q436" s="17"/>
      <c r="R436" s="10" t="s">
        <v>227</v>
      </c>
    </row>
    <row r="437">
      <c r="B437" s="17"/>
      <c r="C437" s="17"/>
      <c r="D437" s="31" t="s">
        <v>413</v>
      </c>
      <c r="E437" s="31" t="s">
        <v>19</v>
      </c>
      <c r="F437" s="52">
        <v>0.05</v>
      </c>
      <c r="G437" s="10" t="s">
        <v>20</v>
      </c>
      <c r="H437" s="17"/>
      <c r="I437" s="17"/>
      <c r="J437" s="17"/>
      <c r="K437" s="17"/>
      <c r="L437" s="10" t="s">
        <v>119</v>
      </c>
      <c r="M437" s="17"/>
      <c r="N437" s="17"/>
      <c r="O437" s="17"/>
      <c r="P437" s="17"/>
      <c r="Q437" s="17"/>
      <c r="R437" s="10" t="s">
        <v>227</v>
      </c>
    </row>
    <row r="438">
      <c r="B438" s="17"/>
      <c r="C438" s="17"/>
      <c r="D438" s="30" t="s">
        <v>414</v>
      </c>
      <c r="E438" s="30" t="s">
        <v>415</v>
      </c>
      <c r="F438" s="51">
        <v>0.0526</v>
      </c>
      <c r="G438" s="10" t="s">
        <v>20</v>
      </c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6"/>
    </row>
    <row r="439">
      <c r="B439" s="17"/>
      <c r="C439" s="17"/>
      <c r="D439" s="31" t="s">
        <v>416</v>
      </c>
      <c r="E439" s="31" t="s">
        <v>415</v>
      </c>
      <c r="F439" s="52">
        <v>0.0476</v>
      </c>
      <c r="G439" s="10" t="s">
        <v>20</v>
      </c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6"/>
    </row>
    <row r="440">
      <c r="B440" s="17"/>
      <c r="C440" s="17"/>
      <c r="D440" s="30" t="s">
        <v>417</v>
      </c>
      <c r="E440" s="30" t="s">
        <v>415</v>
      </c>
      <c r="F440" s="51">
        <v>0.0476</v>
      </c>
      <c r="G440" s="10" t="s">
        <v>20</v>
      </c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6"/>
    </row>
    <row r="441">
      <c r="B441" s="17"/>
      <c r="C441" s="17"/>
      <c r="D441" s="31" t="s">
        <v>418</v>
      </c>
      <c r="E441" s="31" t="s">
        <v>415</v>
      </c>
      <c r="F441" s="52">
        <v>0.0294</v>
      </c>
      <c r="G441" s="10" t="s">
        <v>20</v>
      </c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6"/>
    </row>
    <row r="442">
      <c r="A442" s="15">
        <v>46275.798928530094</v>
      </c>
      <c r="B442" s="17"/>
      <c r="C442" s="17"/>
      <c r="D442" s="12" t="s">
        <v>419</v>
      </c>
      <c r="E442" s="12" t="s">
        <v>19</v>
      </c>
      <c r="F442" s="17"/>
      <c r="G442" s="10" t="s">
        <v>20</v>
      </c>
      <c r="H442" s="10">
        <v>54.48</v>
      </c>
      <c r="I442" s="10">
        <v>43.33</v>
      </c>
      <c r="J442" s="10">
        <v>163.04</v>
      </c>
      <c r="K442" s="10">
        <v>163.08</v>
      </c>
      <c r="L442" s="10" t="s">
        <v>21</v>
      </c>
      <c r="M442" s="10">
        <v>54.9</v>
      </c>
      <c r="N442" s="10">
        <v>43.53</v>
      </c>
      <c r="O442" s="10">
        <v>163.77</v>
      </c>
      <c r="P442" s="10">
        <v>163.89</v>
      </c>
      <c r="Q442" s="17"/>
      <c r="R442" s="10" t="s">
        <v>54</v>
      </c>
    </row>
    <row r="443">
      <c r="A443" s="15">
        <v>46275.88539927083</v>
      </c>
      <c r="B443" s="17"/>
      <c r="C443" s="17"/>
      <c r="D443" s="12" t="s">
        <v>420</v>
      </c>
      <c r="E443" s="12" t="s">
        <v>336</v>
      </c>
      <c r="F443" s="17"/>
      <c r="G443" s="10" t="s">
        <v>20</v>
      </c>
      <c r="H443" s="10">
        <v>51.09</v>
      </c>
      <c r="I443" s="10">
        <v>41.41</v>
      </c>
      <c r="J443" s="10">
        <v>154.07</v>
      </c>
      <c r="K443" s="10">
        <v>154.07</v>
      </c>
      <c r="L443" s="10" t="s">
        <v>21</v>
      </c>
      <c r="M443" s="17"/>
      <c r="N443" s="17"/>
      <c r="O443" s="17"/>
      <c r="P443" s="17"/>
      <c r="Q443" s="17"/>
      <c r="R443" s="17"/>
    </row>
    <row r="444">
      <c r="A444" s="15">
        <v>46275.88910515046</v>
      </c>
      <c r="B444" s="17"/>
      <c r="C444" s="17"/>
      <c r="D444" s="12" t="s">
        <v>421</v>
      </c>
      <c r="E444" s="12" t="s">
        <v>19</v>
      </c>
      <c r="F444" s="17"/>
      <c r="G444" s="10" t="s">
        <v>20</v>
      </c>
      <c r="H444" s="10">
        <v>51.42</v>
      </c>
      <c r="I444" s="10">
        <v>36.66</v>
      </c>
      <c r="J444" s="10">
        <v>148.69</v>
      </c>
      <c r="K444" s="10">
        <v>148.69</v>
      </c>
      <c r="L444" s="10" t="s">
        <v>21</v>
      </c>
      <c r="M444" s="17"/>
      <c r="N444" s="17"/>
      <c r="O444" s="17"/>
      <c r="P444" s="17"/>
      <c r="Q444" s="17"/>
      <c r="R444" s="17"/>
    </row>
    <row r="445">
      <c r="A445" s="15">
        <v>46276.36126642361</v>
      </c>
      <c r="B445" s="17"/>
      <c r="C445" s="17"/>
      <c r="D445" s="12" t="s">
        <v>422</v>
      </c>
      <c r="E445" s="12" t="s">
        <v>19</v>
      </c>
      <c r="F445" s="17"/>
      <c r="G445" s="10" t="s">
        <v>20</v>
      </c>
      <c r="H445" s="10">
        <v>51.59</v>
      </c>
      <c r="I445" s="10">
        <v>41.15</v>
      </c>
      <c r="J445" s="10">
        <v>153.49</v>
      </c>
      <c r="K445" s="10">
        <v>153.49</v>
      </c>
      <c r="L445" s="10" t="s">
        <v>21</v>
      </c>
      <c r="M445" s="10">
        <v>52.4</v>
      </c>
      <c r="N445" s="10">
        <v>41.9</v>
      </c>
      <c r="O445" s="10">
        <v>156.44</v>
      </c>
      <c r="P445" s="10">
        <v>156.44</v>
      </c>
      <c r="Q445" s="10" t="s">
        <v>19</v>
      </c>
      <c r="R445" s="10" t="s">
        <v>22</v>
      </c>
    </row>
    <row r="446">
      <c r="A446" s="15">
        <v>46276.43286774306</v>
      </c>
      <c r="B446" s="17"/>
      <c r="C446" s="17"/>
      <c r="D446" s="12" t="s">
        <v>423</v>
      </c>
      <c r="E446" s="12" t="s">
        <v>25</v>
      </c>
      <c r="F446" s="17"/>
      <c r="G446" s="10" t="s">
        <v>20</v>
      </c>
      <c r="H446" s="10">
        <v>49.76</v>
      </c>
      <c r="I446" s="10">
        <v>41.47</v>
      </c>
      <c r="J446" s="10">
        <v>149.42</v>
      </c>
      <c r="K446" s="10">
        <v>149.42</v>
      </c>
      <c r="L446" s="10" t="s">
        <v>21</v>
      </c>
      <c r="M446" s="10">
        <v>49.09</v>
      </c>
      <c r="N446" s="10">
        <v>41.79</v>
      </c>
      <c r="O446" s="10">
        <v>148.46</v>
      </c>
      <c r="P446" s="10">
        <v>148.46</v>
      </c>
      <c r="Q446" s="10" t="s">
        <v>156</v>
      </c>
      <c r="R446" s="10" t="s">
        <v>22</v>
      </c>
    </row>
    <row r="447">
      <c r="A447" s="15">
        <v>46276.57078204861</v>
      </c>
      <c r="B447" s="17"/>
      <c r="C447" s="17"/>
      <c r="D447" s="12" t="s">
        <v>424</v>
      </c>
      <c r="E447" s="12" t="s">
        <v>19</v>
      </c>
      <c r="F447" s="17"/>
      <c r="G447" s="10" t="s">
        <v>20</v>
      </c>
      <c r="H447" s="10">
        <v>52.19</v>
      </c>
      <c r="I447" s="10">
        <v>43.16</v>
      </c>
      <c r="J447" s="10">
        <v>155.77</v>
      </c>
      <c r="K447" s="10">
        <v>155.77</v>
      </c>
      <c r="L447" s="10" t="s">
        <v>21</v>
      </c>
      <c r="M447" s="10">
        <v>50.71</v>
      </c>
      <c r="N447" s="10">
        <v>42.99</v>
      </c>
      <c r="O447" s="10">
        <v>153.73</v>
      </c>
      <c r="P447" s="10">
        <v>153.7</v>
      </c>
      <c r="Q447" s="10" t="s">
        <v>19</v>
      </c>
      <c r="R447" s="10" t="s">
        <v>22</v>
      </c>
    </row>
    <row r="448">
      <c r="A448" s="15">
        <v>46276.57750368056</v>
      </c>
      <c r="B448" s="17"/>
      <c r="C448" s="17"/>
      <c r="D448" s="12">
        <v>241854.0</v>
      </c>
      <c r="E448" s="12" t="s">
        <v>19</v>
      </c>
      <c r="F448" s="17"/>
      <c r="G448" s="10" t="s">
        <v>20</v>
      </c>
      <c r="H448" s="10">
        <v>50.38</v>
      </c>
      <c r="I448" s="10">
        <v>39.91</v>
      </c>
      <c r="J448" s="10">
        <v>152.02</v>
      </c>
      <c r="K448" s="10">
        <v>152.69</v>
      </c>
      <c r="L448" s="10" t="s">
        <v>21</v>
      </c>
      <c r="M448" s="10">
        <v>50.8</v>
      </c>
      <c r="N448" s="10">
        <v>40.05</v>
      </c>
      <c r="O448" s="10">
        <v>153.25</v>
      </c>
      <c r="P448" s="10">
        <v>154.0</v>
      </c>
      <c r="Q448" s="10" t="s">
        <v>19</v>
      </c>
      <c r="R448" s="10" t="s">
        <v>22</v>
      </c>
    </row>
    <row r="449">
      <c r="A449" s="15">
        <v>46276.57882388889</v>
      </c>
      <c r="B449" s="17"/>
      <c r="C449" s="17"/>
      <c r="D449" s="12" t="s">
        <v>425</v>
      </c>
      <c r="E449" s="12" t="s">
        <v>25</v>
      </c>
      <c r="F449" s="17"/>
      <c r="G449" s="10" t="s">
        <v>20</v>
      </c>
      <c r="H449" s="10">
        <v>51.28</v>
      </c>
      <c r="I449" s="10">
        <v>43.12</v>
      </c>
      <c r="J449" s="10">
        <v>154.76</v>
      </c>
      <c r="K449" s="10">
        <v>156.57</v>
      </c>
      <c r="L449" s="10" t="s">
        <v>21</v>
      </c>
      <c r="M449" s="10">
        <v>51.3</v>
      </c>
      <c r="N449" s="10">
        <v>43.23</v>
      </c>
      <c r="O449" s="10">
        <v>154.58</v>
      </c>
      <c r="P449" s="10">
        <v>154.58</v>
      </c>
      <c r="Q449" s="10" t="s">
        <v>156</v>
      </c>
      <c r="R449" s="10" t="s">
        <v>22</v>
      </c>
    </row>
    <row r="450">
      <c r="A450" s="15">
        <v>46276.58320253472</v>
      </c>
      <c r="B450" s="17"/>
      <c r="C450" s="17"/>
      <c r="D450" s="12" t="s">
        <v>426</v>
      </c>
      <c r="E450" s="12" t="s">
        <v>19</v>
      </c>
      <c r="F450" s="17"/>
      <c r="G450" s="10" t="s">
        <v>20</v>
      </c>
      <c r="H450" s="10">
        <v>49.94</v>
      </c>
      <c r="I450" s="10">
        <v>39.21</v>
      </c>
      <c r="J450" s="10">
        <v>148.29</v>
      </c>
      <c r="K450" s="10">
        <v>148.5</v>
      </c>
      <c r="L450" s="10" t="s">
        <v>21</v>
      </c>
      <c r="M450" s="10">
        <v>49.93</v>
      </c>
      <c r="N450" s="10">
        <v>39.15</v>
      </c>
      <c r="O450" s="10">
        <v>148.37</v>
      </c>
      <c r="P450" s="10">
        <v>148.44</v>
      </c>
      <c r="Q450" s="10" t="s">
        <v>19</v>
      </c>
      <c r="R450" s="10" t="s">
        <v>22</v>
      </c>
    </row>
    <row r="451">
      <c r="A451" s="15">
        <v>46277.579756562496</v>
      </c>
      <c r="B451" s="17"/>
      <c r="C451" s="17"/>
      <c r="D451" s="12">
        <v>241673.0</v>
      </c>
      <c r="E451" s="12" t="s">
        <v>19</v>
      </c>
      <c r="F451" s="17"/>
      <c r="G451" s="10" t="s">
        <v>20</v>
      </c>
      <c r="H451" s="10">
        <v>54.32</v>
      </c>
      <c r="I451" s="10">
        <v>43.24</v>
      </c>
      <c r="J451" s="10">
        <v>163.2</v>
      </c>
      <c r="K451" s="10">
        <v>163.2</v>
      </c>
      <c r="L451" s="10" t="s">
        <v>21</v>
      </c>
      <c r="M451" s="10">
        <v>54.47</v>
      </c>
      <c r="N451" s="10">
        <v>44.14</v>
      </c>
      <c r="O451" s="10">
        <v>163.9</v>
      </c>
      <c r="P451" s="10">
        <v>164.2</v>
      </c>
      <c r="Q451" s="10" t="s">
        <v>19</v>
      </c>
      <c r="R451" s="10" t="s">
        <v>22</v>
      </c>
    </row>
    <row r="452">
      <c r="A452" s="15">
        <v>46277.759788043986</v>
      </c>
      <c r="B452" s="17"/>
      <c r="C452" s="17"/>
      <c r="D452" s="31" t="s">
        <v>427</v>
      </c>
      <c r="E452" s="31" t="s">
        <v>43</v>
      </c>
      <c r="F452" s="52">
        <v>0.16</v>
      </c>
      <c r="G452" s="10" t="s">
        <v>20</v>
      </c>
      <c r="H452" s="10">
        <v>54.93</v>
      </c>
      <c r="I452" s="10">
        <v>45.11</v>
      </c>
      <c r="J452" s="10">
        <v>160.6</v>
      </c>
      <c r="K452" s="10">
        <v>160.4</v>
      </c>
      <c r="L452" s="10" t="s">
        <v>119</v>
      </c>
      <c r="M452" s="10">
        <v>54.87</v>
      </c>
      <c r="N452" s="10">
        <v>45.07</v>
      </c>
      <c r="O452" s="10">
        <v>160.58</v>
      </c>
      <c r="P452" s="10">
        <v>160.35</v>
      </c>
      <c r="Q452" s="17"/>
      <c r="R452" s="10" t="s">
        <v>102</v>
      </c>
    </row>
    <row r="453">
      <c r="A453" s="36"/>
      <c r="B453" s="33"/>
      <c r="C453" s="35" t="s">
        <v>428</v>
      </c>
      <c r="D453" s="68" t="s">
        <v>275</v>
      </c>
      <c r="E453" s="68" t="s">
        <v>43</v>
      </c>
      <c r="F453" s="69">
        <v>0.1333</v>
      </c>
      <c r="G453" s="35" t="s">
        <v>20</v>
      </c>
      <c r="H453" s="33"/>
      <c r="I453" s="33"/>
      <c r="J453" s="33"/>
      <c r="K453" s="33"/>
      <c r="L453" s="35" t="s">
        <v>119</v>
      </c>
      <c r="M453" s="33"/>
      <c r="N453" s="33"/>
      <c r="O453" s="33"/>
      <c r="P453" s="33"/>
      <c r="Q453" s="33"/>
      <c r="R453" s="10" t="s">
        <v>102</v>
      </c>
      <c r="S453" s="36"/>
      <c r="T453" s="36"/>
      <c r="U453" s="36"/>
      <c r="V453" s="36"/>
      <c r="W453" s="36"/>
    </row>
    <row r="454">
      <c r="A454" s="15">
        <v>46277.76163075231</v>
      </c>
      <c r="B454" s="17"/>
      <c r="C454" s="17"/>
      <c r="D454" s="31" t="s">
        <v>263</v>
      </c>
      <c r="E454" s="31" t="s">
        <v>43</v>
      </c>
      <c r="F454" s="52">
        <v>0.0556</v>
      </c>
      <c r="G454" s="10" t="s">
        <v>20</v>
      </c>
      <c r="H454" s="10">
        <v>53.38</v>
      </c>
      <c r="I454" s="10">
        <v>43.78</v>
      </c>
      <c r="J454" s="10">
        <v>161.58</v>
      </c>
      <c r="K454" s="10">
        <v>161.63</v>
      </c>
      <c r="L454" s="10" t="s">
        <v>119</v>
      </c>
      <c r="M454" s="10">
        <v>53.33</v>
      </c>
      <c r="N454" s="10">
        <v>43.72</v>
      </c>
      <c r="O454" s="10">
        <v>161.23</v>
      </c>
      <c r="P454" s="10">
        <v>160.97</v>
      </c>
      <c r="Q454" s="17"/>
      <c r="R454" s="10" t="s">
        <v>102</v>
      </c>
    </row>
    <row r="455">
      <c r="A455" s="15">
        <v>46277.76228549768</v>
      </c>
      <c r="B455" s="17"/>
      <c r="C455" s="17"/>
      <c r="D455" s="30" t="s">
        <v>429</v>
      </c>
      <c r="E455" s="30" t="s">
        <v>43</v>
      </c>
      <c r="F455" s="51">
        <v>0.0476</v>
      </c>
      <c r="G455" s="10" t="s">
        <v>20</v>
      </c>
      <c r="H455" s="10">
        <v>51.04</v>
      </c>
      <c r="I455" s="10">
        <v>34.73</v>
      </c>
      <c r="J455" s="10">
        <v>147.33</v>
      </c>
      <c r="K455" s="10">
        <v>147.72</v>
      </c>
      <c r="L455" s="10" t="s">
        <v>119</v>
      </c>
      <c r="M455" s="10">
        <v>50.97</v>
      </c>
      <c r="N455" s="10">
        <v>34.67</v>
      </c>
      <c r="O455" s="10">
        <v>147.3</v>
      </c>
      <c r="P455" s="10">
        <v>147.51</v>
      </c>
      <c r="Q455" s="17"/>
      <c r="R455" s="10" t="s">
        <v>102</v>
      </c>
    </row>
    <row r="456">
      <c r="A456" s="15">
        <v>46277.76376311343</v>
      </c>
      <c r="B456" s="17"/>
      <c r="C456" s="17"/>
      <c r="D456" s="46" t="s">
        <v>397</v>
      </c>
      <c r="E456" s="31" t="s">
        <v>43</v>
      </c>
      <c r="F456" s="52">
        <v>0.0448</v>
      </c>
      <c r="G456" s="10" t="s">
        <v>20</v>
      </c>
      <c r="H456" s="10">
        <v>53.45</v>
      </c>
      <c r="I456" s="10">
        <v>38.45</v>
      </c>
      <c r="J456" s="10">
        <v>147.65</v>
      </c>
      <c r="K456" s="10">
        <v>148.34</v>
      </c>
      <c r="L456" s="10" t="s">
        <v>119</v>
      </c>
      <c r="M456" s="10">
        <v>53.0</v>
      </c>
      <c r="N456" s="10">
        <v>38.3</v>
      </c>
      <c r="O456" s="10">
        <v>147.45</v>
      </c>
      <c r="P456" s="10">
        <v>147.61</v>
      </c>
      <c r="Q456" s="17"/>
      <c r="R456" s="10" t="s">
        <v>102</v>
      </c>
    </row>
    <row r="457">
      <c r="A457" s="15">
        <v>46277.76500866898</v>
      </c>
      <c r="B457" s="17"/>
      <c r="C457" s="17"/>
      <c r="D457" s="30" t="s">
        <v>430</v>
      </c>
      <c r="E457" s="30" t="s">
        <v>43</v>
      </c>
      <c r="F457" s="51">
        <v>0.0615</v>
      </c>
      <c r="G457" s="10" t="s">
        <v>20</v>
      </c>
      <c r="H457" s="10">
        <v>52.86</v>
      </c>
      <c r="I457" s="10">
        <v>41.9</v>
      </c>
      <c r="J457" s="10">
        <v>157.12</v>
      </c>
      <c r="K457" s="10">
        <v>157.24</v>
      </c>
      <c r="L457" s="10" t="s">
        <v>119</v>
      </c>
      <c r="M457" s="10">
        <v>52.79</v>
      </c>
      <c r="N457" s="10">
        <v>41.51</v>
      </c>
      <c r="O457" s="10">
        <v>156.49</v>
      </c>
      <c r="P457" s="10">
        <v>157.14</v>
      </c>
      <c r="Q457" s="17"/>
      <c r="R457" s="10" t="s">
        <v>102</v>
      </c>
    </row>
    <row r="458">
      <c r="A458" s="15">
        <v>46277.823833946764</v>
      </c>
      <c r="B458" s="17"/>
      <c r="C458" s="17"/>
      <c r="D458" s="31" t="s">
        <v>431</v>
      </c>
      <c r="E458" s="31" t="s">
        <v>43</v>
      </c>
      <c r="F458" s="52">
        <v>0.049</v>
      </c>
      <c r="G458" s="10" t="s">
        <v>20</v>
      </c>
      <c r="H458" s="10">
        <v>52.31</v>
      </c>
      <c r="I458" s="10">
        <v>34.97</v>
      </c>
      <c r="J458" s="10">
        <v>147.57</v>
      </c>
      <c r="K458" s="10">
        <v>147.49</v>
      </c>
      <c r="L458" s="10" t="s">
        <v>119</v>
      </c>
      <c r="M458" s="10">
        <v>52.12</v>
      </c>
      <c r="N458" s="10">
        <v>34.87</v>
      </c>
      <c r="O458" s="10">
        <v>147.23</v>
      </c>
      <c r="P458" s="40">
        <v>147.23</v>
      </c>
      <c r="Q458" s="17"/>
      <c r="R458" s="10" t="s">
        <v>102</v>
      </c>
    </row>
    <row r="459">
      <c r="A459" s="36"/>
      <c r="B459" s="33"/>
      <c r="C459" s="35" t="s">
        <v>428</v>
      </c>
      <c r="D459" s="68" t="s">
        <v>367</v>
      </c>
      <c r="E459" s="68" t="s">
        <v>320</v>
      </c>
      <c r="F459" s="69">
        <v>0.3333</v>
      </c>
      <c r="G459" s="35" t="s">
        <v>20</v>
      </c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10" t="s">
        <v>102</v>
      </c>
      <c r="S459" s="36"/>
      <c r="T459" s="36"/>
      <c r="U459" s="36"/>
      <c r="V459" s="36"/>
      <c r="W459" s="36"/>
    </row>
    <row r="460">
      <c r="A460" s="15">
        <v>46277.82456606481</v>
      </c>
      <c r="B460" s="17"/>
      <c r="C460" s="17"/>
      <c r="D460" s="46" t="s">
        <v>311</v>
      </c>
      <c r="E460" s="31" t="s">
        <v>320</v>
      </c>
      <c r="F460" s="52">
        <v>0.0972</v>
      </c>
      <c r="G460" s="10" t="s">
        <v>20</v>
      </c>
      <c r="H460" s="10">
        <v>53.58</v>
      </c>
      <c r="I460" s="10">
        <v>42.75</v>
      </c>
      <c r="J460" s="10">
        <v>159.73</v>
      </c>
      <c r="K460" s="10">
        <v>159.55</v>
      </c>
      <c r="L460" s="10" t="s">
        <v>119</v>
      </c>
      <c r="M460" s="10">
        <v>53.52</v>
      </c>
      <c r="N460" s="10">
        <v>42.7</v>
      </c>
      <c r="O460" s="10">
        <v>159.55</v>
      </c>
      <c r="P460" s="10">
        <v>159.36</v>
      </c>
      <c r="Q460" s="17"/>
      <c r="R460" s="10" t="s">
        <v>102</v>
      </c>
    </row>
    <row r="461">
      <c r="A461" s="15">
        <v>46277.82563438657</v>
      </c>
      <c r="B461" s="17"/>
      <c r="C461" s="17"/>
      <c r="D461" s="30" t="s">
        <v>432</v>
      </c>
      <c r="E461" s="30" t="s">
        <v>395</v>
      </c>
      <c r="F461" s="51">
        <v>0.129</v>
      </c>
      <c r="G461" s="10" t="s">
        <v>20</v>
      </c>
      <c r="H461" s="10">
        <v>55.22</v>
      </c>
      <c r="I461" s="10">
        <v>44.9</v>
      </c>
      <c r="J461" s="10">
        <v>160.29</v>
      </c>
      <c r="K461" s="10">
        <v>160.46</v>
      </c>
      <c r="L461" s="10" t="s">
        <v>119</v>
      </c>
      <c r="M461" s="10">
        <v>54.92</v>
      </c>
      <c r="N461" s="10">
        <v>44.49</v>
      </c>
      <c r="O461" s="10">
        <v>159.67</v>
      </c>
      <c r="P461" s="10">
        <v>159.67</v>
      </c>
      <c r="Q461" s="17"/>
      <c r="R461" s="10" t="s">
        <v>102</v>
      </c>
    </row>
    <row r="462">
      <c r="A462" s="15">
        <v>46277.826361898144</v>
      </c>
      <c r="B462" s="17"/>
      <c r="C462" s="17"/>
      <c r="D462" s="46" t="s">
        <v>338</v>
      </c>
      <c r="E462" s="31" t="s">
        <v>395</v>
      </c>
      <c r="F462" s="52">
        <v>0.0444</v>
      </c>
      <c r="G462" s="10" t="s">
        <v>20</v>
      </c>
      <c r="H462" s="10">
        <v>53.7</v>
      </c>
      <c r="I462" s="10">
        <v>42.02</v>
      </c>
      <c r="J462" s="10">
        <v>158.12</v>
      </c>
      <c r="K462" s="10">
        <v>158.14</v>
      </c>
      <c r="L462" s="10" t="s">
        <v>119</v>
      </c>
      <c r="M462" s="10">
        <v>53.5</v>
      </c>
      <c r="N462" s="10">
        <v>41.71</v>
      </c>
      <c r="O462" s="10">
        <v>157.79</v>
      </c>
      <c r="P462" s="10">
        <v>157.65</v>
      </c>
      <c r="Q462" s="17"/>
      <c r="R462" s="10" t="s">
        <v>102</v>
      </c>
    </row>
    <row r="463">
      <c r="A463" s="15">
        <v>46277.82764870371</v>
      </c>
      <c r="B463" s="17"/>
      <c r="C463" s="17"/>
      <c r="D463" s="30" t="s">
        <v>433</v>
      </c>
      <c r="E463" s="30" t="s">
        <v>137</v>
      </c>
      <c r="F463" s="51">
        <v>0.0588</v>
      </c>
      <c r="G463" s="10" t="s">
        <v>20</v>
      </c>
      <c r="H463" s="10">
        <v>53.92</v>
      </c>
      <c r="I463" s="10">
        <v>42.36</v>
      </c>
      <c r="J463" s="10">
        <v>159.73</v>
      </c>
      <c r="K463" s="10">
        <v>159.73</v>
      </c>
      <c r="L463" s="10" t="s">
        <v>119</v>
      </c>
      <c r="M463" s="10">
        <v>53.79</v>
      </c>
      <c r="N463" s="10">
        <v>42.24</v>
      </c>
      <c r="O463" s="10">
        <v>159.57</v>
      </c>
      <c r="P463" s="10">
        <v>159.57</v>
      </c>
      <c r="Q463" s="17"/>
      <c r="R463" s="10" t="s">
        <v>102</v>
      </c>
    </row>
    <row r="464">
      <c r="A464" s="63"/>
      <c r="B464" s="64"/>
      <c r="C464" s="64"/>
      <c r="D464" s="65" t="s">
        <v>434</v>
      </c>
      <c r="E464" s="65" t="s">
        <v>405</v>
      </c>
      <c r="F464" s="66">
        <v>0.0638</v>
      </c>
      <c r="G464" s="67" t="s">
        <v>20</v>
      </c>
      <c r="H464" s="64"/>
      <c r="I464" s="64"/>
      <c r="J464" s="64"/>
      <c r="K464" s="64"/>
      <c r="L464" s="67" t="s">
        <v>119</v>
      </c>
      <c r="M464" s="64"/>
      <c r="N464" s="64"/>
      <c r="O464" s="64"/>
      <c r="P464" s="64"/>
      <c r="Q464" s="64"/>
      <c r="R464" s="67" t="s">
        <v>102</v>
      </c>
      <c r="S464" s="63"/>
      <c r="T464" s="63"/>
      <c r="U464" s="63"/>
      <c r="V464" s="63"/>
      <c r="W464" s="63"/>
    </row>
    <row r="465">
      <c r="A465" s="63"/>
      <c r="B465" s="64"/>
      <c r="C465" s="64"/>
      <c r="D465" s="65" t="s">
        <v>435</v>
      </c>
      <c r="E465" s="65" t="s">
        <v>405</v>
      </c>
      <c r="F465" s="66">
        <v>0.0714</v>
      </c>
      <c r="G465" s="67" t="s">
        <v>20</v>
      </c>
      <c r="H465" s="64"/>
      <c r="I465" s="64"/>
      <c r="J465" s="64"/>
      <c r="K465" s="64"/>
      <c r="L465" s="67" t="s">
        <v>119</v>
      </c>
      <c r="M465" s="64"/>
      <c r="N465" s="64"/>
      <c r="O465" s="64"/>
      <c r="P465" s="64"/>
      <c r="Q465" s="64"/>
      <c r="R465" s="67" t="s">
        <v>102</v>
      </c>
      <c r="S465" s="63"/>
      <c r="T465" s="63"/>
      <c r="U465" s="63"/>
      <c r="V465" s="63"/>
      <c r="W465" s="63"/>
    </row>
    <row r="466">
      <c r="A466" s="63"/>
      <c r="B466" s="64"/>
      <c r="C466" s="64"/>
      <c r="D466" s="65" t="s">
        <v>436</v>
      </c>
      <c r="E466" s="65" t="s">
        <v>405</v>
      </c>
      <c r="F466" s="66">
        <v>0.0968</v>
      </c>
      <c r="G466" s="67" t="s">
        <v>20</v>
      </c>
      <c r="H466" s="64"/>
      <c r="I466" s="64"/>
      <c r="J466" s="64"/>
      <c r="K466" s="64"/>
      <c r="L466" s="67" t="s">
        <v>119</v>
      </c>
      <c r="M466" s="64"/>
      <c r="N466" s="64"/>
      <c r="O466" s="64"/>
      <c r="P466" s="64"/>
      <c r="Q466" s="64"/>
      <c r="R466" s="67" t="s">
        <v>102</v>
      </c>
      <c r="S466" s="63"/>
      <c r="T466" s="63"/>
      <c r="U466" s="63"/>
      <c r="V466" s="63"/>
      <c r="W466" s="63"/>
    </row>
    <row r="467">
      <c r="A467" s="63"/>
      <c r="B467" s="64"/>
      <c r="C467" s="64"/>
      <c r="D467" s="65" t="s">
        <v>437</v>
      </c>
      <c r="E467" s="65" t="s">
        <v>405</v>
      </c>
      <c r="F467" s="66">
        <v>0.0594</v>
      </c>
      <c r="G467" s="67" t="s">
        <v>20</v>
      </c>
      <c r="H467" s="64"/>
      <c r="I467" s="64"/>
      <c r="J467" s="64"/>
      <c r="K467" s="64"/>
      <c r="L467" s="67" t="s">
        <v>119</v>
      </c>
      <c r="M467" s="64"/>
      <c r="N467" s="64"/>
      <c r="O467" s="64"/>
      <c r="P467" s="64"/>
      <c r="Q467" s="64"/>
      <c r="R467" s="67" t="s">
        <v>102</v>
      </c>
      <c r="S467" s="63"/>
      <c r="T467" s="63"/>
      <c r="U467" s="63"/>
      <c r="V467" s="63"/>
      <c r="W467" s="63"/>
    </row>
    <row r="468">
      <c r="A468" s="15">
        <v>46277.82805140046</v>
      </c>
      <c r="B468" s="17"/>
      <c r="C468" s="17"/>
      <c r="D468" s="31" t="s">
        <v>438</v>
      </c>
      <c r="E468" s="31" t="s">
        <v>19</v>
      </c>
      <c r="F468" s="52">
        <v>0.375</v>
      </c>
      <c r="G468" s="10" t="s">
        <v>20</v>
      </c>
      <c r="H468" s="10">
        <v>52.03</v>
      </c>
      <c r="I468" s="10">
        <v>40.24</v>
      </c>
      <c r="J468" s="10">
        <v>151.6</v>
      </c>
      <c r="K468" s="10">
        <v>151.6</v>
      </c>
      <c r="L468" s="10" t="s">
        <v>119</v>
      </c>
      <c r="M468" s="10">
        <v>52.28</v>
      </c>
      <c r="N468" s="10">
        <v>40.38</v>
      </c>
      <c r="O468" s="10">
        <v>152.01</v>
      </c>
      <c r="P468" s="10">
        <v>152.01</v>
      </c>
      <c r="Q468" s="17"/>
      <c r="R468" s="10" t="s">
        <v>102</v>
      </c>
    </row>
    <row r="469">
      <c r="A469" s="70"/>
      <c r="B469" s="71"/>
      <c r="C469" s="72" t="s">
        <v>428</v>
      </c>
      <c r="D469" s="73" t="s">
        <v>213</v>
      </c>
      <c r="E469" s="73" t="s">
        <v>19</v>
      </c>
      <c r="F469" s="74">
        <v>0.4211</v>
      </c>
      <c r="G469" s="72" t="s">
        <v>20</v>
      </c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10" t="s">
        <v>102</v>
      </c>
      <c r="S469" s="70"/>
      <c r="T469" s="70"/>
      <c r="U469" s="70"/>
      <c r="V469" s="70"/>
      <c r="W469" s="70"/>
    </row>
    <row r="470">
      <c r="A470" s="15">
        <v>46277.82917964121</v>
      </c>
      <c r="B470" s="17"/>
      <c r="C470" s="17"/>
      <c r="D470" s="46" t="s">
        <v>345</v>
      </c>
      <c r="E470" s="31" t="s">
        <v>19</v>
      </c>
      <c r="F470" s="52">
        <v>0.3846</v>
      </c>
      <c r="G470" s="10" t="s">
        <v>20</v>
      </c>
      <c r="H470" s="10">
        <v>54.59</v>
      </c>
      <c r="I470" s="10">
        <v>44.41</v>
      </c>
      <c r="J470" s="10">
        <v>164.22</v>
      </c>
      <c r="K470" s="10">
        <v>163.96</v>
      </c>
      <c r="L470" s="10" t="s">
        <v>119</v>
      </c>
      <c r="M470" s="10">
        <v>54.72</v>
      </c>
      <c r="N470" s="10">
        <v>44.57</v>
      </c>
      <c r="O470" s="10">
        <v>164.44</v>
      </c>
      <c r="P470" s="10">
        <v>164.44</v>
      </c>
      <c r="Q470" s="17"/>
      <c r="R470" s="10" t="s">
        <v>102</v>
      </c>
    </row>
    <row r="471">
      <c r="A471" s="15">
        <v>46277.83011996528</v>
      </c>
      <c r="B471" s="17"/>
      <c r="C471" s="17"/>
      <c r="D471" s="30" t="s">
        <v>439</v>
      </c>
      <c r="E471" s="30" t="s">
        <v>19</v>
      </c>
      <c r="F471" s="51">
        <v>0.0458</v>
      </c>
      <c r="G471" s="10" t="s">
        <v>20</v>
      </c>
      <c r="H471" s="10">
        <v>50.73</v>
      </c>
      <c r="I471" s="10">
        <v>40.81</v>
      </c>
      <c r="J471" s="10">
        <v>148.83</v>
      </c>
      <c r="K471" s="10">
        <v>148.7</v>
      </c>
      <c r="L471" s="10" t="s">
        <v>119</v>
      </c>
      <c r="M471" s="10">
        <v>50.8</v>
      </c>
      <c r="N471" s="10">
        <v>40.85</v>
      </c>
      <c r="O471" s="10">
        <v>149.05</v>
      </c>
      <c r="P471" s="10">
        <v>148.95</v>
      </c>
      <c r="Q471" s="17"/>
      <c r="R471" s="10" t="s">
        <v>102</v>
      </c>
    </row>
    <row r="472">
      <c r="A472" s="70"/>
      <c r="B472" s="71"/>
      <c r="C472" s="72" t="s">
        <v>428</v>
      </c>
      <c r="D472" s="73" t="s">
        <v>223</v>
      </c>
      <c r="E472" s="73" t="s">
        <v>19</v>
      </c>
      <c r="F472" s="74">
        <v>0.0488</v>
      </c>
      <c r="G472" s="72" t="s">
        <v>20</v>
      </c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10" t="s">
        <v>102</v>
      </c>
      <c r="S472" s="70"/>
      <c r="T472" s="70"/>
      <c r="U472" s="70"/>
      <c r="V472" s="70"/>
      <c r="W472" s="70"/>
    </row>
    <row r="473">
      <c r="A473" s="75"/>
      <c r="B473" s="76"/>
      <c r="C473" s="77" t="s">
        <v>428</v>
      </c>
      <c r="D473" s="78" t="s">
        <v>440</v>
      </c>
      <c r="E473" s="78" t="s">
        <v>384</v>
      </c>
      <c r="F473" s="79">
        <v>0.2667</v>
      </c>
      <c r="G473" s="77" t="s">
        <v>20</v>
      </c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10" t="s">
        <v>102</v>
      </c>
      <c r="S473" s="75"/>
      <c r="T473" s="75"/>
      <c r="U473" s="75"/>
      <c r="V473" s="75"/>
      <c r="W473" s="75"/>
    </row>
    <row r="474">
      <c r="A474" s="75"/>
      <c r="B474" s="76"/>
      <c r="C474" s="77" t="s">
        <v>428</v>
      </c>
      <c r="D474" s="78" t="s">
        <v>275</v>
      </c>
      <c r="E474" s="78" t="s">
        <v>336</v>
      </c>
      <c r="F474" s="79">
        <v>0.1333</v>
      </c>
      <c r="G474" s="77" t="s">
        <v>20</v>
      </c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10" t="s">
        <v>102</v>
      </c>
      <c r="S474" s="75"/>
      <c r="T474" s="75"/>
      <c r="U474" s="75"/>
      <c r="V474" s="75"/>
      <c r="W474" s="75"/>
    </row>
    <row r="475">
      <c r="A475" s="75"/>
      <c r="B475" s="76"/>
      <c r="C475" s="76"/>
      <c r="D475" s="78" t="s">
        <v>441</v>
      </c>
      <c r="E475" s="78" t="s">
        <v>336</v>
      </c>
      <c r="F475" s="79">
        <v>0.0541</v>
      </c>
      <c r="G475" s="77" t="s">
        <v>20</v>
      </c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10" t="s">
        <v>102</v>
      </c>
      <c r="S475" s="75"/>
      <c r="T475" s="75"/>
      <c r="U475" s="75"/>
      <c r="V475" s="75"/>
      <c r="W475" s="75"/>
    </row>
    <row r="476">
      <c r="B476" s="17"/>
      <c r="C476" s="17"/>
      <c r="D476" s="12" t="s">
        <v>442</v>
      </c>
      <c r="E476" s="11"/>
      <c r="F476" s="17"/>
      <c r="G476" s="17"/>
      <c r="H476" s="17"/>
      <c r="I476" s="17"/>
      <c r="J476" s="17"/>
      <c r="K476" s="17"/>
      <c r="L476" s="10" t="s">
        <v>21</v>
      </c>
      <c r="M476" s="17"/>
      <c r="N476" s="17"/>
      <c r="O476" s="17"/>
      <c r="P476" s="17"/>
      <c r="Q476" s="17"/>
      <c r="R476" s="10" t="s">
        <v>102</v>
      </c>
    </row>
    <row r="477">
      <c r="A477" s="15">
        <v>46279.82968361111</v>
      </c>
      <c r="B477" s="17"/>
      <c r="C477" s="17"/>
      <c r="D477" s="30" t="s">
        <v>443</v>
      </c>
      <c r="E477" s="30" t="s">
        <v>43</v>
      </c>
      <c r="F477" s="51">
        <v>0.1875</v>
      </c>
      <c r="G477" s="10" t="s">
        <v>20</v>
      </c>
      <c r="H477" s="10">
        <v>50.16</v>
      </c>
      <c r="I477" s="10">
        <v>39.37</v>
      </c>
      <c r="J477" s="10">
        <v>149.34</v>
      </c>
      <c r="K477" s="10">
        <v>149.34</v>
      </c>
      <c r="L477" s="10" t="s">
        <v>119</v>
      </c>
      <c r="M477" s="10">
        <v>50.1</v>
      </c>
      <c r="N477" s="10">
        <v>39.28</v>
      </c>
      <c r="O477" s="10">
        <v>149.13</v>
      </c>
      <c r="P477" s="10">
        <v>148.93</v>
      </c>
      <c r="Q477" s="17"/>
      <c r="R477" s="10" t="s">
        <v>102</v>
      </c>
    </row>
    <row r="478">
      <c r="A478" s="15">
        <v>46279.83071976852</v>
      </c>
      <c r="B478" s="17"/>
      <c r="C478" s="17"/>
      <c r="D478" s="31" t="s">
        <v>434</v>
      </c>
      <c r="E478" s="31" t="s">
        <v>43</v>
      </c>
      <c r="F478" s="52">
        <v>0.119</v>
      </c>
      <c r="G478" s="10" t="s">
        <v>20</v>
      </c>
      <c r="H478" s="10">
        <v>50.83</v>
      </c>
      <c r="I478" s="10">
        <v>34.97</v>
      </c>
      <c r="J478" s="10">
        <v>146.96</v>
      </c>
      <c r="K478" s="10">
        <v>147.08</v>
      </c>
      <c r="L478" s="10" t="s">
        <v>119</v>
      </c>
      <c r="M478" s="10">
        <v>50.78</v>
      </c>
      <c r="N478" s="10">
        <v>34.67</v>
      </c>
      <c r="O478" s="10">
        <v>146.7</v>
      </c>
      <c r="P478" s="10">
        <v>146.3</v>
      </c>
      <c r="Q478" s="17"/>
      <c r="R478" s="10" t="s">
        <v>102</v>
      </c>
    </row>
    <row r="479">
      <c r="A479" s="15">
        <v>46279.832079583335</v>
      </c>
      <c r="B479" s="17"/>
      <c r="C479" s="17"/>
      <c r="D479" s="30" t="s">
        <v>444</v>
      </c>
      <c r="E479" s="30" t="s">
        <v>43</v>
      </c>
      <c r="F479" s="51">
        <v>0.0962</v>
      </c>
      <c r="G479" s="10" t="s">
        <v>20</v>
      </c>
      <c r="H479" s="10">
        <v>56.88</v>
      </c>
      <c r="I479" s="10">
        <v>43.82</v>
      </c>
      <c r="J479" s="10">
        <v>167.47</v>
      </c>
      <c r="K479" s="10">
        <v>167.35</v>
      </c>
      <c r="L479" s="10" t="s">
        <v>119</v>
      </c>
      <c r="M479" s="10">
        <v>56.85</v>
      </c>
      <c r="N479" s="10">
        <v>43.71</v>
      </c>
      <c r="O479" s="10">
        <v>167.23</v>
      </c>
      <c r="P479" s="10">
        <v>167.23</v>
      </c>
      <c r="Q479" s="17"/>
      <c r="R479" s="10" t="s">
        <v>102</v>
      </c>
    </row>
    <row r="480">
      <c r="A480" s="15">
        <v>46279.833531435186</v>
      </c>
      <c r="B480" s="17"/>
      <c r="C480" s="17"/>
      <c r="D480" s="31" t="s">
        <v>445</v>
      </c>
      <c r="E480" s="31" t="s">
        <v>43</v>
      </c>
      <c r="F480" s="52">
        <v>0.0943</v>
      </c>
      <c r="G480" s="10" t="s">
        <v>20</v>
      </c>
      <c r="H480" s="10">
        <v>52.57</v>
      </c>
      <c r="I480" s="10">
        <v>37.92</v>
      </c>
      <c r="J480" s="10">
        <v>151.31</v>
      </c>
      <c r="K480" s="10">
        <v>151.31</v>
      </c>
      <c r="L480" s="10" t="s">
        <v>119</v>
      </c>
      <c r="M480" s="10">
        <v>52.54</v>
      </c>
      <c r="N480" s="10">
        <v>37.88</v>
      </c>
      <c r="O480" s="10">
        <v>151.25</v>
      </c>
      <c r="P480" s="10">
        <v>151.25</v>
      </c>
      <c r="Q480" s="17"/>
      <c r="R480" s="10" t="s">
        <v>102</v>
      </c>
    </row>
    <row r="481">
      <c r="A481" s="15">
        <v>46279.83469420139</v>
      </c>
      <c r="B481" s="17"/>
      <c r="C481" s="17"/>
      <c r="D481" s="30" t="s">
        <v>392</v>
      </c>
      <c r="E481" s="30" t="s">
        <v>43</v>
      </c>
      <c r="F481" s="51">
        <v>0.0909</v>
      </c>
      <c r="G481" s="10" t="s">
        <v>20</v>
      </c>
      <c r="H481" s="10">
        <v>53.01</v>
      </c>
      <c r="I481" s="10">
        <v>40.69</v>
      </c>
      <c r="J481" s="10">
        <v>157.5</v>
      </c>
      <c r="K481" s="10">
        <v>157.5</v>
      </c>
      <c r="L481" s="10" t="s">
        <v>119</v>
      </c>
      <c r="M481" s="10">
        <v>52.91</v>
      </c>
      <c r="N481" s="10">
        <v>40.6</v>
      </c>
      <c r="O481" s="10">
        <v>157.12</v>
      </c>
      <c r="P481" s="10">
        <v>157.12</v>
      </c>
      <c r="Q481" s="17"/>
      <c r="R481" s="10" t="s">
        <v>102</v>
      </c>
    </row>
    <row r="482">
      <c r="A482" s="15">
        <v>46279.83571501158</v>
      </c>
      <c r="B482" s="17"/>
      <c r="C482" s="17"/>
      <c r="D482" s="31" t="s">
        <v>446</v>
      </c>
      <c r="E482" s="31" t="s">
        <v>43</v>
      </c>
      <c r="F482" s="52">
        <v>0.0566</v>
      </c>
      <c r="G482" s="10" t="s">
        <v>20</v>
      </c>
      <c r="H482" s="10">
        <v>51.8</v>
      </c>
      <c r="I482" s="10">
        <v>39.87</v>
      </c>
      <c r="J482" s="10">
        <v>152.47</v>
      </c>
      <c r="K482" s="10">
        <v>152.73</v>
      </c>
      <c r="L482" s="10" t="s">
        <v>119</v>
      </c>
      <c r="M482" s="10">
        <v>51.61</v>
      </c>
      <c r="N482" s="10">
        <v>39.71</v>
      </c>
      <c r="O482" s="10">
        <v>152.4</v>
      </c>
      <c r="P482" s="10">
        <v>152.4</v>
      </c>
      <c r="Q482" s="17"/>
      <c r="R482" s="10" t="s">
        <v>102</v>
      </c>
    </row>
    <row r="483">
      <c r="A483" s="15">
        <v>46279.836524375</v>
      </c>
      <c r="B483" s="17"/>
      <c r="C483" s="17"/>
      <c r="D483" s="30" t="s">
        <v>426</v>
      </c>
      <c r="E483" s="30" t="s">
        <v>43</v>
      </c>
      <c r="F483" s="51">
        <v>0.0541</v>
      </c>
      <c r="G483" s="10" t="s">
        <v>20</v>
      </c>
      <c r="H483" s="10">
        <v>50.29</v>
      </c>
      <c r="I483" s="10">
        <v>39.5</v>
      </c>
      <c r="J483" s="10">
        <v>149.27</v>
      </c>
      <c r="K483" s="10">
        <v>149.27</v>
      </c>
      <c r="L483" s="10" t="s">
        <v>119</v>
      </c>
      <c r="M483" s="10">
        <v>50.2</v>
      </c>
      <c r="N483" s="10">
        <v>39.35</v>
      </c>
      <c r="O483" s="10">
        <v>149.21</v>
      </c>
      <c r="P483" s="10">
        <v>148.83</v>
      </c>
      <c r="Q483" s="17"/>
      <c r="R483" s="10" t="s">
        <v>102</v>
      </c>
    </row>
    <row r="484">
      <c r="A484" s="15">
        <v>46279.84681664352</v>
      </c>
      <c r="B484" s="17"/>
      <c r="C484" s="17"/>
      <c r="D484" s="31" t="s">
        <v>447</v>
      </c>
      <c r="E484" s="31" t="s">
        <v>43</v>
      </c>
      <c r="F484" s="52">
        <v>0.038</v>
      </c>
      <c r="G484" s="10" t="s">
        <v>20</v>
      </c>
      <c r="H484" s="10">
        <v>51.99</v>
      </c>
      <c r="I484" s="10">
        <v>42.08</v>
      </c>
      <c r="J484" s="10">
        <v>153.25</v>
      </c>
      <c r="K484" s="10">
        <v>153.45</v>
      </c>
      <c r="L484" s="10" t="s">
        <v>119</v>
      </c>
      <c r="M484" s="10">
        <v>51.9</v>
      </c>
      <c r="N484" s="10">
        <v>41.93</v>
      </c>
      <c r="O484" s="10">
        <v>153.09</v>
      </c>
      <c r="P484" s="10">
        <v>153.09</v>
      </c>
      <c r="Q484" s="17"/>
      <c r="R484" s="10" t="s">
        <v>102</v>
      </c>
    </row>
    <row r="485">
      <c r="A485" s="15">
        <v>46279.8554334375</v>
      </c>
      <c r="B485" s="17"/>
      <c r="C485" s="17"/>
      <c r="D485" s="30" t="s">
        <v>448</v>
      </c>
      <c r="E485" s="30" t="s">
        <v>43</v>
      </c>
      <c r="F485" s="51">
        <v>0.037</v>
      </c>
      <c r="G485" s="10" t="s">
        <v>20</v>
      </c>
      <c r="H485" s="10">
        <v>56.37</v>
      </c>
      <c r="I485" s="10">
        <v>43.29</v>
      </c>
      <c r="J485" s="10">
        <v>165.41</v>
      </c>
      <c r="K485" s="10">
        <v>165.41</v>
      </c>
      <c r="L485" s="10" t="s">
        <v>119</v>
      </c>
      <c r="M485" s="10">
        <v>56.35</v>
      </c>
      <c r="N485" s="10">
        <v>42.99</v>
      </c>
      <c r="O485" s="10">
        <v>165.03</v>
      </c>
      <c r="P485" s="10">
        <v>165.03</v>
      </c>
      <c r="Q485" s="17"/>
      <c r="R485" s="10" t="s">
        <v>102</v>
      </c>
    </row>
    <row r="486">
      <c r="A486" s="15">
        <v>46281.30591484954</v>
      </c>
      <c r="B486" s="17"/>
      <c r="C486" s="17"/>
      <c r="D486" s="31" t="s">
        <v>449</v>
      </c>
      <c r="E486" s="31" t="s">
        <v>320</v>
      </c>
      <c r="F486" s="52">
        <v>0.0714</v>
      </c>
      <c r="G486" s="10" t="s">
        <v>20</v>
      </c>
      <c r="H486" s="10">
        <v>37.64</v>
      </c>
      <c r="I486" s="10">
        <v>54.23</v>
      </c>
      <c r="J486" s="10">
        <v>151.94</v>
      </c>
      <c r="K486" s="10">
        <v>151.65</v>
      </c>
      <c r="L486" s="10" t="s">
        <v>119</v>
      </c>
      <c r="M486" s="10">
        <v>37.52</v>
      </c>
      <c r="N486" s="10">
        <v>54.21</v>
      </c>
      <c r="O486" s="10">
        <v>151.76</v>
      </c>
      <c r="P486" s="10">
        <v>151.66</v>
      </c>
      <c r="Q486" s="17"/>
      <c r="R486" s="10" t="s">
        <v>102</v>
      </c>
    </row>
    <row r="487">
      <c r="A487" s="15">
        <v>46281.30724981481</v>
      </c>
      <c r="B487" s="17"/>
      <c r="C487" s="17"/>
      <c r="D487" s="30" t="s">
        <v>450</v>
      </c>
      <c r="E487" s="30" t="s">
        <v>395</v>
      </c>
      <c r="F487" s="51">
        <v>0.0625</v>
      </c>
      <c r="G487" s="10" t="s">
        <v>20</v>
      </c>
      <c r="H487" s="10">
        <v>53.91</v>
      </c>
      <c r="I487" s="10">
        <v>42.01</v>
      </c>
      <c r="J487" s="10">
        <v>159.6</v>
      </c>
      <c r="K487" s="10">
        <v>159.96</v>
      </c>
      <c r="L487" s="10" t="s">
        <v>119</v>
      </c>
      <c r="M487" s="10">
        <v>53.87</v>
      </c>
      <c r="N487" s="10">
        <v>41.97</v>
      </c>
      <c r="O487" s="10">
        <v>159.46</v>
      </c>
      <c r="P487" s="10">
        <v>159.46</v>
      </c>
      <c r="Q487" s="17"/>
      <c r="R487" s="10" t="s">
        <v>102</v>
      </c>
    </row>
    <row r="488">
      <c r="A488" s="15">
        <v>46281.30797181713</v>
      </c>
      <c r="B488" s="17"/>
      <c r="C488" s="17"/>
      <c r="D488" s="31" t="s">
        <v>451</v>
      </c>
      <c r="E488" s="31" t="s">
        <v>395</v>
      </c>
      <c r="F488" s="52">
        <v>0.0417</v>
      </c>
      <c r="G488" s="10" t="s">
        <v>20</v>
      </c>
      <c r="H488" s="10">
        <v>53.88</v>
      </c>
      <c r="I488" s="10">
        <v>48.7</v>
      </c>
      <c r="J488" s="10">
        <v>163.12</v>
      </c>
      <c r="K488" s="10">
        <v>163.37</v>
      </c>
      <c r="L488" s="10" t="s">
        <v>119</v>
      </c>
      <c r="M488" s="10">
        <v>53.84</v>
      </c>
      <c r="N488" s="10">
        <v>48.61</v>
      </c>
      <c r="O488" s="10">
        <v>163.07</v>
      </c>
      <c r="P488" s="10">
        <v>163.07</v>
      </c>
      <c r="Q488" s="17"/>
      <c r="R488" s="10" t="s">
        <v>102</v>
      </c>
    </row>
    <row r="489">
      <c r="A489" s="15">
        <v>46281.30877695602</v>
      </c>
      <c r="B489" s="17"/>
      <c r="C489" s="17"/>
      <c r="D489" s="30" t="s">
        <v>452</v>
      </c>
      <c r="E489" s="30" t="s">
        <v>453</v>
      </c>
      <c r="F489" s="51">
        <v>0.1304</v>
      </c>
      <c r="G489" s="10" t="s">
        <v>20</v>
      </c>
      <c r="H489" s="10">
        <v>51.93</v>
      </c>
      <c r="I489" s="10">
        <v>40.87</v>
      </c>
      <c r="J489" s="10">
        <v>155.22</v>
      </c>
      <c r="K489" s="10">
        <v>155.13</v>
      </c>
      <c r="L489" s="10" t="s">
        <v>119</v>
      </c>
      <c r="M489" s="10">
        <v>51.85</v>
      </c>
      <c r="N489" s="10">
        <v>40.86</v>
      </c>
      <c r="O489" s="10">
        <v>155.09</v>
      </c>
      <c r="P489" s="10">
        <v>155.09</v>
      </c>
      <c r="Q489" s="17"/>
      <c r="R489" s="10" t="s">
        <v>102</v>
      </c>
    </row>
    <row r="490">
      <c r="A490" s="15">
        <v>46281.31024421296</v>
      </c>
      <c r="B490" s="17"/>
      <c r="C490" s="17"/>
      <c r="D490" s="31" t="s">
        <v>311</v>
      </c>
      <c r="E490" s="31" t="s">
        <v>453</v>
      </c>
      <c r="F490" s="52">
        <v>0.1299</v>
      </c>
      <c r="G490" s="10" t="s">
        <v>20</v>
      </c>
      <c r="H490" s="10">
        <v>53.52</v>
      </c>
      <c r="I490" s="10">
        <v>42.7</v>
      </c>
      <c r="J490" s="10">
        <v>159.55</v>
      </c>
      <c r="K490" s="10">
        <v>159.55</v>
      </c>
      <c r="L490" s="10" t="s">
        <v>119</v>
      </c>
      <c r="M490" s="10">
        <v>53.48</v>
      </c>
      <c r="N490" s="10">
        <v>42.66</v>
      </c>
      <c r="O490" s="10">
        <v>159.41</v>
      </c>
      <c r="P490" s="10">
        <v>159.41</v>
      </c>
      <c r="Q490" s="17"/>
      <c r="R490" s="10" t="s">
        <v>102</v>
      </c>
    </row>
    <row r="491">
      <c r="A491" s="15">
        <v>46280.93745460648</v>
      </c>
      <c r="B491" s="17"/>
      <c r="C491" s="17"/>
      <c r="D491" s="31" t="s">
        <v>438</v>
      </c>
      <c r="E491" s="31" t="s">
        <v>19</v>
      </c>
      <c r="F491" s="52">
        <v>0.4286</v>
      </c>
      <c r="G491" s="10" t="s">
        <v>20</v>
      </c>
      <c r="H491" s="10">
        <v>52.29</v>
      </c>
      <c r="I491" s="10">
        <v>40.37</v>
      </c>
      <c r="J491" s="10">
        <v>152.01</v>
      </c>
      <c r="K491" s="10">
        <v>152.01</v>
      </c>
      <c r="L491" s="10" t="s">
        <v>119</v>
      </c>
      <c r="M491" s="10">
        <v>52.4</v>
      </c>
      <c r="N491" s="10">
        <v>40.5</v>
      </c>
      <c r="O491" s="10">
        <v>152.44</v>
      </c>
      <c r="P491" s="10">
        <v>152.44</v>
      </c>
      <c r="Q491" s="17"/>
      <c r="R491" s="10" t="s">
        <v>102</v>
      </c>
    </row>
    <row r="492">
      <c r="A492" s="15">
        <v>46280.92888071759</v>
      </c>
      <c r="B492" s="17"/>
      <c r="C492" s="17"/>
      <c r="D492" s="30" t="s">
        <v>454</v>
      </c>
      <c r="E492" s="30" t="s">
        <v>19</v>
      </c>
      <c r="F492" s="51">
        <v>0.381</v>
      </c>
      <c r="G492" s="10" t="s">
        <v>20</v>
      </c>
      <c r="H492" s="10">
        <v>51.89</v>
      </c>
      <c r="I492" s="10">
        <v>38.94</v>
      </c>
      <c r="J492" s="10">
        <v>145.2</v>
      </c>
      <c r="K492" s="10">
        <v>145.42</v>
      </c>
      <c r="L492" s="10" t="s">
        <v>119</v>
      </c>
      <c r="M492" s="10">
        <v>52.25</v>
      </c>
      <c r="N492" s="10">
        <v>39.06</v>
      </c>
      <c r="O492" s="10">
        <v>145.86</v>
      </c>
      <c r="P492" s="10">
        <v>145.89</v>
      </c>
      <c r="Q492" s="17"/>
      <c r="R492" s="10" t="s">
        <v>54</v>
      </c>
    </row>
    <row r="493">
      <c r="A493" s="15">
        <v>46280.931173460645</v>
      </c>
      <c r="B493" s="17"/>
      <c r="C493" s="17"/>
      <c r="D493" s="31" t="s">
        <v>455</v>
      </c>
      <c r="E493" s="31" t="s">
        <v>19</v>
      </c>
      <c r="F493" s="52">
        <v>0.2414</v>
      </c>
      <c r="G493" s="10" t="s">
        <v>20</v>
      </c>
      <c r="H493" s="10">
        <v>47.68</v>
      </c>
      <c r="I493" s="10">
        <v>40.8</v>
      </c>
      <c r="J493" s="10">
        <v>143.36</v>
      </c>
      <c r="K493" s="10">
        <v>142.75</v>
      </c>
      <c r="L493" s="10" t="s">
        <v>119</v>
      </c>
      <c r="M493" s="10">
        <v>47.87</v>
      </c>
      <c r="N493" s="10">
        <v>41.0</v>
      </c>
      <c r="O493" s="10">
        <v>143.98</v>
      </c>
      <c r="P493" s="10">
        <v>142.87</v>
      </c>
      <c r="Q493" s="17"/>
      <c r="R493" s="10" t="s">
        <v>54</v>
      </c>
    </row>
    <row r="494">
      <c r="A494" s="15">
        <v>46280.9336370949</v>
      </c>
      <c r="B494" s="17"/>
      <c r="C494" s="17"/>
      <c r="D494" s="30" t="s">
        <v>383</v>
      </c>
      <c r="E494" s="30" t="s">
        <v>19</v>
      </c>
      <c r="F494" s="51">
        <v>0.2</v>
      </c>
      <c r="G494" s="10" t="s">
        <v>20</v>
      </c>
      <c r="H494" s="10">
        <v>56.41</v>
      </c>
      <c r="I494" s="10">
        <v>45.04</v>
      </c>
      <c r="J494" s="10">
        <v>169.12</v>
      </c>
      <c r="K494" s="10">
        <v>169.12</v>
      </c>
      <c r="L494" s="10" t="s">
        <v>119</v>
      </c>
      <c r="M494" s="10">
        <v>56.61</v>
      </c>
      <c r="N494" s="10">
        <v>45.2</v>
      </c>
      <c r="O494" s="10">
        <v>169.76</v>
      </c>
      <c r="P494" s="10">
        <v>169.76</v>
      </c>
      <c r="Q494" s="17"/>
      <c r="R494" s="10" t="s">
        <v>54</v>
      </c>
    </row>
    <row r="495">
      <c r="A495" s="15">
        <v>46280.93792722222</v>
      </c>
      <c r="B495" s="17"/>
      <c r="C495" s="17"/>
      <c r="D495" s="31" t="s">
        <v>342</v>
      </c>
      <c r="E495" s="31" t="s">
        <v>19</v>
      </c>
      <c r="F495" s="52">
        <v>0.15</v>
      </c>
      <c r="G495" s="10" t="s">
        <v>20</v>
      </c>
      <c r="H495" s="10">
        <v>51.43</v>
      </c>
      <c r="I495" s="10">
        <v>37.1</v>
      </c>
      <c r="J495" s="10">
        <v>150.14</v>
      </c>
      <c r="K495" s="10">
        <v>150.14</v>
      </c>
      <c r="L495" s="10" t="s">
        <v>119</v>
      </c>
      <c r="M495" s="10">
        <v>51.55</v>
      </c>
      <c r="N495" s="10">
        <v>37.16</v>
      </c>
      <c r="O495" s="10">
        <v>150.21</v>
      </c>
      <c r="P495" s="10">
        <v>150.21</v>
      </c>
      <c r="Q495" s="17"/>
      <c r="R495" s="10" t="s">
        <v>54</v>
      </c>
    </row>
    <row r="496">
      <c r="A496" s="15">
        <v>46279.86164444445</v>
      </c>
      <c r="B496" s="17"/>
      <c r="C496" s="17"/>
      <c r="D496" s="30" t="s">
        <v>456</v>
      </c>
      <c r="E496" s="30" t="s">
        <v>19</v>
      </c>
      <c r="F496" s="51">
        <v>0.1304</v>
      </c>
      <c r="G496" s="10" t="s">
        <v>20</v>
      </c>
      <c r="H496" s="10">
        <v>47.96</v>
      </c>
      <c r="I496" s="10">
        <v>42.29</v>
      </c>
      <c r="J496" s="10">
        <v>146.51</v>
      </c>
      <c r="K496" s="10">
        <v>146.46</v>
      </c>
      <c r="L496" s="10" t="s">
        <v>119</v>
      </c>
      <c r="M496" s="10">
        <v>48.08</v>
      </c>
      <c r="N496" s="10">
        <v>42.44</v>
      </c>
      <c r="O496" s="10">
        <v>146.72</v>
      </c>
      <c r="P496" s="10">
        <v>146.69</v>
      </c>
      <c r="Q496" s="17"/>
      <c r="R496" s="10" t="s">
        <v>54</v>
      </c>
    </row>
    <row r="497">
      <c r="A497" s="15">
        <v>46280.5645469213</v>
      </c>
      <c r="B497" s="17"/>
      <c r="C497" s="17"/>
      <c r="D497" s="12" t="s">
        <v>457</v>
      </c>
      <c r="E497" s="12" t="s">
        <v>19</v>
      </c>
      <c r="F497" s="17"/>
      <c r="G497" s="10" t="s">
        <v>20</v>
      </c>
      <c r="H497" s="10">
        <v>55.45</v>
      </c>
      <c r="I497" s="10">
        <v>34.72</v>
      </c>
      <c r="J497" s="10">
        <v>154.74</v>
      </c>
      <c r="K497" s="10">
        <v>154.31</v>
      </c>
      <c r="L497" s="10" t="s">
        <v>21</v>
      </c>
      <c r="M497" s="10">
        <v>55.6</v>
      </c>
      <c r="N497" s="10">
        <v>35.3</v>
      </c>
      <c r="O497" s="10">
        <v>156.53</v>
      </c>
      <c r="P497" s="10">
        <v>156.53</v>
      </c>
      <c r="Q497" s="10" t="s">
        <v>19</v>
      </c>
      <c r="R497" s="10" t="s">
        <v>22</v>
      </c>
    </row>
    <row r="498">
      <c r="A498" s="15">
        <v>46280.568239201384</v>
      </c>
      <c r="B498" s="17"/>
      <c r="C498" s="17"/>
      <c r="D498" s="12" t="s">
        <v>458</v>
      </c>
      <c r="E498" s="12" t="s">
        <v>43</v>
      </c>
      <c r="F498" s="17"/>
      <c r="G498" s="10" t="s">
        <v>20</v>
      </c>
      <c r="H498" s="10">
        <v>52.5</v>
      </c>
      <c r="I498" s="10">
        <v>38.36</v>
      </c>
      <c r="J498" s="10">
        <v>151.2</v>
      </c>
      <c r="K498" s="10">
        <v>151.05</v>
      </c>
      <c r="L498" s="10" t="s">
        <v>21</v>
      </c>
      <c r="M498" s="10">
        <v>49.27</v>
      </c>
      <c r="N498" s="10">
        <v>32.65</v>
      </c>
      <c r="O498" s="10">
        <v>137.58</v>
      </c>
      <c r="P498" s="10">
        <v>137.44</v>
      </c>
      <c r="Q498" s="10" t="s">
        <v>19</v>
      </c>
      <c r="R498" s="10" t="s">
        <v>22</v>
      </c>
    </row>
    <row r="499">
      <c r="A499" s="15">
        <v>46280.71013178241</v>
      </c>
      <c r="B499" s="17"/>
      <c r="C499" s="17"/>
      <c r="D499" s="12" t="s">
        <v>459</v>
      </c>
      <c r="E499" s="12" t="s">
        <v>133</v>
      </c>
      <c r="F499" s="17"/>
      <c r="G499" s="10" t="s">
        <v>20</v>
      </c>
      <c r="H499" s="10">
        <v>51.68</v>
      </c>
      <c r="I499" s="10">
        <v>43.69</v>
      </c>
      <c r="J499" s="10">
        <v>156.77</v>
      </c>
      <c r="K499" s="10">
        <v>156.77</v>
      </c>
      <c r="L499" s="10" t="s">
        <v>21</v>
      </c>
      <c r="M499" s="10">
        <v>47.28</v>
      </c>
      <c r="N499" s="10">
        <v>40.24</v>
      </c>
      <c r="O499" s="10">
        <v>143.52</v>
      </c>
      <c r="P499" s="10">
        <v>143.36</v>
      </c>
      <c r="Q499" s="10" t="s">
        <v>133</v>
      </c>
      <c r="R499" s="10" t="s">
        <v>54</v>
      </c>
    </row>
    <row r="500">
      <c r="A500" s="15">
        <v>46280.71372288195</v>
      </c>
      <c r="B500" s="17"/>
      <c r="C500" s="17"/>
      <c r="D500" s="12" t="s">
        <v>460</v>
      </c>
      <c r="E500" s="12" t="s">
        <v>133</v>
      </c>
      <c r="F500" s="17"/>
      <c r="G500" s="10" t="s">
        <v>20</v>
      </c>
      <c r="H500" s="10">
        <v>49.45</v>
      </c>
      <c r="I500" s="10">
        <v>32.55</v>
      </c>
      <c r="J500" s="10">
        <v>137.78</v>
      </c>
      <c r="K500" s="10">
        <v>137.78</v>
      </c>
      <c r="L500" s="10" t="s">
        <v>21</v>
      </c>
      <c r="M500" s="10">
        <v>49.35</v>
      </c>
      <c r="N500" s="10">
        <v>32.63</v>
      </c>
      <c r="O500" s="10">
        <v>137.71</v>
      </c>
      <c r="P500" s="10">
        <v>137.54</v>
      </c>
      <c r="Q500" s="10" t="s">
        <v>133</v>
      </c>
      <c r="R500" s="10" t="s">
        <v>54</v>
      </c>
    </row>
    <row r="501">
      <c r="A501" s="15">
        <v>46280.73627327546</v>
      </c>
      <c r="B501" s="17"/>
      <c r="C501" s="17"/>
      <c r="D501" s="12" t="s">
        <v>338</v>
      </c>
      <c r="E501" s="12" t="s">
        <v>19</v>
      </c>
      <c r="F501" s="17"/>
      <c r="G501" s="10" t="s">
        <v>20</v>
      </c>
      <c r="H501" s="10">
        <v>53.5</v>
      </c>
      <c r="I501" s="10">
        <v>41.71</v>
      </c>
      <c r="J501" s="10">
        <v>157.79</v>
      </c>
      <c r="K501" s="10">
        <v>157.65</v>
      </c>
      <c r="L501" s="10" t="s">
        <v>21</v>
      </c>
      <c r="M501" s="10">
        <v>53.67</v>
      </c>
      <c r="N501" s="10">
        <v>42.36</v>
      </c>
      <c r="O501" s="10">
        <v>158.82</v>
      </c>
      <c r="P501" s="10">
        <v>158.85</v>
      </c>
      <c r="Q501" s="10" t="s">
        <v>19</v>
      </c>
      <c r="R501" s="10" t="s">
        <v>54</v>
      </c>
    </row>
    <row r="502">
      <c r="A502" s="15">
        <v>46280.73789956019</v>
      </c>
      <c r="B502" s="17"/>
      <c r="C502" s="17"/>
      <c r="D502" s="12" t="s">
        <v>461</v>
      </c>
      <c r="E502" s="12" t="s">
        <v>133</v>
      </c>
      <c r="F502" s="17"/>
      <c r="G502" s="10" t="s">
        <v>20</v>
      </c>
      <c r="H502" s="10">
        <v>52.29</v>
      </c>
      <c r="I502" s="10">
        <v>49.02</v>
      </c>
      <c r="J502" s="10">
        <v>164.88</v>
      </c>
      <c r="K502" s="10">
        <v>164.72</v>
      </c>
      <c r="L502" s="10" t="s">
        <v>21</v>
      </c>
      <c r="M502" s="10">
        <v>50.39</v>
      </c>
      <c r="N502" s="10">
        <v>46.57</v>
      </c>
      <c r="O502" s="10">
        <v>157.92</v>
      </c>
      <c r="P502" s="10">
        <v>158.03</v>
      </c>
      <c r="Q502" s="10" t="s">
        <v>133</v>
      </c>
      <c r="R502" s="10" t="s">
        <v>54</v>
      </c>
    </row>
    <row r="503">
      <c r="A503" s="15">
        <v>46281.546162928236</v>
      </c>
      <c r="B503" s="17"/>
      <c r="C503" s="17"/>
      <c r="D503" s="12" t="s">
        <v>460</v>
      </c>
      <c r="E503" s="12" t="s">
        <v>462</v>
      </c>
      <c r="F503" s="17"/>
      <c r="G503" s="10" t="s">
        <v>20</v>
      </c>
      <c r="H503" s="10">
        <v>50.39</v>
      </c>
      <c r="I503" s="10">
        <v>46.57</v>
      </c>
      <c r="J503" s="10">
        <v>157.92</v>
      </c>
      <c r="K503" s="10">
        <v>158.03</v>
      </c>
      <c r="L503" s="10" t="s">
        <v>21</v>
      </c>
      <c r="M503" s="10">
        <v>49.32</v>
      </c>
      <c r="N503" s="10">
        <v>32.5</v>
      </c>
      <c r="O503" s="10">
        <v>137.68</v>
      </c>
      <c r="P503" s="10">
        <v>137.64</v>
      </c>
      <c r="Q503" s="10" t="s">
        <v>462</v>
      </c>
      <c r="R503" s="10" t="s">
        <v>102</v>
      </c>
    </row>
    <row r="504">
      <c r="A504" s="15">
        <v>46282.336344247684</v>
      </c>
      <c r="B504" s="17"/>
      <c r="C504" s="17"/>
      <c r="D504" s="12" t="s">
        <v>463</v>
      </c>
      <c r="E504" s="11"/>
      <c r="F504" s="17"/>
      <c r="G504" s="10" t="s">
        <v>20</v>
      </c>
      <c r="H504" s="10">
        <v>53.25</v>
      </c>
      <c r="I504" s="10">
        <v>39.97</v>
      </c>
      <c r="J504" s="10">
        <v>159.13</v>
      </c>
      <c r="K504" s="10">
        <v>159.43</v>
      </c>
      <c r="L504" s="10" t="s">
        <v>21</v>
      </c>
      <c r="M504" s="10">
        <v>53.76</v>
      </c>
      <c r="N504" s="10">
        <v>39.64</v>
      </c>
      <c r="O504" s="10">
        <v>159.86</v>
      </c>
      <c r="P504" s="10">
        <v>159.13</v>
      </c>
      <c r="Q504" s="10" t="s">
        <v>462</v>
      </c>
      <c r="R504" s="10" t="s">
        <v>67</v>
      </c>
    </row>
    <row r="505">
      <c r="A505" s="15">
        <v>46282.37707097222</v>
      </c>
      <c r="B505" s="17"/>
      <c r="C505" s="17"/>
      <c r="D505" s="12" t="s">
        <v>464</v>
      </c>
      <c r="E505" s="11"/>
      <c r="F505" s="17"/>
      <c r="G505" s="10" t="s">
        <v>20</v>
      </c>
      <c r="H505" s="10">
        <v>48.24</v>
      </c>
      <c r="I505" s="10">
        <v>42.12</v>
      </c>
      <c r="J505" s="10">
        <v>146.32</v>
      </c>
      <c r="K505" s="10">
        <v>146.63</v>
      </c>
      <c r="L505" s="10" t="s">
        <v>21</v>
      </c>
      <c r="M505" s="10">
        <v>48.16</v>
      </c>
      <c r="N505" s="10">
        <v>42.32</v>
      </c>
      <c r="O505" s="10">
        <v>146.48</v>
      </c>
      <c r="P505" s="10">
        <v>146.77</v>
      </c>
      <c r="Q505" s="10" t="s">
        <v>19</v>
      </c>
      <c r="R505" s="10" t="s">
        <v>67</v>
      </c>
    </row>
    <row r="506">
      <c r="A506" s="15">
        <v>46282.55780628472</v>
      </c>
      <c r="B506" s="17"/>
      <c r="C506" s="17"/>
      <c r="D506" s="12">
        <v>209252.0</v>
      </c>
      <c r="E506" s="11"/>
      <c r="F506" s="17"/>
      <c r="G506" s="10" t="s">
        <v>20</v>
      </c>
      <c r="H506" s="10">
        <v>41.47</v>
      </c>
      <c r="I506" s="10">
        <v>40.81</v>
      </c>
      <c r="J506" s="10">
        <v>129.74</v>
      </c>
      <c r="K506" s="10">
        <v>129.74</v>
      </c>
      <c r="L506" s="10" t="s">
        <v>21</v>
      </c>
      <c r="M506" s="10">
        <v>41.69</v>
      </c>
      <c r="N506" s="10">
        <v>41.39</v>
      </c>
      <c r="O506" s="10">
        <v>130.95</v>
      </c>
      <c r="P506" s="10">
        <v>130.95</v>
      </c>
      <c r="Q506" s="10" t="s">
        <v>19</v>
      </c>
      <c r="R506" s="10" t="s">
        <v>67</v>
      </c>
    </row>
    <row r="507">
      <c r="A507" s="15">
        <v>46282.56027447917</v>
      </c>
      <c r="B507" s="17"/>
      <c r="C507" s="17"/>
      <c r="D507" s="12" t="s">
        <v>465</v>
      </c>
      <c r="E507" s="11"/>
      <c r="F507" s="17"/>
      <c r="G507" s="10" t="s">
        <v>20</v>
      </c>
      <c r="H507" s="10">
        <v>52.96</v>
      </c>
      <c r="I507" s="10">
        <v>46.04</v>
      </c>
      <c r="J507" s="10">
        <v>160.14</v>
      </c>
      <c r="K507" s="10">
        <v>160.49</v>
      </c>
      <c r="L507" s="10" t="s">
        <v>21</v>
      </c>
      <c r="M507" s="10">
        <v>52.46</v>
      </c>
      <c r="N507" s="10">
        <v>45.83</v>
      </c>
      <c r="O507" s="10">
        <v>159.09</v>
      </c>
      <c r="P507" s="10">
        <v>159.36</v>
      </c>
      <c r="Q507" s="10" t="s">
        <v>19</v>
      </c>
      <c r="R507" s="10" t="s">
        <v>67</v>
      </c>
    </row>
    <row r="508">
      <c r="A508" s="15">
        <v>46282.57088153935</v>
      </c>
      <c r="B508" s="17"/>
      <c r="C508" s="17"/>
      <c r="D508" s="12" t="s">
        <v>466</v>
      </c>
      <c r="E508" s="11"/>
      <c r="F508" s="17"/>
      <c r="G508" s="10" t="s">
        <v>20</v>
      </c>
      <c r="H508" s="10">
        <v>49.68</v>
      </c>
      <c r="I508" s="10">
        <v>43.88</v>
      </c>
      <c r="J508" s="10">
        <v>150.78</v>
      </c>
      <c r="K508" s="10">
        <v>150.96</v>
      </c>
      <c r="L508" s="10" t="s">
        <v>21</v>
      </c>
      <c r="M508" s="10">
        <v>49.75</v>
      </c>
      <c r="N508" s="10">
        <v>44.06</v>
      </c>
      <c r="O508" s="10">
        <v>151.09</v>
      </c>
      <c r="P508" s="10">
        <v>151.25</v>
      </c>
      <c r="Q508" s="10" t="s">
        <v>19</v>
      </c>
      <c r="R508" s="10" t="s">
        <v>67</v>
      </c>
    </row>
    <row r="509">
      <c r="A509" s="15">
        <v>46282.608959432866</v>
      </c>
      <c r="B509" s="17"/>
      <c r="C509" s="17"/>
      <c r="D509" s="12" t="s">
        <v>467</v>
      </c>
      <c r="E509" s="11"/>
      <c r="F509" s="17"/>
      <c r="G509" s="10" t="s">
        <v>20</v>
      </c>
      <c r="H509" s="10">
        <v>48.5</v>
      </c>
      <c r="I509" s="10">
        <v>33.62</v>
      </c>
      <c r="J509" s="10">
        <v>33.62</v>
      </c>
      <c r="K509" s="10">
        <v>33.62</v>
      </c>
      <c r="L509" s="17"/>
      <c r="M509" s="10">
        <v>48.94</v>
      </c>
      <c r="N509" s="10">
        <v>33.84</v>
      </c>
      <c r="O509" s="10">
        <v>134.96</v>
      </c>
      <c r="P509" s="10">
        <v>134.96</v>
      </c>
      <c r="Q509" s="10" t="s">
        <v>19</v>
      </c>
      <c r="R509" s="10" t="s">
        <v>22</v>
      </c>
    </row>
    <row r="510">
      <c r="A510" s="15">
        <v>46285.80794291667</v>
      </c>
      <c r="B510" s="17"/>
      <c r="C510" s="17"/>
      <c r="D510" s="31" t="s">
        <v>468</v>
      </c>
      <c r="E510" s="30" t="s">
        <v>43</v>
      </c>
      <c r="F510" s="51">
        <v>0.3077</v>
      </c>
      <c r="G510" s="10" t="s">
        <v>20</v>
      </c>
      <c r="H510" s="10">
        <v>58.63</v>
      </c>
      <c r="I510" s="10">
        <v>42.78</v>
      </c>
      <c r="J510" s="10">
        <v>172.62</v>
      </c>
      <c r="K510" s="10">
        <v>172.37</v>
      </c>
      <c r="L510" s="17"/>
      <c r="M510" s="10">
        <v>58.16</v>
      </c>
      <c r="N510" s="10">
        <v>42.59</v>
      </c>
      <c r="O510" s="10">
        <v>171.75</v>
      </c>
      <c r="P510" s="10">
        <v>170.95</v>
      </c>
      <c r="Q510" s="17"/>
      <c r="R510" s="10" t="s">
        <v>102</v>
      </c>
    </row>
    <row r="511">
      <c r="A511" s="15">
        <v>46285.80908994213</v>
      </c>
      <c r="B511" s="17"/>
      <c r="C511" s="17"/>
      <c r="D511" s="31" t="s">
        <v>469</v>
      </c>
      <c r="E511" s="31" t="s">
        <v>43</v>
      </c>
      <c r="F511" s="52">
        <v>0.1667</v>
      </c>
      <c r="G511" s="10" t="s">
        <v>20</v>
      </c>
      <c r="H511" s="10">
        <v>55.79</v>
      </c>
      <c r="I511" s="10">
        <v>34.9</v>
      </c>
      <c r="J511" s="10">
        <v>150.16</v>
      </c>
      <c r="K511" s="10">
        <v>150.78</v>
      </c>
      <c r="L511" s="17"/>
      <c r="M511" s="10">
        <v>55.68</v>
      </c>
      <c r="N511" s="10">
        <v>34.78</v>
      </c>
      <c r="O511" s="10">
        <v>150.21</v>
      </c>
      <c r="P511" s="10">
        <v>150.4</v>
      </c>
      <c r="Q511" s="17"/>
      <c r="R511" s="10" t="s">
        <v>102</v>
      </c>
    </row>
    <row r="512">
      <c r="A512" s="15">
        <v>46285.81055008102</v>
      </c>
      <c r="B512" s="17"/>
      <c r="C512" s="17"/>
      <c r="D512" s="31" t="s">
        <v>470</v>
      </c>
      <c r="E512" s="31" t="s">
        <v>43</v>
      </c>
      <c r="F512" s="52">
        <v>0.0976</v>
      </c>
      <c r="G512" s="10" t="s">
        <v>20</v>
      </c>
      <c r="H512" s="10">
        <v>50.41</v>
      </c>
      <c r="I512" s="10">
        <v>42.9</v>
      </c>
      <c r="J512" s="10">
        <v>151.92</v>
      </c>
      <c r="K512" s="10">
        <v>151.92</v>
      </c>
      <c r="L512" s="17"/>
      <c r="M512" s="10">
        <v>50.32</v>
      </c>
      <c r="N512" s="10">
        <v>42.82</v>
      </c>
      <c r="O512" s="10">
        <v>151.67</v>
      </c>
      <c r="P512" s="10">
        <v>151.67</v>
      </c>
      <c r="Q512" s="17"/>
      <c r="R512" s="10" t="s">
        <v>102</v>
      </c>
    </row>
    <row r="513">
      <c r="A513" s="15">
        <v>46285.81843672454</v>
      </c>
      <c r="B513" s="17"/>
      <c r="C513" s="17"/>
      <c r="D513" s="31" t="s">
        <v>471</v>
      </c>
      <c r="E513" s="30" t="s">
        <v>43</v>
      </c>
      <c r="F513" s="51">
        <v>0.0678</v>
      </c>
      <c r="G513" s="10" t="s">
        <v>20</v>
      </c>
      <c r="H513" s="10">
        <v>54.62</v>
      </c>
      <c r="I513" s="10">
        <v>36.22</v>
      </c>
      <c r="J513" s="10">
        <v>154.43</v>
      </c>
      <c r="K513" s="10">
        <v>154.64</v>
      </c>
      <c r="L513" s="17"/>
      <c r="M513" s="10">
        <v>54.34</v>
      </c>
      <c r="N513" s="10">
        <v>36.02</v>
      </c>
      <c r="O513" s="10">
        <v>153.69</v>
      </c>
      <c r="P513" s="10">
        <v>154.08</v>
      </c>
      <c r="Q513" s="17"/>
      <c r="R513" s="10" t="s">
        <v>102</v>
      </c>
    </row>
    <row r="514">
      <c r="A514" s="15">
        <v>46285.821778819445</v>
      </c>
      <c r="B514" s="17"/>
      <c r="C514" s="17"/>
      <c r="D514" s="31" t="s">
        <v>472</v>
      </c>
      <c r="E514" s="31" t="s">
        <v>43</v>
      </c>
      <c r="F514" s="52">
        <v>0.0411</v>
      </c>
      <c r="G514" s="10" t="s">
        <v>20</v>
      </c>
      <c r="H514" s="10">
        <v>52.66</v>
      </c>
      <c r="I514" s="10">
        <v>42.22</v>
      </c>
      <c r="J514" s="10">
        <v>156.16</v>
      </c>
      <c r="K514" s="10">
        <v>156.15</v>
      </c>
      <c r="L514" s="17"/>
      <c r="M514" s="10">
        <v>52.52</v>
      </c>
      <c r="N514" s="10">
        <v>41.79</v>
      </c>
      <c r="O514" s="10">
        <v>155.81</v>
      </c>
      <c r="P514" s="10">
        <v>155.35</v>
      </c>
      <c r="Q514" s="17"/>
      <c r="R514" s="10" t="s">
        <v>102</v>
      </c>
    </row>
    <row r="515">
      <c r="A515" s="15">
        <v>46285.82284040509</v>
      </c>
      <c r="B515" s="17"/>
      <c r="C515" s="17"/>
      <c r="D515" s="31" t="s">
        <v>473</v>
      </c>
      <c r="E515" s="30" t="s">
        <v>43</v>
      </c>
      <c r="F515" s="51">
        <v>0.0361</v>
      </c>
      <c r="G515" s="10" t="s">
        <v>20</v>
      </c>
      <c r="H515" s="10">
        <v>55.29</v>
      </c>
      <c r="I515" s="10">
        <v>44.55</v>
      </c>
      <c r="J515" s="10">
        <v>163.84</v>
      </c>
      <c r="K515" s="10">
        <v>163.84</v>
      </c>
      <c r="L515" s="17"/>
      <c r="M515" s="10">
        <v>55.15</v>
      </c>
      <c r="N515" s="10">
        <v>44.48</v>
      </c>
      <c r="O515" s="10">
        <v>163.72</v>
      </c>
      <c r="P515" s="10">
        <v>163.67</v>
      </c>
      <c r="Q515" s="17"/>
      <c r="R515" s="10" t="s">
        <v>102</v>
      </c>
    </row>
    <row r="516">
      <c r="A516" s="15">
        <v>46285.84205331019</v>
      </c>
      <c r="B516" s="17"/>
      <c r="C516" s="17"/>
      <c r="D516" s="31" t="s">
        <v>172</v>
      </c>
      <c r="E516" s="31" t="s">
        <v>474</v>
      </c>
      <c r="F516" s="52">
        <v>0.0469</v>
      </c>
      <c r="G516" s="10" t="s">
        <v>20</v>
      </c>
      <c r="H516" s="10">
        <v>51.91</v>
      </c>
      <c r="I516" s="10">
        <v>43.6</v>
      </c>
      <c r="J516" s="10">
        <v>156.07</v>
      </c>
      <c r="K516" s="10">
        <v>155.95</v>
      </c>
      <c r="L516" s="17"/>
      <c r="M516" s="10">
        <v>51.95</v>
      </c>
      <c r="N516" s="10">
        <v>43.66</v>
      </c>
      <c r="O516" s="10">
        <v>156.14</v>
      </c>
      <c r="P516" s="10">
        <v>156.05</v>
      </c>
      <c r="Q516" s="17"/>
      <c r="R516" s="17"/>
    </row>
    <row r="517">
      <c r="A517" s="15">
        <v>46285.843524502314</v>
      </c>
      <c r="B517" s="17"/>
      <c r="C517" s="17"/>
      <c r="D517" s="31" t="s">
        <v>353</v>
      </c>
      <c r="E517" s="30" t="s">
        <v>395</v>
      </c>
      <c r="F517" s="51">
        <v>0.0857</v>
      </c>
      <c r="G517" s="10" t="s">
        <v>20</v>
      </c>
      <c r="H517" s="10">
        <v>56.9</v>
      </c>
      <c r="I517" s="10">
        <v>44.7</v>
      </c>
      <c r="J517" s="10">
        <v>163.36</v>
      </c>
      <c r="K517" s="10">
        <v>166.77</v>
      </c>
      <c r="L517" s="17"/>
      <c r="M517" s="10">
        <v>55.1</v>
      </c>
      <c r="N517" s="10">
        <v>44.4</v>
      </c>
      <c r="O517" s="10">
        <v>163.34</v>
      </c>
      <c r="P517" s="10">
        <v>163.27</v>
      </c>
      <c r="Q517" s="17"/>
      <c r="R517" s="17"/>
    </row>
    <row r="518">
      <c r="A518" s="15">
        <v>46285.84561804398</v>
      </c>
      <c r="B518" s="17"/>
      <c r="C518" s="17"/>
      <c r="D518" s="31" t="s">
        <v>475</v>
      </c>
      <c r="E518" s="31" t="s">
        <v>395</v>
      </c>
      <c r="F518" s="52">
        <v>0.0973</v>
      </c>
      <c r="G518" s="10" t="s">
        <v>20</v>
      </c>
      <c r="H518" s="10">
        <v>60.41</v>
      </c>
      <c r="I518" s="10">
        <v>48.48</v>
      </c>
      <c r="J518" s="10">
        <v>177.02</v>
      </c>
      <c r="K518" s="10">
        <v>177.77</v>
      </c>
      <c r="L518" s="17"/>
      <c r="M518" s="10">
        <v>60.21</v>
      </c>
      <c r="N518" s="10">
        <v>48.36</v>
      </c>
      <c r="O518" s="10">
        <v>176.92</v>
      </c>
      <c r="P518" s="10">
        <v>177.03</v>
      </c>
      <c r="Q518" s="17"/>
      <c r="R518" s="17"/>
    </row>
    <row r="519">
      <c r="A519" s="15">
        <v>46285.848731782404</v>
      </c>
      <c r="B519" s="17"/>
      <c r="C519" s="17"/>
      <c r="D519" s="31" t="s">
        <v>476</v>
      </c>
      <c r="E519" s="30" t="s">
        <v>395</v>
      </c>
      <c r="F519" s="51">
        <v>0.0222</v>
      </c>
      <c r="G519" s="10" t="s">
        <v>20</v>
      </c>
      <c r="H519" s="10">
        <v>55.2</v>
      </c>
      <c r="I519" s="10">
        <v>34.39</v>
      </c>
      <c r="J519" s="10">
        <v>156.85</v>
      </c>
      <c r="K519" s="10">
        <v>156.21</v>
      </c>
      <c r="L519" s="17"/>
      <c r="M519" s="10">
        <v>55.25</v>
      </c>
      <c r="N519" s="10">
        <v>34.45</v>
      </c>
      <c r="O519" s="10">
        <v>155.84</v>
      </c>
      <c r="P519" s="10">
        <v>155.84</v>
      </c>
      <c r="Q519" s="17"/>
      <c r="R519" s="17"/>
    </row>
    <row r="520">
      <c r="A520" s="15">
        <v>46285.84992317129</v>
      </c>
      <c r="B520" s="17"/>
      <c r="C520" s="17"/>
      <c r="D520" s="31" t="s">
        <v>477</v>
      </c>
      <c r="E520" s="31" t="s">
        <v>137</v>
      </c>
      <c r="F520" s="52">
        <v>0.1026</v>
      </c>
      <c r="G520" s="10" t="s">
        <v>20</v>
      </c>
      <c r="H520" s="10">
        <v>55.39</v>
      </c>
      <c r="I520" s="10">
        <v>38.28</v>
      </c>
      <c r="J520" s="10">
        <v>158.42</v>
      </c>
      <c r="K520" s="10">
        <v>158.52</v>
      </c>
      <c r="L520" s="17"/>
      <c r="M520" s="10">
        <v>55.45</v>
      </c>
      <c r="N520" s="10">
        <v>38.33</v>
      </c>
      <c r="O520" s="10">
        <v>158.17</v>
      </c>
      <c r="P520" s="10">
        <v>158.17</v>
      </c>
      <c r="Q520" s="17"/>
      <c r="R520" s="17"/>
    </row>
    <row r="521">
      <c r="A521" s="15">
        <v>46285.851093171295</v>
      </c>
      <c r="B521" s="17"/>
      <c r="C521" s="17"/>
      <c r="D521" s="31" t="s">
        <v>478</v>
      </c>
      <c r="E521" s="30" t="s">
        <v>479</v>
      </c>
      <c r="F521" s="51">
        <v>0.0398</v>
      </c>
      <c r="G521" s="10" t="s">
        <v>20</v>
      </c>
      <c r="H521" s="10">
        <v>51.85</v>
      </c>
      <c r="I521" s="10">
        <v>33.18</v>
      </c>
      <c r="J521" s="10">
        <v>145.27</v>
      </c>
      <c r="K521" s="10">
        <v>145.25</v>
      </c>
      <c r="L521" s="17"/>
      <c r="M521" s="10">
        <v>51.6</v>
      </c>
      <c r="N521" s="10">
        <v>32.99</v>
      </c>
      <c r="O521" s="10">
        <v>144.5</v>
      </c>
      <c r="P521" s="10">
        <v>144.61</v>
      </c>
      <c r="Q521" s="17"/>
      <c r="R521" s="17"/>
    </row>
    <row r="522">
      <c r="A522" s="56"/>
      <c r="B522" s="57"/>
      <c r="C522" s="57"/>
      <c r="D522" s="58" t="s">
        <v>480</v>
      </c>
      <c r="E522" s="58" t="s">
        <v>405</v>
      </c>
      <c r="F522" s="59">
        <v>0.1395</v>
      </c>
      <c r="G522" s="62" t="s">
        <v>20</v>
      </c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62" t="s">
        <v>102</v>
      </c>
      <c r="S522" s="56"/>
      <c r="T522" s="56"/>
      <c r="U522" s="56"/>
      <c r="V522" s="56"/>
      <c r="W522" s="56"/>
    </row>
    <row r="523">
      <c r="A523" s="56"/>
      <c r="B523" s="57"/>
      <c r="C523" s="57"/>
      <c r="D523" s="58" t="s">
        <v>481</v>
      </c>
      <c r="E523" s="58" t="s">
        <v>405</v>
      </c>
      <c r="F523" s="59">
        <v>0.1034</v>
      </c>
      <c r="G523" s="62" t="s">
        <v>20</v>
      </c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62" t="s">
        <v>102</v>
      </c>
      <c r="S523" s="56"/>
      <c r="T523" s="56"/>
      <c r="U523" s="56"/>
      <c r="V523" s="56"/>
      <c r="W523" s="56"/>
    </row>
    <row r="524">
      <c r="A524" s="56"/>
      <c r="B524" s="57"/>
      <c r="C524" s="57"/>
      <c r="D524" s="58" t="s">
        <v>287</v>
      </c>
      <c r="E524" s="58" t="s">
        <v>405</v>
      </c>
      <c r="F524" s="59">
        <v>0.1294</v>
      </c>
      <c r="G524" s="62" t="s">
        <v>20</v>
      </c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62" t="s">
        <v>102</v>
      </c>
      <c r="S524" s="56"/>
      <c r="T524" s="56"/>
      <c r="U524" s="56"/>
      <c r="V524" s="56"/>
      <c r="W524" s="56"/>
    </row>
    <row r="525">
      <c r="A525" s="56"/>
      <c r="B525" s="57"/>
      <c r="C525" s="57"/>
      <c r="D525" s="58" t="s">
        <v>482</v>
      </c>
      <c r="E525" s="58" t="s">
        <v>405</v>
      </c>
      <c r="F525" s="59">
        <v>0.0678</v>
      </c>
      <c r="G525" s="62" t="s">
        <v>20</v>
      </c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62" t="s">
        <v>102</v>
      </c>
      <c r="S525" s="56"/>
      <c r="T525" s="56"/>
      <c r="U525" s="56"/>
      <c r="V525" s="56"/>
      <c r="W525" s="56"/>
    </row>
    <row r="526">
      <c r="A526" s="56"/>
      <c r="B526" s="57"/>
      <c r="C526" s="57"/>
      <c r="D526" s="58" t="s">
        <v>256</v>
      </c>
      <c r="E526" s="58" t="s">
        <v>405</v>
      </c>
      <c r="F526" s="59">
        <v>0.0704</v>
      </c>
      <c r="G526" s="62" t="s">
        <v>20</v>
      </c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62" t="s">
        <v>102</v>
      </c>
      <c r="S526" s="56"/>
      <c r="T526" s="56"/>
      <c r="U526" s="56"/>
      <c r="V526" s="56"/>
      <c r="W526" s="56"/>
    </row>
    <row r="527">
      <c r="A527" s="56"/>
      <c r="B527" s="57"/>
      <c r="C527" s="57"/>
      <c r="D527" s="58" t="s">
        <v>483</v>
      </c>
      <c r="E527" s="58" t="s">
        <v>405</v>
      </c>
      <c r="F527" s="59">
        <v>0.0594</v>
      </c>
      <c r="G527" s="62" t="s">
        <v>20</v>
      </c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62" t="s">
        <v>102</v>
      </c>
      <c r="S527" s="56"/>
      <c r="T527" s="56"/>
      <c r="U527" s="56"/>
      <c r="V527" s="56"/>
      <c r="W527" s="56"/>
    </row>
    <row r="528">
      <c r="A528" s="15">
        <v>46285.82418596065</v>
      </c>
      <c r="B528" s="17"/>
      <c r="C528" s="17"/>
      <c r="D528" s="31" t="s">
        <v>484</v>
      </c>
      <c r="E528" s="30" t="s">
        <v>19</v>
      </c>
      <c r="F528" s="51">
        <v>0.122</v>
      </c>
      <c r="G528" s="10" t="s">
        <v>20</v>
      </c>
      <c r="H528" s="10">
        <v>49.51</v>
      </c>
      <c r="I528" s="10">
        <v>42.3</v>
      </c>
      <c r="J528" s="10">
        <v>149.8</v>
      </c>
      <c r="K528" s="10">
        <v>149.49</v>
      </c>
      <c r="L528" s="17"/>
      <c r="M528" s="10">
        <v>49.61</v>
      </c>
      <c r="N528" s="10">
        <v>42.4</v>
      </c>
      <c r="O528" s="10">
        <v>150.13</v>
      </c>
      <c r="P528" s="40">
        <v>150.13</v>
      </c>
      <c r="Q528" s="17"/>
      <c r="R528" s="62" t="s">
        <v>102</v>
      </c>
    </row>
    <row r="529">
      <c r="A529" s="15">
        <v>46285.82537491898</v>
      </c>
      <c r="B529" s="17"/>
      <c r="C529" s="17"/>
      <c r="D529" s="31" t="s">
        <v>485</v>
      </c>
      <c r="E529" s="31" t="s">
        <v>19</v>
      </c>
      <c r="F529" s="52">
        <v>0.2857</v>
      </c>
      <c r="G529" s="10" t="s">
        <v>20</v>
      </c>
      <c r="H529" s="10">
        <v>51.2</v>
      </c>
      <c r="I529" s="10">
        <v>42.86</v>
      </c>
      <c r="J529" s="10">
        <v>153.77</v>
      </c>
      <c r="K529" s="10">
        <v>153.85</v>
      </c>
      <c r="L529" s="17"/>
      <c r="M529" s="10">
        <v>51.38</v>
      </c>
      <c r="N529" s="10">
        <v>43.02</v>
      </c>
      <c r="O529" s="10">
        <v>154.27</v>
      </c>
      <c r="P529" s="10">
        <v>154.27</v>
      </c>
      <c r="Q529" s="17"/>
      <c r="R529" s="62" t="s">
        <v>102</v>
      </c>
    </row>
    <row r="530">
      <c r="A530" s="15">
        <v>46285.8314502662</v>
      </c>
      <c r="B530" s="17"/>
      <c r="C530" s="17"/>
      <c r="D530" s="31" t="s">
        <v>486</v>
      </c>
      <c r="E530" s="31" t="s">
        <v>19</v>
      </c>
      <c r="F530" s="52">
        <v>0.05</v>
      </c>
      <c r="G530" s="10" t="s">
        <v>20</v>
      </c>
      <c r="H530" s="10">
        <v>53.44</v>
      </c>
      <c r="I530" s="10">
        <v>40.17</v>
      </c>
      <c r="J530" s="10">
        <v>159.47</v>
      </c>
      <c r="K530" s="10">
        <v>159.93</v>
      </c>
      <c r="L530" s="17"/>
      <c r="M530" s="10">
        <v>53.62</v>
      </c>
      <c r="N530" s="10">
        <v>40.41</v>
      </c>
      <c r="O530" s="10">
        <v>160.04</v>
      </c>
      <c r="P530" s="10">
        <v>159.84</v>
      </c>
      <c r="Q530" s="17"/>
      <c r="R530" s="62" t="s">
        <v>102</v>
      </c>
    </row>
    <row r="531">
      <c r="A531" s="15">
        <v>46285.83367384259</v>
      </c>
      <c r="B531" s="17"/>
      <c r="C531" s="17"/>
      <c r="D531" s="31" t="s">
        <v>487</v>
      </c>
      <c r="E531" s="30" t="s">
        <v>19</v>
      </c>
      <c r="F531" s="51">
        <v>0.0323</v>
      </c>
      <c r="G531" s="10" t="s">
        <v>20</v>
      </c>
      <c r="H531" s="10">
        <v>52.19</v>
      </c>
      <c r="I531" s="10">
        <v>43.76</v>
      </c>
      <c r="J531" s="10">
        <v>156.41</v>
      </c>
      <c r="K531" s="10">
        <v>156.36</v>
      </c>
      <c r="L531" s="17"/>
      <c r="M531" s="10">
        <v>52.24</v>
      </c>
      <c r="N531" s="40">
        <v>43.81</v>
      </c>
      <c r="O531" s="10">
        <v>156.57</v>
      </c>
      <c r="P531" s="10">
        <v>156.49</v>
      </c>
      <c r="Q531" s="17"/>
      <c r="R531" s="62" t="s">
        <v>102</v>
      </c>
    </row>
    <row r="532">
      <c r="A532" s="15">
        <v>46285.83523873842</v>
      </c>
      <c r="B532" s="17"/>
      <c r="C532" s="17"/>
      <c r="D532" s="31" t="s">
        <v>488</v>
      </c>
      <c r="E532" s="30" t="s">
        <v>19</v>
      </c>
      <c r="F532" s="51">
        <v>0.1053</v>
      </c>
      <c r="G532" s="10" t="s">
        <v>20</v>
      </c>
      <c r="H532" s="10">
        <v>54.66</v>
      </c>
      <c r="I532" s="10">
        <v>32.28</v>
      </c>
      <c r="J532" s="10">
        <v>149.13</v>
      </c>
      <c r="K532" s="10">
        <v>149.41</v>
      </c>
      <c r="L532" s="17"/>
      <c r="M532" s="10">
        <v>54.75</v>
      </c>
      <c r="N532" s="10">
        <v>32.34</v>
      </c>
      <c r="O532" s="10">
        <v>149.2</v>
      </c>
      <c r="P532" s="10">
        <v>149.2</v>
      </c>
      <c r="Q532" s="17"/>
      <c r="R532" s="62" t="s">
        <v>102</v>
      </c>
    </row>
    <row r="533">
      <c r="A533" s="15">
        <v>46285.83766913194</v>
      </c>
      <c r="B533" s="17"/>
      <c r="C533" s="17"/>
      <c r="D533" s="31" t="s">
        <v>374</v>
      </c>
      <c r="E533" s="31" t="s">
        <v>19</v>
      </c>
      <c r="F533" s="52">
        <v>0.0427</v>
      </c>
      <c r="G533" s="10" t="s">
        <v>20</v>
      </c>
      <c r="H533" s="10">
        <v>51.29</v>
      </c>
      <c r="I533" s="10">
        <v>38.35</v>
      </c>
      <c r="J533" s="40">
        <v>148.7</v>
      </c>
      <c r="K533" s="10">
        <v>148.78</v>
      </c>
      <c r="L533" s="17"/>
      <c r="M533" s="10">
        <v>51.35</v>
      </c>
      <c r="N533" s="10">
        <v>38.6</v>
      </c>
      <c r="O533" s="10">
        <v>150.09</v>
      </c>
      <c r="P533" s="10">
        <v>150.03</v>
      </c>
      <c r="Q533" s="17"/>
      <c r="R533" s="62" t="s">
        <v>102</v>
      </c>
    </row>
    <row r="534">
      <c r="B534" s="17"/>
      <c r="C534" s="17"/>
      <c r="D534" s="31" t="s">
        <v>142</v>
      </c>
      <c r="E534" s="31" t="s">
        <v>336</v>
      </c>
      <c r="F534" s="52">
        <v>0.3889</v>
      </c>
      <c r="G534" s="10" t="s">
        <v>20</v>
      </c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</row>
    <row r="535">
      <c r="A535" s="15">
        <v>46286.89000668981</v>
      </c>
      <c r="B535" s="17"/>
      <c r="C535" s="17"/>
      <c r="D535" s="12" t="s">
        <v>489</v>
      </c>
      <c r="E535" s="31" t="s">
        <v>336</v>
      </c>
      <c r="F535" s="17"/>
      <c r="G535" s="10" t="s">
        <v>20</v>
      </c>
      <c r="H535" s="10">
        <v>50.87</v>
      </c>
      <c r="I535" s="10">
        <v>41.74</v>
      </c>
      <c r="J535" s="10">
        <v>151.55</v>
      </c>
      <c r="K535" s="10">
        <v>151.55</v>
      </c>
      <c r="L535" s="10" t="s">
        <v>119</v>
      </c>
      <c r="M535" s="10">
        <v>49.19</v>
      </c>
      <c r="N535" s="10">
        <v>41.89</v>
      </c>
      <c r="O535" s="10">
        <v>148.67</v>
      </c>
      <c r="P535" s="10">
        <v>148.78</v>
      </c>
      <c r="Q535" s="17"/>
      <c r="R535" s="10" t="s">
        <v>102</v>
      </c>
    </row>
    <row r="536">
      <c r="A536" s="15">
        <v>46287.30534723379</v>
      </c>
      <c r="B536" s="17"/>
      <c r="C536" s="17"/>
      <c r="D536" s="12" t="s">
        <v>424</v>
      </c>
      <c r="E536" s="12" t="s">
        <v>490</v>
      </c>
      <c r="F536" s="17"/>
      <c r="G536" s="10" t="s">
        <v>20</v>
      </c>
      <c r="H536" s="10">
        <v>50.71</v>
      </c>
      <c r="I536" s="10">
        <v>43.05</v>
      </c>
      <c r="J536" s="10">
        <v>153.73</v>
      </c>
      <c r="K536" s="10">
        <v>153.7</v>
      </c>
      <c r="L536" s="10" t="s">
        <v>21</v>
      </c>
      <c r="M536" s="10">
        <v>51.65</v>
      </c>
      <c r="N536" s="10">
        <v>43.78</v>
      </c>
      <c r="O536" s="10">
        <v>156.22</v>
      </c>
      <c r="P536" s="10">
        <v>155.93</v>
      </c>
      <c r="Q536" s="17"/>
      <c r="R536" s="10" t="s">
        <v>102</v>
      </c>
    </row>
    <row r="537">
      <c r="A537" s="15">
        <v>46287.71933474537</v>
      </c>
      <c r="B537" s="17"/>
      <c r="C537" s="17"/>
      <c r="D537" s="30" t="s">
        <v>491</v>
      </c>
      <c r="E537" s="30" t="s">
        <v>133</v>
      </c>
      <c r="F537" s="50">
        <v>0.0423</v>
      </c>
      <c r="G537" s="10" t="s">
        <v>20</v>
      </c>
      <c r="H537" s="10">
        <v>54.26</v>
      </c>
      <c r="I537" s="10">
        <v>39.85</v>
      </c>
      <c r="J537" s="10">
        <v>157.65</v>
      </c>
      <c r="K537" s="10">
        <v>157.91</v>
      </c>
      <c r="L537" s="10" t="s">
        <v>119</v>
      </c>
      <c r="M537" s="10">
        <v>54.06</v>
      </c>
      <c r="N537" s="10">
        <v>39.65</v>
      </c>
      <c r="O537" s="10">
        <v>156.77</v>
      </c>
      <c r="P537" s="10">
        <v>157.01</v>
      </c>
      <c r="Q537" s="17"/>
      <c r="R537" s="10" t="s">
        <v>22</v>
      </c>
    </row>
    <row r="538">
      <c r="A538" s="15">
        <v>46287.721234375</v>
      </c>
      <c r="B538" s="17"/>
      <c r="C538" s="17"/>
      <c r="D538" s="31" t="s">
        <v>492</v>
      </c>
      <c r="E538" s="31" t="s">
        <v>133</v>
      </c>
      <c r="F538" s="49">
        <v>0.0561</v>
      </c>
      <c r="G538" s="10" t="s">
        <v>20</v>
      </c>
      <c r="H538" s="10">
        <v>56.84</v>
      </c>
      <c r="I538" s="10">
        <v>37.4</v>
      </c>
      <c r="J538" s="10">
        <v>159.81</v>
      </c>
      <c r="K538" s="10">
        <v>159.7</v>
      </c>
      <c r="L538" s="10" t="s">
        <v>119</v>
      </c>
      <c r="M538" s="10">
        <v>56.63</v>
      </c>
      <c r="N538" s="10">
        <v>37.2</v>
      </c>
      <c r="O538" s="10">
        <v>159.15</v>
      </c>
      <c r="P538" s="10">
        <v>159.19</v>
      </c>
      <c r="Q538" s="17"/>
      <c r="R538" s="10" t="s">
        <v>22</v>
      </c>
    </row>
    <row r="539">
      <c r="A539" s="15">
        <v>46287.72303542824</v>
      </c>
      <c r="B539" s="17"/>
      <c r="C539" s="17"/>
      <c r="D539" s="30" t="s">
        <v>493</v>
      </c>
      <c r="E539" s="30" t="s">
        <v>133</v>
      </c>
      <c r="F539" s="50">
        <v>0.0494</v>
      </c>
      <c r="G539" s="10" t="s">
        <v>20</v>
      </c>
      <c r="H539" s="10">
        <v>51.45</v>
      </c>
      <c r="I539" s="10">
        <v>40.87</v>
      </c>
      <c r="J539" s="10">
        <v>155.67</v>
      </c>
      <c r="K539" s="10">
        <v>155.71</v>
      </c>
      <c r="L539" s="10" t="s">
        <v>119</v>
      </c>
      <c r="M539" s="10">
        <v>51.24</v>
      </c>
      <c r="N539" s="10">
        <v>40.67</v>
      </c>
      <c r="O539" s="10">
        <v>154.82</v>
      </c>
      <c r="P539" s="10">
        <v>154.87</v>
      </c>
      <c r="Q539" s="17"/>
      <c r="R539" s="10" t="s">
        <v>22</v>
      </c>
    </row>
    <row r="540">
      <c r="A540" s="15">
        <v>46287.7258293287</v>
      </c>
      <c r="B540" s="17"/>
      <c r="C540" s="17"/>
      <c r="D540" s="31" t="s">
        <v>494</v>
      </c>
      <c r="E540" s="31" t="s">
        <v>133</v>
      </c>
      <c r="F540" s="49">
        <v>0.2632</v>
      </c>
      <c r="G540" s="10" t="s">
        <v>20</v>
      </c>
      <c r="H540" s="10">
        <v>52.22</v>
      </c>
      <c r="I540" s="10">
        <v>43.36</v>
      </c>
      <c r="J540" s="10">
        <v>155.06</v>
      </c>
      <c r="K540" s="10">
        <v>155.06</v>
      </c>
      <c r="L540" s="10" t="s">
        <v>119</v>
      </c>
      <c r="M540" s="10">
        <v>52.02</v>
      </c>
      <c r="N540" s="10">
        <v>43.16</v>
      </c>
      <c r="O540" s="10">
        <v>154.41</v>
      </c>
      <c r="P540" s="10">
        <v>154.37</v>
      </c>
      <c r="Q540" s="17"/>
      <c r="R540" s="10" t="s">
        <v>22</v>
      </c>
    </row>
    <row r="541">
      <c r="A541" s="15">
        <v>46287.72812892361</v>
      </c>
      <c r="B541" s="17"/>
      <c r="C541" s="17"/>
      <c r="D541" s="30" t="s">
        <v>495</v>
      </c>
      <c r="E541" s="30" t="s">
        <v>133</v>
      </c>
      <c r="F541" s="50">
        <v>0.1087</v>
      </c>
      <c r="G541" s="10" t="s">
        <v>20</v>
      </c>
      <c r="H541" s="10">
        <v>54.36</v>
      </c>
      <c r="I541" s="10">
        <v>35.09</v>
      </c>
      <c r="J541" s="10">
        <v>153.56</v>
      </c>
      <c r="K541" s="10">
        <v>153.2</v>
      </c>
      <c r="L541" s="10" t="s">
        <v>119</v>
      </c>
      <c r="M541" s="10">
        <v>54.16</v>
      </c>
      <c r="N541" s="10">
        <v>34.89</v>
      </c>
      <c r="O541" s="10">
        <v>152.9</v>
      </c>
      <c r="P541" s="10">
        <v>152.55</v>
      </c>
      <c r="Q541" s="17"/>
      <c r="R541" s="10" t="s">
        <v>22</v>
      </c>
    </row>
    <row r="542">
      <c r="A542" s="15">
        <v>46288.34197688657</v>
      </c>
      <c r="B542" s="17"/>
      <c r="C542" s="17"/>
      <c r="D542" s="31" t="s">
        <v>496</v>
      </c>
      <c r="E542" s="31" t="s">
        <v>133</v>
      </c>
      <c r="F542" s="49">
        <v>0.3077</v>
      </c>
      <c r="G542" s="10" t="s">
        <v>20</v>
      </c>
      <c r="H542" s="10">
        <v>55.31</v>
      </c>
      <c r="I542" s="10">
        <v>34.93</v>
      </c>
      <c r="J542" s="10">
        <v>149.64</v>
      </c>
      <c r="K542" s="10">
        <v>150.2</v>
      </c>
      <c r="L542" s="10" t="s">
        <v>119</v>
      </c>
      <c r="M542" s="10">
        <v>55.25</v>
      </c>
      <c r="N542" s="10">
        <v>34.7</v>
      </c>
      <c r="O542" s="10">
        <v>149.44</v>
      </c>
      <c r="P542" s="10">
        <v>149.41</v>
      </c>
      <c r="Q542" s="17"/>
      <c r="R542" s="10" t="s">
        <v>102</v>
      </c>
    </row>
    <row r="543">
      <c r="A543" s="15">
        <v>46288.343306319446</v>
      </c>
      <c r="B543" s="17"/>
      <c r="C543" s="17"/>
      <c r="D543" s="30" t="s">
        <v>311</v>
      </c>
      <c r="E543" s="30" t="s">
        <v>497</v>
      </c>
      <c r="F543" s="50">
        <v>0.0705</v>
      </c>
      <c r="G543" s="10" t="s">
        <v>20</v>
      </c>
      <c r="H543" s="10">
        <v>53.48</v>
      </c>
      <c r="I543" s="10">
        <v>42.66</v>
      </c>
      <c r="J543" s="10">
        <v>159.41</v>
      </c>
      <c r="K543" s="10">
        <v>159.23</v>
      </c>
      <c r="L543" s="10" t="s">
        <v>119</v>
      </c>
      <c r="M543" s="10">
        <v>53.42</v>
      </c>
      <c r="N543" s="10">
        <v>42.61</v>
      </c>
      <c r="O543" s="10">
        <v>159.24</v>
      </c>
      <c r="P543" s="10">
        <v>159.07</v>
      </c>
      <c r="Q543" s="17"/>
      <c r="R543" s="10" t="s">
        <v>102</v>
      </c>
    </row>
    <row r="544">
      <c r="A544" s="15">
        <v>46288.352109432875</v>
      </c>
      <c r="B544" s="17"/>
      <c r="C544" s="17"/>
      <c r="D544" s="31" t="s">
        <v>498</v>
      </c>
      <c r="E544" s="31" t="s">
        <v>499</v>
      </c>
      <c r="F544" s="49">
        <v>0.098</v>
      </c>
      <c r="G544" s="10" t="s">
        <v>20</v>
      </c>
      <c r="H544" s="10">
        <v>55.53</v>
      </c>
      <c r="I544" s="10">
        <v>38.9</v>
      </c>
      <c r="J544" s="10">
        <v>163.24</v>
      </c>
      <c r="K544" s="10">
        <v>164.24</v>
      </c>
      <c r="L544" s="10" t="s">
        <v>119</v>
      </c>
      <c r="M544" s="40">
        <v>55.47</v>
      </c>
      <c r="N544" s="10">
        <v>38.85</v>
      </c>
      <c r="O544" s="10">
        <v>162.53</v>
      </c>
      <c r="P544" s="10">
        <v>163.13</v>
      </c>
      <c r="Q544" s="17"/>
      <c r="R544" s="10" t="s">
        <v>54</v>
      </c>
    </row>
    <row r="545">
      <c r="A545" s="15">
        <v>46288.35557248842</v>
      </c>
      <c r="B545" s="17"/>
      <c r="C545" s="17"/>
      <c r="D545" s="30" t="s">
        <v>500</v>
      </c>
      <c r="E545" s="30" t="s">
        <v>499</v>
      </c>
      <c r="F545" s="50">
        <v>0.092</v>
      </c>
      <c r="G545" s="10" t="s">
        <v>20</v>
      </c>
      <c r="H545" s="10">
        <v>52.2</v>
      </c>
      <c r="I545" s="10">
        <v>44.35</v>
      </c>
      <c r="J545" s="10">
        <v>157.86</v>
      </c>
      <c r="K545" s="10">
        <v>157.52</v>
      </c>
      <c r="L545" s="10" t="s">
        <v>119</v>
      </c>
      <c r="M545" s="10">
        <v>52.15</v>
      </c>
      <c r="N545" s="10">
        <v>44.31</v>
      </c>
      <c r="O545" s="10">
        <v>157.63</v>
      </c>
      <c r="P545" s="10">
        <v>157.63</v>
      </c>
      <c r="Q545" s="17"/>
      <c r="R545" s="10" t="s">
        <v>54</v>
      </c>
    </row>
    <row r="546">
      <c r="A546" s="15">
        <v>46288.35950184028</v>
      </c>
      <c r="B546" s="17"/>
      <c r="C546" s="17"/>
      <c r="D546" s="31" t="s">
        <v>501</v>
      </c>
      <c r="E546" s="31" t="s">
        <v>499</v>
      </c>
      <c r="F546" s="49">
        <v>0.035</v>
      </c>
      <c r="G546" s="10" t="s">
        <v>20</v>
      </c>
      <c r="H546" s="10">
        <v>51.55</v>
      </c>
      <c r="I546" s="10">
        <v>39.78</v>
      </c>
      <c r="J546" s="10">
        <v>151.17</v>
      </c>
      <c r="K546" s="10">
        <v>151.17</v>
      </c>
      <c r="L546" s="10" t="s">
        <v>119</v>
      </c>
      <c r="M546" s="10">
        <v>51.51</v>
      </c>
      <c r="N546" s="10">
        <v>39.75</v>
      </c>
      <c r="O546" s="10">
        <v>151.2</v>
      </c>
      <c r="P546" s="10">
        <v>151.2</v>
      </c>
      <c r="Q546" s="17"/>
      <c r="R546" s="10" t="s">
        <v>54</v>
      </c>
    </row>
    <row r="547">
      <c r="A547" s="15">
        <v>46288.36256059028</v>
      </c>
      <c r="B547" s="17"/>
      <c r="C547" s="17"/>
      <c r="D547" s="30" t="s">
        <v>502</v>
      </c>
      <c r="E547" s="30" t="s">
        <v>387</v>
      </c>
      <c r="F547" s="50">
        <v>0.381</v>
      </c>
      <c r="G547" s="10" t="s">
        <v>20</v>
      </c>
      <c r="H547" s="10">
        <v>56.5</v>
      </c>
      <c r="I547" s="10">
        <v>44.58</v>
      </c>
      <c r="J547" s="10">
        <v>168.9</v>
      </c>
      <c r="K547" s="10">
        <v>168.9</v>
      </c>
      <c r="L547" s="10" t="s">
        <v>119</v>
      </c>
      <c r="M547" s="10">
        <v>56.4</v>
      </c>
      <c r="N547" s="10">
        <v>44.5</v>
      </c>
      <c r="O547" s="10">
        <v>168.65</v>
      </c>
      <c r="P547" s="10">
        <v>168.65</v>
      </c>
      <c r="Q547" s="17"/>
      <c r="R547" s="10" t="s">
        <v>54</v>
      </c>
    </row>
    <row r="548">
      <c r="A548" s="15">
        <v>46288.365000844904</v>
      </c>
      <c r="B548" s="17"/>
      <c r="C548" s="17"/>
      <c r="D548" s="31" t="s">
        <v>367</v>
      </c>
      <c r="E548" s="31" t="s">
        <v>387</v>
      </c>
      <c r="F548" s="49">
        <v>0.2381</v>
      </c>
      <c r="G548" s="10" t="s">
        <v>20</v>
      </c>
      <c r="H548" s="10">
        <v>56.7</v>
      </c>
      <c r="I548" s="10">
        <v>45.16</v>
      </c>
      <c r="J548" s="10">
        <v>169.69</v>
      </c>
      <c r="K548" s="10">
        <v>169.69</v>
      </c>
      <c r="L548" s="10" t="s">
        <v>119</v>
      </c>
      <c r="M548" s="10">
        <v>56.65</v>
      </c>
      <c r="N548" s="10">
        <v>45.1</v>
      </c>
      <c r="O548" s="10">
        <v>169.52</v>
      </c>
      <c r="P548" s="10">
        <v>169.52</v>
      </c>
      <c r="Q548" s="17"/>
      <c r="R548" s="10" t="s">
        <v>54</v>
      </c>
    </row>
    <row r="549">
      <c r="A549" s="15">
        <v>46288.36707561342</v>
      </c>
      <c r="B549" s="17"/>
      <c r="C549" s="17"/>
      <c r="D549" s="30" t="s">
        <v>480</v>
      </c>
      <c r="E549" s="46" t="s">
        <v>503</v>
      </c>
      <c r="F549" s="50">
        <v>0.1111</v>
      </c>
      <c r="G549" s="10" t="s">
        <v>20</v>
      </c>
      <c r="H549" s="10">
        <v>54.41</v>
      </c>
      <c r="I549" s="10">
        <v>42.29</v>
      </c>
      <c r="J549" s="10">
        <v>160.73</v>
      </c>
      <c r="K549" s="10">
        <v>160.23</v>
      </c>
      <c r="L549" s="10" t="s">
        <v>119</v>
      </c>
      <c r="M549" s="10">
        <v>54.3</v>
      </c>
      <c r="N549" s="10">
        <v>42.22</v>
      </c>
      <c r="O549" s="10">
        <v>160.42</v>
      </c>
      <c r="P549" s="10">
        <v>160.42</v>
      </c>
      <c r="Q549" s="17"/>
      <c r="R549" s="10" t="s">
        <v>54</v>
      </c>
    </row>
    <row r="550">
      <c r="A550" s="15">
        <v>46288.37090084491</v>
      </c>
      <c r="B550" s="17"/>
      <c r="C550" s="17"/>
      <c r="D550" s="31" t="s">
        <v>504</v>
      </c>
      <c r="E550" s="31" t="s">
        <v>505</v>
      </c>
      <c r="F550" s="49">
        <v>0.0254</v>
      </c>
      <c r="G550" s="10" t="s">
        <v>20</v>
      </c>
      <c r="H550" s="10">
        <v>54.38</v>
      </c>
      <c r="I550" s="10">
        <v>39.06</v>
      </c>
      <c r="J550" s="10">
        <v>156.19</v>
      </c>
      <c r="K550" s="10">
        <v>156.11</v>
      </c>
      <c r="L550" s="10" t="s">
        <v>119</v>
      </c>
      <c r="M550" s="10">
        <v>54.2</v>
      </c>
      <c r="N550" s="10">
        <v>39.05</v>
      </c>
      <c r="O550" s="10">
        <v>155.8</v>
      </c>
      <c r="P550" s="10">
        <v>156.18</v>
      </c>
      <c r="Q550" s="17"/>
      <c r="R550" s="10" t="s">
        <v>54</v>
      </c>
    </row>
    <row r="551">
      <c r="A551" s="80"/>
      <c r="B551" s="81"/>
      <c r="C551" s="81"/>
      <c r="D551" s="82" t="s">
        <v>506</v>
      </c>
      <c r="E551" s="82" t="s">
        <v>507</v>
      </c>
      <c r="F551" s="83">
        <v>0.045</v>
      </c>
      <c r="G551" s="84" t="s">
        <v>20</v>
      </c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0"/>
      <c r="T551" s="80"/>
      <c r="U551" s="80"/>
      <c r="V551" s="80"/>
      <c r="W551" s="80"/>
    </row>
    <row r="552">
      <c r="A552" s="80"/>
      <c r="B552" s="81"/>
      <c r="C552" s="81"/>
      <c r="D552" s="82" t="s">
        <v>508</v>
      </c>
      <c r="E552" s="82" t="s">
        <v>507</v>
      </c>
      <c r="F552" s="83">
        <v>0.0571</v>
      </c>
      <c r="G552" s="84" t="s">
        <v>20</v>
      </c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0"/>
      <c r="T552" s="80"/>
      <c r="U552" s="80"/>
      <c r="V552" s="80"/>
      <c r="W552" s="80"/>
    </row>
    <row r="553">
      <c r="A553" s="80"/>
      <c r="B553" s="81"/>
      <c r="C553" s="81"/>
      <c r="D553" s="82" t="s">
        <v>464</v>
      </c>
      <c r="E553" s="82" t="s">
        <v>507</v>
      </c>
      <c r="F553" s="83">
        <v>0.0449</v>
      </c>
      <c r="G553" s="84" t="s">
        <v>20</v>
      </c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0"/>
      <c r="T553" s="80"/>
      <c r="U553" s="80"/>
      <c r="V553" s="80"/>
      <c r="W553" s="80"/>
    </row>
    <row r="554">
      <c r="A554" s="80"/>
      <c r="B554" s="81"/>
      <c r="C554" s="81"/>
      <c r="D554" s="82" t="s">
        <v>463</v>
      </c>
      <c r="E554" s="82" t="s">
        <v>507</v>
      </c>
      <c r="F554" s="83">
        <v>0.0494</v>
      </c>
      <c r="G554" s="84" t="s">
        <v>20</v>
      </c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0"/>
      <c r="T554" s="80"/>
      <c r="U554" s="80"/>
      <c r="V554" s="80"/>
      <c r="W554" s="80"/>
    </row>
    <row r="555">
      <c r="A555" s="80"/>
      <c r="B555" s="81"/>
      <c r="C555" s="81"/>
      <c r="D555" s="82" t="s">
        <v>351</v>
      </c>
      <c r="E555" s="82" t="s">
        <v>507</v>
      </c>
      <c r="F555" s="83">
        <v>0.0694</v>
      </c>
      <c r="G555" s="84" t="s">
        <v>20</v>
      </c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0"/>
      <c r="T555" s="80"/>
      <c r="U555" s="80"/>
      <c r="V555" s="80"/>
      <c r="W555" s="80"/>
    </row>
    <row r="556">
      <c r="A556" s="80"/>
      <c r="B556" s="81"/>
      <c r="C556" s="81"/>
      <c r="D556" s="82" t="s">
        <v>509</v>
      </c>
      <c r="E556" s="82" t="s">
        <v>507</v>
      </c>
      <c r="F556" s="83">
        <v>0.0758</v>
      </c>
      <c r="G556" s="84" t="s">
        <v>20</v>
      </c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0"/>
      <c r="T556" s="80"/>
      <c r="U556" s="80"/>
      <c r="V556" s="80"/>
      <c r="W556" s="80"/>
    </row>
    <row r="557">
      <c r="A557" s="15">
        <v>46288.39010740741</v>
      </c>
      <c r="B557" s="17"/>
      <c r="C557" s="17"/>
      <c r="D557" s="30" t="s">
        <v>510</v>
      </c>
      <c r="E557" s="30" t="s">
        <v>511</v>
      </c>
      <c r="F557" s="50">
        <v>0.1364</v>
      </c>
      <c r="G557" s="10" t="s">
        <v>20</v>
      </c>
      <c r="H557" s="10">
        <v>54.29</v>
      </c>
      <c r="I557" s="10">
        <v>39.17</v>
      </c>
      <c r="J557" s="10">
        <v>156.08</v>
      </c>
      <c r="K557" s="10">
        <v>156.1</v>
      </c>
      <c r="L557" s="17"/>
      <c r="M557" s="10">
        <v>54.22</v>
      </c>
      <c r="N557" s="10">
        <v>39.12</v>
      </c>
      <c r="O557" s="10">
        <v>155.88</v>
      </c>
      <c r="P557" s="10">
        <v>155.93</v>
      </c>
      <c r="Q557" s="17"/>
      <c r="R557" s="17"/>
    </row>
    <row r="558">
      <c r="A558" s="15">
        <v>46288.38891296297</v>
      </c>
      <c r="B558" s="17"/>
      <c r="C558" s="17"/>
      <c r="D558" s="31" t="s">
        <v>512</v>
      </c>
      <c r="E558" s="31" t="s">
        <v>511</v>
      </c>
      <c r="F558" s="49">
        <v>0.0889</v>
      </c>
      <c r="G558" s="10" t="s">
        <v>20</v>
      </c>
      <c r="H558" s="10">
        <v>53.91</v>
      </c>
      <c r="I558" s="10">
        <v>48.17</v>
      </c>
      <c r="J558" s="10">
        <v>162.44</v>
      </c>
      <c r="K558" s="10">
        <v>162.19</v>
      </c>
      <c r="L558" s="17"/>
      <c r="M558" s="10">
        <v>53.71</v>
      </c>
      <c r="N558" s="10">
        <v>48.1</v>
      </c>
      <c r="O558" s="10">
        <v>162.18</v>
      </c>
      <c r="P558" s="10">
        <v>162.13</v>
      </c>
      <c r="Q558" s="17"/>
      <c r="R558" s="17"/>
    </row>
    <row r="559">
      <c r="A559" s="15">
        <v>46288.346305960644</v>
      </c>
      <c r="B559" s="17"/>
      <c r="C559" s="17"/>
      <c r="D559" s="31" t="s">
        <v>513</v>
      </c>
      <c r="E559" s="31" t="s">
        <v>89</v>
      </c>
      <c r="F559" s="49">
        <v>0.0732</v>
      </c>
      <c r="G559" s="10" t="s">
        <v>20</v>
      </c>
      <c r="H559" s="10">
        <v>54.69</v>
      </c>
      <c r="I559" s="10">
        <v>38.69</v>
      </c>
      <c r="J559" s="10">
        <v>159.66</v>
      </c>
      <c r="K559" s="10">
        <v>159.66</v>
      </c>
      <c r="L559" s="17"/>
      <c r="M559" s="10">
        <v>54.77</v>
      </c>
      <c r="N559" s="10">
        <v>38.79</v>
      </c>
      <c r="O559" s="10">
        <v>159.76</v>
      </c>
      <c r="P559" s="10">
        <v>159.76</v>
      </c>
      <c r="Q559" s="17"/>
      <c r="R559" s="10" t="s">
        <v>102</v>
      </c>
    </row>
    <row r="560">
      <c r="A560" s="15">
        <v>46288.347101203704</v>
      </c>
      <c r="B560" s="17"/>
      <c r="C560" s="17"/>
      <c r="D560" s="30" t="s">
        <v>514</v>
      </c>
      <c r="E560" s="30" t="s">
        <v>89</v>
      </c>
      <c r="F560" s="50">
        <v>0.5</v>
      </c>
      <c r="G560" s="10" t="s">
        <v>20</v>
      </c>
      <c r="H560" s="10">
        <v>49.92</v>
      </c>
      <c r="I560" s="10">
        <v>46.48</v>
      </c>
      <c r="J560" s="10">
        <v>154.85</v>
      </c>
      <c r="K560" s="10">
        <v>155.37</v>
      </c>
      <c r="L560" s="17"/>
      <c r="M560" s="10">
        <v>50.34</v>
      </c>
      <c r="N560" s="10">
        <v>46.62</v>
      </c>
      <c r="O560" s="10">
        <v>155.57</v>
      </c>
      <c r="P560" s="10">
        <v>155.64</v>
      </c>
      <c r="Q560" s="17"/>
      <c r="R560" s="10" t="s">
        <v>102</v>
      </c>
    </row>
    <row r="561">
      <c r="A561" s="15">
        <v>46288.34522581019</v>
      </c>
      <c r="B561" s="17"/>
      <c r="C561" s="17"/>
      <c r="D561" s="31" t="s">
        <v>213</v>
      </c>
      <c r="E561" s="31" t="s">
        <v>89</v>
      </c>
      <c r="F561" s="49">
        <v>0.2963</v>
      </c>
      <c r="G561" s="10" t="s">
        <v>20</v>
      </c>
      <c r="H561" s="10">
        <v>54.45</v>
      </c>
      <c r="I561" s="10">
        <v>40.37</v>
      </c>
      <c r="J561" s="10">
        <v>151.38</v>
      </c>
      <c r="K561" s="10">
        <v>151.16</v>
      </c>
      <c r="L561" s="17"/>
      <c r="M561" s="10">
        <v>54.6</v>
      </c>
      <c r="N561" s="10">
        <v>40.48</v>
      </c>
      <c r="O561" s="10">
        <v>151.79</v>
      </c>
      <c r="P561" s="10">
        <v>151.58</v>
      </c>
      <c r="Q561" s="17"/>
      <c r="R561" s="10" t="s">
        <v>102</v>
      </c>
    </row>
    <row r="562">
      <c r="A562" s="36"/>
      <c r="B562" s="33"/>
      <c r="C562" s="33"/>
      <c r="D562" s="68" t="s">
        <v>515</v>
      </c>
      <c r="E562" s="68" t="s">
        <v>462</v>
      </c>
      <c r="F562" s="85">
        <v>0.5</v>
      </c>
      <c r="G562" s="35" t="s">
        <v>20</v>
      </c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6"/>
      <c r="T562" s="36"/>
      <c r="U562" s="36"/>
      <c r="V562" s="36"/>
      <c r="W562" s="36"/>
    </row>
    <row r="563">
      <c r="A563" s="36"/>
      <c r="B563" s="33"/>
      <c r="C563" s="33"/>
      <c r="D563" s="68" t="s">
        <v>516</v>
      </c>
      <c r="E563" s="68" t="s">
        <v>462</v>
      </c>
      <c r="F563" s="85">
        <v>0.0299</v>
      </c>
      <c r="G563" s="35" t="s">
        <v>20</v>
      </c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6"/>
      <c r="T563" s="36"/>
      <c r="U563" s="36"/>
      <c r="V563" s="36"/>
      <c r="W563" s="36"/>
    </row>
    <row r="564">
      <c r="A564" s="36"/>
      <c r="B564" s="33"/>
      <c r="C564" s="33"/>
      <c r="D564" s="68" t="s">
        <v>517</v>
      </c>
      <c r="E564" s="68" t="s">
        <v>462</v>
      </c>
      <c r="F564" s="85">
        <v>0.15</v>
      </c>
      <c r="G564" s="35" t="s">
        <v>20</v>
      </c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6"/>
      <c r="T564" s="36"/>
      <c r="U564" s="36"/>
      <c r="V564" s="36"/>
      <c r="W564" s="36"/>
    </row>
    <row r="565">
      <c r="A565" s="36"/>
      <c r="B565" s="33"/>
      <c r="C565" s="33"/>
      <c r="D565" s="68" t="s">
        <v>518</v>
      </c>
      <c r="E565" s="68" t="s">
        <v>462</v>
      </c>
      <c r="F565" s="85">
        <v>0.2083</v>
      </c>
      <c r="G565" s="35" t="s">
        <v>20</v>
      </c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6"/>
      <c r="T565" s="36"/>
      <c r="U565" s="36"/>
      <c r="V565" s="36"/>
      <c r="W565" s="36"/>
    </row>
    <row r="566">
      <c r="A566" s="15">
        <v>46287.85150012732</v>
      </c>
      <c r="B566" s="17"/>
      <c r="C566" s="17"/>
      <c r="D566" s="86" t="s">
        <v>519</v>
      </c>
      <c r="E566" s="11"/>
      <c r="F566" s="17"/>
      <c r="G566" s="10" t="s">
        <v>20</v>
      </c>
      <c r="H566" s="10">
        <v>53.8</v>
      </c>
      <c r="I566" s="10">
        <v>36.44</v>
      </c>
      <c r="J566" s="10">
        <v>155.34</v>
      </c>
      <c r="K566" s="10">
        <v>155.23</v>
      </c>
      <c r="L566" s="10" t="s">
        <v>119</v>
      </c>
      <c r="M566" s="10">
        <v>53.8</v>
      </c>
      <c r="N566" s="10">
        <v>36.44</v>
      </c>
      <c r="O566" s="10">
        <v>155.34</v>
      </c>
      <c r="P566" s="10">
        <v>155.23</v>
      </c>
      <c r="Q566" s="10" t="s">
        <v>520</v>
      </c>
      <c r="R566" s="10" t="s">
        <v>22</v>
      </c>
      <c r="S566" s="21" t="s">
        <v>521</v>
      </c>
    </row>
    <row r="567">
      <c r="A567" s="15">
        <v>46287.85282467592</v>
      </c>
      <c r="B567" s="17"/>
      <c r="C567" s="17"/>
      <c r="D567" s="86" t="s">
        <v>522</v>
      </c>
      <c r="E567" s="11"/>
      <c r="F567" s="17"/>
      <c r="G567" s="10" t="s">
        <v>20</v>
      </c>
      <c r="H567" s="10">
        <v>54.49</v>
      </c>
      <c r="I567" s="10">
        <v>40.41</v>
      </c>
      <c r="J567" s="10">
        <v>160.42</v>
      </c>
      <c r="K567" s="10">
        <v>160.42</v>
      </c>
      <c r="L567" s="10" t="s">
        <v>119</v>
      </c>
      <c r="M567" s="10">
        <v>54.35</v>
      </c>
      <c r="N567" s="10">
        <v>40.57</v>
      </c>
      <c r="O567" s="10">
        <v>160.46</v>
      </c>
      <c r="P567" s="10">
        <v>160.36</v>
      </c>
      <c r="Q567" s="10" t="s">
        <v>520</v>
      </c>
      <c r="R567" s="10" t="s">
        <v>22</v>
      </c>
      <c r="S567" s="21" t="s">
        <v>521</v>
      </c>
    </row>
    <row r="568">
      <c r="A568" s="15">
        <v>46287.884719548616</v>
      </c>
      <c r="B568" s="17"/>
      <c r="C568" s="17"/>
      <c r="D568" s="12" t="s">
        <v>523</v>
      </c>
      <c r="E568" s="12" t="s">
        <v>89</v>
      </c>
      <c r="F568" s="17"/>
      <c r="G568" s="10" t="s">
        <v>20</v>
      </c>
      <c r="H568" s="10">
        <v>50.94</v>
      </c>
      <c r="I568" s="10">
        <v>33.02</v>
      </c>
      <c r="J568" s="10">
        <v>143.01</v>
      </c>
      <c r="K568" s="10">
        <v>143.01</v>
      </c>
      <c r="L568" s="10" t="s">
        <v>21</v>
      </c>
      <c r="M568" s="10">
        <v>51.79</v>
      </c>
      <c r="N568" s="10">
        <v>33.19</v>
      </c>
      <c r="O568" s="10">
        <v>145.18</v>
      </c>
      <c r="P568" s="10">
        <v>145.18</v>
      </c>
      <c r="Q568" s="10" t="s">
        <v>89</v>
      </c>
      <c r="R568" s="10" t="s">
        <v>22</v>
      </c>
    </row>
    <row r="569">
      <c r="A569" s="15">
        <v>46287.88796320602</v>
      </c>
      <c r="B569" s="17"/>
      <c r="C569" s="17"/>
      <c r="D569" s="12" t="s">
        <v>438</v>
      </c>
      <c r="E569" s="12" t="s">
        <v>89</v>
      </c>
      <c r="F569" s="17"/>
      <c r="G569" s="10" t="s">
        <v>20</v>
      </c>
      <c r="H569" s="10">
        <v>52.4</v>
      </c>
      <c r="I569" s="10">
        <v>40.5</v>
      </c>
      <c r="J569" s="10">
        <v>152.43</v>
      </c>
      <c r="K569" s="10">
        <v>152.44</v>
      </c>
      <c r="L569" s="10" t="s">
        <v>21</v>
      </c>
      <c r="M569" s="10">
        <v>52.97</v>
      </c>
      <c r="N569" s="10">
        <v>41.33</v>
      </c>
      <c r="O569" s="10">
        <v>155.32</v>
      </c>
      <c r="P569" s="10">
        <v>155.42</v>
      </c>
      <c r="Q569" s="10" t="s">
        <v>89</v>
      </c>
      <c r="R569" s="10" t="s">
        <v>22</v>
      </c>
    </row>
    <row r="570">
      <c r="A570" s="15">
        <v>46287.89121003472</v>
      </c>
      <c r="B570" s="17"/>
      <c r="C570" s="17"/>
      <c r="D570" s="87" t="s">
        <v>524</v>
      </c>
      <c r="E570" s="11"/>
      <c r="F570" s="17"/>
      <c r="G570" s="10" t="s">
        <v>20</v>
      </c>
      <c r="H570" s="10">
        <v>52.03</v>
      </c>
      <c r="I570" s="10">
        <v>34.56</v>
      </c>
      <c r="J570" s="10">
        <v>146.72</v>
      </c>
      <c r="K570" s="10">
        <v>147.19</v>
      </c>
      <c r="L570" s="10" t="s">
        <v>21</v>
      </c>
      <c r="M570" s="10">
        <v>51.89</v>
      </c>
      <c r="N570" s="10">
        <v>34.95</v>
      </c>
      <c r="O570" s="10">
        <v>146.92</v>
      </c>
      <c r="P570" s="10">
        <v>146.28</v>
      </c>
      <c r="Q570" s="10" t="s">
        <v>520</v>
      </c>
      <c r="R570" s="10" t="s">
        <v>22</v>
      </c>
    </row>
    <row r="571">
      <c r="A571" s="15">
        <v>46287.90827509259</v>
      </c>
      <c r="B571" s="17"/>
      <c r="C571" s="17"/>
      <c r="D571" s="12" t="s">
        <v>525</v>
      </c>
      <c r="E571" s="11"/>
      <c r="F571" s="17"/>
      <c r="G571" s="10" t="s">
        <v>20</v>
      </c>
      <c r="H571" s="10">
        <v>54.53</v>
      </c>
      <c r="I571" s="10">
        <v>43.2</v>
      </c>
      <c r="J571" s="10">
        <v>162.45</v>
      </c>
      <c r="K571" s="10">
        <v>162.79</v>
      </c>
      <c r="L571" s="10" t="s">
        <v>119</v>
      </c>
      <c r="M571" s="10">
        <v>54.31</v>
      </c>
      <c r="N571" s="10">
        <v>41.85</v>
      </c>
      <c r="O571" s="10">
        <v>161.49</v>
      </c>
      <c r="P571" s="10">
        <v>161.45</v>
      </c>
      <c r="Q571" s="17"/>
      <c r="R571" s="10" t="s">
        <v>22</v>
      </c>
    </row>
    <row r="572">
      <c r="A572" s="15">
        <v>46288.62686671296</v>
      </c>
      <c r="B572" s="17"/>
      <c r="C572" s="17"/>
      <c r="D572" s="88" t="s">
        <v>245</v>
      </c>
      <c r="E572" s="11"/>
      <c r="F572" s="17"/>
      <c r="G572" s="10" t="s">
        <v>20</v>
      </c>
      <c r="H572" s="10">
        <v>53.55</v>
      </c>
      <c r="I572" s="10">
        <v>38.55</v>
      </c>
      <c r="J572" s="10">
        <v>154.64</v>
      </c>
      <c r="K572" s="10">
        <v>154.8</v>
      </c>
      <c r="L572" s="10" t="s">
        <v>119</v>
      </c>
      <c r="M572" s="17"/>
      <c r="N572" s="17"/>
      <c r="O572" s="17"/>
      <c r="P572" s="17"/>
      <c r="Q572" s="10"/>
      <c r="R572" s="10" t="s">
        <v>22</v>
      </c>
    </row>
    <row r="573">
      <c r="A573" s="15">
        <v>46288.68227590278</v>
      </c>
      <c r="B573" s="17"/>
      <c r="C573" s="17"/>
      <c r="D573" s="86" t="s">
        <v>526</v>
      </c>
      <c r="E573" s="11"/>
      <c r="F573" s="17"/>
      <c r="G573" s="10" t="s">
        <v>20</v>
      </c>
      <c r="H573" s="10">
        <v>51.8</v>
      </c>
      <c r="I573" s="10">
        <v>38.97</v>
      </c>
      <c r="J573" s="10">
        <v>155.1</v>
      </c>
      <c r="K573" s="10">
        <v>155.22</v>
      </c>
      <c r="L573" s="17"/>
      <c r="M573" s="17"/>
      <c r="N573" s="17"/>
      <c r="O573" s="17"/>
      <c r="P573" s="17"/>
      <c r="Q573" s="10" t="s">
        <v>520</v>
      </c>
      <c r="R573" s="10" t="s">
        <v>22</v>
      </c>
      <c r="S573" s="21" t="s">
        <v>521</v>
      </c>
    </row>
    <row r="574">
      <c r="A574" s="15">
        <v>46288.68449673611</v>
      </c>
      <c r="B574" s="17"/>
      <c r="C574" s="17"/>
      <c r="D574" s="86" t="s">
        <v>527</v>
      </c>
      <c r="E574" s="11"/>
      <c r="F574" s="17"/>
      <c r="G574" s="10" t="s">
        <v>20</v>
      </c>
      <c r="H574" s="10">
        <v>54.31</v>
      </c>
      <c r="I574" s="10">
        <v>41.42</v>
      </c>
      <c r="J574" s="10">
        <v>160.46</v>
      </c>
      <c r="K574" s="10">
        <v>160.47</v>
      </c>
      <c r="L574" s="17"/>
      <c r="M574" s="10">
        <v>54.41</v>
      </c>
      <c r="N574" s="10">
        <v>41.9</v>
      </c>
      <c r="O574" s="10">
        <v>161.42</v>
      </c>
      <c r="P574" s="10">
        <v>161.74</v>
      </c>
      <c r="Q574" s="10" t="s">
        <v>520</v>
      </c>
      <c r="R574" s="10" t="s">
        <v>22</v>
      </c>
    </row>
    <row r="575">
      <c r="A575" s="15">
        <v>46288.68928846065</v>
      </c>
      <c r="B575" s="17"/>
      <c r="C575" s="17"/>
      <c r="D575" s="86" t="s">
        <v>528</v>
      </c>
      <c r="E575" s="11"/>
      <c r="F575" s="17"/>
      <c r="G575" s="10" t="s">
        <v>20</v>
      </c>
      <c r="H575" s="10">
        <v>54.22</v>
      </c>
      <c r="I575" s="10">
        <v>41.52</v>
      </c>
      <c r="J575" s="10">
        <v>160.9</v>
      </c>
      <c r="K575" s="10">
        <v>161.02</v>
      </c>
      <c r="L575" s="17"/>
      <c r="M575" s="17"/>
      <c r="N575" s="17"/>
      <c r="O575" s="17"/>
      <c r="P575" s="17"/>
      <c r="Q575" s="10" t="s">
        <v>520</v>
      </c>
      <c r="R575" s="10" t="s">
        <v>22</v>
      </c>
      <c r="S575" s="21" t="s">
        <v>529</v>
      </c>
    </row>
    <row r="576">
      <c r="A576" s="15">
        <v>46288.69238978009</v>
      </c>
      <c r="B576" s="17"/>
      <c r="C576" s="17"/>
      <c r="D576" s="86" t="s">
        <v>245</v>
      </c>
      <c r="E576" s="11"/>
      <c r="F576" s="17"/>
      <c r="G576" s="10" t="s">
        <v>20</v>
      </c>
      <c r="H576" s="10">
        <v>53.55</v>
      </c>
      <c r="I576" s="10">
        <v>38.55</v>
      </c>
      <c r="J576" s="10">
        <v>154.64</v>
      </c>
      <c r="K576" s="10">
        <v>154.64</v>
      </c>
      <c r="L576" s="17"/>
      <c r="M576" s="10">
        <v>53.55</v>
      </c>
      <c r="N576" s="10">
        <v>38.7</v>
      </c>
      <c r="O576" s="10">
        <v>154.78</v>
      </c>
      <c r="P576" s="10">
        <v>148.57</v>
      </c>
      <c r="Q576" s="10" t="s">
        <v>520</v>
      </c>
      <c r="R576" s="10" t="s">
        <v>22</v>
      </c>
    </row>
    <row r="577">
      <c r="A577" s="15">
        <v>46288.73443056713</v>
      </c>
      <c r="B577" s="17"/>
      <c r="C577" s="17"/>
      <c r="D577" s="86" t="s">
        <v>530</v>
      </c>
      <c r="E577" s="11"/>
      <c r="F577" s="17"/>
      <c r="G577" s="10" t="s">
        <v>20</v>
      </c>
      <c r="H577" s="10">
        <v>54.33</v>
      </c>
      <c r="I577" s="10">
        <v>41.85</v>
      </c>
      <c r="J577" s="10">
        <v>161.32</v>
      </c>
      <c r="K577" s="10">
        <v>161.32</v>
      </c>
      <c r="L577" s="17"/>
      <c r="M577" s="10">
        <v>54.33</v>
      </c>
      <c r="N577" s="10">
        <v>41.61</v>
      </c>
      <c r="O577" s="10">
        <v>160.72</v>
      </c>
      <c r="P577" s="10">
        <v>161.23</v>
      </c>
      <c r="Q577" s="10" t="s">
        <v>520</v>
      </c>
      <c r="R577" s="10" t="s">
        <v>22</v>
      </c>
    </row>
    <row r="578">
      <c r="A578" s="15">
        <v>46288.736006875</v>
      </c>
      <c r="B578" s="17"/>
      <c r="C578" s="17"/>
      <c r="D578" s="86" t="s">
        <v>531</v>
      </c>
      <c r="E578" s="11"/>
      <c r="F578" s="17"/>
      <c r="G578" s="10" t="s">
        <v>20</v>
      </c>
      <c r="H578" s="10">
        <v>55.14</v>
      </c>
      <c r="I578" s="10">
        <v>34.97</v>
      </c>
      <c r="J578" s="10">
        <v>156.04</v>
      </c>
      <c r="K578" s="10">
        <v>156.1</v>
      </c>
      <c r="L578" s="17"/>
      <c r="M578" s="10">
        <v>55.2</v>
      </c>
      <c r="N578" s="10">
        <v>35.2</v>
      </c>
      <c r="O578" s="10">
        <v>156.52</v>
      </c>
      <c r="P578" s="10">
        <v>156.86</v>
      </c>
      <c r="Q578" s="10" t="s">
        <v>520</v>
      </c>
      <c r="R578" s="10" t="s">
        <v>22</v>
      </c>
    </row>
    <row r="579">
      <c r="A579" s="15">
        <v>46288.73804549768</v>
      </c>
      <c r="B579" s="17"/>
      <c r="C579" s="17"/>
      <c r="D579" s="86" t="s">
        <v>435</v>
      </c>
      <c r="E579" s="11"/>
      <c r="F579" s="17"/>
      <c r="G579" s="10" t="s">
        <v>20</v>
      </c>
      <c r="H579" s="10">
        <v>54.58</v>
      </c>
      <c r="I579" s="10">
        <v>41.86</v>
      </c>
      <c r="J579" s="10">
        <v>162.11</v>
      </c>
      <c r="K579" s="10">
        <v>162.27</v>
      </c>
      <c r="L579" s="17"/>
      <c r="M579" s="17"/>
      <c r="N579" s="17"/>
      <c r="O579" s="17"/>
      <c r="P579" s="17"/>
      <c r="Q579" s="10" t="s">
        <v>520</v>
      </c>
      <c r="R579" s="10" t="s">
        <v>22</v>
      </c>
      <c r="S579" s="21" t="s">
        <v>529</v>
      </c>
    </row>
    <row r="580">
      <c r="A580" s="15">
        <v>46288.74586818287</v>
      </c>
      <c r="B580" s="17"/>
      <c r="C580" s="17"/>
      <c r="D580" s="12" t="s">
        <v>532</v>
      </c>
      <c r="E580" s="12" t="s">
        <v>25</v>
      </c>
      <c r="F580" s="17"/>
      <c r="G580" s="10" t="s">
        <v>20</v>
      </c>
      <c r="H580" s="10">
        <v>50.78</v>
      </c>
      <c r="I580" s="10">
        <v>35.84</v>
      </c>
      <c r="J580" s="10">
        <v>145.85</v>
      </c>
      <c r="K580" s="10">
        <v>145.82</v>
      </c>
      <c r="L580" s="10" t="s">
        <v>21</v>
      </c>
      <c r="M580" s="10">
        <v>50.53</v>
      </c>
      <c r="N580" s="10">
        <v>34.34</v>
      </c>
      <c r="O580" s="10">
        <v>146.44</v>
      </c>
      <c r="P580" s="10">
        <v>146.28</v>
      </c>
      <c r="Q580" s="10" t="s">
        <v>25</v>
      </c>
      <c r="R580" s="10" t="s">
        <v>22</v>
      </c>
    </row>
    <row r="581">
      <c r="A581" s="89">
        <v>46288.74786733797</v>
      </c>
      <c r="B581" s="90"/>
      <c r="C581" s="90"/>
      <c r="D581" s="91" t="s">
        <v>533</v>
      </c>
      <c r="E581" s="92"/>
      <c r="F581" s="90"/>
      <c r="G581" s="93" t="s">
        <v>20</v>
      </c>
      <c r="H581" s="93">
        <v>53.7</v>
      </c>
      <c r="I581" s="93">
        <v>38.83</v>
      </c>
      <c r="J581" s="93">
        <v>155.3</v>
      </c>
      <c r="K581" s="93">
        <v>155.33</v>
      </c>
      <c r="L581" s="93" t="s">
        <v>21</v>
      </c>
      <c r="M581" s="93">
        <v>53.6</v>
      </c>
      <c r="N581" s="93">
        <v>39.2</v>
      </c>
      <c r="O581" s="93">
        <v>155.58</v>
      </c>
      <c r="P581" s="93">
        <v>155.19</v>
      </c>
      <c r="Q581" s="93" t="s">
        <v>520</v>
      </c>
      <c r="R581" s="93" t="s">
        <v>22</v>
      </c>
      <c r="S581" s="94"/>
      <c r="T581" s="94"/>
      <c r="U581" s="94"/>
      <c r="V581" s="94"/>
      <c r="W581" s="94"/>
    </row>
    <row r="582">
      <c r="A582" s="15">
        <v>46288.90475501158</v>
      </c>
      <c r="B582" s="17"/>
      <c r="C582" s="17"/>
      <c r="D582" s="12" t="s">
        <v>534</v>
      </c>
      <c r="E582" s="11"/>
      <c r="F582" s="17"/>
      <c r="G582" s="10" t="s">
        <v>20</v>
      </c>
      <c r="H582" s="10">
        <v>55.26</v>
      </c>
      <c r="I582" s="10">
        <v>34.8</v>
      </c>
      <c r="J582" s="10">
        <v>156.44</v>
      </c>
      <c r="K582" s="10">
        <v>156.44</v>
      </c>
      <c r="L582" s="10" t="s">
        <v>21</v>
      </c>
      <c r="M582" s="10">
        <v>55.26</v>
      </c>
      <c r="N582" s="10">
        <v>35.15</v>
      </c>
      <c r="O582" s="10">
        <v>156.86</v>
      </c>
      <c r="P582" s="10">
        <v>156.59</v>
      </c>
      <c r="Q582" s="10" t="s">
        <v>520</v>
      </c>
      <c r="R582" s="10" t="s">
        <v>22</v>
      </c>
    </row>
    <row r="583">
      <c r="A583" s="15">
        <v>46288.899024328704</v>
      </c>
      <c r="B583" s="17"/>
      <c r="C583" s="17"/>
      <c r="D583" s="12" t="s">
        <v>535</v>
      </c>
      <c r="E583" s="11"/>
      <c r="F583" s="17"/>
      <c r="G583" s="10" t="s">
        <v>20</v>
      </c>
      <c r="H583" s="10">
        <v>59.71</v>
      </c>
      <c r="I583" s="10">
        <v>50.08</v>
      </c>
      <c r="J583" s="10">
        <v>181.26</v>
      </c>
      <c r="K583" s="10">
        <v>181.26</v>
      </c>
      <c r="L583" s="10" t="s">
        <v>21</v>
      </c>
      <c r="M583" s="10">
        <v>53.73</v>
      </c>
      <c r="N583" s="10">
        <v>42.45</v>
      </c>
      <c r="O583" s="10">
        <v>160.13</v>
      </c>
      <c r="P583" s="10">
        <v>160.01</v>
      </c>
      <c r="Q583" s="10" t="s">
        <v>520</v>
      </c>
      <c r="R583" s="10" t="s">
        <v>22</v>
      </c>
    </row>
    <row r="584">
      <c r="A584" s="15">
        <v>46288.91629690972</v>
      </c>
      <c r="B584" s="17"/>
      <c r="C584" s="17"/>
      <c r="D584" s="12" t="s">
        <v>536</v>
      </c>
      <c r="E584" s="12" t="s">
        <v>19</v>
      </c>
      <c r="F584" s="17"/>
      <c r="G584" s="10" t="s">
        <v>20</v>
      </c>
      <c r="H584" s="10">
        <v>48.5</v>
      </c>
      <c r="I584" s="10">
        <v>33.62</v>
      </c>
      <c r="J584" s="10">
        <v>133.69</v>
      </c>
      <c r="K584" s="10">
        <v>133.69</v>
      </c>
      <c r="L584" s="10" t="s">
        <v>21</v>
      </c>
      <c r="M584" s="10">
        <v>48.89</v>
      </c>
      <c r="N584" s="10">
        <v>33.75</v>
      </c>
      <c r="O584" s="10">
        <v>134.77</v>
      </c>
      <c r="P584" s="10">
        <v>134.77</v>
      </c>
      <c r="Q584" s="10" t="s">
        <v>19</v>
      </c>
      <c r="R584" s="10" t="s">
        <v>22</v>
      </c>
    </row>
    <row r="585">
      <c r="A585" s="15">
        <v>46288.92050342592</v>
      </c>
      <c r="B585" s="17"/>
      <c r="C585" s="17"/>
      <c r="D585" s="86" t="s">
        <v>537</v>
      </c>
      <c r="E585" s="11"/>
      <c r="F585" s="17"/>
      <c r="G585" s="10" t="s">
        <v>20</v>
      </c>
      <c r="H585" s="10">
        <v>52.01</v>
      </c>
      <c r="I585" s="10">
        <v>34.53</v>
      </c>
      <c r="J585" s="10">
        <v>146.8</v>
      </c>
      <c r="K585" s="10">
        <v>147.52</v>
      </c>
      <c r="L585" s="10" t="s">
        <v>21</v>
      </c>
      <c r="M585" s="17"/>
      <c r="N585" s="17"/>
      <c r="O585" s="17"/>
      <c r="P585" s="17"/>
      <c r="Q585" s="10" t="s">
        <v>520</v>
      </c>
      <c r="R585" s="10" t="s">
        <v>22</v>
      </c>
      <c r="S585" s="21" t="s">
        <v>529</v>
      </c>
    </row>
    <row r="586">
      <c r="A586" s="15">
        <v>46288.92307809027</v>
      </c>
      <c r="B586" s="17"/>
      <c r="C586" s="17"/>
      <c r="D586" s="86" t="s">
        <v>538</v>
      </c>
      <c r="E586" s="11"/>
      <c r="F586" s="17"/>
      <c r="G586" s="10" t="s">
        <v>20</v>
      </c>
      <c r="H586" s="10">
        <v>53.9</v>
      </c>
      <c r="I586" s="10">
        <v>36.48</v>
      </c>
      <c r="J586" s="10">
        <v>155.33</v>
      </c>
      <c r="K586" s="10">
        <v>155.47</v>
      </c>
      <c r="L586" s="10" t="s">
        <v>21</v>
      </c>
      <c r="M586" s="10">
        <v>53.9</v>
      </c>
      <c r="N586" s="10">
        <v>36.32</v>
      </c>
      <c r="O586" s="10">
        <v>155.29</v>
      </c>
      <c r="P586" s="10">
        <v>155.43</v>
      </c>
      <c r="Q586" s="10" t="s">
        <v>520</v>
      </c>
      <c r="R586" s="10" t="s">
        <v>22</v>
      </c>
    </row>
    <row r="587">
      <c r="A587" s="15">
        <v>46289.461307997684</v>
      </c>
      <c r="B587" s="17"/>
      <c r="C587" s="17"/>
      <c r="D587" s="12" t="s">
        <v>539</v>
      </c>
      <c r="E587" s="12" t="s">
        <v>336</v>
      </c>
      <c r="F587" s="17"/>
      <c r="G587" s="10" t="s">
        <v>20</v>
      </c>
      <c r="H587" s="10">
        <v>56.87</v>
      </c>
      <c r="I587" s="10">
        <v>36.84</v>
      </c>
      <c r="J587" s="10">
        <v>160.07</v>
      </c>
      <c r="K587" s="10">
        <v>159.5</v>
      </c>
      <c r="L587" s="10" t="s">
        <v>21</v>
      </c>
      <c r="M587" s="10">
        <v>56.66</v>
      </c>
      <c r="N587" s="10">
        <v>37.0</v>
      </c>
      <c r="O587" s="10">
        <v>159.2</v>
      </c>
      <c r="P587" s="10">
        <v>159.27</v>
      </c>
      <c r="Q587" s="10" t="s">
        <v>336</v>
      </c>
      <c r="R587" s="17"/>
    </row>
    <row r="588">
      <c r="A588" s="15">
        <v>46289.72197732639</v>
      </c>
      <c r="B588" s="17"/>
      <c r="C588" s="17"/>
      <c r="D588" s="30" t="s">
        <v>199</v>
      </c>
      <c r="E588" s="30" t="s">
        <v>43</v>
      </c>
      <c r="F588" s="50">
        <v>0.1905</v>
      </c>
      <c r="G588" s="10" t="s">
        <v>20</v>
      </c>
      <c r="H588" s="10">
        <v>52.68</v>
      </c>
      <c r="I588" s="10">
        <v>33.62</v>
      </c>
      <c r="J588" s="10">
        <v>138.33</v>
      </c>
      <c r="K588" s="10">
        <v>138.33</v>
      </c>
      <c r="L588" s="10" t="s">
        <v>119</v>
      </c>
      <c r="M588" s="10">
        <v>52.54</v>
      </c>
      <c r="N588" s="10">
        <v>33.45</v>
      </c>
      <c r="O588" s="10">
        <v>137.85</v>
      </c>
      <c r="P588" s="10">
        <v>137.85</v>
      </c>
      <c r="Q588" s="17"/>
      <c r="R588" s="10" t="s">
        <v>102</v>
      </c>
    </row>
    <row r="589">
      <c r="A589" s="15">
        <v>46289.725739305555</v>
      </c>
      <c r="B589" s="17"/>
      <c r="C589" s="17"/>
      <c r="D589" s="31" t="s">
        <v>540</v>
      </c>
      <c r="E589" s="31" t="s">
        <v>43</v>
      </c>
      <c r="F589" s="49">
        <v>0.0364</v>
      </c>
      <c r="G589" s="10" t="s">
        <v>20</v>
      </c>
      <c r="H589" s="10">
        <v>50.99</v>
      </c>
      <c r="I589" s="10">
        <v>34.5</v>
      </c>
      <c r="J589" s="10">
        <v>147.21</v>
      </c>
      <c r="K589" s="10">
        <v>147.58</v>
      </c>
      <c r="L589" s="10" t="s">
        <v>119</v>
      </c>
      <c r="M589" s="10">
        <v>50.89</v>
      </c>
      <c r="N589" s="10">
        <v>34.47</v>
      </c>
      <c r="O589" s="10">
        <v>147.2</v>
      </c>
      <c r="P589" s="10">
        <v>147.35</v>
      </c>
      <c r="Q589" s="17"/>
      <c r="R589" s="10" t="s">
        <v>102</v>
      </c>
    </row>
    <row r="590">
      <c r="A590" s="15">
        <v>46289.73381820602</v>
      </c>
      <c r="B590" s="17"/>
      <c r="C590" s="17"/>
      <c r="D590" s="30" t="s">
        <v>541</v>
      </c>
      <c r="E590" s="30" t="s">
        <v>43</v>
      </c>
      <c r="F590" s="50">
        <v>0.051</v>
      </c>
      <c r="G590" s="10" t="s">
        <v>20</v>
      </c>
      <c r="H590" s="10">
        <v>52.42</v>
      </c>
      <c r="I590" s="10">
        <v>39.03</v>
      </c>
      <c r="J590" s="10">
        <v>145.82</v>
      </c>
      <c r="K590" s="10">
        <v>146.05</v>
      </c>
      <c r="L590" s="10" t="s">
        <v>119</v>
      </c>
      <c r="M590" s="10" t="s">
        <v>542</v>
      </c>
      <c r="N590" s="10">
        <v>38.89</v>
      </c>
      <c r="O590" s="10">
        <v>145.65</v>
      </c>
      <c r="P590" s="10">
        <v>145.65</v>
      </c>
      <c r="Q590" s="17"/>
      <c r="R590" s="10" t="s">
        <v>102</v>
      </c>
    </row>
    <row r="591">
      <c r="A591" s="15">
        <v>46289.74882232639</v>
      </c>
      <c r="B591" s="17"/>
      <c r="C591" s="17"/>
      <c r="D591" s="31" t="s">
        <v>543</v>
      </c>
      <c r="E591" s="31" t="s">
        <v>320</v>
      </c>
      <c r="F591" s="49">
        <v>0.0645</v>
      </c>
      <c r="G591" s="10" t="s">
        <v>20</v>
      </c>
      <c r="H591" s="10">
        <v>50.74</v>
      </c>
      <c r="I591" s="10">
        <v>33.18</v>
      </c>
      <c r="J591" s="10">
        <v>142.44</v>
      </c>
      <c r="K591" s="10">
        <v>142.76</v>
      </c>
      <c r="L591" s="10" t="s">
        <v>119</v>
      </c>
      <c r="M591" s="10">
        <v>50.67</v>
      </c>
      <c r="N591" s="10">
        <v>32.93</v>
      </c>
      <c r="O591" s="10">
        <v>142.09</v>
      </c>
      <c r="P591" s="10">
        <v>141.91</v>
      </c>
      <c r="Q591" s="17"/>
      <c r="R591" s="10" t="s">
        <v>102</v>
      </c>
    </row>
    <row r="592">
      <c r="A592" s="15">
        <v>46289.749575567126</v>
      </c>
      <c r="B592" s="17"/>
      <c r="C592" s="17"/>
      <c r="D592" s="30" t="s">
        <v>433</v>
      </c>
      <c r="E592" s="30" t="s">
        <v>320</v>
      </c>
      <c r="F592" s="50">
        <v>0.0625</v>
      </c>
      <c r="G592" s="10" t="s">
        <v>20</v>
      </c>
      <c r="H592" s="10">
        <v>53.8</v>
      </c>
      <c r="I592" s="10">
        <v>42.24</v>
      </c>
      <c r="J592" s="10">
        <v>159.57</v>
      </c>
      <c r="K592" s="10">
        <v>159.54</v>
      </c>
      <c r="L592" s="10" t="s">
        <v>119</v>
      </c>
      <c r="M592" s="10">
        <v>53.72</v>
      </c>
      <c r="N592" s="10">
        <v>42.18</v>
      </c>
      <c r="O592" s="10">
        <v>159.34</v>
      </c>
      <c r="P592" s="10">
        <v>159.34</v>
      </c>
      <c r="Q592" s="17"/>
      <c r="R592" s="10" t="s">
        <v>102</v>
      </c>
    </row>
    <row r="593">
      <c r="A593" s="15">
        <v>46289.75091513889</v>
      </c>
      <c r="B593" s="17"/>
      <c r="C593" s="17"/>
      <c r="D593" s="31" t="s">
        <v>544</v>
      </c>
      <c r="E593" s="31" t="s">
        <v>320</v>
      </c>
      <c r="F593" s="49">
        <v>0.1136</v>
      </c>
      <c r="G593" s="10" t="s">
        <v>20</v>
      </c>
      <c r="H593" s="10">
        <v>54.57</v>
      </c>
      <c r="I593" s="10">
        <v>42.09</v>
      </c>
      <c r="J593" s="10">
        <v>162.07</v>
      </c>
      <c r="K593" s="10">
        <v>162.35</v>
      </c>
      <c r="L593" s="10" t="s">
        <v>119</v>
      </c>
      <c r="M593" s="10">
        <v>54.5</v>
      </c>
      <c r="N593" s="10">
        <v>41.88</v>
      </c>
      <c r="O593" s="10">
        <v>161.74</v>
      </c>
      <c r="P593" s="10">
        <v>161.66</v>
      </c>
      <c r="Q593" s="17"/>
      <c r="R593" s="10" t="s">
        <v>102</v>
      </c>
    </row>
    <row r="594">
      <c r="A594" s="15">
        <v>46289.75170471065</v>
      </c>
      <c r="B594" s="17"/>
      <c r="C594" s="17"/>
      <c r="D594" s="30" t="s">
        <v>545</v>
      </c>
      <c r="E594" s="30" t="s">
        <v>19</v>
      </c>
      <c r="F594" s="50">
        <v>0.4706</v>
      </c>
      <c r="G594" s="10" t="s">
        <v>20</v>
      </c>
      <c r="H594" s="10">
        <v>52.85</v>
      </c>
      <c r="I594" s="10">
        <v>47.3</v>
      </c>
      <c r="J594" s="10">
        <v>162.02</v>
      </c>
      <c r="K594" s="10">
        <v>162.02</v>
      </c>
      <c r="L594" s="10" t="s">
        <v>119</v>
      </c>
      <c r="M594" s="10">
        <v>52.98</v>
      </c>
      <c r="N594" s="10">
        <v>47.48</v>
      </c>
      <c r="O594" s="10">
        <v>162.48</v>
      </c>
      <c r="P594" s="10">
        <v>162.48</v>
      </c>
      <c r="Q594" s="17"/>
      <c r="R594" s="10" t="s">
        <v>102</v>
      </c>
    </row>
    <row r="595">
      <c r="A595" s="15">
        <v>46289.73940851852</v>
      </c>
      <c r="B595" s="17"/>
      <c r="C595" s="17"/>
      <c r="D595" s="31" t="s">
        <v>368</v>
      </c>
      <c r="E595" s="31" t="s">
        <v>19</v>
      </c>
      <c r="F595" s="49">
        <v>0.2</v>
      </c>
      <c r="G595" s="10" t="s">
        <v>20</v>
      </c>
      <c r="H595" s="10">
        <v>52.8</v>
      </c>
      <c r="I595" s="10">
        <v>36.5</v>
      </c>
      <c r="J595" s="10">
        <v>153.22</v>
      </c>
      <c r="K595" s="10">
        <v>152.88</v>
      </c>
      <c r="L595" s="10" t="s">
        <v>119</v>
      </c>
      <c r="M595" s="10">
        <v>52.9</v>
      </c>
      <c r="N595" s="10">
        <v>36.6</v>
      </c>
      <c r="O595" s="10">
        <v>153.22</v>
      </c>
      <c r="P595" s="10">
        <v>153.22</v>
      </c>
      <c r="Q595" s="17"/>
      <c r="R595" s="10" t="s">
        <v>102</v>
      </c>
    </row>
    <row r="596">
      <c r="A596" s="15">
        <v>46289.74285657407</v>
      </c>
      <c r="B596" s="17"/>
      <c r="C596" s="17"/>
      <c r="D596" s="30" t="s">
        <v>342</v>
      </c>
      <c r="E596" s="30" t="s">
        <v>19</v>
      </c>
      <c r="F596" s="50">
        <v>0.125</v>
      </c>
      <c r="G596" s="10" t="s">
        <v>20</v>
      </c>
      <c r="H596" s="10">
        <v>51.55</v>
      </c>
      <c r="I596" s="10">
        <v>37.16</v>
      </c>
      <c r="J596" s="10">
        <v>150.21</v>
      </c>
      <c r="K596" s="10">
        <v>150.21</v>
      </c>
      <c r="L596" s="10" t="s">
        <v>119</v>
      </c>
      <c r="M596" s="10">
        <v>51.62</v>
      </c>
      <c r="N596" s="10">
        <v>37.22</v>
      </c>
      <c r="O596" s="10">
        <v>150.45</v>
      </c>
      <c r="P596" s="10">
        <v>150.45</v>
      </c>
      <c r="Q596" s="17"/>
      <c r="R596" s="10" t="s">
        <v>102</v>
      </c>
    </row>
    <row r="597">
      <c r="A597" s="15">
        <v>46289.74438173611</v>
      </c>
      <c r="B597" s="17"/>
      <c r="C597" s="17"/>
      <c r="D597" s="31" t="s">
        <v>546</v>
      </c>
      <c r="E597" s="31" t="s">
        <v>19</v>
      </c>
      <c r="F597" s="49">
        <v>0.1538</v>
      </c>
      <c r="G597" s="10" t="s">
        <v>20</v>
      </c>
      <c r="H597" s="10">
        <v>51.31</v>
      </c>
      <c r="I597" s="10">
        <v>36.5</v>
      </c>
      <c r="J597" s="10">
        <v>147.37</v>
      </c>
      <c r="K597" s="10">
        <v>147.04</v>
      </c>
      <c r="L597" s="10" t="s">
        <v>119</v>
      </c>
      <c r="M597" s="10">
        <v>51.4</v>
      </c>
      <c r="N597" s="10">
        <v>36.67</v>
      </c>
      <c r="O597" s="10">
        <v>147.41</v>
      </c>
      <c r="P597" s="10">
        <v>147.53</v>
      </c>
      <c r="Q597" s="17"/>
      <c r="R597" s="10" t="s">
        <v>102</v>
      </c>
    </row>
    <row r="598">
      <c r="A598" s="15">
        <v>46289.74684710648</v>
      </c>
      <c r="B598" s="17"/>
      <c r="C598" s="17"/>
      <c r="D598" s="30" t="s">
        <v>489</v>
      </c>
      <c r="E598" s="30" t="s">
        <v>19</v>
      </c>
      <c r="F598" s="50">
        <v>0.1385</v>
      </c>
      <c r="G598" s="10" t="s">
        <v>20</v>
      </c>
      <c r="H598" s="10">
        <v>49.3</v>
      </c>
      <c r="I598" s="10">
        <v>41.7</v>
      </c>
      <c r="J598" s="10">
        <v>149.0</v>
      </c>
      <c r="K598" s="10">
        <v>149.14</v>
      </c>
      <c r="L598" s="10" t="s">
        <v>119</v>
      </c>
      <c r="M598" s="10">
        <v>49.45</v>
      </c>
      <c r="N598" s="10">
        <v>41.76</v>
      </c>
      <c r="O598" s="10">
        <v>149.34</v>
      </c>
      <c r="P598" s="10">
        <v>149.34</v>
      </c>
      <c r="Q598" s="17"/>
      <c r="R598" s="10" t="s">
        <v>102</v>
      </c>
    </row>
    <row r="599">
      <c r="A599" s="15">
        <v>46289.747734965276</v>
      </c>
      <c r="B599" s="17"/>
      <c r="C599" s="17"/>
      <c r="D599" s="31" t="s">
        <v>172</v>
      </c>
      <c r="E599" s="31" t="s">
        <v>19</v>
      </c>
      <c r="F599" s="49">
        <v>0.0673</v>
      </c>
      <c r="G599" s="10" t="s">
        <v>20</v>
      </c>
      <c r="H599" s="10">
        <v>51.94</v>
      </c>
      <c r="I599" s="10">
        <v>43.66</v>
      </c>
      <c r="J599" s="10">
        <v>156.14</v>
      </c>
      <c r="K599" s="10">
        <v>156.14</v>
      </c>
      <c r="L599" s="10" t="s">
        <v>119</v>
      </c>
      <c r="M599" s="10">
        <v>52.01</v>
      </c>
      <c r="N599" s="10">
        <v>43.71</v>
      </c>
      <c r="O599" s="10">
        <v>156.35</v>
      </c>
      <c r="P599" s="10">
        <v>156.23</v>
      </c>
      <c r="Q599" s="17"/>
      <c r="R599" s="10" t="s">
        <v>102</v>
      </c>
    </row>
    <row r="600">
      <c r="A600" s="15">
        <v>46289.78002600695</v>
      </c>
      <c r="B600" s="17"/>
      <c r="C600" s="17"/>
      <c r="D600" s="12">
        <v>215928.0</v>
      </c>
      <c r="E600" s="11"/>
      <c r="F600" s="17"/>
      <c r="G600" s="10" t="s">
        <v>20</v>
      </c>
      <c r="H600" s="10">
        <v>52.64</v>
      </c>
      <c r="I600" s="10">
        <v>43.37</v>
      </c>
      <c r="J600" s="10">
        <v>156.85</v>
      </c>
      <c r="K600" s="10">
        <v>156.63</v>
      </c>
      <c r="L600" s="10" t="s">
        <v>119</v>
      </c>
      <c r="M600" s="10">
        <v>52.64</v>
      </c>
      <c r="N600" s="10">
        <v>43.37</v>
      </c>
      <c r="O600" s="10">
        <v>156.85</v>
      </c>
      <c r="P600" s="10">
        <v>156.63</v>
      </c>
      <c r="Q600" s="10" t="s">
        <v>547</v>
      </c>
      <c r="R600" s="10" t="s">
        <v>22</v>
      </c>
    </row>
    <row r="601">
      <c r="A601" s="15">
        <v>46289.8694262037</v>
      </c>
      <c r="B601" s="17"/>
      <c r="C601" s="17"/>
      <c r="D601" s="12" t="s">
        <v>548</v>
      </c>
      <c r="E601" s="12" t="s">
        <v>43</v>
      </c>
      <c r="F601" s="17"/>
      <c r="G601" s="10" t="s">
        <v>20</v>
      </c>
      <c r="H601" s="10">
        <v>54.22</v>
      </c>
      <c r="I601" s="10">
        <v>40.04</v>
      </c>
      <c r="J601" s="10">
        <v>150.92</v>
      </c>
      <c r="K601" s="10">
        <v>151.04</v>
      </c>
      <c r="L601" s="10" t="s">
        <v>21</v>
      </c>
      <c r="M601" s="10">
        <v>52.14</v>
      </c>
      <c r="N601" s="10">
        <v>38.92</v>
      </c>
      <c r="O601" s="10">
        <v>145.53</v>
      </c>
      <c r="P601" s="10">
        <v>145.48</v>
      </c>
      <c r="Q601" s="17"/>
      <c r="R601" s="10" t="s">
        <v>22</v>
      </c>
    </row>
    <row r="602">
      <c r="A602" s="15">
        <v>46289.86714184028</v>
      </c>
      <c r="B602" s="17"/>
      <c r="C602" s="17"/>
      <c r="D602" s="12" t="s">
        <v>549</v>
      </c>
      <c r="E602" s="12" t="s">
        <v>19</v>
      </c>
      <c r="F602" s="17"/>
      <c r="G602" s="10" t="s">
        <v>20</v>
      </c>
      <c r="H602" s="10">
        <v>50.92</v>
      </c>
      <c r="I602" s="10">
        <v>32.11</v>
      </c>
      <c r="J602" s="10">
        <v>138.52</v>
      </c>
      <c r="K602" s="10">
        <v>138.08</v>
      </c>
      <c r="L602" s="10" t="s">
        <v>21</v>
      </c>
      <c r="M602" s="10">
        <v>51.45</v>
      </c>
      <c r="N602" s="10">
        <v>32.98</v>
      </c>
      <c r="O602" s="10">
        <v>140.54</v>
      </c>
      <c r="P602" s="10">
        <v>140.02</v>
      </c>
      <c r="Q602" s="17"/>
      <c r="R602" s="10" t="s">
        <v>22</v>
      </c>
    </row>
    <row r="603">
      <c r="A603" s="15">
        <v>46289.915817685185</v>
      </c>
      <c r="B603" s="17"/>
      <c r="C603" s="17"/>
      <c r="D603" s="12" t="s">
        <v>550</v>
      </c>
      <c r="E603" s="12" t="s">
        <v>25</v>
      </c>
      <c r="F603" s="17"/>
      <c r="G603" s="10" t="s">
        <v>20</v>
      </c>
      <c r="H603" s="10">
        <v>50.1</v>
      </c>
      <c r="I603" s="10">
        <v>41.38</v>
      </c>
      <c r="J603" s="10">
        <v>151.1</v>
      </c>
      <c r="K603" s="10">
        <v>151.55</v>
      </c>
      <c r="L603" s="10" t="s">
        <v>21</v>
      </c>
      <c r="M603" s="10">
        <v>49.19</v>
      </c>
      <c r="N603" s="10">
        <v>42.09</v>
      </c>
      <c r="O603" s="10">
        <v>149.16</v>
      </c>
      <c r="P603" s="10">
        <v>149.16</v>
      </c>
      <c r="Q603" s="10" t="s">
        <v>25</v>
      </c>
      <c r="R603" s="10" t="s">
        <v>22</v>
      </c>
    </row>
    <row r="604">
      <c r="A604" s="15">
        <v>46291.0</v>
      </c>
      <c r="B604" s="17"/>
      <c r="C604" s="17"/>
      <c r="D604" s="12">
        <v>218785.0</v>
      </c>
      <c r="E604" s="12"/>
      <c r="F604" s="17"/>
      <c r="G604" s="10" t="s">
        <v>20</v>
      </c>
      <c r="H604" s="10">
        <v>48.34</v>
      </c>
      <c r="I604" s="10">
        <v>38.88</v>
      </c>
      <c r="J604" s="10">
        <v>142.72</v>
      </c>
      <c r="K604" s="10">
        <v>142.82</v>
      </c>
      <c r="L604" s="10" t="s">
        <v>21</v>
      </c>
      <c r="M604" s="10">
        <v>48.34</v>
      </c>
      <c r="N604" s="10">
        <v>38.88</v>
      </c>
      <c r="O604" s="10">
        <v>142.72</v>
      </c>
      <c r="P604" s="10">
        <v>142.82</v>
      </c>
      <c r="Q604" s="10" t="s">
        <v>547</v>
      </c>
      <c r="R604" s="10" t="s">
        <v>22</v>
      </c>
    </row>
    <row r="605">
      <c r="A605" s="15">
        <v>46291.0</v>
      </c>
      <c r="B605" s="17"/>
      <c r="C605" s="17"/>
      <c r="D605" s="12">
        <v>207481.0</v>
      </c>
      <c r="E605" s="12" t="s">
        <v>19</v>
      </c>
      <c r="F605" s="17"/>
      <c r="G605" s="10" t="s">
        <v>20</v>
      </c>
      <c r="H605" s="10">
        <v>51.82</v>
      </c>
      <c r="I605" s="10">
        <v>43.69</v>
      </c>
      <c r="J605" s="10">
        <v>156.61</v>
      </c>
      <c r="K605" s="10">
        <v>156.07</v>
      </c>
      <c r="L605" s="10" t="s">
        <v>21</v>
      </c>
      <c r="M605" s="10">
        <v>50.55</v>
      </c>
      <c r="N605" s="10">
        <v>42.83</v>
      </c>
      <c r="O605" s="10">
        <v>153.51</v>
      </c>
      <c r="P605" s="10">
        <v>153.51</v>
      </c>
      <c r="Q605" s="10" t="s">
        <v>19</v>
      </c>
      <c r="R605" s="10" t="s">
        <v>22</v>
      </c>
    </row>
    <row r="606">
      <c r="A606" s="15">
        <v>46291.335023252315</v>
      </c>
      <c r="B606" s="17"/>
      <c r="C606" s="17"/>
      <c r="D606" s="12" t="s">
        <v>551</v>
      </c>
      <c r="E606" s="12" t="s">
        <v>25</v>
      </c>
      <c r="F606" s="17"/>
      <c r="G606" s="10" t="s">
        <v>20</v>
      </c>
      <c r="H606" s="10">
        <v>52.24</v>
      </c>
      <c r="I606" s="10">
        <v>44.88</v>
      </c>
      <c r="J606" s="10">
        <v>156.19</v>
      </c>
      <c r="K606" s="10">
        <v>156.19</v>
      </c>
      <c r="L606" s="10" t="s">
        <v>21</v>
      </c>
      <c r="M606" s="10">
        <v>52.11</v>
      </c>
      <c r="N606" s="10">
        <v>44.82</v>
      </c>
      <c r="O606" s="10">
        <v>155.75</v>
      </c>
      <c r="P606" s="10">
        <v>155.64</v>
      </c>
      <c r="Q606" s="10" t="s">
        <v>25</v>
      </c>
      <c r="R606" s="10" t="s">
        <v>22</v>
      </c>
    </row>
    <row r="607">
      <c r="A607" s="15">
        <v>46291.0</v>
      </c>
      <c r="B607" s="17"/>
      <c r="C607" s="17"/>
      <c r="D607" s="12" t="s">
        <v>552</v>
      </c>
      <c r="E607" s="12" t="s">
        <v>553</v>
      </c>
      <c r="F607" s="17"/>
      <c r="G607" s="10" t="s">
        <v>20</v>
      </c>
      <c r="H607" s="17"/>
      <c r="I607" s="17"/>
      <c r="J607" s="17"/>
      <c r="K607" s="17"/>
      <c r="L607" s="10" t="s">
        <v>21</v>
      </c>
      <c r="M607" s="10">
        <v>54.73</v>
      </c>
      <c r="N607" s="10">
        <v>40.21</v>
      </c>
      <c r="O607" s="10">
        <v>160.9</v>
      </c>
      <c r="P607" s="10">
        <v>160.81</v>
      </c>
      <c r="Q607" s="10" t="s">
        <v>520</v>
      </c>
      <c r="R607" s="10" t="s">
        <v>22</v>
      </c>
    </row>
    <row r="608">
      <c r="A608" s="15">
        <v>46291.0</v>
      </c>
      <c r="B608" s="17"/>
      <c r="C608" s="17"/>
      <c r="D608" s="12" t="s">
        <v>554</v>
      </c>
      <c r="E608" s="12" t="s">
        <v>553</v>
      </c>
      <c r="F608" s="17"/>
      <c r="G608" s="10" t="s">
        <v>20</v>
      </c>
      <c r="H608" s="17"/>
      <c r="I608" s="17"/>
      <c r="J608" s="17"/>
      <c r="K608" s="17"/>
      <c r="L608" s="10" t="s">
        <v>21</v>
      </c>
      <c r="M608" s="10">
        <v>48.01</v>
      </c>
      <c r="N608" s="10">
        <v>35.84</v>
      </c>
      <c r="O608" s="10">
        <v>144.18</v>
      </c>
      <c r="P608" s="10">
        <v>143.86</v>
      </c>
      <c r="Q608" s="10" t="s">
        <v>520</v>
      </c>
      <c r="R608" s="10" t="s">
        <v>22</v>
      </c>
    </row>
    <row r="609">
      <c r="A609" s="15">
        <v>46292.379755752314</v>
      </c>
      <c r="B609" s="17"/>
      <c r="C609" s="17"/>
      <c r="D609" s="12" t="s">
        <v>555</v>
      </c>
      <c r="E609" s="12" t="s">
        <v>25</v>
      </c>
      <c r="F609" s="17"/>
      <c r="G609" s="10" t="s">
        <v>20</v>
      </c>
      <c r="H609" s="10">
        <v>53.0</v>
      </c>
      <c r="I609" s="10">
        <v>42.02</v>
      </c>
      <c r="J609" s="10">
        <v>156.57</v>
      </c>
      <c r="K609" s="10">
        <v>157.84</v>
      </c>
      <c r="L609" s="10" t="s">
        <v>21</v>
      </c>
      <c r="M609" s="10">
        <v>53.02</v>
      </c>
      <c r="N609" s="10">
        <v>42.0</v>
      </c>
      <c r="O609" s="10">
        <v>156.79</v>
      </c>
      <c r="P609" s="10">
        <v>156.78</v>
      </c>
      <c r="Q609" s="10" t="s">
        <v>25</v>
      </c>
      <c r="R609" s="10" t="s">
        <v>67</v>
      </c>
    </row>
    <row r="610">
      <c r="A610" s="15">
        <v>46292.66867370371</v>
      </c>
      <c r="B610" s="17"/>
      <c r="C610" s="17"/>
      <c r="D610" s="12" t="s">
        <v>556</v>
      </c>
      <c r="E610" s="12" t="s">
        <v>25</v>
      </c>
      <c r="F610" s="17"/>
      <c r="G610" s="10" t="s">
        <v>20</v>
      </c>
      <c r="H610" s="10">
        <v>56.23</v>
      </c>
      <c r="I610" s="10">
        <v>40.59</v>
      </c>
      <c r="J610" s="10">
        <v>168.33</v>
      </c>
      <c r="K610" s="10">
        <v>169.0</v>
      </c>
      <c r="L610" s="10" t="s">
        <v>21</v>
      </c>
      <c r="M610" s="10">
        <v>56.19</v>
      </c>
      <c r="N610" s="10">
        <v>40.63</v>
      </c>
      <c r="O610" s="10">
        <v>169.23</v>
      </c>
      <c r="P610" s="10">
        <v>169.55</v>
      </c>
      <c r="Q610" s="10" t="s">
        <v>25</v>
      </c>
      <c r="R610" s="10" t="s">
        <v>557</v>
      </c>
    </row>
    <row r="611">
      <c r="A611" s="15">
        <v>46292.78478991898</v>
      </c>
      <c r="B611" s="17"/>
      <c r="C611" s="17"/>
      <c r="D611" s="30" t="s">
        <v>558</v>
      </c>
      <c r="E611" s="30" t="s">
        <v>43</v>
      </c>
      <c r="F611" s="50">
        <v>0.3103</v>
      </c>
      <c r="G611" s="10" t="s">
        <v>20</v>
      </c>
      <c r="H611" s="10">
        <v>54.95</v>
      </c>
      <c r="I611" s="10">
        <v>40.85</v>
      </c>
      <c r="J611" s="10">
        <v>153.13</v>
      </c>
      <c r="K611" s="10">
        <v>152.29</v>
      </c>
      <c r="L611" s="10" t="s">
        <v>119</v>
      </c>
      <c r="M611" s="10">
        <v>54.67</v>
      </c>
      <c r="N611" s="10">
        <v>40.66</v>
      </c>
      <c r="O611" s="10">
        <v>152.61</v>
      </c>
      <c r="P611" s="10">
        <v>152.26</v>
      </c>
      <c r="Q611" s="17"/>
      <c r="R611" s="10" t="s">
        <v>102</v>
      </c>
    </row>
    <row r="612">
      <c r="A612" s="15">
        <v>46292.790154490736</v>
      </c>
      <c r="B612" s="17"/>
      <c r="C612" s="17"/>
      <c r="D612" s="31" t="s">
        <v>559</v>
      </c>
      <c r="E612" s="31" t="s">
        <v>43</v>
      </c>
      <c r="F612" s="49">
        <v>0.0968</v>
      </c>
      <c r="G612" s="10" t="s">
        <v>20</v>
      </c>
      <c r="H612" s="10">
        <v>54.56</v>
      </c>
      <c r="I612" s="10">
        <v>36.15</v>
      </c>
      <c r="J612" s="10">
        <v>154.21</v>
      </c>
      <c r="K612" s="10">
        <v>154.48</v>
      </c>
      <c r="L612" s="10" t="s">
        <v>119</v>
      </c>
      <c r="M612" s="10">
        <v>54.33</v>
      </c>
      <c r="N612" s="10">
        <v>35.91</v>
      </c>
      <c r="O612" s="10">
        <v>153.98</v>
      </c>
      <c r="P612" s="10">
        <v>153.79</v>
      </c>
      <c r="Q612" s="17"/>
      <c r="R612" s="10" t="s">
        <v>102</v>
      </c>
    </row>
    <row r="613">
      <c r="A613" s="15">
        <v>46292.790670312505</v>
      </c>
      <c r="B613" s="17"/>
      <c r="C613" s="17"/>
      <c r="D613" s="95" t="s">
        <v>498</v>
      </c>
      <c r="E613" s="95" t="s">
        <v>43</v>
      </c>
      <c r="F613" s="96">
        <v>0.1463</v>
      </c>
      <c r="G613" s="10" t="s">
        <v>20</v>
      </c>
      <c r="H613" s="10">
        <v>55.47</v>
      </c>
      <c r="I613" s="10">
        <v>38.85</v>
      </c>
      <c r="J613" s="10">
        <v>162.53</v>
      </c>
      <c r="K613" s="10">
        <v>163.13</v>
      </c>
      <c r="L613" s="10" t="s">
        <v>119</v>
      </c>
      <c r="M613" s="10">
        <v>55.38</v>
      </c>
      <c r="N613" s="10">
        <v>38.78</v>
      </c>
      <c r="O613" s="10">
        <v>162.25</v>
      </c>
      <c r="P613" s="10">
        <v>162.86</v>
      </c>
      <c r="Q613" s="17"/>
      <c r="R613" s="10" t="s">
        <v>102</v>
      </c>
    </row>
    <row r="614">
      <c r="A614" s="15">
        <v>46292.768340462964</v>
      </c>
      <c r="B614" s="17"/>
      <c r="C614" s="17"/>
      <c r="D614" s="31" t="s">
        <v>560</v>
      </c>
      <c r="E614" s="31" t="s">
        <v>43</v>
      </c>
      <c r="F614" s="49">
        <v>0.087</v>
      </c>
      <c r="G614" s="10" t="s">
        <v>20</v>
      </c>
      <c r="H614" s="10">
        <v>52.56</v>
      </c>
      <c r="I614" s="10">
        <v>41.68</v>
      </c>
      <c r="J614" s="10">
        <v>155.66</v>
      </c>
      <c r="K614" s="10">
        <v>155.66</v>
      </c>
      <c r="L614" s="10" t="s">
        <v>119</v>
      </c>
      <c r="M614" s="10">
        <v>52.48</v>
      </c>
      <c r="N614" s="10">
        <v>41.62</v>
      </c>
      <c r="O614" s="10">
        <v>155.48</v>
      </c>
      <c r="P614" s="10">
        <v>155.52</v>
      </c>
      <c r="Q614" s="17"/>
      <c r="R614" s="10" t="s">
        <v>102</v>
      </c>
    </row>
    <row r="615">
      <c r="A615" s="15">
        <v>46292.769744942125</v>
      </c>
      <c r="B615" s="17"/>
      <c r="C615" s="17"/>
      <c r="D615" s="30" t="s">
        <v>561</v>
      </c>
      <c r="E615" s="30" t="s">
        <v>43</v>
      </c>
      <c r="F615" s="50">
        <v>0.0769</v>
      </c>
      <c r="G615" s="10" t="s">
        <v>20</v>
      </c>
      <c r="H615" s="10">
        <v>51.98</v>
      </c>
      <c r="I615" s="10">
        <v>40.36</v>
      </c>
      <c r="J615" s="10">
        <v>151.87</v>
      </c>
      <c r="K615" s="10">
        <v>151.79</v>
      </c>
      <c r="L615" s="10" t="s">
        <v>119</v>
      </c>
      <c r="M615" s="10">
        <v>51.75</v>
      </c>
      <c r="N615" s="10">
        <v>40.08</v>
      </c>
      <c r="O615" s="10">
        <v>151.35</v>
      </c>
      <c r="P615" s="10">
        <v>151.21</v>
      </c>
      <c r="Q615" s="17"/>
      <c r="R615" s="10" t="s">
        <v>102</v>
      </c>
    </row>
    <row r="616">
      <c r="A616" s="15">
        <v>46292.77563347222</v>
      </c>
      <c r="B616" s="17"/>
      <c r="C616" s="17"/>
      <c r="D616" s="31" t="s">
        <v>180</v>
      </c>
      <c r="E616" s="31" t="s">
        <v>43</v>
      </c>
      <c r="F616" s="49">
        <v>0.0889</v>
      </c>
      <c r="G616" s="10" t="s">
        <v>20</v>
      </c>
      <c r="H616" s="10">
        <v>48.76</v>
      </c>
      <c r="I616" s="10">
        <v>40.55</v>
      </c>
      <c r="J616" s="10">
        <v>146.83</v>
      </c>
      <c r="K616" s="10">
        <v>146.51</v>
      </c>
      <c r="L616" s="10" t="s">
        <v>119</v>
      </c>
      <c r="M616" s="10">
        <v>48.68</v>
      </c>
      <c r="N616" s="10">
        <v>40.48</v>
      </c>
      <c r="O616" s="10">
        <v>146.59</v>
      </c>
      <c r="P616" s="10">
        <v>146.27</v>
      </c>
      <c r="Q616" s="17"/>
      <c r="R616" s="10" t="s">
        <v>102</v>
      </c>
    </row>
    <row r="617">
      <c r="A617" s="15">
        <v>46292.77661078704</v>
      </c>
      <c r="B617" s="17"/>
      <c r="C617" s="17"/>
      <c r="D617" s="30" t="s">
        <v>562</v>
      </c>
      <c r="E617" s="30" t="s">
        <v>43</v>
      </c>
      <c r="F617" s="50">
        <v>0.0968</v>
      </c>
      <c r="G617" s="10" t="s">
        <v>20</v>
      </c>
      <c r="H617" s="10">
        <v>54.14</v>
      </c>
      <c r="I617" s="10">
        <v>37.06</v>
      </c>
      <c r="J617" s="10">
        <v>155.94</v>
      </c>
      <c r="K617" s="10">
        <v>155.73</v>
      </c>
      <c r="L617" s="10" t="s">
        <v>119</v>
      </c>
      <c r="M617" s="10">
        <v>54.06</v>
      </c>
      <c r="N617" s="10">
        <v>36.91</v>
      </c>
      <c r="O617" s="10">
        <v>155.32</v>
      </c>
      <c r="P617" s="10">
        <v>155.5</v>
      </c>
      <c r="Q617" s="17"/>
      <c r="R617" s="10" t="s">
        <v>102</v>
      </c>
    </row>
    <row r="618">
      <c r="A618" s="15">
        <v>46292.779255625</v>
      </c>
      <c r="B618" s="17"/>
      <c r="C618" s="17"/>
      <c r="D618" s="31" t="s">
        <v>563</v>
      </c>
      <c r="E618" s="31" t="s">
        <v>43</v>
      </c>
      <c r="F618" s="49">
        <v>0.1</v>
      </c>
      <c r="G618" s="10" t="s">
        <v>20</v>
      </c>
      <c r="H618" s="10">
        <v>54.81</v>
      </c>
      <c r="I618" s="10">
        <v>40.16</v>
      </c>
      <c r="J618" s="10">
        <v>161.24</v>
      </c>
      <c r="K618" s="10">
        <v>161.01</v>
      </c>
      <c r="L618" s="10" t="s">
        <v>119</v>
      </c>
      <c r="M618" s="10">
        <v>54.49</v>
      </c>
      <c r="N618" s="10">
        <v>40.12</v>
      </c>
      <c r="O618" s="10">
        <v>160.66</v>
      </c>
      <c r="P618" s="10">
        <v>160.97</v>
      </c>
      <c r="Q618" s="17"/>
      <c r="R618" s="10" t="s">
        <v>102</v>
      </c>
    </row>
    <row r="619">
      <c r="A619" s="15">
        <v>46292.78002162037</v>
      </c>
      <c r="B619" s="17"/>
      <c r="C619" s="17"/>
      <c r="D619" s="30" t="s">
        <v>564</v>
      </c>
      <c r="E619" s="30" t="s">
        <v>43</v>
      </c>
      <c r="F619" s="50">
        <v>0.027</v>
      </c>
      <c r="G619" s="10" t="s">
        <v>20</v>
      </c>
      <c r="H619" s="10">
        <v>52.82</v>
      </c>
      <c r="I619" s="10">
        <v>36.93</v>
      </c>
      <c r="J619" s="10">
        <v>151.39</v>
      </c>
      <c r="K619" s="10">
        <v>151.39</v>
      </c>
      <c r="L619" s="10" t="s">
        <v>119</v>
      </c>
      <c r="M619" s="10">
        <v>52.62</v>
      </c>
      <c r="N619" s="10">
        <v>36.79</v>
      </c>
      <c r="O619" s="10">
        <v>151.15</v>
      </c>
      <c r="P619" s="10">
        <v>150.54</v>
      </c>
      <c r="Q619" s="17"/>
      <c r="R619" s="10" t="s">
        <v>102</v>
      </c>
    </row>
    <row r="620">
      <c r="A620" s="15">
        <v>46292.7807708912</v>
      </c>
      <c r="B620" s="17"/>
      <c r="C620" s="17"/>
      <c r="D620" s="31" t="s">
        <v>565</v>
      </c>
      <c r="E620" s="31" t="s">
        <v>43</v>
      </c>
      <c r="F620" s="49">
        <v>0.0263</v>
      </c>
      <c r="G620" s="10" t="s">
        <v>20</v>
      </c>
      <c r="H620" s="10">
        <v>51.57</v>
      </c>
      <c r="I620" s="10">
        <v>41.01</v>
      </c>
      <c r="J620" s="10">
        <v>155.36</v>
      </c>
      <c r="K620" s="10">
        <v>155.7</v>
      </c>
      <c r="L620" s="10" t="s">
        <v>119</v>
      </c>
      <c r="M620" s="10">
        <v>51.38</v>
      </c>
      <c r="N620" s="10">
        <v>40.99</v>
      </c>
      <c r="O620" s="10">
        <v>154.85</v>
      </c>
      <c r="P620" s="10">
        <v>155.52</v>
      </c>
      <c r="Q620" s="17"/>
      <c r="R620" s="10" t="s">
        <v>102</v>
      </c>
    </row>
    <row r="621">
      <c r="A621" s="15">
        <v>46292.0</v>
      </c>
      <c r="B621" s="17"/>
      <c r="C621" s="17"/>
      <c r="D621" s="30" t="s">
        <v>566</v>
      </c>
      <c r="E621" s="30" t="s">
        <v>43</v>
      </c>
      <c r="F621" s="50">
        <v>0.1034</v>
      </c>
      <c r="G621" s="10" t="s">
        <v>20</v>
      </c>
      <c r="H621" s="10">
        <v>54.75</v>
      </c>
      <c r="I621" s="10">
        <v>39.24</v>
      </c>
      <c r="J621" s="10">
        <v>159.68</v>
      </c>
      <c r="K621" s="10">
        <v>160.1</v>
      </c>
      <c r="L621" s="10" t="s">
        <v>119</v>
      </c>
      <c r="M621" s="10">
        <v>54.46</v>
      </c>
      <c r="N621" s="10">
        <v>39.08</v>
      </c>
      <c r="O621" s="10">
        <v>159.46</v>
      </c>
      <c r="P621" s="10">
        <v>159.09</v>
      </c>
      <c r="Q621" s="17"/>
      <c r="R621" s="10" t="s">
        <v>102</v>
      </c>
    </row>
    <row r="622">
      <c r="A622" s="15">
        <v>46292.78272857639</v>
      </c>
      <c r="B622" s="17"/>
      <c r="C622" s="17"/>
      <c r="D622" s="31" t="s">
        <v>567</v>
      </c>
      <c r="E622" s="31" t="s">
        <v>43</v>
      </c>
      <c r="F622" s="49">
        <v>0.2</v>
      </c>
      <c r="G622" s="10" t="s">
        <v>20</v>
      </c>
      <c r="H622" s="10">
        <v>50.14</v>
      </c>
      <c r="I622" s="10">
        <v>47.23</v>
      </c>
      <c r="J622" s="10">
        <v>154.47</v>
      </c>
      <c r="K622" s="10">
        <v>154.66</v>
      </c>
      <c r="L622" s="10" t="s">
        <v>119</v>
      </c>
      <c r="M622" s="10">
        <v>50.0</v>
      </c>
      <c r="N622" s="10">
        <v>47.12</v>
      </c>
      <c r="O622" s="10">
        <v>154.01</v>
      </c>
      <c r="P622" s="10">
        <v>154.01</v>
      </c>
      <c r="Q622" s="17"/>
      <c r="R622" s="10" t="s">
        <v>102</v>
      </c>
    </row>
    <row r="623">
      <c r="A623" s="15">
        <v>46292.79210693287</v>
      </c>
      <c r="B623" s="17"/>
      <c r="C623" s="17"/>
      <c r="D623" s="30" t="s">
        <v>492</v>
      </c>
      <c r="E623" s="30" t="s">
        <v>43</v>
      </c>
      <c r="F623" s="50">
        <v>0.1667</v>
      </c>
      <c r="G623" s="10" t="s">
        <v>20</v>
      </c>
      <c r="H623" s="10">
        <v>56.63</v>
      </c>
      <c r="I623" s="10">
        <v>37.28</v>
      </c>
      <c r="J623" s="10">
        <v>159.15</v>
      </c>
      <c r="K623" s="10">
        <v>159.19</v>
      </c>
      <c r="L623" s="10" t="s">
        <v>119</v>
      </c>
      <c r="M623" s="10">
        <v>56.54</v>
      </c>
      <c r="N623" s="10">
        <v>37.2</v>
      </c>
      <c r="O623" s="10">
        <v>158.9</v>
      </c>
      <c r="P623" s="10">
        <v>158.9</v>
      </c>
      <c r="Q623" s="17"/>
      <c r="R623" s="10" t="s">
        <v>102</v>
      </c>
    </row>
    <row r="624">
      <c r="A624" s="15">
        <v>46292.793623125</v>
      </c>
      <c r="B624" s="17"/>
      <c r="C624" s="17"/>
      <c r="D624" s="31" t="s">
        <v>568</v>
      </c>
      <c r="E624" s="31" t="s">
        <v>43</v>
      </c>
      <c r="F624" s="49">
        <v>0.0789</v>
      </c>
      <c r="G624" s="10" t="s">
        <v>20</v>
      </c>
      <c r="H624" s="10">
        <v>60.19</v>
      </c>
      <c r="I624" s="10">
        <v>48.69</v>
      </c>
      <c r="J624" s="10">
        <v>177.1</v>
      </c>
      <c r="K624" s="10">
        <v>177.49</v>
      </c>
      <c r="L624" s="10" t="s">
        <v>119</v>
      </c>
      <c r="M624" s="10">
        <v>60.12</v>
      </c>
      <c r="N624" s="10">
        <v>48.62</v>
      </c>
      <c r="O624" s="10">
        <v>177.13</v>
      </c>
      <c r="P624" s="10">
        <v>177.3</v>
      </c>
      <c r="Q624" s="17"/>
      <c r="R624" s="10" t="s">
        <v>102</v>
      </c>
    </row>
    <row r="625">
      <c r="A625" s="15">
        <v>46292.79614046296</v>
      </c>
      <c r="B625" s="17"/>
      <c r="C625" s="17"/>
      <c r="D625" s="30" t="s">
        <v>569</v>
      </c>
      <c r="E625" s="30" t="s">
        <v>43</v>
      </c>
      <c r="F625" s="50">
        <v>0.3077</v>
      </c>
      <c r="G625" s="10" t="s">
        <v>20</v>
      </c>
      <c r="H625" s="10">
        <v>55.41</v>
      </c>
      <c r="I625" s="10">
        <v>35.34</v>
      </c>
      <c r="J625" s="10">
        <v>149.91</v>
      </c>
      <c r="K625" s="10">
        <v>151.02</v>
      </c>
      <c r="L625" s="10" t="s">
        <v>119</v>
      </c>
      <c r="M625" s="10">
        <v>55.38</v>
      </c>
      <c r="N625" s="10">
        <v>34.68</v>
      </c>
      <c r="O625" s="10">
        <v>149.88</v>
      </c>
      <c r="P625" s="10">
        <v>149.79</v>
      </c>
      <c r="Q625" s="17"/>
      <c r="R625" s="10" t="s">
        <v>102</v>
      </c>
    </row>
    <row r="626">
      <c r="A626" s="15">
        <v>46292.79782652778</v>
      </c>
      <c r="B626" s="17"/>
      <c r="C626" s="17"/>
      <c r="D626" s="31" t="s">
        <v>388</v>
      </c>
      <c r="E626" s="31" t="s">
        <v>43</v>
      </c>
      <c r="F626" s="49">
        <v>0.0566</v>
      </c>
      <c r="G626" s="10" t="s">
        <v>20</v>
      </c>
      <c r="H626" s="10">
        <v>51.4</v>
      </c>
      <c r="I626" s="10">
        <v>47.88</v>
      </c>
      <c r="J626" s="10">
        <v>158.0</v>
      </c>
      <c r="K626" s="10">
        <v>157.73</v>
      </c>
      <c r="L626" s="10" t="s">
        <v>119</v>
      </c>
      <c r="M626" s="10">
        <v>51.32</v>
      </c>
      <c r="N626" s="10">
        <v>47.79</v>
      </c>
      <c r="O626" s="10">
        <v>157.74</v>
      </c>
      <c r="P626" s="10">
        <v>157.73</v>
      </c>
      <c r="Q626" s="17"/>
      <c r="R626" s="10" t="s">
        <v>102</v>
      </c>
    </row>
    <row r="627">
      <c r="A627" s="15">
        <v>46292.798639699075</v>
      </c>
      <c r="B627" s="17"/>
      <c r="C627" s="17"/>
      <c r="D627" s="30" t="s">
        <v>570</v>
      </c>
      <c r="E627" s="30" t="s">
        <v>43</v>
      </c>
      <c r="F627" s="50">
        <v>0.1579</v>
      </c>
      <c r="G627" s="10" t="s">
        <v>20</v>
      </c>
      <c r="H627" s="10">
        <v>54.66</v>
      </c>
      <c r="I627" s="10">
        <v>45.35</v>
      </c>
      <c r="J627" s="10">
        <v>160.36</v>
      </c>
      <c r="K627" s="10">
        <v>160.69</v>
      </c>
      <c r="L627" s="10" t="s">
        <v>119</v>
      </c>
      <c r="M627" s="10">
        <v>54.5</v>
      </c>
      <c r="N627" s="10">
        <v>45.32</v>
      </c>
      <c r="O627" s="10">
        <v>160.0</v>
      </c>
      <c r="P627" s="10">
        <v>160.5</v>
      </c>
      <c r="Q627" s="17"/>
      <c r="R627" s="10" t="s">
        <v>102</v>
      </c>
    </row>
    <row r="628">
      <c r="A628" s="15">
        <v>46292.79941328704</v>
      </c>
      <c r="B628" s="17"/>
      <c r="C628" s="17"/>
      <c r="D628" s="31" t="s">
        <v>469</v>
      </c>
      <c r="E628" s="31" t="s">
        <v>43</v>
      </c>
      <c r="F628" s="49">
        <v>0.0588</v>
      </c>
      <c r="G628" s="10" t="s">
        <v>20</v>
      </c>
      <c r="H628" s="10">
        <v>55.68</v>
      </c>
      <c r="I628" s="10">
        <v>34.78</v>
      </c>
      <c r="J628" s="10">
        <v>150.21</v>
      </c>
      <c r="K628" s="10">
        <v>150.4</v>
      </c>
      <c r="L628" s="10" t="s">
        <v>119</v>
      </c>
      <c r="M628" s="10">
        <v>55.62</v>
      </c>
      <c r="N628" s="10">
        <v>34.72</v>
      </c>
      <c r="O628" s="10">
        <v>150.01</v>
      </c>
      <c r="P628" s="10">
        <v>150.21</v>
      </c>
      <c r="Q628" s="17"/>
      <c r="R628" s="10" t="s">
        <v>102</v>
      </c>
    </row>
    <row r="629">
      <c r="A629" s="15">
        <v>46292.80162931713</v>
      </c>
      <c r="B629" s="17"/>
      <c r="C629" s="17"/>
      <c r="D629" s="30" t="s">
        <v>571</v>
      </c>
      <c r="E629" s="30" t="s">
        <v>320</v>
      </c>
      <c r="F629" s="50">
        <v>0.0357</v>
      </c>
      <c r="G629" s="10" t="s">
        <v>20</v>
      </c>
      <c r="H629" s="10">
        <v>56.71</v>
      </c>
      <c r="I629" s="10">
        <v>37.34</v>
      </c>
      <c r="J629" s="10">
        <v>159.79</v>
      </c>
      <c r="K629" s="10">
        <v>159.52</v>
      </c>
      <c r="L629" s="10" t="s">
        <v>119</v>
      </c>
      <c r="M629" s="10">
        <v>56.69</v>
      </c>
      <c r="N629" s="10">
        <v>37.01</v>
      </c>
      <c r="O629" s="10">
        <v>159.32</v>
      </c>
      <c r="P629" s="10">
        <v>158.61</v>
      </c>
      <c r="Q629" s="17"/>
      <c r="R629" s="10" t="s">
        <v>102</v>
      </c>
    </row>
    <row r="630">
      <c r="A630" s="15">
        <v>46292.80220762732</v>
      </c>
      <c r="B630" s="17"/>
      <c r="C630" s="17"/>
      <c r="D630" s="31" t="s">
        <v>572</v>
      </c>
      <c r="E630" s="31" t="s">
        <v>19</v>
      </c>
      <c r="F630" s="49">
        <v>0.1176</v>
      </c>
      <c r="G630" s="10" t="s">
        <v>20</v>
      </c>
      <c r="H630" s="10">
        <v>46.97</v>
      </c>
      <c r="I630" s="10">
        <v>41.55</v>
      </c>
      <c r="J630" s="10">
        <v>143.99</v>
      </c>
      <c r="K630" s="10">
        <v>144.2</v>
      </c>
      <c r="L630" s="10" t="s">
        <v>119</v>
      </c>
      <c r="M630" s="10">
        <v>47.08</v>
      </c>
      <c r="N630" s="10">
        <v>41.84</v>
      </c>
      <c r="O630" s="10">
        <v>144.61</v>
      </c>
      <c r="P630" s="10">
        <v>144.19</v>
      </c>
      <c r="Q630" s="17"/>
      <c r="R630" s="10" t="s">
        <v>102</v>
      </c>
    </row>
    <row r="631">
      <c r="A631" s="15">
        <v>46292.80499880787</v>
      </c>
      <c r="B631" s="17"/>
      <c r="C631" s="17"/>
      <c r="D631" s="30" t="s">
        <v>293</v>
      </c>
      <c r="E631" s="30" t="s">
        <v>19</v>
      </c>
      <c r="F631" s="50">
        <v>0.2143</v>
      </c>
      <c r="G631" s="10" t="s">
        <v>20</v>
      </c>
      <c r="H631" s="10">
        <v>51.45</v>
      </c>
      <c r="I631" s="10">
        <v>37.2</v>
      </c>
      <c r="J631" s="10">
        <v>150.1</v>
      </c>
      <c r="K631" s="10">
        <v>150.1</v>
      </c>
      <c r="L631" s="10" t="s">
        <v>119</v>
      </c>
      <c r="M631" s="10">
        <v>51.55</v>
      </c>
      <c r="N631" s="10">
        <v>37.32</v>
      </c>
      <c r="O631" s="10">
        <v>150.46</v>
      </c>
      <c r="P631" s="10">
        <v>150.46</v>
      </c>
      <c r="Q631" s="17"/>
      <c r="R631" s="10" t="s">
        <v>102</v>
      </c>
    </row>
    <row r="632">
      <c r="A632" s="15">
        <v>46292.8203197338</v>
      </c>
      <c r="B632" s="17"/>
      <c r="C632" s="17"/>
      <c r="D632" s="31" t="s">
        <v>514</v>
      </c>
      <c r="E632" s="31" t="s">
        <v>19</v>
      </c>
      <c r="F632" s="49">
        <v>0.7</v>
      </c>
      <c r="G632" s="10" t="s">
        <v>20</v>
      </c>
      <c r="H632" s="10">
        <v>50.32</v>
      </c>
      <c r="I632" s="10">
        <v>46.62</v>
      </c>
      <c r="J632" s="10">
        <v>155.57</v>
      </c>
      <c r="K632" s="10">
        <v>155.65</v>
      </c>
      <c r="L632" s="10" t="s">
        <v>119</v>
      </c>
      <c r="M632" s="10">
        <v>50.46</v>
      </c>
      <c r="N632" s="10">
        <v>46.72</v>
      </c>
      <c r="O632" s="10">
        <v>155.87</v>
      </c>
      <c r="P632" s="10">
        <v>155.95</v>
      </c>
      <c r="Q632" s="17"/>
      <c r="R632" s="10" t="s">
        <v>102</v>
      </c>
    </row>
    <row r="633">
      <c r="A633" s="15">
        <v>46292.82093288194</v>
      </c>
      <c r="B633" s="17"/>
      <c r="C633" s="17"/>
      <c r="D633" s="30" t="s">
        <v>573</v>
      </c>
      <c r="E633" s="30" t="s">
        <v>19</v>
      </c>
      <c r="F633" s="50">
        <v>0.4167</v>
      </c>
      <c r="G633" s="10" t="s">
        <v>20</v>
      </c>
      <c r="H633" s="10">
        <v>55.1</v>
      </c>
      <c r="I633" s="10">
        <v>37.3</v>
      </c>
      <c r="J633" s="10">
        <v>156.11</v>
      </c>
      <c r="K633" s="10">
        <v>156.02</v>
      </c>
      <c r="L633" s="10" t="s">
        <v>119</v>
      </c>
      <c r="M633" s="10">
        <v>55.2</v>
      </c>
      <c r="N633" s="10">
        <v>37.4</v>
      </c>
      <c r="O633" s="10">
        <v>156.45</v>
      </c>
      <c r="P633" s="10">
        <v>156.35</v>
      </c>
      <c r="Q633" s="17"/>
      <c r="R633" s="10" t="s">
        <v>102</v>
      </c>
    </row>
    <row r="634">
      <c r="A634" s="15">
        <v>46292.82238383102</v>
      </c>
      <c r="B634" s="17"/>
      <c r="C634" s="17"/>
      <c r="D634" s="31" t="s">
        <v>574</v>
      </c>
      <c r="E634" s="31" t="s">
        <v>19</v>
      </c>
      <c r="F634" s="49">
        <v>0.0532</v>
      </c>
      <c r="G634" s="10" t="s">
        <v>20</v>
      </c>
      <c r="H634" s="10">
        <v>52.64</v>
      </c>
      <c r="I634" s="10">
        <v>44.0</v>
      </c>
      <c r="J634" s="10">
        <v>158.28</v>
      </c>
      <c r="K634" s="10">
        <v>158.21</v>
      </c>
      <c r="L634" s="10" t="s">
        <v>119</v>
      </c>
      <c r="M634" s="10">
        <v>52.77</v>
      </c>
      <c r="N634" s="10">
        <v>44.05</v>
      </c>
      <c r="O634" s="10">
        <v>158.56</v>
      </c>
      <c r="P634" s="10">
        <v>158.34</v>
      </c>
      <c r="Q634" s="17"/>
      <c r="R634" s="10" t="s">
        <v>102</v>
      </c>
    </row>
    <row r="635">
      <c r="A635" s="15">
        <v>46292.92477722222</v>
      </c>
      <c r="B635" s="17"/>
      <c r="C635" s="17"/>
      <c r="D635" s="30" t="s">
        <v>575</v>
      </c>
      <c r="E635" s="30" t="s">
        <v>19</v>
      </c>
      <c r="F635" s="50">
        <v>0.25</v>
      </c>
      <c r="G635" s="10" t="s">
        <v>20</v>
      </c>
      <c r="H635" s="10">
        <v>50.64</v>
      </c>
      <c r="I635" s="10">
        <v>42.67</v>
      </c>
      <c r="J635" s="10">
        <v>153.38</v>
      </c>
      <c r="K635" s="10">
        <v>153.38</v>
      </c>
      <c r="L635" s="10" t="s">
        <v>119</v>
      </c>
      <c r="M635" s="10">
        <v>50.76</v>
      </c>
      <c r="N635" s="10">
        <v>42.77</v>
      </c>
      <c r="O635" s="10">
        <v>153.69</v>
      </c>
      <c r="P635" s="10">
        <v>153.69</v>
      </c>
      <c r="Q635" s="17"/>
      <c r="R635" s="10" t="s">
        <v>102</v>
      </c>
    </row>
    <row r="636">
      <c r="A636" s="15">
        <v>46292.0</v>
      </c>
      <c r="B636" s="17"/>
      <c r="C636" s="17"/>
      <c r="D636" s="31" t="s">
        <v>576</v>
      </c>
      <c r="E636" s="31" t="s">
        <v>19</v>
      </c>
      <c r="F636" s="49">
        <v>0.6</v>
      </c>
      <c r="G636" s="10" t="s">
        <v>20</v>
      </c>
      <c r="H636" s="97" t="s">
        <v>577</v>
      </c>
      <c r="Q636" s="17"/>
      <c r="R636" s="10" t="s">
        <v>102</v>
      </c>
    </row>
    <row r="637">
      <c r="A637" s="15">
        <v>46292.92619708333</v>
      </c>
      <c r="B637" s="17"/>
      <c r="C637" s="17"/>
      <c r="D637" s="30" t="s">
        <v>402</v>
      </c>
      <c r="E637" s="30" t="s">
        <v>19</v>
      </c>
      <c r="F637" s="50">
        <v>0.0909</v>
      </c>
      <c r="G637" s="10" t="s">
        <v>20</v>
      </c>
      <c r="H637" s="10">
        <v>52.66</v>
      </c>
      <c r="I637" s="10">
        <v>44.3</v>
      </c>
      <c r="J637" s="10">
        <v>160.22</v>
      </c>
      <c r="K637" s="10">
        <v>160.41</v>
      </c>
      <c r="L637" s="10" t="s">
        <v>119</v>
      </c>
      <c r="M637" s="10">
        <v>52.75</v>
      </c>
      <c r="N637" s="10">
        <v>44.78</v>
      </c>
      <c r="O637" s="10">
        <v>161.02</v>
      </c>
      <c r="P637" s="10">
        <v>160.56</v>
      </c>
      <c r="Q637" s="17"/>
      <c r="R637" s="10" t="s">
        <v>102</v>
      </c>
    </row>
    <row r="638">
      <c r="A638" s="15">
        <v>46292.92695405093</v>
      </c>
      <c r="B638" s="17"/>
      <c r="C638" s="17"/>
      <c r="D638" s="31" t="s">
        <v>578</v>
      </c>
      <c r="E638" s="31" t="s">
        <v>19</v>
      </c>
      <c r="F638" s="49">
        <v>0.3333</v>
      </c>
      <c r="G638" s="10" t="s">
        <v>20</v>
      </c>
      <c r="H638" s="10">
        <v>50.39</v>
      </c>
      <c r="I638" s="10">
        <v>46.76</v>
      </c>
      <c r="J638" s="10">
        <v>158.06</v>
      </c>
      <c r="K638" s="10">
        <v>158.06</v>
      </c>
      <c r="L638" s="10" t="s">
        <v>119</v>
      </c>
      <c r="M638" s="10">
        <v>50.51</v>
      </c>
      <c r="N638" s="10">
        <v>46.89</v>
      </c>
      <c r="O638" s="10">
        <v>158.57</v>
      </c>
      <c r="P638" s="10">
        <v>158.58</v>
      </c>
      <c r="Q638" s="17"/>
      <c r="R638" s="10" t="s">
        <v>102</v>
      </c>
    </row>
    <row r="639">
      <c r="B639" s="17"/>
      <c r="C639" s="17"/>
      <c r="D639" s="11"/>
      <c r="E639" s="11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</row>
    <row r="640">
      <c r="A640" s="15">
        <v>46294.60761085648</v>
      </c>
      <c r="B640" s="17"/>
      <c r="C640" s="17"/>
      <c r="D640" s="12" t="s">
        <v>579</v>
      </c>
      <c r="E640" s="12" t="s">
        <v>520</v>
      </c>
      <c r="F640" s="17"/>
      <c r="G640" s="10" t="s">
        <v>20</v>
      </c>
      <c r="H640" s="10">
        <v>53.24</v>
      </c>
      <c r="I640" s="10">
        <v>38.07</v>
      </c>
      <c r="J640" s="10">
        <v>149.94</v>
      </c>
      <c r="K640" s="10">
        <v>149.94</v>
      </c>
      <c r="L640" s="10" t="s">
        <v>21</v>
      </c>
      <c r="M640" s="10">
        <v>54.85</v>
      </c>
      <c r="N640" s="10">
        <v>40.83</v>
      </c>
      <c r="O640" s="10">
        <v>155.06</v>
      </c>
      <c r="P640" s="10">
        <v>155.06</v>
      </c>
      <c r="Q640" s="10" t="s">
        <v>520</v>
      </c>
      <c r="R640" s="10" t="s">
        <v>22</v>
      </c>
    </row>
    <row r="641">
      <c r="A641" s="15">
        <v>46294.641354618056</v>
      </c>
      <c r="B641" s="17"/>
      <c r="C641" s="17"/>
      <c r="D641" s="12" t="s">
        <v>580</v>
      </c>
      <c r="E641" s="12" t="s">
        <v>520</v>
      </c>
      <c r="F641" s="17"/>
      <c r="G641" s="10" t="s">
        <v>20</v>
      </c>
      <c r="H641" s="10">
        <v>55.45</v>
      </c>
      <c r="I641" s="10">
        <v>34.75</v>
      </c>
      <c r="J641" s="10">
        <v>155.63</v>
      </c>
      <c r="K641" s="10">
        <v>155.33</v>
      </c>
      <c r="L641" s="10" t="s">
        <v>21</v>
      </c>
      <c r="M641" s="10">
        <v>57.06</v>
      </c>
      <c r="N641" s="10">
        <v>36.59</v>
      </c>
      <c r="O641" s="10">
        <v>160.24</v>
      </c>
      <c r="P641" s="10">
        <v>160.24</v>
      </c>
      <c r="Q641" s="10" t="s">
        <v>520</v>
      </c>
      <c r="R641" s="10" t="s">
        <v>22</v>
      </c>
    </row>
    <row r="642">
      <c r="A642" s="15">
        <v>46294.64896424768</v>
      </c>
      <c r="B642" s="17"/>
      <c r="C642" s="17"/>
      <c r="D642" s="12" t="s">
        <v>581</v>
      </c>
      <c r="E642" s="12" t="s">
        <v>520</v>
      </c>
      <c r="F642" s="17"/>
      <c r="G642" s="10" t="s">
        <v>20</v>
      </c>
      <c r="H642" s="10">
        <v>49.71</v>
      </c>
      <c r="I642" s="10">
        <v>38.79</v>
      </c>
      <c r="J642" s="10">
        <v>144.8</v>
      </c>
      <c r="K642" s="10">
        <v>144.8</v>
      </c>
      <c r="L642" s="10" t="s">
        <v>21</v>
      </c>
      <c r="M642" s="10">
        <v>50.8</v>
      </c>
      <c r="N642" s="10">
        <v>40.22</v>
      </c>
      <c r="O642" s="10">
        <v>148.84</v>
      </c>
      <c r="P642" s="10">
        <v>148.84</v>
      </c>
      <c r="Q642" s="10" t="s">
        <v>520</v>
      </c>
      <c r="R642" s="10" t="s">
        <v>22</v>
      </c>
    </row>
    <row r="643">
      <c r="A643" s="15">
        <v>46294.652773842594</v>
      </c>
      <c r="B643" s="17"/>
      <c r="C643" s="17"/>
      <c r="D643" s="12" t="s">
        <v>582</v>
      </c>
      <c r="E643" s="12" t="s">
        <v>520</v>
      </c>
      <c r="F643" s="17"/>
      <c r="G643" s="10" t="s">
        <v>20</v>
      </c>
      <c r="H643" s="10">
        <v>50.58</v>
      </c>
      <c r="I643" s="10">
        <v>32.91</v>
      </c>
      <c r="J643" s="10">
        <v>142.22</v>
      </c>
      <c r="K643" s="10">
        <v>142.56</v>
      </c>
      <c r="L643" s="10" t="s">
        <v>21</v>
      </c>
      <c r="M643" s="10">
        <v>52.16</v>
      </c>
      <c r="N643" s="10">
        <v>35.96</v>
      </c>
      <c r="O643" s="10">
        <v>147.69</v>
      </c>
      <c r="P643" s="10">
        <v>147.69</v>
      </c>
      <c r="Q643" s="10" t="s">
        <v>520</v>
      </c>
      <c r="R643" s="10" t="s">
        <v>22</v>
      </c>
    </row>
    <row r="644">
      <c r="A644" s="15">
        <v>46294.65505199074</v>
      </c>
      <c r="B644" s="17"/>
      <c r="C644" s="17"/>
      <c r="D644" s="12" t="s">
        <v>583</v>
      </c>
      <c r="E644" s="12" t="s">
        <v>520</v>
      </c>
      <c r="F644" s="17"/>
      <c r="G644" s="10" t="s">
        <v>20</v>
      </c>
      <c r="H644" s="10">
        <v>54.93</v>
      </c>
      <c r="I644" s="10">
        <v>38.5</v>
      </c>
      <c r="J644" s="10">
        <v>159.11</v>
      </c>
      <c r="K644" s="10">
        <v>158.97</v>
      </c>
      <c r="L644" s="10" t="s">
        <v>21</v>
      </c>
      <c r="M644" s="10">
        <v>56.15</v>
      </c>
      <c r="N644" s="10">
        <v>39.72</v>
      </c>
      <c r="O644" s="10">
        <v>162.89</v>
      </c>
      <c r="P644" s="10">
        <v>162.89</v>
      </c>
      <c r="Q644" s="10" t="s">
        <v>520</v>
      </c>
      <c r="R644" s="10" t="s">
        <v>22</v>
      </c>
    </row>
    <row r="645">
      <c r="A645" s="15">
        <v>46294.66019652778</v>
      </c>
      <c r="B645" s="17"/>
      <c r="C645" s="17"/>
      <c r="D645" s="12">
        <v>229137.0</v>
      </c>
      <c r="E645" s="12" t="s">
        <v>520</v>
      </c>
      <c r="F645" s="17"/>
      <c r="G645" s="10" t="s">
        <v>20</v>
      </c>
      <c r="H645" s="10">
        <v>54.8</v>
      </c>
      <c r="I645" s="10">
        <v>40.13</v>
      </c>
      <c r="J645" s="10">
        <v>160.47</v>
      </c>
      <c r="K645" s="10">
        <v>160.47</v>
      </c>
      <c r="L645" s="10" t="s">
        <v>21</v>
      </c>
      <c r="M645" s="10">
        <v>56.26</v>
      </c>
      <c r="N645" s="10">
        <v>41.8</v>
      </c>
      <c r="O645" s="10">
        <v>165.75</v>
      </c>
      <c r="P645" s="10">
        <v>165.75</v>
      </c>
      <c r="Q645" s="10" t="s">
        <v>520</v>
      </c>
      <c r="R645" s="10" t="s">
        <v>22</v>
      </c>
    </row>
    <row r="646">
      <c r="A646" s="15">
        <v>46294.672011180555</v>
      </c>
      <c r="B646" s="17"/>
      <c r="C646" s="17"/>
      <c r="D646" s="12" t="s">
        <v>584</v>
      </c>
      <c r="E646" s="12" t="s">
        <v>520</v>
      </c>
      <c r="F646" s="17"/>
      <c r="G646" s="10" t="s">
        <v>20</v>
      </c>
      <c r="H646" s="10">
        <v>53.86</v>
      </c>
      <c r="I646" s="10">
        <v>39.17</v>
      </c>
      <c r="J646" s="10">
        <v>155.99</v>
      </c>
      <c r="K646" s="10">
        <v>155.99</v>
      </c>
      <c r="L646" s="10" t="s">
        <v>21</v>
      </c>
      <c r="M646" s="10">
        <v>55.48</v>
      </c>
      <c r="N646" s="10">
        <v>40.96</v>
      </c>
      <c r="O646" s="10">
        <v>160.71</v>
      </c>
      <c r="P646" s="10">
        <v>160.71</v>
      </c>
      <c r="Q646" s="10" t="s">
        <v>520</v>
      </c>
      <c r="R646" s="10" t="s">
        <v>22</v>
      </c>
    </row>
    <row r="647">
      <c r="A647" s="15">
        <v>46294.6776721412</v>
      </c>
      <c r="B647" s="17"/>
      <c r="C647" s="17"/>
      <c r="D647" s="12">
        <v>206728.0</v>
      </c>
      <c r="E647" s="12" t="s">
        <v>520</v>
      </c>
      <c r="F647" s="17"/>
      <c r="G647" s="10" t="s">
        <v>20</v>
      </c>
      <c r="H647" s="10">
        <v>51.09</v>
      </c>
      <c r="I647" s="10">
        <v>34.43</v>
      </c>
      <c r="J647" s="10">
        <v>146.39</v>
      </c>
      <c r="K647" s="10">
        <v>146.39</v>
      </c>
      <c r="L647" s="10" t="s">
        <v>21</v>
      </c>
      <c r="M647" s="10">
        <v>52.11</v>
      </c>
      <c r="N647" s="10">
        <v>36.2</v>
      </c>
      <c r="O647" s="10">
        <v>150.84</v>
      </c>
      <c r="P647" s="10">
        <v>150.84</v>
      </c>
      <c r="Q647" s="10" t="s">
        <v>520</v>
      </c>
      <c r="R647" s="10" t="s">
        <v>22</v>
      </c>
    </row>
    <row r="648">
      <c r="B648" s="17"/>
      <c r="C648" s="17"/>
      <c r="D648" s="12" t="s">
        <v>585</v>
      </c>
      <c r="E648" s="12" t="s">
        <v>520</v>
      </c>
      <c r="F648" s="17"/>
      <c r="G648" s="10" t="s">
        <v>20</v>
      </c>
      <c r="H648" s="10">
        <v>50.62</v>
      </c>
      <c r="I648" s="10">
        <v>39.4</v>
      </c>
      <c r="J648" s="10">
        <v>148.88</v>
      </c>
      <c r="K648" s="10">
        <v>148.88</v>
      </c>
      <c r="L648" s="10" t="s">
        <v>21</v>
      </c>
      <c r="M648" s="10">
        <v>51.97</v>
      </c>
      <c r="N648" s="10">
        <v>41.29</v>
      </c>
      <c r="O648" s="10">
        <v>153.69</v>
      </c>
      <c r="P648" s="10">
        <v>153.69</v>
      </c>
      <c r="Q648" s="10" t="s">
        <v>520</v>
      </c>
      <c r="R648" s="10" t="s">
        <v>22</v>
      </c>
    </row>
    <row r="649">
      <c r="A649" s="15">
        <v>46294.764812152775</v>
      </c>
      <c r="B649" s="17"/>
      <c r="C649" s="17"/>
      <c r="D649" s="12" t="s">
        <v>302</v>
      </c>
      <c r="E649" s="12" t="s">
        <v>520</v>
      </c>
      <c r="F649" s="17"/>
      <c r="G649" s="10" t="s">
        <v>20</v>
      </c>
      <c r="H649" s="10">
        <v>55.77</v>
      </c>
      <c r="I649" s="10">
        <v>37.49</v>
      </c>
      <c r="J649" s="10">
        <v>158.93</v>
      </c>
      <c r="K649" s="10">
        <v>158.93</v>
      </c>
      <c r="L649" s="10" t="s">
        <v>21</v>
      </c>
      <c r="M649" s="10">
        <v>57.11</v>
      </c>
      <c r="N649" s="10">
        <v>39.11</v>
      </c>
      <c r="O649" s="10">
        <v>163.1</v>
      </c>
      <c r="P649" s="10">
        <v>163.1</v>
      </c>
      <c r="Q649" s="10" t="s">
        <v>520</v>
      </c>
      <c r="R649" s="10" t="s">
        <v>22</v>
      </c>
    </row>
    <row r="650">
      <c r="A650" s="15">
        <v>46294.77654640046</v>
      </c>
      <c r="B650" s="17"/>
      <c r="C650" s="17"/>
      <c r="D650" s="12" t="s">
        <v>586</v>
      </c>
      <c r="E650" s="12" t="s">
        <v>520</v>
      </c>
      <c r="F650" s="17"/>
      <c r="G650" s="10" t="s">
        <v>20</v>
      </c>
      <c r="H650" s="10">
        <v>53.58</v>
      </c>
      <c r="I650" s="10">
        <v>36.19</v>
      </c>
      <c r="J650" s="10">
        <v>151.92</v>
      </c>
      <c r="K650" s="10">
        <v>152.05</v>
      </c>
      <c r="L650" s="10" t="s">
        <v>21</v>
      </c>
      <c r="M650" s="10">
        <v>55.34</v>
      </c>
      <c r="N650" s="10">
        <v>38.06</v>
      </c>
      <c r="O650" s="10">
        <v>156.67</v>
      </c>
      <c r="P650" s="10">
        <v>156.67</v>
      </c>
      <c r="Q650" s="10" t="s">
        <v>520</v>
      </c>
      <c r="R650" s="10" t="s">
        <v>22</v>
      </c>
    </row>
    <row r="651">
      <c r="A651" s="15">
        <v>46294.84299924769</v>
      </c>
      <c r="B651" s="17"/>
      <c r="C651" s="17"/>
      <c r="D651" s="98">
        <v>151701.0</v>
      </c>
      <c r="E651" s="12" t="s">
        <v>520</v>
      </c>
      <c r="F651" s="99"/>
      <c r="G651" s="10" t="s">
        <v>20</v>
      </c>
      <c r="H651" s="10">
        <v>53.26</v>
      </c>
      <c r="I651" s="10">
        <v>40.04</v>
      </c>
      <c r="J651" s="10">
        <v>156.88</v>
      </c>
      <c r="K651" s="10">
        <v>157.0</v>
      </c>
      <c r="L651" s="10" t="s">
        <v>21</v>
      </c>
      <c r="M651" s="10">
        <v>54.74</v>
      </c>
      <c r="N651" s="10">
        <v>41.28</v>
      </c>
      <c r="O651" s="10">
        <v>161.0</v>
      </c>
      <c r="P651" s="10">
        <v>161.0</v>
      </c>
      <c r="Q651" s="10" t="s">
        <v>520</v>
      </c>
      <c r="R651" s="10" t="s">
        <v>22</v>
      </c>
    </row>
    <row r="652">
      <c r="A652" s="15">
        <v>46294.84521313658</v>
      </c>
      <c r="B652" s="17"/>
      <c r="C652" s="17"/>
      <c r="D652" s="100" t="s">
        <v>517</v>
      </c>
      <c r="E652" s="100" t="s">
        <v>43</v>
      </c>
      <c r="F652" s="101">
        <v>0.1667</v>
      </c>
      <c r="G652" s="17"/>
      <c r="H652" s="10">
        <v>56.1</v>
      </c>
      <c r="I652" s="10">
        <v>40.87</v>
      </c>
      <c r="J652" s="10">
        <v>155.22</v>
      </c>
      <c r="K652" s="10">
        <v>155.63</v>
      </c>
      <c r="L652" s="17"/>
      <c r="M652" s="17"/>
      <c r="N652" s="17"/>
      <c r="O652" s="10"/>
      <c r="P652" s="17"/>
      <c r="Q652" s="17"/>
      <c r="R652" s="17"/>
    </row>
    <row r="653">
      <c r="A653" s="15">
        <v>46294.846230034724</v>
      </c>
      <c r="B653" s="17"/>
      <c r="C653" s="17"/>
      <c r="D653" s="102" t="s">
        <v>123</v>
      </c>
      <c r="E653" s="102" t="s">
        <v>43</v>
      </c>
      <c r="F653" s="103">
        <v>0.2308</v>
      </c>
      <c r="G653" s="10" t="s">
        <v>20</v>
      </c>
      <c r="H653" s="10">
        <v>52.39</v>
      </c>
      <c r="I653" s="10">
        <v>43.8</v>
      </c>
      <c r="J653" s="10">
        <v>157.0</v>
      </c>
      <c r="K653" s="10">
        <v>157.09</v>
      </c>
      <c r="L653" s="10" t="s">
        <v>119</v>
      </c>
      <c r="M653" s="10">
        <v>52.19</v>
      </c>
      <c r="N653" s="10">
        <v>43.6</v>
      </c>
      <c r="O653" s="10">
        <v>156.38</v>
      </c>
      <c r="P653" s="10">
        <v>156.45</v>
      </c>
      <c r="Q653" s="17"/>
      <c r="R653" s="10" t="s">
        <v>22</v>
      </c>
    </row>
    <row r="654">
      <c r="A654" s="15">
        <v>46294.84909131944</v>
      </c>
      <c r="B654" s="17"/>
      <c r="C654" s="17"/>
      <c r="D654" s="104" t="s">
        <v>587</v>
      </c>
      <c r="E654" s="104" t="s">
        <v>43</v>
      </c>
      <c r="F654" s="105">
        <v>0.12</v>
      </c>
      <c r="G654" s="10" t="s">
        <v>20</v>
      </c>
      <c r="H654" s="10">
        <v>51.85</v>
      </c>
      <c r="I654" s="10">
        <v>43.38</v>
      </c>
      <c r="J654" s="10">
        <v>157.45</v>
      </c>
      <c r="K654" s="10">
        <v>158.55</v>
      </c>
      <c r="L654" s="10" t="s">
        <v>119</v>
      </c>
      <c r="M654" s="10">
        <v>51.64</v>
      </c>
      <c r="N654" s="10">
        <v>43.18</v>
      </c>
      <c r="O654" s="10">
        <v>156.65</v>
      </c>
      <c r="P654" s="10">
        <v>157.17</v>
      </c>
      <c r="Q654" s="17"/>
      <c r="R654" s="10" t="s">
        <v>22</v>
      </c>
    </row>
    <row r="655">
      <c r="A655" s="15">
        <v>46294.85040927083</v>
      </c>
      <c r="B655" s="17"/>
      <c r="C655" s="17"/>
      <c r="D655" s="102" t="s">
        <v>588</v>
      </c>
      <c r="E655" s="102" t="s">
        <v>43</v>
      </c>
      <c r="F655" s="103">
        <v>0.0588</v>
      </c>
      <c r="G655" s="10" t="s">
        <v>20</v>
      </c>
      <c r="H655" s="10">
        <v>54.07</v>
      </c>
      <c r="I655" s="10">
        <v>42.34</v>
      </c>
      <c r="J655" s="10">
        <v>160.07</v>
      </c>
      <c r="K655" s="10">
        <v>160.34</v>
      </c>
      <c r="L655" s="10" t="s">
        <v>119</v>
      </c>
      <c r="M655" s="10">
        <v>53.9</v>
      </c>
      <c r="N655" s="10">
        <v>42.14</v>
      </c>
      <c r="O655" s="10">
        <v>159.5</v>
      </c>
      <c r="P655" s="10">
        <v>159.65</v>
      </c>
      <c r="Q655" s="17"/>
      <c r="R655" s="10" t="s">
        <v>22</v>
      </c>
    </row>
    <row r="656">
      <c r="A656" s="15">
        <v>46294.86662561343</v>
      </c>
      <c r="B656" s="17"/>
      <c r="C656" s="17"/>
      <c r="D656" s="104" t="s">
        <v>589</v>
      </c>
      <c r="E656" s="104" t="s">
        <v>395</v>
      </c>
      <c r="F656" s="105">
        <v>0.0544</v>
      </c>
      <c r="G656" s="10" t="s">
        <v>20</v>
      </c>
      <c r="H656" s="10">
        <v>52.65</v>
      </c>
      <c r="I656" s="10">
        <v>38.04</v>
      </c>
      <c r="J656" s="10">
        <v>151.73</v>
      </c>
      <c r="K656" s="10">
        <v>151.7</v>
      </c>
      <c r="L656" s="10" t="s">
        <v>119</v>
      </c>
      <c r="M656" s="10">
        <v>52.54</v>
      </c>
      <c r="N656" s="10">
        <v>37.95</v>
      </c>
      <c r="O656" s="10">
        <v>151.42</v>
      </c>
      <c r="P656" s="10">
        <v>151.34</v>
      </c>
      <c r="Q656" s="17"/>
      <c r="R656" s="10" t="s">
        <v>22</v>
      </c>
    </row>
    <row r="657">
      <c r="A657" s="15">
        <v>46294.0</v>
      </c>
      <c r="B657" s="17"/>
      <c r="C657" s="17"/>
      <c r="D657" s="102" t="s">
        <v>500</v>
      </c>
      <c r="E657" s="102" t="s">
        <v>395</v>
      </c>
      <c r="F657" s="103">
        <v>0.0882</v>
      </c>
      <c r="G657" s="10" t="s">
        <v>20</v>
      </c>
      <c r="H657" s="10">
        <v>52.15</v>
      </c>
      <c r="I657" s="10">
        <v>44.31</v>
      </c>
      <c r="J657" s="10">
        <v>157.63</v>
      </c>
      <c r="K657" s="10">
        <v>157.63</v>
      </c>
      <c r="L657" s="10" t="s">
        <v>119</v>
      </c>
      <c r="M657" s="10">
        <v>52.04</v>
      </c>
      <c r="N657" s="10">
        <v>44.21</v>
      </c>
      <c r="O657" s="10">
        <v>157.32</v>
      </c>
      <c r="P657" s="10">
        <v>156.83</v>
      </c>
      <c r="Q657" s="17"/>
      <c r="R657" s="10" t="s">
        <v>22</v>
      </c>
    </row>
    <row r="658">
      <c r="A658" s="15">
        <v>46294.0</v>
      </c>
      <c r="B658" s="17"/>
      <c r="C658" s="17"/>
      <c r="D658" s="104" t="s">
        <v>590</v>
      </c>
      <c r="E658" s="104" t="s">
        <v>395</v>
      </c>
      <c r="F658" s="105">
        <v>0.1481</v>
      </c>
      <c r="G658" s="10" t="s">
        <v>20</v>
      </c>
      <c r="H658" s="10">
        <v>53.68</v>
      </c>
      <c r="I658" s="10">
        <v>42.35</v>
      </c>
      <c r="J658" s="10">
        <v>160.02</v>
      </c>
      <c r="K658" s="10">
        <v>160.5</v>
      </c>
      <c r="L658" s="10" t="s">
        <v>119</v>
      </c>
      <c r="M658" s="10">
        <v>53.58</v>
      </c>
      <c r="N658" s="10">
        <v>42.25</v>
      </c>
      <c r="O658" s="10">
        <v>159.61</v>
      </c>
      <c r="P658" s="10">
        <v>159.69</v>
      </c>
      <c r="Q658" s="17"/>
      <c r="R658" s="10" t="s">
        <v>22</v>
      </c>
    </row>
    <row r="659">
      <c r="A659" s="15">
        <v>46294.0</v>
      </c>
      <c r="B659" s="17"/>
      <c r="C659" s="17"/>
      <c r="D659" s="100" t="s">
        <v>455</v>
      </c>
      <c r="E659" s="100" t="s">
        <v>19</v>
      </c>
      <c r="F659" s="101">
        <v>0.3467</v>
      </c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</row>
    <row r="660">
      <c r="A660" s="15">
        <v>46294.0</v>
      </c>
      <c r="B660" s="17"/>
      <c r="C660" s="17"/>
      <c r="D660" s="104" t="s">
        <v>591</v>
      </c>
      <c r="E660" s="104" t="s">
        <v>19</v>
      </c>
      <c r="F660" s="105">
        <v>0.2581</v>
      </c>
      <c r="G660" s="10" t="s">
        <v>20</v>
      </c>
      <c r="H660" s="10">
        <v>55.2</v>
      </c>
      <c r="I660" s="10">
        <v>42.13</v>
      </c>
      <c r="J660" s="10">
        <v>162.47</v>
      </c>
      <c r="K660" s="10">
        <v>162.63</v>
      </c>
      <c r="L660" s="10" t="s">
        <v>119</v>
      </c>
      <c r="M660" s="106">
        <v>55.39</v>
      </c>
      <c r="N660" s="10">
        <v>42.45</v>
      </c>
      <c r="O660" s="10">
        <v>163.32</v>
      </c>
      <c r="P660" s="10">
        <v>163.07</v>
      </c>
      <c r="Q660" s="17"/>
      <c r="R660" s="10" t="s">
        <v>22</v>
      </c>
    </row>
    <row r="661">
      <c r="A661" s="15">
        <v>46294.0</v>
      </c>
      <c r="B661" s="17"/>
      <c r="C661" s="17"/>
      <c r="D661" s="102" t="s">
        <v>592</v>
      </c>
      <c r="E661" s="102" t="s">
        <v>19</v>
      </c>
      <c r="F661" s="103">
        <v>0.1273</v>
      </c>
      <c r="G661" s="10" t="s">
        <v>20</v>
      </c>
      <c r="H661" s="10">
        <v>51.33</v>
      </c>
      <c r="I661" s="10">
        <v>39.15</v>
      </c>
      <c r="J661" s="10">
        <v>151.07</v>
      </c>
      <c r="K661" s="10">
        <v>151.16</v>
      </c>
      <c r="L661" s="10" t="s">
        <v>119</v>
      </c>
      <c r="M661" s="10">
        <v>51.53</v>
      </c>
      <c r="N661" s="10">
        <v>39.35</v>
      </c>
      <c r="O661" s="10">
        <v>151.73</v>
      </c>
      <c r="P661" s="10">
        <v>151.93</v>
      </c>
      <c r="Q661" s="17"/>
      <c r="R661" s="10" t="s">
        <v>22</v>
      </c>
    </row>
    <row r="662">
      <c r="A662" s="15">
        <v>46294.0</v>
      </c>
      <c r="B662" s="17"/>
      <c r="C662" s="17"/>
      <c r="D662" s="107" t="s">
        <v>440</v>
      </c>
      <c r="E662" s="107" t="s">
        <v>19</v>
      </c>
      <c r="F662" s="108">
        <v>0.3</v>
      </c>
      <c r="G662" s="10" t="s">
        <v>47</v>
      </c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</row>
    <row r="663">
      <c r="A663" s="15">
        <v>46294.0</v>
      </c>
      <c r="B663" s="17"/>
      <c r="C663" s="17"/>
      <c r="D663" s="102" t="s">
        <v>593</v>
      </c>
      <c r="E663" s="102" t="s">
        <v>19</v>
      </c>
      <c r="F663" s="103">
        <v>0.0698</v>
      </c>
      <c r="G663" s="10" t="s">
        <v>20</v>
      </c>
      <c r="H663" s="10">
        <v>52.83</v>
      </c>
      <c r="I663" s="10">
        <v>43.9</v>
      </c>
      <c r="J663" s="10">
        <v>158.52</v>
      </c>
      <c r="K663" s="10">
        <v>158.18</v>
      </c>
      <c r="L663" s="10" t="s">
        <v>119</v>
      </c>
      <c r="M663" s="10">
        <v>53.1</v>
      </c>
      <c r="N663" s="10">
        <v>44.1</v>
      </c>
      <c r="O663" s="10">
        <v>159.33</v>
      </c>
      <c r="P663" s="10">
        <v>158.85</v>
      </c>
      <c r="Q663" s="17"/>
      <c r="R663" s="10" t="s">
        <v>22</v>
      </c>
    </row>
    <row r="664">
      <c r="A664" s="15">
        <v>46294.0</v>
      </c>
      <c r="B664" s="17"/>
      <c r="C664" s="17"/>
      <c r="D664" s="104" t="s">
        <v>594</v>
      </c>
      <c r="E664" s="104" t="s">
        <v>19</v>
      </c>
      <c r="F664" s="105">
        <v>0.375</v>
      </c>
      <c r="G664" s="10" t="s">
        <v>20</v>
      </c>
      <c r="H664" s="10">
        <v>53.7</v>
      </c>
      <c r="I664" s="10">
        <v>42.33</v>
      </c>
      <c r="J664" s="10">
        <v>159.83</v>
      </c>
      <c r="K664" s="10">
        <v>159.9</v>
      </c>
      <c r="L664" s="10" t="s">
        <v>119</v>
      </c>
      <c r="M664" s="10">
        <v>53.9</v>
      </c>
      <c r="N664" s="10">
        <v>42.56</v>
      </c>
      <c r="O664" s="10">
        <v>160.58</v>
      </c>
      <c r="P664" s="10">
        <v>160.78</v>
      </c>
      <c r="Q664" s="17"/>
      <c r="R664" s="10" t="s">
        <v>22</v>
      </c>
    </row>
    <row r="665">
      <c r="A665" s="15">
        <v>46294.0</v>
      </c>
      <c r="B665" s="17"/>
      <c r="C665" s="17"/>
      <c r="D665" s="102" t="s">
        <v>595</v>
      </c>
      <c r="E665" s="102" t="s">
        <v>19</v>
      </c>
      <c r="F665" s="103">
        <v>0.1176</v>
      </c>
      <c r="G665" s="10" t="s">
        <v>20</v>
      </c>
      <c r="H665" s="10">
        <v>45.07</v>
      </c>
      <c r="I665" s="10">
        <v>36.2</v>
      </c>
      <c r="J665" s="10">
        <v>131.66</v>
      </c>
      <c r="K665" s="10">
        <v>131.61</v>
      </c>
      <c r="L665" s="10" t="s">
        <v>119</v>
      </c>
      <c r="M665" s="10">
        <v>45.31</v>
      </c>
      <c r="N665" s="10">
        <v>36.4</v>
      </c>
      <c r="O665" s="10">
        <v>132.31</v>
      </c>
      <c r="P665" s="10">
        <v>132.38</v>
      </c>
      <c r="Q665" s="17"/>
      <c r="R665" s="10" t="s">
        <v>22</v>
      </c>
    </row>
    <row r="666">
      <c r="A666" s="15">
        <v>46294.0</v>
      </c>
      <c r="B666" s="17"/>
      <c r="C666" s="17"/>
      <c r="D666" s="107" t="s">
        <v>596</v>
      </c>
      <c r="E666" s="107" t="s">
        <v>336</v>
      </c>
      <c r="F666" s="108">
        <v>0.0909</v>
      </c>
      <c r="G666" s="10" t="s">
        <v>47</v>
      </c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</row>
    <row r="667">
      <c r="A667" s="15">
        <v>46296.0</v>
      </c>
      <c r="B667" s="17"/>
      <c r="C667" s="17"/>
      <c r="D667" s="104" t="s">
        <v>591</v>
      </c>
      <c r="E667" s="104" t="s">
        <v>19</v>
      </c>
      <c r="F667" s="105">
        <v>0.2581</v>
      </c>
      <c r="G667" s="10" t="s">
        <v>20</v>
      </c>
      <c r="H667" s="109">
        <v>55.39</v>
      </c>
      <c r="I667" s="10">
        <v>42.45</v>
      </c>
      <c r="J667" s="10">
        <v>163.32</v>
      </c>
      <c r="K667" s="10">
        <v>163.07</v>
      </c>
      <c r="L667" s="10" t="s">
        <v>21</v>
      </c>
      <c r="M667" s="10">
        <v>55.68</v>
      </c>
      <c r="N667" s="10">
        <v>42.45</v>
      </c>
      <c r="O667" s="10">
        <v>164.06</v>
      </c>
      <c r="P667" s="10">
        <v>163.91</v>
      </c>
      <c r="Q667" s="17"/>
      <c r="R667" s="10" t="s">
        <v>102</v>
      </c>
    </row>
    <row r="668">
      <c r="A668" s="15">
        <v>46296.77200201389</v>
      </c>
      <c r="B668" s="17"/>
      <c r="C668" s="17"/>
      <c r="D668" s="31" t="s">
        <v>597</v>
      </c>
      <c r="E668" s="31" t="s">
        <v>19</v>
      </c>
      <c r="F668" s="49">
        <v>0.25</v>
      </c>
      <c r="G668" s="10" t="s">
        <v>20</v>
      </c>
      <c r="H668" s="10">
        <v>48.17</v>
      </c>
      <c r="I668" s="10">
        <v>36.61</v>
      </c>
      <c r="J668" s="10">
        <v>142.03</v>
      </c>
      <c r="K668" s="10">
        <v>142.03</v>
      </c>
      <c r="L668" s="10" t="s">
        <v>119</v>
      </c>
      <c r="M668" s="10">
        <v>48.6</v>
      </c>
      <c r="N668" s="10">
        <v>36.82</v>
      </c>
      <c r="O668" s="10">
        <v>142.98</v>
      </c>
      <c r="P668" s="10">
        <v>142.98</v>
      </c>
      <c r="Q668" s="17"/>
      <c r="R668" s="10" t="s">
        <v>22</v>
      </c>
    </row>
    <row r="669">
      <c r="A669" s="15">
        <v>46296.77407024306</v>
      </c>
      <c r="B669" s="17"/>
      <c r="C669" s="17"/>
      <c r="D669" s="30" t="s">
        <v>598</v>
      </c>
      <c r="E669" s="30" t="s">
        <v>43</v>
      </c>
      <c r="F669" s="50">
        <v>0.2222</v>
      </c>
      <c r="G669" s="10" t="s">
        <v>20</v>
      </c>
      <c r="H669" s="10">
        <v>54.54</v>
      </c>
      <c r="I669" s="10">
        <v>36.07</v>
      </c>
      <c r="J669" s="10">
        <v>154.62</v>
      </c>
      <c r="K669" s="10">
        <v>154.62</v>
      </c>
      <c r="L669" s="10" t="s">
        <v>119</v>
      </c>
      <c r="M669" s="10">
        <v>54.34</v>
      </c>
      <c r="N669" s="10">
        <v>35.8</v>
      </c>
      <c r="O669" s="10">
        <v>153.56</v>
      </c>
      <c r="P669" s="10">
        <v>153.57</v>
      </c>
      <c r="Q669" s="17"/>
      <c r="R669" s="10" t="s">
        <v>22</v>
      </c>
    </row>
    <row r="670">
      <c r="A670" s="15">
        <v>46296.77675726852</v>
      </c>
      <c r="B670" s="17"/>
      <c r="C670" s="17"/>
      <c r="D670" s="31" t="s">
        <v>599</v>
      </c>
      <c r="E670" s="31" t="s">
        <v>43</v>
      </c>
      <c r="F670" s="49">
        <v>0.0976</v>
      </c>
      <c r="G670" s="10" t="s">
        <v>20</v>
      </c>
      <c r="H670" s="10">
        <v>56.04</v>
      </c>
      <c r="I670" s="10">
        <v>38.84</v>
      </c>
      <c r="J670" s="10">
        <v>164.21</v>
      </c>
      <c r="K670" s="10">
        <v>164.45</v>
      </c>
      <c r="L670" s="10" t="s">
        <v>119</v>
      </c>
      <c r="M670" s="10">
        <v>55.79</v>
      </c>
      <c r="N670" s="10">
        <v>38.64</v>
      </c>
      <c r="O670" s="10">
        <v>162.54</v>
      </c>
      <c r="P670" s="10">
        <v>162.16</v>
      </c>
      <c r="Q670" s="17"/>
      <c r="R670" s="10" t="s">
        <v>22</v>
      </c>
    </row>
    <row r="671">
      <c r="A671" s="15">
        <v>46296.0</v>
      </c>
      <c r="B671" s="17"/>
      <c r="C671" s="17"/>
      <c r="D671" s="30" t="s">
        <v>600</v>
      </c>
      <c r="E671" s="30" t="s">
        <v>395</v>
      </c>
      <c r="F671" s="50">
        <v>0.1538</v>
      </c>
      <c r="G671" s="10" t="s">
        <v>20</v>
      </c>
      <c r="H671" s="110">
        <v>58.21</v>
      </c>
      <c r="I671" s="10">
        <v>42.57</v>
      </c>
      <c r="J671" s="10">
        <v>171.95</v>
      </c>
      <c r="K671" s="10">
        <v>171.73</v>
      </c>
      <c r="L671" s="10" t="s">
        <v>119</v>
      </c>
      <c r="M671" s="110">
        <v>58.0</v>
      </c>
      <c r="N671" s="10">
        <v>42.37</v>
      </c>
      <c r="O671" s="10">
        <v>171.27</v>
      </c>
      <c r="P671" s="10">
        <v>170.95</v>
      </c>
      <c r="Q671" s="17"/>
      <c r="R671" s="10" t="s">
        <v>22</v>
      </c>
    </row>
    <row r="672">
      <c r="A672" s="15">
        <v>46296.0</v>
      </c>
      <c r="B672" s="17"/>
      <c r="C672" s="17"/>
      <c r="D672" s="61" t="s">
        <v>367</v>
      </c>
      <c r="E672" s="61" t="s">
        <v>137</v>
      </c>
      <c r="F672" s="111">
        <v>0.4</v>
      </c>
      <c r="G672" s="10" t="s">
        <v>47</v>
      </c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</row>
    <row r="673">
      <c r="A673" s="15">
        <v>46296.0</v>
      </c>
      <c r="B673" s="17"/>
      <c r="C673" s="17"/>
      <c r="D673" s="30" t="s">
        <v>342</v>
      </c>
      <c r="E673" s="30" t="s">
        <v>137</v>
      </c>
      <c r="F673" s="50">
        <v>0.0952</v>
      </c>
      <c r="G673" s="10" t="s">
        <v>20</v>
      </c>
      <c r="H673" s="10">
        <v>51.62</v>
      </c>
      <c r="I673" s="10">
        <v>37.22</v>
      </c>
      <c r="J673" s="10">
        <v>150.45</v>
      </c>
      <c r="K673" s="10">
        <v>150.39</v>
      </c>
      <c r="L673" s="10" t="s">
        <v>119</v>
      </c>
      <c r="M673" s="10">
        <v>51.51</v>
      </c>
      <c r="N673" s="10">
        <v>37.12</v>
      </c>
      <c r="O673" s="10">
        <v>150.12</v>
      </c>
      <c r="P673" s="10">
        <v>149.77</v>
      </c>
      <c r="Q673" s="17"/>
      <c r="R673" s="10" t="s">
        <v>22</v>
      </c>
    </row>
    <row r="674">
      <c r="A674" s="15">
        <v>46296.0</v>
      </c>
      <c r="B674" s="17"/>
      <c r="C674" s="17"/>
      <c r="D674" s="31" t="s">
        <v>601</v>
      </c>
      <c r="E674" s="31" t="s">
        <v>137</v>
      </c>
      <c r="F674" s="49">
        <v>0.0545</v>
      </c>
      <c r="G674" s="10" t="s">
        <v>20</v>
      </c>
      <c r="H674" s="10">
        <v>49.1</v>
      </c>
      <c r="I674" s="10">
        <v>41.23</v>
      </c>
      <c r="J674" s="10">
        <v>146.0</v>
      </c>
      <c r="K674" s="10">
        <v>146.0</v>
      </c>
      <c r="L674" s="10" t="s">
        <v>119</v>
      </c>
      <c r="M674" s="10">
        <v>48.96</v>
      </c>
      <c r="N674" s="10">
        <v>41.13</v>
      </c>
      <c r="O674" s="10">
        <v>145.56</v>
      </c>
      <c r="P674" s="10">
        <v>145.35</v>
      </c>
      <c r="Q674" s="17"/>
      <c r="R674" s="10" t="s">
        <v>22</v>
      </c>
    </row>
    <row r="675">
      <c r="A675" s="15">
        <v>46296.783105625</v>
      </c>
      <c r="B675" s="17"/>
      <c r="C675" s="17"/>
      <c r="D675" s="31" t="s">
        <v>172</v>
      </c>
      <c r="E675" s="31" t="s">
        <v>602</v>
      </c>
      <c r="F675" s="49">
        <v>0.1333</v>
      </c>
      <c r="G675" s="10" t="s">
        <v>20</v>
      </c>
      <c r="H675" s="10">
        <v>52.01</v>
      </c>
      <c r="I675" s="10">
        <v>43.71</v>
      </c>
      <c r="J675" s="10">
        <v>156.35</v>
      </c>
      <c r="K675" s="10">
        <v>156.23</v>
      </c>
      <c r="L675" s="10" t="s">
        <v>119</v>
      </c>
      <c r="M675" s="10">
        <v>51.91</v>
      </c>
      <c r="N675" s="10">
        <v>43.62</v>
      </c>
      <c r="O675" s="10">
        <v>156.01</v>
      </c>
      <c r="P675" s="10">
        <v>155.62</v>
      </c>
      <c r="Q675" s="17"/>
      <c r="R675" s="10" t="s">
        <v>22</v>
      </c>
    </row>
    <row r="676">
      <c r="A676" s="15">
        <v>46296.78433821759</v>
      </c>
      <c r="B676" s="17"/>
      <c r="C676" s="17"/>
      <c r="D676" s="30" t="s">
        <v>584</v>
      </c>
      <c r="E676" s="30" t="s">
        <v>602</v>
      </c>
      <c r="F676" s="50">
        <v>0.1316</v>
      </c>
      <c r="G676" s="10" t="s">
        <v>20</v>
      </c>
      <c r="H676" s="10">
        <v>54.04</v>
      </c>
      <c r="I676" s="10">
        <v>39.01</v>
      </c>
      <c r="J676" s="10">
        <v>155.93</v>
      </c>
      <c r="K676" s="10">
        <v>155.62</v>
      </c>
      <c r="L676" s="10" t="s">
        <v>119</v>
      </c>
      <c r="M676" s="10">
        <v>53.9</v>
      </c>
      <c r="N676" s="10">
        <v>38.89</v>
      </c>
      <c r="O676" s="10">
        <v>155.53</v>
      </c>
      <c r="P676" s="10">
        <v>155.08</v>
      </c>
      <c r="Q676" s="17"/>
      <c r="R676" s="10" t="s">
        <v>22</v>
      </c>
    </row>
    <row r="677">
      <c r="A677" s="15">
        <v>46296.785538703705</v>
      </c>
      <c r="B677" s="17"/>
      <c r="C677" s="17"/>
      <c r="D677" s="31" t="s">
        <v>510</v>
      </c>
      <c r="E677" s="31" t="s">
        <v>602</v>
      </c>
      <c r="F677" s="49">
        <v>0.1111</v>
      </c>
      <c r="G677" s="10" t="s">
        <v>20</v>
      </c>
      <c r="H677" s="10">
        <v>54.22</v>
      </c>
      <c r="I677" s="10">
        <v>39.12</v>
      </c>
      <c r="J677" s="10">
        <v>155.88</v>
      </c>
      <c r="K677" s="10">
        <v>155.93</v>
      </c>
      <c r="L677" s="10" t="s">
        <v>119</v>
      </c>
      <c r="M677" s="10">
        <v>54.12</v>
      </c>
      <c r="N677" s="10">
        <v>38.9</v>
      </c>
      <c r="O677" s="10">
        <v>155.36</v>
      </c>
      <c r="P677" s="10">
        <v>155.35</v>
      </c>
      <c r="Q677" s="17"/>
      <c r="R677" s="10" t="s">
        <v>22</v>
      </c>
    </row>
    <row r="678">
      <c r="A678" s="15">
        <v>46296.78706667824</v>
      </c>
      <c r="B678" s="17"/>
      <c r="C678" s="17"/>
      <c r="D678" s="30" t="s">
        <v>603</v>
      </c>
      <c r="E678" s="30" t="s">
        <v>602</v>
      </c>
      <c r="F678" s="50">
        <v>0.05</v>
      </c>
      <c r="G678" s="10" t="s">
        <v>20</v>
      </c>
      <c r="H678" s="10">
        <v>53.79</v>
      </c>
      <c r="I678" s="10">
        <v>41.6</v>
      </c>
      <c r="J678" s="10">
        <v>159.35</v>
      </c>
      <c r="K678" s="10">
        <v>159.45</v>
      </c>
      <c r="L678" s="10" t="s">
        <v>119</v>
      </c>
      <c r="M678" s="10">
        <v>53.68</v>
      </c>
      <c r="N678" s="10">
        <v>41.5</v>
      </c>
      <c r="O678" s="10">
        <v>158.81</v>
      </c>
      <c r="P678" s="10">
        <v>158.88</v>
      </c>
      <c r="Q678" s="17"/>
      <c r="R678" s="10" t="s">
        <v>22</v>
      </c>
    </row>
    <row r="679">
      <c r="A679" s="15">
        <v>46296.78811334491</v>
      </c>
      <c r="B679" s="17"/>
      <c r="C679" s="17"/>
      <c r="D679" s="31" t="s">
        <v>604</v>
      </c>
      <c r="E679" s="31" t="s">
        <v>602</v>
      </c>
      <c r="F679" s="49">
        <v>0.0375</v>
      </c>
      <c r="G679" s="10" t="s">
        <v>20</v>
      </c>
      <c r="H679" s="10">
        <v>51.7</v>
      </c>
      <c r="I679" s="10">
        <v>41.41</v>
      </c>
      <c r="J679" s="10">
        <v>156.62</v>
      </c>
      <c r="K679" s="10">
        <v>156.54</v>
      </c>
      <c r="L679" s="10" t="s">
        <v>119</v>
      </c>
      <c r="M679" s="10">
        <v>51.6</v>
      </c>
      <c r="N679" s="10">
        <v>41.31</v>
      </c>
      <c r="O679" s="10">
        <v>156.3</v>
      </c>
      <c r="P679" s="10">
        <v>156.3</v>
      </c>
      <c r="Q679" s="17"/>
      <c r="R679" s="10" t="s">
        <v>22</v>
      </c>
    </row>
    <row r="680">
      <c r="A680" s="15">
        <v>46296.78127791667</v>
      </c>
      <c r="B680" s="17"/>
      <c r="C680" s="17"/>
      <c r="D680" s="112" t="s">
        <v>535</v>
      </c>
      <c r="E680" s="112" t="s">
        <v>19</v>
      </c>
      <c r="F680" s="113">
        <v>0.4286</v>
      </c>
      <c r="G680" s="10" t="s">
        <v>20</v>
      </c>
      <c r="H680" s="10">
        <v>53.73</v>
      </c>
      <c r="I680" s="10">
        <v>42.45</v>
      </c>
      <c r="J680" s="10">
        <v>160.13</v>
      </c>
      <c r="K680" s="10">
        <v>160.13</v>
      </c>
      <c r="L680" s="10" t="s">
        <v>119</v>
      </c>
      <c r="M680" s="10">
        <v>54.05</v>
      </c>
      <c r="N680" s="10">
        <v>42.75</v>
      </c>
      <c r="O680" s="10">
        <v>161.21</v>
      </c>
      <c r="P680" s="10">
        <v>161.11</v>
      </c>
      <c r="Q680" s="17"/>
      <c r="R680" s="10" t="s">
        <v>22</v>
      </c>
    </row>
    <row r="681">
      <c r="A681" s="15">
        <v>46296.0</v>
      </c>
      <c r="B681" s="17"/>
      <c r="C681" s="17"/>
      <c r="D681" s="114" t="s">
        <v>548</v>
      </c>
      <c r="E681" s="114" t="s">
        <v>19</v>
      </c>
      <c r="F681" s="115">
        <v>0.1481</v>
      </c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7"/>
      <c r="R681" s="17"/>
    </row>
    <row r="682">
      <c r="A682" s="15">
        <v>46296.0</v>
      </c>
      <c r="B682" s="17"/>
      <c r="C682" s="17"/>
      <c r="D682" s="114" t="s">
        <v>302</v>
      </c>
      <c r="E682" s="114" t="s">
        <v>415</v>
      </c>
      <c r="F682" s="115">
        <v>0.2308</v>
      </c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7"/>
      <c r="R682" s="17"/>
    </row>
    <row r="683">
      <c r="A683" s="15">
        <v>46296.0</v>
      </c>
      <c r="B683" s="17"/>
      <c r="C683" s="17"/>
      <c r="D683" s="114" t="s">
        <v>579</v>
      </c>
      <c r="E683" s="114" t="s">
        <v>415</v>
      </c>
      <c r="F683" s="115">
        <v>0.1818</v>
      </c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7"/>
      <c r="R683" s="17"/>
    </row>
    <row r="684">
      <c r="A684" s="15">
        <v>46298.560765069444</v>
      </c>
      <c r="B684" s="17"/>
      <c r="C684" s="17"/>
      <c r="D684" s="112" t="s">
        <v>535</v>
      </c>
      <c r="E684" s="12" t="s">
        <v>19</v>
      </c>
      <c r="F684" s="17"/>
      <c r="G684" s="10" t="s">
        <v>20</v>
      </c>
      <c r="H684" s="10">
        <v>54.05</v>
      </c>
      <c r="I684" s="10">
        <v>42.75</v>
      </c>
      <c r="J684" s="10">
        <v>161.21</v>
      </c>
      <c r="K684" s="10">
        <v>161.11</v>
      </c>
      <c r="L684" s="10" t="s">
        <v>21</v>
      </c>
      <c r="M684" s="10">
        <v>60.07</v>
      </c>
      <c r="N684" s="10">
        <v>49.99</v>
      </c>
      <c r="O684" s="10">
        <v>181.38</v>
      </c>
      <c r="P684" s="10">
        <v>181.33</v>
      </c>
      <c r="Q684" s="10" t="s">
        <v>19</v>
      </c>
      <c r="R684" s="10" t="s">
        <v>557</v>
      </c>
    </row>
    <row r="685">
      <c r="A685" s="15">
        <v>46298.664334016205</v>
      </c>
      <c r="B685" s="17"/>
      <c r="C685" s="17"/>
      <c r="D685" s="12" t="s">
        <v>342</v>
      </c>
      <c r="E685" s="11"/>
      <c r="F685" s="17"/>
      <c r="G685" s="10" t="s">
        <v>20</v>
      </c>
      <c r="H685" s="10">
        <v>51.51</v>
      </c>
      <c r="I685" s="10">
        <v>37.12</v>
      </c>
      <c r="J685" s="10">
        <v>150.12</v>
      </c>
      <c r="K685" s="10">
        <v>149.77</v>
      </c>
      <c r="L685" s="10" t="s">
        <v>21</v>
      </c>
      <c r="M685" s="10">
        <v>51.57</v>
      </c>
      <c r="N685" s="10">
        <v>37.44</v>
      </c>
      <c r="O685" s="10">
        <v>150.92</v>
      </c>
      <c r="P685" s="10">
        <v>150.99</v>
      </c>
      <c r="Q685" s="10" t="s">
        <v>19</v>
      </c>
      <c r="R685" s="10" t="s">
        <v>22</v>
      </c>
    </row>
    <row r="686">
      <c r="A686" s="15">
        <v>46300.47868289352</v>
      </c>
      <c r="B686" s="17"/>
      <c r="C686" s="17"/>
      <c r="D686" s="12" t="s">
        <v>605</v>
      </c>
      <c r="E686" s="11"/>
      <c r="F686" s="17"/>
      <c r="G686" s="10" t="s">
        <v>20</v>
      </c>
      <c r="H686" s="10">
        <v>54.33</v>
      </c>
      <c r="I686" s="10">
        <v>49.88</v>
      </c>
      <c r="J686" s="10">
        <v>165.82</v>
      </c>
      <c r="K686" s="10">
        <v>165.82</v>
      </c>
      <c r="L686" s="10" t="s">
        <v>21</v>
      </c>
      <c r="M686" s="10">
        <v>50.16</v>
      </c>
      <c r="N686" s="10">
        <v>38.25</v>
      </c>
      <c r="O686" s="10">
        <v>141.25</v>
      </c>
      <c r="P686" s="10">
        <v>140.62</v>
      </c>
      <c r="Q686" s="10" t="s">
        <v>25</v>
      </c>
      <c r="R686" s="10" t="s">
        <v>22</v>
      </c>
    </row>
    <row r="687">
      <c r="A687" s="15">
        <v>46300.64125836805</v>
      </c>
      <c r="B687" s="17"/>
      <c r="C687" s="17"/>
      <c r="D687" s="30" t="s">
        <v>302</v>
      </c>
      <c r="E687" s="30" t="s">
        <v>43</v>
      </c>
      <c r="F687" s="51">
        <v>0.381</v>
      </c>
      <c r="G687" s="10" t="s">
        <v>20</v>
      </c>
      <c r="H687" s="10">
        <v>57.11</v>
      </c>
      <c r="I687" s="10">
        <v>39.11</v>
      </c>
      <c r="J687" s="10">
        <v>163.1</v>
      </c>
      <c r="K687" s="10">
        <v>163.1</v>
      </c>
      <c r="L687" s="10" t="s">
        <v>119</v>
      </c>
      <c r="M687" s="10">
        <v>56.94</v>
      </c>
      <c r="N687" s="10">
        <v>38.95</v>
      </c>
      <c r="O687" s="10">
        <v>162.55</v>
      </c>
      <c r="P687" s="10">
        <v>162.55</v>
      </c>
      <c r="Q687" s="17"/>
      <c r="R687" s="17"/>
    </row>
    <row r="688">
      <c r="A688" s="15">
        <v>46300.0</v>
      </c>
      <c r="B688" s="17"/>
      <c r="C688" s="17"/>
      <c r="D688" s="114" t="s">
        <v>517</v>
      </c>
      <c r="E688" s="114" t="s">
        <v>43</v>
      </c>
      <c r="F688" s="117">
        <v>0.1818</v>
      </c>
      <c r="G688" s="118" t="s">
        <v>20</v>
      </c>
      <c r="H688" s="118"/>
      <c r="I688" s="116"/>
      <c r="J688" s="116"/>
      <c r="K688" s="116"/>
      <c r="L688" s="10" t="s">
        <v>119</v>
      </c>
      <c r="M688" s="116"/>
      <c r="N688" s="116"/>
      <c r="O688" s="116"/>
      <c r="P688" s="116"/>
      <c r="Q688" s="17"/>
      <c r="R688" s="10" t="s">
        <v>102</v>
      </c>
    </row>
    <row r="689">
      <c r="A689" s="15">
        <v>46300.0</v>
      </c>
      <c r="B689" s="17"/>
      <c r="C689" s="17"/>
      <c r="D689" s="30" t="s">
        <v>180</v>
      </c>
      <c r="E689" s="30" t="s">
        <v>43</v>
      </c>
      <c r="F689" s="51">
        <v>0.0635</v>
      </c>
      <c r="G689" s="10" t="s">
        <v>20</v>
      </c>
      <c r="H689" s="10">
        <v>48.68</v>
      </c>
      <c r="I689" s="10">
        <v>40.48</v>
      </c>
      <c r="J689" s="10">
        <v>146.59</v>
      </c>
      <c r="K689" s="10">
        <v>146.27</v>
      </c>
      <c r="L689" s="10" t="s">
        <v>119</v>
      </c>
      <c r="M689" s="10">
        <v>48.58</v>
      </c>
      <c r="N689" s="10">
        <v>40.38</v>
      </c>
      <c r="O689" s="10">
        <v>146.26</v>
      </c>
      <c r="P689" s="10">
        <v>145.94</v>
      </c>
      <c r="Q689" s="17"/>
      <c r="R689" s="10" t="s">
        <v>102</v>
      </c>
    </row>
    <row r="690">
      <c r="A690" s="15">
        <v>46300.64507621528</v>
      </c>
      <c r="B690" s="17"/>
      <c r="C690" s="17"/>
      <c r="D690" s="31" t="s">
        <v>606</v>
      </c>
      <c r="E690" s="31" t="s">
        <v>43</v>
      </c>
      <c r="F690" s="52">
        <v>0.0532</v>
      </c>
      <c r="G690" s="10" t="s">
        <v>20</v>
      </c>
      <c r="H690" s="10">
        <v>52.01</v>
      </c>
      <c r="I690" s="10">
        <v>40.2</v>
      </c>
      <c r="J690" s="10">
        <v>152.5</v>
      </c>
      <c r="K690" s="10">
        <v>152.44</v>
      </c>
      <c r="L690" s="10" t="s">
        <v>119</v>
      </c>
      <c r="M690" s="10">
        <v>51.98</v>
      </c>
      <c r="N690" s="10">
        <v>40.16</v>
      </c>
      <c r="O690" s="10">
        <v>152.48</v>
      </c>
      <c r="P690" s="10">
        <v>152.43</v>
      </c>
      <c r="Q690" s="17"/>
      <c r="R690" s="10" t="s">
        <v>102</v>
      </c>
    </row>
    <row r="691">
      <c r="A691" s="15">
        <v>46300.64617466435</v>
      </c>
      <c r="B691" s="17"/>
      <c r="C691" s="17"/>
      <c r="D691" s="30" t="s">
        <v>607</v>
      </c>
      <c r="E691" s="30" t="s">
        <v>43</v>
      </c>
      <c r="F691" s="51">
        <v>0.04</v>
      </c>
      <c r="G691" s="10" t="s">
        <v>20</v>
      </c>
      <c r="H691" s="10">
        <v>52.51</v>
      </c>
      <c r="I691" s="10">
        <v>37.93</v>
      </c>
      <c r="J691" s="10">
        <v>151.14</v>
      </c>
      <c r="K691" s="10">
        <v>151.07</v>
      </c>
      <c r="L691" s="10" t="s">
        <v>119</v>
      </c>
      <c r="M691" s="10">
        <v>52.46</v>
      </c>
      <c r="N691" s="10">
        <v>37.82</v>
      </c>
      <c r="O691" s="10">
        <v>150.98</v>
      </c>
      <c r="P691" s="10">
        <v>150.67</v>
      </c>
      <c r="Q691" s="17"/>
      <c r="R691" s="10" t="s">
        <v>102</v>
      </c>
    </row>
    <row r="692">
      <c r="A692" s="15">
        <v>46300.64685024305</v>
      </c>
      <c r="B692" s="17"/>
      <c r="C692" s="17"/>
      <c r="D692" s="31" t="s">
        <v>608</v>
      </c>
      <c r="E692" s="31" t="s">
        <v>395</v>
      </c>
      <c r="F692" s="52">
        <v>0.042</v>
      </c>
      <c r="G692" s="10" t="s">
        <v>20</v>
      </c>
      <c r="H692" s="10">
        <v>53.9</v>
      </c>
      <c r="I692" s="10">
        <v>41.8</v>
      </c>
      <c r="J692" s="10">
        <v>159.52</v>
      </c>
      <c r="K692" s="10">
        <v>159.61</v>
      </c>
      <c r="L692" s="10" t="s">
        <v>119</v>
      </c>
      <c r="M692" s="10">
        <v>53.85</v>
      </c>
      <c r="N692" s="10">
        <v>41.75</v>
      </c>
      <c r="O692" s="10">
        <v>159.32</v>
      </c>
      <c r="P692" s="10">
        <v>159.32</v>
      </c>
      <c r="Q692" s="17"/>
      <c r="R692" s="10" t="s">
        <v>102</v>
      </c>
    </row>
    <row r="693">
      <c r="A693" s="15">
        <v>46300.0</v>
      </c>
      <c r="B693" s="17"/>
      <c r="C693" s="17"/>
      <c r="D693" s="114" t="s">
        <v>367</v>
      </c>
      <c r="E693" s="114" t="s">
        <v>137</v>
      </c>
      <c r="F693" s="117">
        <v>0.3158</v>
      </c>
      <c r="G693" s="118" t="s">
        <v>20</v>
      </c>
      <c r="H693" s="116"/>
      <c r="I693" s="116"/>
      <c r="J693" s="116"/>
      <c r="K693" s="116"/>
      <c r="L693" s="10" t="s">
        <v>119</v>
      </c>
      <c r="M693" s="116"/>
      <c r="N693" s="116"/>
      <c r="O693" s="116"/>
      <c r="P693" s="116"/>
      <c r="Q693" s="17"/>
      <c r="R693" s="10" t="s">
        <v>102</v>
      </c>
    </row>
    <row r="694">
      <c r="A694" s="15">
        <v>46300.0</v>
      </c>
      <c r="B694" s="17"/>
      <c r="C694" s="17"/>
      <c r="D694" s="31" t="s">
        <v>374</v>
      </c>
      <c r="E694" s="31" t="s">
        <v>137</v>
      </c>
      <c r="F694" s="52">
        <v>0.1</v>
      </c>
      <c r="G694" s="10" t="s">
        <v>20</v>
      </c>
      <c r="H694" s="10">
        <v>51.64</v>
      </c>
      <c r="I694" s="10">
        <v>39.0</v>
      </c>
      <c r="J694" s="10">
        <v>150.09</v>
      </c>
      <c r="K694" s="10">
        <v>150.09</v>
      </c>
      <c r="L694" s="10" t="s">
        <v>119</v>
      </c>
      <c r="M694" s="10">
        <v>51.55</v>
      </c>
      <c r="N694" s="10">
        <v>38.84</v>
      </c>
      <c r="O694" s="10">
        <v>149.95</v>
      </c>
      <c r="P694" s="10">
        <v>149.8</v>
      </c>
      <c r="Q694" s="17"/>
      <c r="R694" s="10" t="s">
        <v>102</v>
      </c>
    </row>
    <row r="695">
      <c r="A695" s="15">
        <v>46300.6608393287</v>
      </c>
      <c r="B695" s="17"/>
      <c r="C695" s="17"/>
      <c r="D695" s="30" t="s">
        <v>311</v>
      </c>
      <c r="E695" s="30" t="s">
        <v>137</v>
      </c>
      <c r="F695" s="51">
        <v>0.0457</v>
      </c>
      <c r="G695" s="10" t="s">
        <v>20</v>
      </c>
      <c r="H695" s="10">
        <v>53.42</v>
      </c>
      <c r="I695" s="10">
        <v>42.61</v>
      </c>
      <c r="J695" s="10">
        <v>159.24</v>
      </c>
      <c r="K695" s="10">
        <v>159.07</v>
      </c>
      <c r="L695" s="10" t="s">
        <v>119</v>
      </c>
      <c r="M695" s="10">
        <v>53.36</v>
      </c>
      <c r="N695" s="10">
        <v>42.56</v>
      </c>
      <c r="O695" s="10">
        <v>159.07</v>
      </c>
      <c r="P695" s="10">
        <v>158.86</v>
      </c>
      <c r="Q695" s="17"/>
      <c r="R695" s="10" t="s">
        <v>102</v>
      </c>
    </row>
    <row r="696">
      <c r="A696" s="15">
        <v>46300.66217282407</v>
      </c>
      <c r="B696" s="17"/>
      <c r="C696" s="17"/>
      <c r="D696" s="31" t="s">
        <v>609</v>
      </c>
      <c r="E696" s="31" t="s">
        <v>137</v>
      </c>
      <c r="F696" s="52">
        <v>0.0388</v>
      </c>
      <c r="G696" s="10" t="s">
        <v>20</v>
      </c>
      <c r="H696" s="10">
        <v>51.78</v>
      </c>
      <c r="I696" s="10">
        <v>41.39</v>
      </c>
      <c r="J696" s="10">
        <v>156.77</v>
      </c>
      <c r="K696" s="10">
        <v>156.79</v>
      </c>
      <c r="L696" s="10" t="s">
        <v>119</v>
      </c>
      <c r="M696" s="10">
        <v>51.68</v>
      </c>
      <c r="N696" s="10">
        <v>41.35</v>
      </c>
      <c r="O696" s="10">
        <v>156.55</v>
      </c>
      <c r="P696" s="10">
        <v>156.82</v>
      </c>
      <c r="Q696" s="17"/>
      <c r="R696" s="10" t="s">
        <v>102</v>
      </c>
    </row>
    <row r="697">
      <c r="A697" s="15">
        <v>46300.0</v>
      </c>
      <c r="B697" s="17"/>
      <c r="C697" s="17"/>
      <c r="D697" s="119" t="s">
        <v>610</v>
      </c>
      <c r="E697" s="119" t="s">
        <v>405</v>
      </c>
      <c r="F697" s="120">
        <v>0.0825</v>
      </c>
      <c r="G697" s="121" t="s">
        <v>20</v>
      </c>
      <c r="H697" s="122"/>
      <c r="I697" s="122"/>
      <c r="J697" s="122"/>
      <c r="K697" s="122"/>
      <c r="L697" s="10" t="s">
        <v>119</v>
      </c>
      <c r="M697" s="122"/>
      <c r="N697" s="122"/>
      <c r="O697" s="122"/>
      <c r="P697" s="122"/>
      <c r="Q697" s="17"/>
      <c r="R697" s="10" t="s">
        <v>102</v>
      </c>
    </row>
    <row r="698">
      <c r="A698" s="15">
        <v>46300.66379040509</v>
      </c>
      <c r="B698" s="17"/>
      <c r="C698" s="17"/>
      <c r="D698" s="31" t="s">
        <v>611</v>
      </c>
      <c r="E698" s="31" t="s">
        <v>602</v>
      </c>
      <c r="F698" s="52">
        <v>0.1212</v>
      </c>
      <c r="G698" s="10" t="s">
        <v>20</v>
      </c>
      <c r="H698" s="10">
        <v>53.56</v>
      </c>
      <c r="I698" s="10">
        <v>42.75</v>
      </c>
      <c r="J698" s="10">
        <v>158.94</v>
      </c>
      <c r="K698" s="10">
        <v>160.5</v>
      </c>
      <c r="L698" s="10" t="s">
        <v>119</v>
      </c>
      <c r="M698" s="10">
        <v>53.5</v>
      </c>
      <c r="N698" s="10">
        <v>42.7</v>
      </c>
      <c r="O698" s="10">
        <v>158.75</v>
      </c>
      <c r="P698" s="10">
        <v>158.75</v>
      </c>
      <c r="Q698" s="17"/>
      <c r="R698" s="10" t="s">
        <v>102</v>
      </c>
    </row>
    <row r="699">
      <c r="A699" s="15">
        <v>46300.0</v>
      </c>
      <c r="B699" s="17"/>
      <c r="C699" s="17"/>
      <c r="D699" s="119" t="s">
        <v>612</v>
      </c>
      <c r="E699" s="119" t="s">
        <v>409</v>
      </c>
      <c r="F699" s="120">
        <v>0.0526</v>
      </c>
      <c r="G699" s="121" t="s">
        <v>20</v>
      </c>
      <c r="H699" s="122"/>
      <c r="I699" s="122"/>
      <c r="J699" s="122"/>
      <c r="K699" s="122"/>
      <c r="L699" s="10" t="s">
        <v>119</v>
      </c>
      <c r="M699" s="122"/>
      <c r="N699" s="122"/>
      <c r="O699" s="122"/>
      <c r="P699" s="122"/>
      <c r="Q699" s="17"/>
      <c r="R699" s="10" t="s">
        <v>102</v>
      </c>
    </row>
    <row r="700">
      <c r="A700" s="15">
        <v>46300.0</v>
      </c>
      <c r="B700" s="17"/>
      <c r="C700" s="17"/>
      <c r="D700" s="123" t="s">
        <v>265</v>
      </c>
      <c r="E700" s="123" t="s">
        <v>19</v>
      </c>
      <c r="F700" s="124">
        <v>0.7</v>
      </c>
      <c r="G700" s="10" t="s">
        <v>20</v>
      </c>
      <c r="H700" s="10">
        <v>48.76</v>
      </c>
      <c r="I700" s="10">
        <v>44.58</v>
      </c>
      <c r="J700" s="10">
        <v>152.49</v>
      </c>
      <c r="K700" s="10">
        <v>152.49</v>
      </c>
      <c r="L700" s="10" t="s">
        <v>119</v>
      </c>
      <c r="M700" s="10">
        <v>50.78</v>
      </c>
      <c r="N700" s="10">
        <v>47.16</v>
      </c>
      <c r="O700" s="10">
        <v>160.02</v>
      </c>
      <c r="P700" s="10">
        <v>160.02</v>
      </c>
      <c r="Q700" s="17"/>
      <c r="R700" s="10" t="s">
        <v>102</v>
      </c>
    </row>
    <row r="701">
      <c r="A701" s="15">
        <v>46300.0</v>
      </c>
      <c r="B701" s="17"/>
      <c r="C701" s="17"/>
      <c r="D701" s="30" t="s">
        <v>461</v>
      </c>
      <c r="E701" s="30" t="s">
        <v>19</v>
      </c>
      <c r="F701" s="51">
        <v>1.0</v>
      </c>
      <c r="G701" s="10" t="s">
        <v>20</v>
      </c>
      <c r="H701" s="10">
        <v>50.35</v>
      </c>
      <c r="I701" s="10">
        <v>46.54</v>
      </c>
      <c r="J701" s="10">
        <v>158.02</v>
      </c>
      <c r="K701" s="10">
        <v>158.22</v>
      </c>
      <c r="L701" s="10" t="s">
        <v>119</v>
      </c>
      <c r="M701" s="10">
        <v>50.46</v>
      </c>
      <c r="N701" s="10">
        <v>46.57</v>
      </c>
      <c r="O701" s="10">
        <v>158.13</v>
      </c>
      <c r="P701" s="10">
        <v>158.43</v>
      </c>
      <c r="Q701" s="17"/>
      <c r="R701" s="10" t="s">
        <v>102</v>
      </c>
    </row>
    <row r="702">
      <c r="A702" s="15">
        <v>46300.0</v>
      </c>
      <c r="B702" s="17"/>
      <c r="C702" s="17"/>
      <c r="D702" s="31" t="s">
        <v>545</v>
      </c>
      <c r="E702" s="31" t="s">
        <v>19</v>
      </c>
      <c r="F702" s="52">
        <v>0.4545</v>
      </c>
      <c r="G702" s="10" t="s">
        <v>20</v>
      </c>
      <c r="H702" s="10">
        <v>52.98</v>
      </c>
      <c r="I702" s="10">
        <v>47.48</v>
      </c>
      <c r="J702" s="10">
        <v>162.48</v>
      </c>
      <c r="K702" s="10">
        <v>162.48</v>
      </c>
      <c r="L702" s="10" t="s">
        <v>119</v>
      </c>
      <c r="M702" s="10">
        <v>53.11</v>
      </c>
      <c r="N702" s="10">
        <v>47.6</v>
      </c>
      <c r="O702" s="10">
        <v>162.9</v>
      </c>
      <c r="P702" s="10">
        <v>162.9</v>
      </c>
      <c r="Q702" s="17"/>
      <c r="R702" s="10" t="s">
        <v>102</v>
      </c>
    </row>
    <row r="703">
      <c r="A703" s="15">
        <v>46300.0</v>
      </c>
      <c r="B703" s="17"/>
      <c r="C703" s="17"/>
      <c r="D703" s="125" t="s">
        <v>376</v>
      </c>
      <c r="E703" s="125" t="s">
        <v>19</v>
      </c>
      <c r="F703" s="126">
        <v>0.25</v>
      </c>
      <c r="G703" s="127" t="s">
        <v>20</v>
      </c>
      <c r="H703" s="128"/>
      <c r="I703" s="128"/>
      <c r="J703" s="128"/>
      <c r="K703" s="128"/>
      <c r="L703" s="10" t="s">
        <v>119</v>
      </c>
      <c r="M703" s="128"/>
      <c r="N703" s="128"/>
      <c r="O703" s="128"/>
      <c r="P703" s="128"/>
      <c r="Q703" s="17"/>
      <c r="R703" s="10" t="s">
        <v>102</v>
      </c>
    </row>
    <row r="704">
      <c r="A704" s="15">
        <v>46300.0</v>
      </c>
      <c r="B704" s="17"/>
      <c r="C704" s="17"/>
      <c r="D704" s="125" t="s">
        <v>548</v>
      </c>
      <c r="E704" s="125" t="s">
        <v>19</v>
      </c>
      <c r="F704" s="126">
        <v>0.3019</v>
      </c>
      <c r="G704" s="127" t="s">
        <v>20</v>
      </c>
      <c r="H704" s="128"/>
      <c r="I704" s="128"/>
      <c r="J704" s="128"/>
      <c r="K704" s="128"/>
      <c r="L704" s="10" t="s">
        <v>119</v>
      </c>
      <c r="M704" s="128"/>
      <c r="N704" s="128"/>
      <c r="O704" s="128"/>
      <c r="P704" s="128"/>
      <c r="Q704" s="17"/>
      <c r="R704" s="10" t="s">
        <v>102</v>
      </c>
    </row>
    <row r="705">
      <c r="A705" s="15">
        <v>46300.0</v>
      </c>
      <c r="B705" s="17"/>
      <c r="C705" s="17"/>
      <c r="D705" s="30" t="s">
        <v>342</v>
      </c>
      <c r="E705" s="30" t="s">
        <v>19</v>
      </c>
      <c r="F705" s="51">
        <v>0.1553</v>
      </c>
      <c r="G705" s="10" t="s">
        <v>20</v>
      </c>
      <c r="H705" s="10">
        <v>51.57</v>
      </c>
      <c r="I705" s="10">
        <v>37.26</v>
      </c>
      <c r="J705" s="10">
        <v>150.92</v>
      </c>
      <c r="K705" s="10">
        <v>150.99</v>
      </c>
      <c r="L705" s="10" t="s">
        <v>119</v>
      </c>
      <c r="M705" s="10">
        <v>51.7</v>
      </c>
      <c r="N705" s="10">
        <v>37.44</v>
      </c>
      <c r="O705" s="10">
        <v>151.14</v>
      </c>
      <c r="P705" s="10">
        <v>151.14</v>
      </c>
      <c r="Q705" s="17"/>
      <c r="R705" s="10" t="s">
        <v>102</v>
      </c>
    </row>
    <row r="706">
      <c r="A706" s="15">
        <v>46300.657330057875</v>
      </c>
      <c r="B706" s="17"/>
      <c r="C706" s="17"/>
      <c r="D706" s="31" t="s">
        <v>510</v>
      </c>
      <c r="E706" s="31" t="s">
        <v>19</v>
      </c>
      <c r="F706" s="52">
        <v>0.1429</v>
      </c>
      <c r="G706" s="10" t="s">
        <v>20</v>
      </c>
      <c r="H706" s="10">
        <v>54.04</v>
      </c>
      <c r="I706" s="10">
        <v>38.9</v>
      </c>
      <c r="J706" s="10">
        <v>155.36</v>
      </c>
      <c r="K706" s="10">
        <v>155.36</v>
      </c>
      <c r="L706" s="10" t="s">
        <v>119</v>
      </c>
      <c r="M706" s="10">
        <v>54.12</v>
      </c>
      <c r="N706" s="10">
        <v>38.95</v>
      </c>
      <c r="O706" s="10">
        <v>155.44</v>
      </c>
      <c r="P706" s="10">
        <v>155.49</v>
      </c>
      <c r="Q706" s="17"/>
      <c r="R706" s="10" t="s">
        <v>102</v>
      </c>
    </row>
    <row r="707">
      <c r="A707" s="15">
        <v>46300.658089143515</v>
      </c>
      <c r="B707" s="17"/>
      <c r="C707" s="17"/>
      <c r="D707" s="30" t="s">
        <v>293</v>
      </c>
      <c r="E707" s="30" t="s">
        <v>19</v>
      </c>
      <c r="F707" s="51">
        <v>0.0492</v>
      </c>
      <c r="G707" s="10" t="s">
        <v>20</v>
      </c>
      <c r="H707" s="10">
        <v>51.55</v>
      </c>
      <c r="I707" s="10">
        <v>37.32</v>
      </c>
      <c r="J707" s="10">
        <v>150.46</v>
      </c>
      <c r="K707" s="10">
        <v>150.46</v>
      </c>
      <c r="L707" s="10" t="s">
        <v>119</v>
      </c>
      <c r="M707" s="10">
        <v>51.63</v>
      </c>
      <c r="N707" s="10">
        <v>37.4</v>
      </c>
      <c r="O707" s="10">
        <v>150.71</v>
      </c>
      <c r="P707" s="10">
        <v>150.71</v>
      </c>
      <c r="Q707" s="17"/>
      <c r="R707" s="10" t="s">
        <v>102</v>
      </c>
    </row>
    <row r="708">
      <c r="A708" s="15">
        <v>46300.0</v>
      </c>
      <c r="B708" s="17"/>
      <c r="C708" s="17"/>
      <c r="D708" s="114" t="s">
        <v>605</v>
      </c>
      <c r="E708" s="114" t="s">
        <v>415</v>
      </c>
      <c r="F708" s="117">
        <v>0.5714</v>
      </c>
      <c r="G708" s="129" t="s">
        <v>20</v>
      </c>
      <c r="H708" s="130"/>
      <c r="I708" s="130"/>
      <c r="J708" s="130"/>
      <c r="K708" s="130"/>
      <c r="L708" s="130"/>
      <c r="M708" s="130"/>
      <c r="N708" s="130"/>
      <c r="O708" s="130"/>
      <c r="P708" s="130"/>
      <c r="Q708" s="17"/>
      <c r="R708" s="17"/>
    </row>
    <row r="709">
      <c r="A709" s="15">
        <v>46300.73886652778</v>
      </c>
      <c r="B709" s="17"/>
      <c r="C709" s="17"/>
      <c r="D709" s="131" t="s">
        <v>613</v>
      </c>
      <c r="E709" s="30" t="s">
        <v>19</v>
      </c>
      <c r="F709" s="124">
        <v>0.7</v>
      </c>
      <c r="G709" s="10" t="s">
        <v>20</v>
      </c>
      <c r="H709" s="10">
        <v>48.76</v>
      </c>
      <c r="I709" s="10">
        <v>44.58</v>
      </c>
      <c r="J709" s="10">
        <v>152.49</v>
      </c>
      <c r="K709" s="10">
        <v>152.49</v>
      </c>
      <c r="L709" s="10" t="s">
        <v>21</v>
      </c>
      <c r="M709" s="10">
        <v>50.78</v>
      </c>
      <c r="N709" s="10">
        <v>47.16</v>
      </c>
      <c r="O709" s="10">
        <v>160.02</v>
      </c>
      <c r="P709" s="10">
        <v>160.02</v>
      </c>
      <c r="Q709" s="17"/>
      <c r="R709" s="10" t="s">
        <v>102</v>
      </c>
    </row>
    <row r="710">
      <c r="A710" s="15">
        <v>46300.89528864583</v>
      </c>
      <c r="B710" s="17"/>
      <c r="C710" s="17"/>
      <c r="D710" s="12" t="s">
        <v>579</v>
      </c>
      <c r="E710" s="12" t="s">
        <v>43</v>
      </c>
      <c r="F710" s="17"/>
      <c r="G710" s="10" t="s">
        <v>20</v>
      </c>
      <c r="H710" s="10">
        <v>54.85</v>
      </c>
      <c r="I710" s="10">
        <v>40.83</v>
      </c>
      <c r="J710" s="10">
        <v>155.06</v>
      </c>
      <c r="K710" s="10">
        <v>155.06</v>
      </c>
      <c r="L710" s="10" t="s">
        <v>21</v>
      </c>
      <c r="M710" s="10">
        <v>53.4</v>
      </c>
      <c r="N710" s="10">
        <v>38.68</v>
      </c>
      <c r="O710" s="10">
        <v>149.35</v>
      </c>
      <c r="P710" s="10">
        <v>149.34</v>
      </c>
      <c r="Q710" s="17"/>
      <c r="R710" s="10" t="s">
        <v>102</v>
      </c>
    </row>
    <row r="711">
      <c r="A711" s="15">
        <v>46300.90625083333</v>
      </c>
      <c r="B711" s="17"/>
      <c r="C711" s="17"/>
      <c r="D711" s="30" t="s">
        <v>614</v>
      </c>
      <c r="E711" s="30" t="s">
        <v>43</v>
      </c>
      <c r="F711" s="51">
        <v>0.1053</v>
      </c>
      <c r="G711" s="10" t="s">
        <v>20</v>
      </c>
      <c r="H711" s="10">
        <v>55.04</v>
      </c>
      <c r="I711" s="10">
        <v>40.19</v>
      </c>
      <c r="J711" s="10">
        <v>161.28</v>
      </c>
      <c r="K711" s="10">
        <v>162.38</v>
      </c>
      <c r="L711" s="10" t="s">
        <v>119</v>
      </c>
      <c r="M711" s="10">
        <v>55.0</v>
      </c>
      <c r="N711" s="10">
        <v>39.7</v>
      </c>
      <c r="O711" s="10">
        <v>161.06</v>
      </c>
      <c r="P711" s="10">
        <v>160.61</v>
      </c>
      <c r="Q711" s="17"/>
      <c r="R711" s="10" t="s">
        <v>102</v>
      </c>
    </row>
    <row r="712">
      <c r="A712" s="15">
        <v>46300.90777496528</v>
      </c>
      <c r="B712" s="17"/>
      <c r="C712" s="17"/>
      <c r="D712" s="28" t="s">
        <v>589</v>
      </c>
      <c r="E712" s="28" t="s">
        <v>43</v>
      </c>
      <c r="F712" s="132">
        <v>0.0548</v>
      </c>
      <c r="G712" s="10" t="s">
        <v>20</v>
      </c>
      <c r="H712" s="10">
        <v>52.6</v>
      </c>
      <c r="I712" s="10">
        <v>37.95</v>
      </c>
      <c r="J712" s="10">
        <v>151.42</v>
      </c>
      <c r="K712" s="10">
        <v>151.34</v>
      </c>
      <c r="L712" s="10" t="s">
        <v>119</v>
      </c>
      <c r="M712" s="10">
        <v>52.54</v>
      </c>
      <c r="N712" s="10">
        <v>37.89</v>
      </c>
      <c r="O712" s="10">
        <v>151.29</v>
      </c>
      <c r="P712" s="10">
        <v>151.29</v>
      </c>
      <c r="Q712" s="17"/>
      <c r="R712" s="10" t="s">
        <v>102</v>
      </c>
    </row>
    <row r="713">
      <c r="A713" s="15">
        <v>46300.908664930554</v>
      </c>
      <c r="B713" s="17"/>
      <c r="C713" s="17"/>
      <c r="D713" s="26" t="s">
        <v>615</v>
      </c>
      <c r="E713" s="26" t="s">
        <v>43</v>
      </c>
      <c r="F713" s="133">
        <v>0.0784</v>
      </c>
      <c r="G713" s="10" t="s">
        <v>20</v>
      </c>
      <c r="H713" s="10">
        <v>50.41</v>
      </c>
      <c r="I713" s="10">
        <v>42.9</v>
      </c>
      <c r="J713" s="10">
        <v>151.92</v>
      </c>
      <c r="K713" s="10">
        <v>151.92</v>
      </c>
      <c r="L713" s="10" t="s">
        <v>119</v>
      </c>
      <c r="M713" s="10">
        <v>50.35</v>
      </c>
      <c r="N713" s="10">
        <v>42.82</v>
      </c>
      <c r="O713" s="10">
        <v>151.72</v>
      </c>
      <c r="P713" s="10">
        <v>151.72</v>
      </c>
      <c r="Q713" s="17"/>
      <c r="R713" s="10" t="s">
        <v>102</v>
      </c>
    </row>
    <row r="714">
      <c r="A714" s="15">
        <v>46300.0</v>
      </c>
      <c r="B714" s="134"/>
      <c r="C714" s="134"/>
      <c r="D714" s="135" t="s">
        <v>616</v>
      </c>
      <c r="E714" s="135" t="s">
        <v>43</v>
      </c>
      <c r="F714" s="136">
        <v>0.1053</v>
      </c>
      <c r="G714" s="10" t="s">
        <v>20</v>
      </c>
      <c r="H714" s="137"/>
      <c r="I714" s="137"/>
      <c r="J714" s="137"/>
      <c r="K714" s="137"/>
      <c r="L714" s="10" t="s">
        <v>119</v>
      </c>
      <c r="M714" s="137"/>
      <c r="N714" s="137"/>
      <c r="O714" s="137"/>
      <c r="P714" s="137"/>
      <c r="Q714" s="134"/>
      <c r="R714" s="10" t="s">
        <v>102</v>
      </c>
      <c r="S714" s="138"/>
      <c r="T714" s="138"/>
      <c r="U714" s="138"/>
      <c r="V714" s="138"/>
      <c r="W714" s="138"/>
    </row>
    <row r="715">
      <c r="A715" s="15">
        <v>46300.90988121528</v>
      </c>
      <c r="B715" s="17"/>
      <c r="C715" s="17"/>
      <c r="D715" s="28" t="s">
        <v>617</v>
      </c>
      <c r="E715" s="28" t="s">
        <v>43</v>
      </c>
      <c r="F715" s="132">
        <v>0.1429</v>
      </c>
      <c r="G715" s="10" t="s">
        <v>20</v>
      </c>
      <c r="H715" s="10">
        <v>55.48</v>
      </c>
      <c r="I715" s="10">
        <v>39.93</v>
      </c>
      <c r="J715" s="10">
        <v>160.46</v>
      </c>
      <c r="K715" s="10">
        <v>160.61</v>
      </c>
      <c r="L715" s="10" t="s">
        <v>119</v>
      </c>
      <c r="M715" s="10">
        <v>55.39</v>
      </c>
      <c r="N715" s="10">
        <v>39.68</v>
      </c>
      <c r="O715" s="10">
        <v>160.34</v>
      </c>
      <c r="P715" s="10">
        <v>159.97</v>
      </c>
      <c r="Q715" s="17"/>
      <c r="R715" s="10" t="s">
        <v>102</v>
      </c>
    </row>
    <row r="716">
      <c r="A716" s="15">
        <v>46300.910807002314</v>
      </c>
      <c r="B716" s="17"/>
      <c r="C716" s="17"/>
      <c r="D716" s="26" t="s">
        <v>618</v>
      </c>
      <c r="E716" s="26" t="s">
        <v>43</v>
      </c>
      <c r="F716" s="133">
        <v>0.3333</v>
      </c>
      <c r="G716" s="10" t="s">
        <v>20</v>
      </c>
      <c r="H716" s="10">
        <v>60.44</v>
      </c>
      <c r="I716" s="10">
        <v>50.7</v>
      </c>
      <c r="J716" s="10">
        <v>182.75</v>
      </c>
      <c r="K716" s="10">
        <v>182.67</v>
      </c>
      <c r="L716" s="10" t="s">
        <v>119</v>
      </c>
      <c r="M716" s="10">
        <v>60.05</v>
      </c>
      <c r="N716" s="10">
        <v>50.42</v>
      </c>
      <c r="O716" s="10">
        <v>182.13</v>
      </c>
      <c r="P716" s="10">
        <v>182.23</v>
      </c>
      <c r="Q716" s="17"/>
      <c r="R716" s="10" t="s">
        <v>102</v>
      </c>
    </row>
    <row r="717">
      <c r="A717" s="15">
        <v>46300.91165915509</v>
      </c>
      <c r="B717" s="17"/>
      <c r="C717" s="17"/>
      <c r="D717" s="26" t="s">
        <v>469</v>
      </c>
      <c r="E717" s="26" t="s">
        <v>43</v>
      </c>
      <c r="F717" s="133">
        <v>0.1667</v>
      </c>
      <c r="G717" s="10" t="s">
        <v>20</v>
      </c>
      <c r="H717" s="10">
        <v>55.62</v>
      </c>
      <c r="I717" s="10">
        <v>34.72</v>
      </c>
      <c r="J717" s="10">
        <v>150.01</v>
      </c>
      <c r="K717" s="10">
        <v>150.01</v>
      </c>
      <c r="L717" s="10" t="s">
        <v>119</v>
      </c>
      <c r="M717" s="10">
        <v>55.48</v>
      </c>
      <c r="N717" s="10">
        <v>34.62</v>
      </c>
      <c r="O717" s="10">
        <v>149.63</v>
      </c>
      <c r="P717" s="10">
        <v>149.83</v>
      </c>
      <c r="Q717" s="17"/>
      <c r="R717" s="10" t="s">
        <v>102</v>
      </c>
    </row>
    <row r="718">
      <c r="A718" s="15">
        <v>46300.912966250005</v>
      </c>
      <c r="B718" s="17"/>
      <c r="C718" s="17"/>
      <c r="D718" s="31" t="s">
        <v>619</v>
      </c>
      <c r="E718" s="31" t="s">
        <v>19</v>
      </c>
      <c r="F718" s="52">
        <v>0.5</v>
      </c>
      <c r="G718" s="10" t="s">
        <v>20</v>
      </c>
      <c r="H718" s="10">
        <v>51.63</v>
      </c>
      <c r="I718" s="10">
        <v>35.6</v>
      </c>
      <c r="J718" s="10">
        <v>146.28</v>
      </c>
      <c r="K718" s="10">
        <v>145.83</v>
      </c>
      <c r="L718" s="10" t="s">
        <v>119</v>
      </c>
      <c r="M718" s="10">
        <v>51.79</v>
      </c>
      <c r="N718" s="10">
        <v>35.87</v>
      </c>
      <c r="O718" s="10">
        <v>146.22</v>
      </c>
      <c r="P718" s="10">
        <v>146.44</v>
      </c>
      <c r="Q718" s="17"/>
      <c r="R718" s="10" t="s">
        <v>102</v>
      </c>
    </row>
    <row r="719">
      <c r="A719" s="15">
        <v>46300.913829490746</v>
      </c>
      <c r="B719" s="17"/>
      <c r="C719" s="17"/>
      <c r="D719" s="28" t="s">
        <v>620</v>
      </c>
      <c r="E719" s="28" t="s">
        <v>19</v>
      </c>
      <c r="F719" s="132">
        <v>0.25</v>
      </c>
      <c r="G719" s="10" t="s">
        <v>20</v>
      </c>
      <c r="H719" s="10">
        <v>54.44</v>
      </c>
      <c r="I719" s="10">
        <v>39.68</v>
      </c>
      <c r="J719" s="10">
        <v>156.83</v>
      </c>
      <c r="K719" s="10">
        <v>157.36</v>
      </c>
      <c r="L719" s="10" t="s">
        <v>119</v>
      </c>
      <c r="M719" s="10">
        <v>54.6</v>
      </c>
      <c r="N719" s="10">
        <v>39.8</v>
      </c>
      <c r="O719" s="10">
        <v>157.27</v>
      </c>
      <c r="P719" s="10">
        <v>157.27</v>
      </c>
      <c r="Q719" s="17"/>
      <c r="R719" s="10" t="s">
        <v>102</v>
      </c>
    </row>
    <row r="720">
      <c r="A720" s="15">
        <v>46300.91466928241</v>
      </c>
      <c r="B720" s="17"/>
      <c r="C720" s="17"/>
      <c r="D720" s="28" t="s">
        <v>514</v>
      </c>
      <c r="E720" s="28" t="s">
        <v>19</v>
      </c>
      <c r="F720" s="132">
        <v>0.5</v>
      </c>
      <c r="G720" s="10" t="s">
        <v>20</v>
      </c>
      <c r="H720" s="10">
        <v>50.46</v>
      </c>
      <c r="I720" s="10">
        <v>46.72</v>
      </c>
      <c r="J720" s="10">
        <v>155.87</v>
      </c>
      <c r="K720" s="10">
        <v>155.95</v>
      </c>
      <c r="L720" s="10" t="s">
        <v>119</v>
      </c>
      <c r="M720" s="10">
        <v>50.71</v>
      </c>
      <c r="N720" s="10">
        <v>46.9</v>
      </c>
      <c r="O720" s="10">
        <v>156.57</v>
      </c>
      <c r="P720" s="10">
        <v>156.66</v>
      </c>
      <c r="Q720" s="17"/>
      <c r="R720" s="10" t="s">
        <v>102</v>
      </c>
    </row>
    <row r="721">
      <c r="A721" s="15">
        <v>46300.0</v>
      </c>
      <c r="B721" s="17"/>
      <c r="C721" s="17"/>
      <c r="D721" s="139" t="s">
        <v>621</v>
      </c>
      <c r="E721" s="139" t="s">
        <v>415</v>
      </c>
      <c r="F721" s="140">
        <v>0.0263</v>
      </c>
      <c r="G721" s="10" t="s">
        <v>20</v>
      </c>
      <c r="H721" s="130"/>
      <c r="I721" s="130"/>
      <c r="J721" s="130"/>
      <c r="K721" s="130"/>
      <c r="L721" s="10" t="s">
        <v>119</v>
      </c>
      <c r="M721" s="130"/>
      <c r="N721" s="130"/>
      <c r="O721" s="130"/>
      <c r="P721" s="130"/>
      <c r="Q721" s="17"/>
      <c r="R721" s="10" t="s">
        <v>102</v>
      </c>
    </row>
    <row r="722">
      <c r="A722" s="15">
        <v>46301.532262430555</v>
      </c>
      <c r="B722" s="17"/>
      <c r="C722" s="17"/>
      <c r="D722" s="12" t="s">
        <v>619</v>
      </c>
      <c r="E722" s="11"/>
      <c r="F722" s="17"/>
      <c r="G722" s="10" t="s">
        <v>20</v>
      </c>
      <c r="H722" s="10">
        <v>51.79</v>
      </c>
      <c r="I722" s="10">
        <v>35.87</v>
      </c>
      <c r="J722" s="10">
        <v>146.22</v>
      </c>
      <c r="K722" s="10">
        <v>146.44</v>
      </c>
      <c r="L722" s="10" t="s">
        <v>21</v>
      </c>
      <c r="M722" s="10">
        <v>52.93</v>
      </c>
      <c r="N722" s="10">
        <v>42.22</v>
      </c>
      <c r="O722" s="10">
        <v>157.42</v>
      </c>
      <c r="P722" s="10">
        <v>157.29</v>
      </c>
      <c r="Q722" s="10" t="s">
        <v>156</v>
      </c>
      <c r="R722" s="10" t="s">
        <v>22</v>
      </c>
    </row>
    <row r="723">
      <c r="A723" s="15">
        <v>46301.575254282405</v>
      </c>
      <c r="B723" s="17"/>
      <c r="C723" s="17"/>
      <c r="D723" s="12" t="s">
        <v>622</v>
      </c>
      <c r="E723" s="11"/>
      <c r="F723" s="17"/>
      <c r="G723" s="10" t="s">
        <v>20</v>
      </c>
      <c r="H723" s="10">
        <v>51.7</v>
      </c>
      <c r="I723" s="10">
        <v>36.3</v>
      </c>
      <c r="J723" s="10">
        <v>150.28</v>
      </c>
      <c r="K723" s="10">
        <v>150.28</v>
      </c>
      <c r="L723" s="10" t="s">
        <v>21</v>
      </c>
      <c r="M723" s="10">
        <v>52.35</v>
      </c>
      <c r="N723" s="10">
        <v>36.55</v>
      </c>
      <c r="O723" s="10">
        <v>151.22</v>
      </c>
      <c r="P723" s="10">
        <v>151.17</v>
      </c>
      <c r="Q723" s="10" t="s">
        <v>19</v>
      </c>
      <c r="R723" s="10" t="s">
        <v>22</v>
      </c>
    </row>
    <row r="724">
      <c r="A724" s="15">
        <v>46301.59429451389</v>
      </c>
      <c r="B724" s="17"/>
      <c r="C724" s="17"/>
      <c r="D724" s="12" t="s">
        <v>440</v>
      </c>
      <c r="E724" s="11"/>
      <c r="F724" s="17"/>
      <c r="G724" s="10" t="s">
        <v>47</v>
      </c>
      <c r="H724" s="10">
        <v>56.51</v>
      </c>
      <c r="I724" s="10">
        <v>44.64</v>
      </c>
      <c r="J724" s="10">
        <v>168.91</v>
      </c>
      <c r="K724" s="10">
        <v>168.91</v>
      </c>
      <c r="L724" s="10" t="s">
        <v>21</v>
      </c>
      <c r="M724" s="10">
        <v>57.0</v>
      </c>
      <c r="N724" s="10">
        <v>44.78</v>
      </c>
      <c r="O724" s="10">
        <v>170.03</v>
      </c>
      <c r="P724" s="10">
        <v>170.03</v>
      </c>
      <c r="Q724" s="10" t="s">
        <v>19</v>
      </c>
      <c r="R724" s="10" t="s">
        <v>22</v>
      </c>
    </row>
    <row r="725">
      <c r="A725" s="15">
        <v>46301.67830619213</v>
      </c>
      <c r="B725" s="17"/>
      <c r="C725" s="17"/>
      <c r="D725" s="12" t="s">
        <v>623</v>
      </c>
      <c r="E725" s="11"/>
      <c r="F725" s="17"/>
      <c r="G725" s="10" t="s">
        <v>20</v>
      </c>
      <c r="H725" s="10">
        <v>51.04</v>
      </c>
      <c r="I725" s="10">
        <v>39.81</v>
      </c>
      <c r="J725" s="10">
        <v>150.09</v>
      </c>
      <c r="K725" s="10">
        <v>149.87</v>
      </c>
      <c r="L725" s="10" t="s">
        <v>119</v>
      </c>
      <c r="M725" s="10">
        <v>51.04</v>
      </c>
      <c r="N725" s="10">
        <v>39.9</v>
      </c>
      <c r="O725" s="10">
        <v>150.26</v>
      </c>
      <c r="P725" s="10">
        <v>150.31</v>
      </c>
      <c r="Q725" s="17"/>
      <c r="R725" s="10" t="s">
        <v>557</v>
      </c>
    </row>
    <row r="726">
      <c r="A726" s="15">
        <v>46301.683428344906</v>
      </c>
      <c r="B726" s="17"/>
      <c r="C726" s="17"/>
      <c r="D726" s="12" t="s">
        <v>624</v>
      </c>
      <c r="E726" s="11"/>
      <c r="F726" s="17"/>
      <c r="G726" s="10" t="s">
        <v>20</v>
      </c>
      <c r="H726" s="10">
        <v>51.89</v>
      </c>
      <c r="I726" s="10">
        <v>40.45</v>
      </c>
      <c r="J726" s="10">
        <v>154.07</v>
      </c>
      <c r="K726" s="10">
        <v>154.26</v>
      </c>
      <c r="L726" s="10" t="s">
        <v>119</v>
      </c>
      <c r="M726" s="10">
        <v>51.9</v>
      </c>
      <c r="N726" s="10">
        <v>40.5</v>
      </c>
      <c r="O726" s="10">
        <v>154.18</v>
      </c>
      <c r="P726" s="10">
        <v>154.44</v>
      </c>
      <c r="Q726" s="17"/>
      <c r="R726" s="10" t="s">
        <v>557</v>
      </c>
    </row>
    <row r="727">
      <c r="A727" s="15">
        <v>46301.720963368054</v>
      </c>
      <c r="B727" s="17"/>
      <c r="C727" s="17"/>
      <c r="D727" s="12" t="s">
        <v>625</v>
      </c>
      <c r="E727" s="11"/>
      <c r="F727" s="17"/>
      <c r="G727" s="10" t="s">
        <v>20</v>
      </c>
      <c r="H727" s="10">
        <v>56.19</v>
      </c>
      <c r="I727" s="10">
        <v>40.61</v>
      </c>
      <c r="J727" s="10">
        <v>169.29</v>
      </c>
      <c r="K727" s="10">
        <v>169.18</v>
      </c>
      <c r="L727" s="10" t="s">
        <v>119</v>
      </c>
      <c r="M727" s="10">
        <v>56.19</v>
      </c>
      <c r="N727" s="10">
        <v>40.71</v>
      </c>
      <c r="O727" s="10">
        <v>169.45</v>
      </c>
      <c r="P727" s="10">
        <v>169.28</v>
      </c>
      <c r="Q727" s="17"/>
      <c r="R727" s="10" t="s">
        <v>557</v>
      </c>
    </row>
    <row r="728">
      <c r="A728" s="15">
        <v>46302.0</v>
      </c>
      <c r="B728" s="17"/>
      <c r="C728" s="17"/>
      <c r="D728" s="12" t="s">
        <v>626</v>
      </c>
      <c r="E728" s="11"/>
      <c r="F728" s="17"/>
      <c r="G728" s="10" t="s">
        <v>20</v>
      </c>
      <c r="H728" s="10">
        <v>52.62</v>
      </c>
      <c r="I728" s="10">
        <v>36.79</v>
      </c>
      <c r="J728" s="10">
        <v>151.15</v>
      </c>
      <c r="K728" s="10">
        <v>150.54</v>
      </c>
      <c r="L728" s="10" t="s">
        <v>119</v>
      </c>
      <c r="M728" s="10">
        <v>52.63</v>
      </c>
      <c r="N728" s="10">
        <v>36.95</v>
      </c>
      <c r="O728" s="10">
        <v>151.42</v>
      </c>
      <c r="P728" s="10">
        <v>150.8</v>
      </c>
      <c r="Q728" s="17"/>
      <c r="R728" s="10" t="s">
        <v>557</v>
      </c>
    </row>
    <row r="729">
      <c r="A729" s="15">
        <v>46302.77803120371</v>
      </c>
      <c r="B729" s="17"/>
      <c r="C729" s="17"/>
      <c r="D729" s="31" t="s">
        <v>627</v>
      </c>
      <c r="E729" s="31" t="s">
        <v>43</v>
      </c>
      <c r="F729" s="52">
        <v>0.1333</v>
      </c>
      <c r="G729" s="10" t="s">
        <v>20</v>
      </c>
      <c r="H729" s="10">
        <v>55.49</v>
      </c>
      <c r="I729" s="10">
        <v>40.14</v>
      </c>
      <c r="J729" s="10">
        <v>162.15</v>
      </c>
      <c r="K729" s="10">
        <v>162.23</v>
      </c>
      <c r="L729" s="10" t="s">
        <v>119</v>
      </c>
      <c r="M729" s="10">
        <v>55.19</v>
      </c>
      <c r="N729" s="10">
        <v>40.09</v>
      </c>
      <c r="O729" s="10">
        <v>161.64</v>
      </c>
      <c r="P729" s="10">
        <v>162.15</v>
      </c>
      <c r="Q729" s="17"/>
      <c r="R729" s="10" t="s">
        <v>102</v>
      </c>
    </row>
    <row r="730">
      <c r="A730" s="15">
        <v>46302.0</v>
      </c>
      <c r="B730" s="17"/>
      <c r="C730" s="17"/>
      <c r="D730" s="30" t="s">
        <v>628</v>
      </c>
      <c r="E730" s="30" t="s">
        <v>43</v>
      </c>
      <c r="F730" s="51">
        <v>0.1111</v>
      </c>
      <c r="G730" s="10" t="s">
        <v>20</v>
      </c>
      <c r="H730" s="10">
        <v>54.25</v>
      </c>
      <c r="I730" s="10">
        <v>35.79</v>
      </c>
      <c r="J730" s="10">
        <v>156.93</v>
      </c>
      <c r="K730" s="10">
        <v>156.97</v>
      </c>
      <c r="L730" s="10" t="s">
        <v>119</v>
      </c>
      <c r="M730" s="10">
        <v>54.19</v>
      </c>
      <c r="N730" s="10">
        <v>35.23</v>
      </c>
      <c r="O730" s="10">
        <v>156.68</v>
      </c>
      <c r="P730" s="10">
        <v>155.84</v>
      </c>
      <c r="Q730" s="17"/>
      <c r="R730" s="10" t="s">
        <v>102</v>
      </c>
    </row>
    <row r="731">
      <c r="A731" s="15">
        <v>46302.780956365736</v>
      </c>
      <c r="B731" s="17"/>
      <c r="C731" s="17"/>
      <c r="D731" s="31" t="s">
        <v>629</v>
      </c>
      <c r="E731" s="31" t="s">
        <v>43</v>
      </c>
      <c r="F731" s="52">
        <v>0.0789</v>
      </c>
      <c r="G731" s="10" t="s">
        <v>20</v>
      </c>
      <c r="H731" s="10">
        <v>51.78</v>
      </c>
      <c r="I731" s="10">
        <v>39.17</v>
      </c>
      <c r="J731" s="10">
        <v>155.06</v>
      </c>
      <c r="K731" s="10">
        <v>155.25</v>
      </c>
      <c r="L731" s="10" t="s">
        <v>119</v>
      </c>
      <c r="M731" s="10">
        <v>51.75</v>
      </c>
      <c r="N731" s="10">
        <v>39.1</v>
      </c>
      <c r="O731" s="10">
        <v>154.96</v>
      </c>
      <c r="P731" s="10">
        <v>155.19</v>
      </c>
      <c r="Q731" s="17"/>
      <c r="R731" s="10" t="s">
        <v>102</v>
      </c>
    </row>
    <row r="732">
      <c r="A732" s="15">
        <v>46302.78296730324</v>
      </c>
      <c r="B732" s="17"/>
      <c r="C732" s="17"/>
      <c r="D732" s="30" t="s">
        <v>589</v>
      </c>
      <c r="E732" s="30" t="s">
        <v>43</v>
      </c>
      <c r="F732" s="51">
        <v>0.048</v>
      </c>
      <c r="G732" s="10" t="s">
        <v>20</v>
      </c>
      <c r="H732" s="10">
        <v>52.54</v>
      </c>
      <c r="I732" s="10">
        <v>37.89</v>
      </c>
      <c r="J732" s="10">
        <v>151.29</v>
      </c>
      <c r="K732" s="10">
        <v>151.29</v>
      </c>
      <c r="L732" s="10" t="s">
        <v>119</v>
      </c>
      <c r="M732" s="10">
        <v>52.48</v>
      </c>
      <c r="N732" s="10">
        <v>37.81</v>
      </c>
      <c r="O732" s="10">
        <v>151.05</v>
      </c>
      <c r="P732" s="10">
        <v>150.96</v>
      </c>
      <c r="Q732" s="17"/>
      <c r="R732" s="10" t="s">
        <v>102</v>
      </c>
    </row>
    <row r="733">
      <c r="A733" s="15">
        <v>46302.0</v>
      </c>
      <c r="B733" s="17"/>
      <c r="C733" s="17"/>
      <c r="D733" s="141" t="s">
        <v>400</v>
      </c>
      <c r="E733" s="141" t="s">
        <v>320</v>
      </c>
      <c r="F733" s="142">
        <v>0.1579</v>
      </c>
      <c r="G733" s="10" t="s">
        <v>20</v>
      </c>
      <c r="H733" s="97" t="s">
        <v>630</v>
      </c>
      <c r="Q733" s="17"/>
      <c r="R733" s="10" t="s">
        <v>102</v>
      </c>
    </row>
    <row r="734">
      <c r="A734" s="15">
        <v>46302.0</v>
      </c>
      <c r="B734" s="17"/>
      <c r="C734" s="17"/>
      <c r="D734" s="30" t="s">
        <v>597</v>
      </c>
      <c r="E734" s="30" t="s">
        <v>320</v>
      </c>
      <c r="F734" s="51">
        <v>0.1364</v>
      </c>
      <c r="G734" s="10" t="s">
        <v>20</v>
      </c>
      <c r="H734" s="10">
        <v>48.6</v>
      </c>
      <c r="I734" s="10">
        <v>36.96</v>
      </c>
      <c r="J734" s="10">
        <v>142.98</v>
      </c>
      <c r="K734" s="10">
        <v>142.66</v>
      </c>
      <c r="L734" s="10" t="s">
        <v>119</v>
      </c>
      <c r="M734" s="10">
        <v>47.84</v>
      </c>
      <c r="N734" s="10">
        <v>36.82</v>
      </c>
      <c r="O734" s="10">
        <v>141.67</v>
      </c>
      <c r="P734" s="10">
        <v>142.42</v>
      </c>
      <c r="Q734" s="17"/>
      <c r="R734" s="10" t="s">
        <v>102</v>
      </c>
    </row>
    <row r="735">
      <c r="A735" s="15">
        <v>46302.0</v>
      </c>
      <c r="B735" s="17"/>
      <c r="C735" s="17"/>
      <c r="D735" s="141" t="s">
        <v>631</v>
      </c>
      <c r="E735" s="141" t="s">
        <v>320</v>
      </c>
      <c r="F735" s="142">
        <v>0.0862</v>
      </c>
      <c r="G735" s="10" t="s">
        <v>20</v>
      </c>
      <c r="H735" s="97" t="s">
        <v>630</v>
      </c>
      <c r="Q735" s="17"/>
      <c r="R735" s="10" t="s">
        <v>102</v>
      </c>
    </row>
    <row r="736">
      <c r="A736" s="15">
        <v>46302.78517186343</v>
      </c>
      <c r="B736" s="17"/>
      <c r="C736" s="17"/>
      <c r="D736" s="30" t="s">
        <v>615</v>
      </c>
      <c r="E736" s="30" t="s">
        <v>395</v>
      </c>
      <c r="F736" s="51">
        <v>0.0462</v>
      </c>
      <c r="G736" s="10" t="s">
        <v>20</v>
      </c>
      <c r="H736" s="10">
        <v>50.35</v>
      </c>
      <c r="I736" s="10">
        <v>42.82</v>
      </c>
      <c r="J736" s="10">
        <v>151.72</v>
      </c>
      <c r="K736" s="10">
        <v>151.72</v>
      </c>
      <c r="L736" s="10" t="s">
        <v>119</v>
      </c>
      <c r="M736" s="10">
        <v>50.3</v>
      </c>
      <c r="N736" s="10">
        <v>42.78</v>
      </c>
      <c r="O736" s="10">
        <v>151.58</v>
      </c>
      <c r="P736" s="10">
        <v>151.58</v>
      </c>
      <c r="Q736" s="17"/>
      <c r="R736" s="10" t="s">
        <v>102</v>
      </c>
    </row>
    <row r="737">
      <c r="A737" s="15">
        <v>46302.80427359954</v>
      </c>
      <c r="B737" s="17"/>
      <c r="C737" s="17"/>
      <c r="D737" s="31" t="s">
        <v>632</v>
      </c>
      <c r="E737" s="31" t="s">
        <v>395</v>
      </c>
      <c r="F737" s="52">
        <v>0.25</v>
      </c>
      <c r="G737" s="10" t="s">
        <v>20</v>
      </c>
      <c r="H737" s="10">
        <v>60.47</v>
      </c>
      <c r="I737" s="10">
        <v>49.31</v>
      </c>
      <c r="J737" s="10">
        <v>178.36</v>
      </c>
      <c r="K737" s="10">
        <v>178.39</v>
      </c>
      <c r="L737" s="10" t="s">
        <v>119</v>
      </c>
      <c r="M737" s="10">
        <v>59.49</v>
      </c>
      <c r="N737" s="10">
        <v>48.81</v>
      </c>
      <c r="O737" s="10">
        <v>177.36</v>
      </c>
      <c r="P737" s="10">
        <v>176.58</v>
      </c>
      <c r="Q737" s="17"/>
      <c r="R737" s="10" t="s">
        <v>102</v>
      </c>
    </row>
    <row r="738">
      <c r="A738" s="15">
        <v>46302.805165046295</v>
      </c>
      <c r="B738" s="17"/>
      <c r="C738" s="17"/>
      <c r="D738" s="30" t="s">
        <v>599</v>
      </c>
      <c r="E738" s="30" t="s">
        <v>19</v>
      </c>
      <c r="F738" s="51">
        <v>0.1176</v>
      </c>
      <c r="G738" s="10" t="s">
        <v>20</v>
      </c>
      <c r="H738" s="10">
        <v>55.7</v>
      </c>
      <c r="I738" s="10">
        <v>38.64</v>
      </c>
      <c r="J738" s="10">
        <v>162.54</v>
      </c>
      <c r="K738" s="10">
        <v>162.16</v>
      </c>
      <c r="L738" s="10" t="s">
        <v>119</v>
      </c>
      <c r="M738" s="10">
        <v>55.79</v>
      </c>
      <c r="N738" s="10">
        <v>38.71</v>
      </c>
      <c r="O738" s="10">
        <v>162.67</v>
      </c>
      <c r="P738" s="40">
        <v>162.35</v>
      </c>
      <c r="Q738" s="17"/>
      <c r="R738" s="10" t="s">
        <v>102</v>
      </c>
    </row>
    <row r="739">
      <c r="A739" s="15">
        <v>46302.80616432871</v>
      </c>
      <c r="B739" s="17"/>
      <c r="C739" s="17"/>
      <c r="D739" s="31" t="s">
        <v>633</v>
      </c>
      <c r="E739" s="31" t="s">
        <v>19</v>
      </c>
      <c r="F739" s="52">
        <v>0.0789</v>
      </c>
      <c r="G739" s="10" t="s">
        <v>20</v>
      </c>
      <c r="H739" s="10">
        <v>48.9</v>
      </c>
      <c r="I739" s="10">
        <v>41.48</v>
      </c>
      <c r="J739" s="10">
        <v>147.97</v>
      </c>
      <c r="K739" s="10">
        <v>147.97</v>
      </c>
      <c r="L739" s="10" t="s">
        <v>119</v>
      </c>
      <c r="M739" s="10">
        <v>48.98</v>
      </c>
      <c r="N739" s="10">
        <v>41.55</v>
      </c>
      <c r="O739" s="10">
        <v>148.21</v>
      </c>
      <c r="P739" s="10">
        <v>148.21</v>
      </c>
      <c r="Q739" s="17"/>
      <c r="R739" s="10" t="s">
        <v>102</v>
      </c>
    </row>
    <row r="740">
      <c r="A740" s="15">
        <v>46302.80706435185</v>
      </c>
      <c r="B740" s="17"/>
      <c r="C740" s="17"/>
      <c r="D740" s="30" t="s">
        <v>634</v>
      </c>
      <c r="E740" s="30" t="s">
        <v>19</v>
      </c>
      <c r="F740" s="51">
        <v>0.0549</v>
      </c>
      <c r="G740" s="10" t="s">
        <v>20</v>
      </c>
      <c r="H740" s="10">
        <v>52.46</v>
      </c>
      <c r="I740" s="10">
        <v>40.45</v>
      </c>
      <c r="J740" s="10">
        <v>153.66</v>
      </c>
      <c r="K740" s="10">
        <v>153.76</v>
      </c>
      <c r="L740" s="10" t="s">
        <v>119</v>
      </c>
      <c r="M740" s="10">
        <v>52.52</v>
      </c>
      <c r="N740" s="10">
        <v>40.67</v>
      </c>
      <c r="O740" s="10">
        <v>153.87</v>
      </c>
      <c r="P740" s="10">
        <v>153.7</v>
      </c>
      <c r="Q740" s="17"/>
      <c r="R740" s="10" t="s">
        <v>102</v>
      </c>
    </row>
    <row r="741">
      <c r="A741" s="15">
        <v>46302.807771990745</v>
      </c>
      <c r="B741" s="17"/>
      <c r="C741" s="17"/>
      <c r="D741" s="31" t="s">
        <v>635</v>
      </c>
      <c r="E741" s="31" t="s">
        <v>19</v>
      </c>
      <c r="F741" s="52">
        <v>0.037</v>
      </c>
      <c r="G741" s="10" t="s">
        <v>20</v>
      </c>
      <c r="H741" s="10">
        <v>51.34</v>
      </c>
      <c r="I741" s="10">
        <v>36.47</v>
      </c>
      <c r="J741" s="10">
        <v>147.35</v>
      </c>
      <c r="K741" s="10">
        <v>147.08</v>
      </c>
      <c r="L741" s="10" t="s">
        <v>119</v>
      </c>
      <c r="M741" s="10">
        <v>51.38</v>
      </c>
      <c r="N741" s="10">
        <v>36.68</v>
      </c>
      <c r="O741" s="10">
        <v>147.38</v>
      </c>
      <c r="P741" s="10">
        <v>147.53</v>
      </c>
      <c r="Q741" s="17"/>
      <c r="R741" s="10" t="s">
        <v>102</v>
      </c>
    </row>
    <row r="742">
      <c r="A742" s="15">
        <v>46302.80850881945</v>
      </c>
      <c r="B742" s="17"/>
      <c r="C742" s="17"/>
      <c r="D742" s="143" t="s">
        <v>636</v>
      </c>
      <c r="E742" s="144" t="s">
        <v>19</v>
      </c>
      <c r="F742" s="17"/>
      <c r="G742" s="10" t="s">
        <v>20</v>
      </c>
      <c r="H742" s="10">
        <v>54.32</v>
      </c>
      <c r="I742" s="10">
        <v>38.75</v>
      </c>
      <c r="J742" s="10">
        <v>155.71</v>
      </c>
      <c r="K742" s="10">
        <v>155.71</v>
      </c>
      <c r="L742" s="10" t="s">
        <v>119</v>
      </c>
      <c r="M742" s="10">
        <v>54.4</v>
      </c>
      <c r="N742" s="10">
        <v>38.8</v>
      </c>
      <c r="O742" s="10">
        <v>155.92</v>
      </c>
      <c r="P742" s="10">
        <v>155.92</v>
      </c>
      <c r="Q742" s="17"/>
      <c r="R742" s="10" t="s">
        <v>102</v>
      </c>
    </row>
    <row r="743">
      <c r="A743" s="15">
        <v>46302.809874224535</v>
      </c>
      <c r="B743" s="17"/>
      <c r="C743" s="17"/>
      <c r="D743" s="143" t="s">
        <v>637</v>
      </c>
      <c r="E743" s="144" t="s">
        <v>19</v>
      </c>
      <c r="F743" s="17"/>
      <c r="G743" s="10" t="s">
        <v>20</v>
      </c>
      <c r="H743" s="10">
        <v>50.48</v>
      </c>
      <c r="I743" s="10">
        <v>43.12</v>
      </c>
      <c r="J743" s="10">
        <v>152.86</v>
      </c>
      <c r="K743" s="10">
        <v>152.86</v>
      </c>
      <c r="L743" s="10" t="s">
        <v>119</v>
      </c>
      <c r="M743" s="10">
        <v>50.57</v>
      </c>
      <c r="N743" s="10">
        <v>43.34</v>
      </c>
      <c r="O743" s="10">
        <v>153.52</v>
      </c>
      <c r="P743" s="10">
        <v>153.52</v>
      </c>
      <c r="Q743" s="17"/>
      <c r="R743" s="10" t="s">
        <v>102</v>
      </c>
    </row>
    <row r="744">
      <c r="A744" s="15">
        <v>46302.812418182875</v>
      </c>
      <c r="B744" s="17"/>
      <c r="C744" s="17"/>
      <c r="D744" s="143" t="s">
        <v>638</v>
      </c>
      <c r="E744" s="144" t="s">
        <v>43</v>
      </c>
      <c r="F744" s="17"/>
      <c r="G744" s="10" t="s">
        <v>20</v>
      </c>
      <c r="H744" s="10">
        <v>52.08</v>
      </c>
      <c r="I744" s="10">
        <v>44.26</v>
      </c>
      <c r="J744" s="10">
        <v>156.26</v>
      </c>
      <c r="K744" s="10">
        <v>155.91</v>
      </c>
      <c r="L744" s="10" t="s">
        <v>119</v>
      </c>
      <c r="M744" s="10">
        <v>51.34</v>
      </c>
      <c r="N744" s="10">
        <v>44.05</v>
      </c>
      <c r="O744" s="10">
        <v>154.73</v>
      </c>
      <c r="P744" s="10">
        <v>154.37</v>
      </c>
      <c r="Q744" s="17"/>
      <c r="R744" s="10" t="s">
        <v>102</v>
      </c>
    </row>
    <row r="745">
      <c r="A745" s="15">
        <v>46302.81368795139</v>
      </c>
      <c r="B745" s="17"/>
      <c r="C745" s="17"/>
      <c r="D745" s="143" t="s">
        <v>639</v>
      </c>
      <c r="E745" s="144" t="s">
        <v>43</v>
      </c>
      <c r="F745" s="17"/>
      <c r="G745" s="10" t="s">
        <v>20</v>
      </c>
      <c r="H745" s="10">
        <v>47.17</v>
      </c>
      <c r="I745" s="10">
        <v>43.56</v>
      </c>
      <c r="J745" s="10">
        <v>145.41</v>
      </c>
      <c r="K745" s="10">
        <v>146.16</v>
      </c>
      <c r="L745" s="10" t="s">
        <v>119</v>
      </c>
      <c r="M745" s="10">
        <v>46.75</v>
      </c>
      <c r="N745" s="10">
        <v>43.44</v>
      </c>
      <c r="O745" s="10">
        <v>145.38</v>
      </c>
      <c r="P745" s="10">
        <v>145.2</v>
      </c>
      <c r="Q745" s="17"/>
      <c r="R745" s="10" t="s">
        <v>102</v>
      </c>
    </row>
    <row r="746">
      <c r="A746" s="15">
        <v>46302.82917752315</v>
      </c>
      <c r="B746" s="17"/>
      <c r="C746" s="17"/>
      <c r="D746" s="12" t="s">
        <v>640</v>
      </c>
      <c r="E746" s="12" t="s">
        <v>641</v>
      </c>
      <c r="F746" s="17"/>
      <c r="G746" s="10" t="s">
        <v>20</v>
      </c>
      <c r="H746" s="10">
        <v>52.36</v>
      </c>
      <c r="I746" s="10">
        <v>40.59</v>
      </c>
      <c r="J746" s="10">
        <v>154.89</v>
      </c>
      <c r="K746" s="10">
        <v>154.89</v>
      </c>
      <c r="L746" s="10" t="s">
        <v>21</v>
      </c>
      <c r="M746" s="10">
        <v>52.36</v>
      </c>
      <c r="N746" s="10">
        <v>41.05</v>
      </c>
      <c r="O746" s="10">
        <v>155.63</v>
      </c>
      <c r="P746" s="10">
        <v>155.63</v>
      </c>
      <c r="Q746" s="17"/>
      <c r="R746" s="10" t="s">
        <v>102</v>
      </c>
    </row>
    <row r="747">
      <c r="A747" s="15">
        <v>46302.0</v>
      </c>
      <c r="B747" s="17"/>
      <c r="C747" s="17"/>
      <c r="D747" s="12" t="s">
        <v>642</v>
      </c>
      <c r="E747" s="12" t="s">
        <v>641</v>
      </c>
      <c r="F747" s="17"/>
      <c r="G747" s="10" t="s">
        <v>20</v>
      </c>
      <c r="H747" s="17"/>
      <c r="I747" s="17"/>
      <c r="J747" s="17"/>
      <c r="K747" s="17"/>
      <c r="L747" s="10" t="s">
        <v>21</v>
      </c>
      <c r="M747" s="10">
        <v>50.15</v>
      </c>
      <c r="N747" s="10">
        <v>43.39</v>
      </c>
      <c r="O747" s="10">
        <v>148.99</v>
      </c>
      <c r="P747" s="10">
        <v>149.24</v>
      </c>
      <c r="Q747" s="17"/>
      <c r="R747" s="10" t="s">
        <v>102</v>
      </c>
    </row>
    <row r="748">
      <c r="A748" s="15">
        <v>46302.0</v>
      </c>
      <c r="B748" s="17"/>
      <c r="C748" s="17"/>
      <c r="D748" s="12" t="s">
        <v>587</v>
      </c>
      <c r="E748" s="12" t="s">
        <v>641</v>
      </c>
      <c r="F748" s="17"/>
      <c r="G748" s="10" t="s">
        <v>20</v>
      </c>
      <c r="H748" s="10">
        <v>51.64</v>
      </c>
      <c r="I748" s="10">
        <v>43.18</v>
      </c>
      <c r="J748" s="10">
        <v>156.65</v>
      </c>
      <c r="K748" s="10">
        <v>157.17</v>
      </c>
      <c r="L748" s="10" t="s">
        <v>21</v>
      </c>
      <c r="M748" s="10">
        <v>51.9</v>
      </c>
      <c r="N748" s="10">
        <v>43.2</v>
      </c>
      <c r="O748" s="10">
        <v>157.15</v>
      </c>
      <c r="P748" s="10">
        <v>157.15</v>
      </c>
      <c r="Q748" s="17"/>
      <c r="R748" s="10" t="s">
        <v>102</v>
      </c>
    </row>
    <row r="749">
      <c r="A749" s="15">
        <v>46302.0</v>
      </c>
      <c r="B749" s="17"/>
      <c r="C749" s="17"/>
      <c r="D749" s="12" t="s">
        <v>643</v>
      </c>
      <c r="E749" s="12" t="s">
        <v>641</v>
      </c>
      <c r="F749" s="17"/>
      <c r="G749" s="10" t="s">
        <v>20</v>
      </c>
      <c r="H749" s="10">
        <v>49.88</v>
      </c>
      <c r="I749" s="10">
        <v>38.9</v>
      </c>
      <c r="J749" s="17"/>
      <c r="K749" s="17"/>
      <c r="L749" s="10" t="s">
        <v>21</v>
      </c>
      <c r="M749" s="10">
        <v>49.94</v>
      </c>
      <c r="N749" s="10">
        <v>39.12</v>
      </c>
      <c r="O749" s="10">
        <v>148.36</v>
      </c>
      <c r="P749" s="10">
        <v>147.87</v>
      </c>
      <c r="Q749" s="17"/>
      <c r="R749" s="10" t="s">
        <v>102</v>
      </c>
    </row>
    <row r="750">
      <c r="A750" s="15">
        <v>46303.8333846412</v>
      </c>
      <c r="B750" s="17"/>
      <c r="C750" s="17"/>
      <c r="D750" s="46" t="s">
        <v>644</v>
      </c>
      <c r="E750" s="46" t="s">
        <v>43</v>
      </c>
      <c r="F750" s="145">
        <v>0.4286</v>
      </c>
      <c r="G750" s="10" t="s">
        <v>20</v>
      </c>
      <c r="H750" s="10">
        <v>57.95</v>
      </c>
      <c r="I750" s="10">
        <v>48.72</v>
      </c>
      <c r="J750" s="10">
        <v>175.65</v>
      </c>
      <c r="K750" s="10">
        <v>175.72</v>
      </c>
      <c r="L750" s="10" t="s">
        <v>21</v>
      </c>
      <c r="M750" s="10">
        <v>57.42</v>
      </c>
      <c r="N750" s="10">
        <v>48.63</v>
      </c>
      <c r="O750" s="10">
        <v>174.71</v>
      </c>
      <c r="P750" s="10">
        <v>174.71</v>
      </c>
      <c r="Q750" s="17"/>
      <c r="R750" s="10" t="s">
        <v>102</v>
      </c>
    </row>
    <row r="751">
      <c r="A751" s="15">
        <v>46303.836582442134</v>
      </c>
      <c r="B751" s="17"/>
      <c r="C751" s="17"/>
      <c r="D751" s="46" t="s">
        <v>645</v>
      </c>
      <c r="E751" s="46" t="s">
        <v>43</v>
      </c>
      <c r="F751" s="145">
        <v>0.3077</v>
      </c>
      <c r="G751" s="10" t="s">
        <v>20</v>
      </c>
      <c r="H751" s="10">
        <v>56.5</v>
      </c>
      <c r="I751" s="10">
        <v>39.29</v>
      </c>
      <c r="J751" s="10">
        <v>163.74</v>
      </c>
      <c r="K751" s="10">
        <v>164.38</v>
      </c>
      <c r="L751" s="10" t="s">
        <v>21</v>
      </c>
      <c r="M751" s="10">
        <v>55.95</v>
      </c>
      <c r="N751" s="10">
        <v>39.02</v>
      </c>
      <c r="O751" s="10">
        <v>163.74</v>
      </c>
      <c r="P751" s="10">
        <v>162.96</v>
      </c>
      <c r="Q751" s="17"/>
      <c r="R751" s="10" t="s">
        <v>102</v>
      </c>
    </row>
    <row r="752">
      <c r="A752" s="15">
        <v>46303.0</v>
      </c>
      <c r="B752" s="17"/>
      <c r="C752" s="17"/>
      <c r="D752" s="141" t="s">
        <v>558</v>
      </c>
      <c r="E752" s="141" t="s">
        <v>43</v>
      </c>
      <c r="F752" s="142">
        <v>0.25</v>
      </c>
      <c r="G752" s="146" t="s">
        <v>20</v>
      </c>
      <c r="H752" s="147"/>
      <c r="I752" s="147"/>
      <c r="J752" s="147"/>
      <c r="K752" s="147"/>
      <c r="L752" s="146" t="s">
        <v>21</v>
      </c>
      <c r="M752" s="147"/>
      <c r="N752" s="147"/>
      <c r="O752" s="147"/>
      <c r="P752" s="147"/>
      <c r="Q752" s="17"/>
      <c r="R752" s="10" t="s">
        <v>102</v>
      </c>
    </row>
    <row r="753">
      <c r="A753" s="15">
        <v>46303.0</v>
      </c>
      <c r="B753" s="17"/>
      <c r="C753" s="17"/>
      <c r="D753" s="46" t="s">
        <v>579</v>
      </c>
      <c r="E753" s="46" t="s">
        <v>43</v>
      </c>
      <c r="F753" s="145">
        <v>0.2083</v>
      </c>
      <c r="G753" s="10" t="s">
        <v>20</v>
      </c>
      <c r="H753" s="10">
        <v>53.43</v>
      </c>
      <c r="I753" s="10">
        <v>38.78</v>
      </c>
      <c r="J753" s="10">
        <v>149.51</v>
      </c>
      <c r="K753" s="10">
        <v>149.51</v>
      </c>
      <c r="L753" s="10" t="s">
        <v>21</v>
      </c>
      <c r="M753" s="10">
        <v>53.21</v>
      </c>
      <c r="N753" s="10">
        <v>38.58</v>
      </c>
      <c r="O753" s="10">
        <v>148.85</v>
      </c>
      <c r="P753" s="10">
        <v>148.85</v>
      </c>
      <c r="Q753" s="17"/>
      <c r="R753" s="10" t="s">
        <v>102</v>
      </c>
    </row>
    <row r="754">
      <c r="A754" s="15">
        <v>46303.0</v>
      </c>
      <c r="B754" s="17"/>
      <c r="C754" s="17"/>
      <c r="D754" s="46" t="s">
        <v>646</v>
      </c>
      <c r="E754" s="46" t="s">
        <v>43</v>
      </c>
      <c r="F754" s="145">
        <v>0.2</v>
      </c>
      <c r="G754" s="10" t="s">
        <v>20</v>
      </c>
      <c r="H754" s="10">
        <v>59.95</v>
      </c>
      <c r="I754" s="10">
        <v>52.29</v>
      </c>
      <c r="J754" s="10">
        <v>182.4</v>
      </c>
      <c r="K754" s="10">
        <v>182.65</v>
      </c>
      <c r="L754" s="10" t="s">
        <v>21</v>
      </c>
      <c r="M754" s="10">
        <v>59.42</v>
      </c>
      <c r="N754" s="10">
        <v>52.17</v>
      </c>
      <c r="O754" s="10">
        <v>181.52</v>
      </c>
      <c r="P754" s="10">
        <v>181.52</v>
      </c>
      <c r="Q754" s="17"/>
      <c r="R754" s="10" t="s">
        <v>102</v>
      </c>
    </row>
    <row r="755">
      <c r="A755" s="15">
        <v>46303.0</v>
      </c>
      <c r="B755" s="17"/>
      <c r="C755" s="17"/>
      <c r="D755" s="141" t="s">
        <v>647</v>
      </c>
      <c r="E755" s="141" t="s">
        <v>19</v>
      </c>
      <c r="F755" s="142">
        <v>0.5455</v>
      </c>
      <c r="G755" s="148" t="s">
        <v>20</v>
      </c>
      <c r="H755" s="149"/>
      <c r="I755" s="149"/>
      <c r="J755" s="149"/>
      <c r="K755" s="149"/>
      <c r="L755" s="10" t="s">
        <v>21</v>
      </c>
      <c r="M755" s="147"/>
      <c r="N755" s="147"/>
      <c r="O755" s="147"/>
      <c r="P755" s="147"/>
      <c r="Q755" s="17"/>
      <c r="R755" s="10" t="s">
        <v>102</v>
      </c>
    </row>
    <row r="756">
      <c r="A756" s="15">
        <v>46303.0</v>
      </c>
      <c r="B756" s="17"/>
      <c r="C756" s="17"/>
      <c r="D756" s="46" t="s">
        <v>648</v>
      </c>
      <c r="E756" s="46" t="s">
        <v>19</v>
      </c>
      <c r="F756" s="145">
        <v>0.5</v>
      </c>
      <c r="G756" s="10" t="s">
        <v>20</v>
      </c>
      <c r="H756" s="10">
        <v>53.45</v>
      </c>
      <c r="I756" s="10">
        <v>45.23</v>
      </c>
      <c r="J756" s="10">
        <v>166.43</v>
      </c>
      <c r="K756" s="10">
        <v>166.86</v>
      </c>
      <c r="L756" s="10" t="s">
        <v>21</v>
      </c>
      <c r="M756" s="10">
        <v>53.91</v>
      </c>
      <c r="N756" s="10">
        <v>46.64</v>
      </c>
      <c r="O756" s="10">
        <v>169.31</v>
      </c>
      <c r="P756" s="10">
        <v>168.7</v>
      </c>
      <c r="Q756" s="17"/>
      <c r="R756" s="10" t="s">
        <v>102</v>
      </c>
    </row>
    <row r="757">
      <c r="A757" s="15">
        <v>46303.0</v>
      </c>
      <c r="B757" s="17"/>
      <c r="C757" s="17"/>
      <c r="D757" s="46" t="s">
        <v>514</v>
      </c>
      <c r="E757" s="46" t="s">
        <v>19</v>
      </c>
      <c r="F757" s="145">
        <v>0.4</v>
      </c>
      <c r="G757" s="10" t="s">
        <v>20</v>
      </c>
      <c r="H757" s="10">
        <v>50.71</v>
      </c>
      <c r="I757" s="10">
        <v>46.9</v>
      </c>
      <c r="J757" s="10">
        <v>156.57</v>
      </c>
      <c r="K757" s="10">
        <v>156.66</v>
      </c>
      <c r="L757" s="10" t="s">
        <v>21</v>
      </c>
      <c r="M757" s="10">
        <v>51.1</v>
      </c>
      <c r="N757" s="10">
        <v>46.98</v>
      </c>
      <c r="O757" s="10">
        <v>157.33</v>
      </c>
      <c r="P757" s="10">
        <v>157.42</v>
      </c>
      <c r="Q757" s="17"/>
      <c r="R757" s="10" t="s">
        <v>102</v>
      </c>
    </row>
    <row r="758">
      <c r="A758" s="15">
        <v>46303.0</v>
      </c>
      <c r="B758" s="17"/>
      <c r="C758" s="17"/>
      <c r="D758" s="141" t="s">
        <v>265</v>
      </c>
      <c r="E758" s="141" t="s">
        <v>19</v>
      </c>
      <c r="F758" s="142">
        <v>0.3571</v>
      </c>
      <c r="G758" s="146" t="s">
        <v>20</v>
      </c>
      <c r="H758" s="147"/>
      <c r="I758" s="147"/>
      <c r="J758" s="147"/>
      <c r="K758" s="147"/>
      <c r="L758" s="146" t="s">
        <v>21</v>
      </c>
      <c r="M758" s="147"/>
      <c r="N758" s="147"/>
      <c r="O758" s="147"/>
      <c r="P758" s="147"/>
      <c r="Q758" s="17"/>
      <c r="R758" s="10" t="s">
        <v>102</v>
      </c>
    </row>
    <row r="759">
      <c r="A759" s="15">
        <v>46303.0</v>
      </c>
      <c r="B759" s="17"/>
      <c r="C759" s="17"/>
      <c r="D759" s="46" t="s">
        <v>649</v>
      </c>
      <c r="E759" s="46" t="s">
        <v>19</v>
      </c>
      <c r="F759" s="145">
        <v>0.3</v>
      </c>
      <c r="G759" s="10" t="s">
        <v>20</v>
      </c>
      <c r="H759" s="10">
        <v>50.3</v>
      </c>
      <c r="I759" s="10">
        <v>41.51</v>
      </c>
      <c r="J759" s="10">
        <v>150.27</v>
      </c>
      <c r="K759" s="10">
        <v>150.36</v>
      </c>
      <c r="L759" s="10" t="s">
        <v>21</v>
      </c>
      <c r="M759" s="10">
        <v>50.52</v>
      </c>
      <c r="N759" s="10">
        <v>41.84</v>
      </c>
      <c r="O759" s="10">
        <v>151.16</v>
      </c>
      <c r="P759" s="10">
        <v>151.16</v>
      </c>
      <c r="Q759" s="17"/>
      <c r="R759" s="10" t="s">
        <v>102</v>
      </c>
    </row>
    <row r="760">
      <c r="A760" s="15">
        <v>46303.0</v>
      </c>
      <c r="B760" s="17"/>
      <c r="C760" s="17"/>
      <c r="D760" s="46" t="s">
        <v>650</v>
      </c>
      <c r="E760" s="46" t="s">
        <v>19</v>
      </c>
      <c r="F760" s="145">
        <v>0.3</v>
      </c>
      <c r="G760" s="10" t="s">
        <v>20</v>
      </c>
      <c r="H760" s="10">
        <v>50.61</v>
      </c>
      <c r="I760" s="10">
        <v>40.03</v>
      </c>
      <c r="J760" s="10">
        <v>152.54</v>
      </c>
      <c r="K760" s="10">
        <v>152.54</v>
      </c>
      <c r="L760" s="10" t="s">
        <v>21</v>
      </c>
      <c r="M760" s="10">
        <v>50.74</v>
      </c>
      <c r="N760" s="10">
        <v>39.98</v>
      </c>
      <c r="O760" s="10">
        <v>152.65</v>
      </c>
      <c r="P760" s="10">
        <v>153.08</v>
      </c>
      <c r="Q760" s="17"/>
      <c r="R760" s="10" t="s">
        <v>102</v>
      </c>
    </row>
    <row r="761">
      <c r="A761" s="15">
        <v>46304.49766559028</v>
      </c>
      <c r="B761" s="17"/>
      <c r="C761" s="17"/>
      <c r="D761" s="12" t="s">
        <v>400</v>
      </c>
      <c r="E761" s="11"/>
      <c r="F761" s="17"/>
      <c r="G761" s="10" t="s">
        <v>47</v>
      </c>
      <c r="H761" s="10">
        <v>56.53</v>
      </c>
      <c r="I761" s="10">
        <v>45.05</v>
      </c>
      <c r="J761" s="10">
        <v>169.76</v>
      </c>
      <c r="K761" s="10">
        <v>169.76</v>
      </c>
      <c r="L761" s="10" t="s">
        <v>21</v>
      </c>
      <c r="M761" s="10">
        <v>56.79</v>
      </c>
      <c r="N761" s="10">
        <v>45.29</v>
      </c>
      <c r="O761" s="10">
        <v>170.63</v>
      </c>
      <c r="P761" s="10">
        <v>170.63</v>
      </c>
      <c r="Q761" s="10" t="s">
        <v>19</v>
      </c>
      <c r="R761" s="10" t="s">
        <v>22</v>
      </c>
    </row>
    <row r="762">
      <c r="A762" s="15">
        <v>46304.71860703704</v>
      </c>
      <c r="B762" s="17"/>
      <c r="C762" s="17"/>
      <c r="D762" s="12" t="s">
        <v>651</v>
      </c>
      <c r="E762" s="12" t="s">
        <v>19</v>
      </c>
      <c r="F762" s="17"/>
      <c r="G762" s="10" t="s">
        <v>20</v>
      </c>
      <c r="H762" s="10">
        <v>52.58</v>
      </c>
      <c r="I762" s="10">
        <v>38.81</v>
      </c>
      <c r="J762" s="10">
        <v>153.8</v>
      </c>
      <c r="K762" s="10">
        <v>154.63</v>
      </c>
      <c r="L762" s="10" t="s">
        <v>21</v>
      </c>
      <c r="M762" s="10">
        <v>53.04</v>
      </c>
      <c r="N762" s="10">
        <v>39.13</v>
      </c>
      <c r="O762" s="10">
        <v>154.99</v>
      </c>
      <c r="P762" s="10">
        <v>155.25</v>
      </c>
      <c r="Q762" s="10" t="s">
        <v>19</v>
      </c>
      <c r="R762" s="10" t="s">
        <v>557</v>
      </c>
    </row>
    <row r="763">
      <c r="A763" s="15">
        <v>46304.870157488425</v>
      </c>
      <c r="B763" s="17"/>
      <c r="C763" s="17"/>
      <c r="D763" s="12" t="s">
        <v>328</v>
      </c>
      <c r="E763" s="12" t="s">
        <v>19</v>
      </c>
      <c r="F763" s="17"/>
      <c r="G763" s="10" t="s">
        <v>47</v>
      </c>
      <c r="H763" s="10">
        <v>56.37</v>
      </c>
      <c r="I763" s="10">
        <v>45.12</v>
      </c>
      <c r="J763" s="10">
        <v>169.2</v>
      </c>
      <c r="K763" s="10">
        <v>169.2</v>
      </c>
      <c r="L763" s="10" t="s">
        <v>119</v>
      </c>
      <c r="M763" s="10">
        <v>56.55</v>
      </c>
      <c r="N763" s="10">
        <v>45.28</v>
      </c>
      <c r="O763" s="10">
        <v>169.79</v>
      </c>
      <c r="P763" s="10">
        <v>169.72</v>
      </c>
      <c r="Q763" s="10" t="s">
        <v>19</v>
      </c>
      <c r="R763" s="10" t="s">
        <v>557</v>
      </c>
    </row>
    <row r="764">
      <c r="A764" s="15">
        <v>46305.312898958335</v>
      </c>
      <c r="B764" s="17"/>
      <c r="C764" s="17"/>
      <c r="D764" s="12">
        <v>240000.0</v>
      </c>
      <c r="E764" s="11"/>
      <c r="F764" s="17"/>
      <c r="G764" s="10" t="s">
        <v>47</v>
      </c>
      <c r="H764" s="10">
        <v>56.53</v>
      </c>
      <c r="I764" s="10">
        <v>45.05</v>
      </c>
      <c r="J764" s="10">
        <v>169.76</v>
      </c>
      <c r="K764" s="10">
        <v>169.76</v>
      </c>
      <c r="L764" s="10" t="s">
        <v>21</v>
      </c>
      <c r="M764" s="10">
        <v>57.29</v>
      </c>
      <c r="N764" s="10">
        <v>44.8</v>
      </c>
      <c r="O764" s="10">
        <v>170.62</v>
      </c>
      <c r="P764" s="10">
        <v>170.62</v>
      </c>
      <c r="Q764" s="17"/>
      <c r="R764" s="10" t="s">
        <v>22</v>
      </c>
    </row>
    <row r="765">
      <c r="A765" s="15">
        <v>46305.33540324074</v>
      </c>
      <c r="B765" s="17"/>
      <c r="C765" s="17"/>
      <c r="D765" s="12" t="s">
        <v>366</v>
      </c>
      <c r="E765" s="11"/>
      <c r="F765" s="17"/>
      <c r="G765" s="10" t="s">
        <v>47</v>
      </c>
      <c r="H765" s="10">
        <v>56.68</v>
      </c>
      <c r="I765" s="10">
        <v>44.71</v>
      </c>
      <c r="J765" s="10">
        <v>169.5</v>
      </c>
      <c r="K765" s="10">
        <v>169.5</v>
      </c>
      <c r="L765" s="10" t="s">
        <v>21</v>
      </c>
      <c r="M765" s="10">
        <v>56.8</v>
      </c>
      <c r="N765" s="10">
        <v>44.98</v>
      </c>
      <c r="O765" s="10">
        <v>170.26</v>
      </c>
      <c r="P765" s="10">
        <v>170.26</v>
      </c>
      <c r="Q765" s="17"/>
      <c r="R765" s="10" t="s">
        <v>22</v>
      </c>
    </row>
    <row r="766">
      <c r="A766" s="15">
        <v>46305.48056552083</v>
      </c>
      <c r="B766" s="17"/>
      <c r="C766" s="17"/>
      <c r="D766" s="12" t="s">
        <v>652</v>
      </c>
      <c r="E766" s="12" t="s">
        <v>25</v>
      </c>
      <c r="F766" s="17"/>
      <c r="G766" s="10" t="s">
        <v>20</v>
      </c>
      <c r="H766" s="10">
        <v>54.77</v>
      </c>
      <c r="I766" s="10">
        <v>36.33</v>
      </c>
      <c r="J766" s="10">
        <v>154.95</v>
      </c>
      <c r="K766" s="10">
        <v>154.95</v>
      </c>
      <c r="L766" s="10" t="s">
        <v>21</v>
      </c>
      <c r="M766" s="10">
        <v>55.3</v>
      </c>
      <c r="N766" s="10">
        <v>34.53</v>
      </c>
      <c r="O766" s="10">
        <v>149.41</v>
      </c>
      <c r="P766" s="10">
        <v>149.52</v>
      </c>
      <c r="Q766" s="17"/>
      <c r="R766" s="10" t="s">
        <v>22</v>
      </c>
    </row>
    <row r="767">
      <c r="A767" s="15">
        <v>46305.508994247684</v>
      </c>
      <c r="B767" s="17"/>
      <c r="C767" s="17"/>
      <c r="D767" s="12" t="s">
        <v>510</v>
      </c>
      <c r="E767" s="11"/>
      <c r="F767" s="17"/>
      <c r="G767" s="10" t="s">
        <v>20</v>
      </c>
      <c r="H767" s="10">
        <v>54.12</v>
      </c>
      <c r="I767" s="10">
        <v>38.95</v>
      </c>
      <c r="J767" s="10">
        <v>155.44</v>
      </c>
      <c r="K767" s="10">
        <v>155.44</v>
      </c>
      <c r="L767" s="10" t="s">
        <v>21</v>
      </c>
      <c r="M767" s="10">
        <v>54.3</v>
      </c>
      <c r="N767" s="10">
        <v>39.31</v>
      </c>
      <c r="O767" s="10">
        <v>156.46</v>
      </c>
      <c r="P767" s="10">
        <v>156.68</v>
      </c>
      <c r="Q767" s="17"/>
      <c r="R767" s="10" t="s">
        <v>22</v>
      </c>
    </row>
    <row r="768">
      <c r="A768" s="15">
        <v>46305.51578069445</v>
      </c>
      <c r="B768" s="17"/>
      <c r="C768" s="17"/>
      <c r="D768" s="12" t="s">
        <v>653</v>
      </c>
      <c r="E768" s="12" t="s">
        <v>19</v>
      </c>
      <c r="F768" s="17"/>
      <c r="G768" s="10" t="s">
        <v>20</v>
      </c>
      <c r="H768" s="10">
        <v>52.1</v>
      </c>
      <c r="I768" s="10">
        <v>36.1</v>
      </c>
      <c r="J768" s="10">
        <v>150.96</v>
      </c>
      <c r="K768" s="10">
        <v>150.63</v>
      </c>
      <c r="L768" s="10" t="s">
        <v>21</v>
      </c>
      <c r="M768" s="10">
        <v>52.4</v>
      </c>
      <c r="N768" s="10">
        <v>36.45</v>
      </c>
      <c r="O768" s="10">
        <v>152.05</v>
      </c>
      <c r="P768" s="10">
        <v>150.27</v>
      </c>
      <c r="Q768" s="17"/>
      <c r="R768" s="10" t="s">
        <v>22</v>
      </c>
    </row>
    <row r="769">
      <c r="A769" s="15">
        <v>46305.55789349537</v>
      </c>
      <c r="B769" s="17"/>
      <c r="C769" s="17"/>
      <c r="D769" s="12" t="s">
        <v>654</v>
      </c>
      <c r="E769" s="12" t="s">
        <v>19</v>
      </c>
      <c r="F769" s="17"/>
      <c r="G769" s="10" t="s">
        <v>20</v>
      </c>
      <c r="H769" s="10">
        <v>50.55</v>
      </c>
      <c r="I769" s="10">
        <v>39.91</v>
      </c>
      <c r="J769" s="10">
        <v>152.4</v>
      </c>
      <c r="K769" s="10">
        <v>152.5</v>
      </c>
      <c r="L769" s="10" t="s">
        <v>21</v>
      </c>
      <c r="M769" s="10">
        <v>50.9</v>
      </c>
      <c r="N769" s="10">
        <v>40.16</v>
      </c>
      <c r="O769" s="10">
        <v>153.35</v>
      </c>
      <c r="P769" s="10">
        <v>153.62</v>
      </c>
      <c r="Q769" s="17"/>
      <c r="R769" s="10" t="s">
        <v>22</v>
      </c>
    </row>
    <row r="770">
      <c r="A770" s="15">
        <v>46305.570559988424</v>
      </c>
      <c r="B770" s="17"/>
      <c r="C770" s="17"/>
      <c r="D770" s="12" t="s">
        <v>655</v>
      </c>
      <c r="E770" s="12" t="s">
        <v>25</v>
      </c>
      <c r="F770" s="17"/>
      <c r="G770" s="10" t="s">
        <v>20</v>
      </c>
      <c r="H770" s="10">
        <v>47.76</v>
      </c>
      <c r="I770" s="10">
        <v>42.76</v>
      </c>
      <c r="J770" s="10">
        <v>147.19</v>
      </c>
      <c r="K770" s="10">
        <v>151.0</v>
      </c>
      <c r="L770" s="10" t="s">
        <v>21</v>
      </c>
      <c r="M770" s="10">
        <v>48.12</v>
      </c>
      <c r="N770" s="10">
        <v>41.16</v>
      </c>
      <c r="O770" s="10">
        <v>144.54</v>
      </c>
      <c r="P770" s="10">
        <v>144.74</v>
      </c>
      <c r="Q770" s="17"/>
      <c r="R770" s="10" t="s">
        <v>22</v>
      </c>
    </row>
    <row r="771">
      <c r="A771" s="15">
        <v>46305.570559988424</v>
      </c>
      <c r="B771" s="17"/>
      <c r="C771" s="17"/>
      <c r="D771" s="12" t="s">
        <v>645</v>
      </c>
      <c r="E771" s="12" t="s">
        <v>25</v>
      </c>
      <c r="F771" s="17"/>
      <c r="G771" s="10" t="s">
        <v>20</v>
      </c>
      <c r="H771" s="10">
        <v>56.5</v>
      </c>
      <c r="I771" s="10">
        <v>39.29</v>
      </c>
      <c r="J771" s="10">
        <v>163.74</v>
      </c>
      <c r="K771" s="10">
        <v>164.38</v>
      </c>
      <c r="L771" s="10" t="s">
        <v>21</v>
      </c>
      <c r="M771" s="10">
        <v>55.9</v>
      </c>
      <c r="N771" s="10">
        <v>39.29</v>
      </c>
      <c r="O771" s="10">
        <v>163.34</v>
      </c>
      <c r="P771" s="10">
        <v>163.34</v>
      </c>
      <c r="Q771" s="10" t="s">
        <v>25</v>
      </c>
      <c r="R771" s="10" t="s">
        <v>557</v>
      </c>
    </row>
    <row r="772">
      <c r="B772" s="17"/>
      <c r="C772" s="17"/>
      <c r="D772" s="11"/>
      <c r="E772" s="11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</row>
    <row r="773">
      <c r="B773" s="17"/>
      <c r="C773" s="17"/>
      <c r="D773" s="11"/>
      <c r="E773" s="11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</row>
    <row r="774">
      <c r="B774" s="17"/>
      <c r="C774" s="17"/>
      <c r="D774" s="11"/>
      <c r="E774" s="11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</row>
    <row r="775">
      <c r="B775" s="17"/>
      <c r="C775" s="17"/>
      <c r="D775" s="11"/>
      <c r="E775" s="11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</row>
    <row r="776">
      <c r="B776" s="17"/>
      <c r="C776" s="17"/>
      <c r="D776" s="11"/>
      <c r="E776" s="11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</row>
    <row r="777">
      <c r="B777" s="17"/>
      <c r="C777" s="17"/>
      <c r="D777" s="11"/>
      <c r="E777" s="11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</row>
    <row r="778">
      <c r="B778" s="17"/>
      <c r="C778" s="17"/>
      <c r="D778" s="11"/>
      <c r="E778" s="11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</row>
    <row r="779">
      <c r="B779" s="17"/>
      <c r="C779" s="17"/>
      <c r="D779" s="11"/>
      <c r="E779" s="11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</row>
    <row r="780">
      <c r="B780" s="17"/>
      <c r="C780" s="17"/>
      <c r="D780" s="11"/>
      <c r="E780" s="11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</row>
    <row r="781">
      <c r="B781" s="17"/>
      <c r="C781" s="17"/>
      <c r="D781" s="11"/>
      <c r="E781" s="11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</row>
    <row r="782">
      <c r="B782" s="17"/>
      <c r="C782" s="17"/>
      <c r="D782" s="11"/>
      <c r="E782" s="11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</row>
    <row r="783">
      <c r="B783" s="17"/>
      <c r="C783" s="17"/>
      <c r="D783" s="11"/>
      <c r="E783" s="11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</row>
    <row r="784">
      <c r="B784" s="17"/>
      <c r="C784" s="17"/>
      <c r="D784" s="11"/>
      <c r="E784" s="11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</row>
    <row r="785">
      <c r="B785" s="17"/>
      <c r="C785" s="17"/>
      <c r="D785" s="11"/>
      <c r="E785" s="11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</row>
    <row r="786">
      <c r="B786" s="17"/>
      <c r="C786" s="17"/>
      <c r="D786" s="11"/>
      <c r="E786" s="11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</row>
    <row r="787">
      <c r="B787" s="17"/>
      <c r="C787" s="17"/>
      <c r="D787" s="11"/>
      <c r="E787" s="11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</row>
    <row r="788">
      <c r="B788" s="17"/>
      <c r="C788" s="17"/>
      <c r="D788" s="11"/>
      <c r="E788" s="11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</row>
    <row r="789">
      <c r="B789" s="17"/>
      <c r="C789" s="17"/>
      <c r="D789" s="11"/>
      <c r="E789" s="11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</row>
    <row r="790">
      <c r="B790" s="17"/>
      <c r="C790" s="17"/>
      <c r="D790" s="11"/>
      <c r="E790" s="11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</row>
    <row r="791">
      <c r="B791" s="17"/>
      <c r="C791" s="17"/>
      <c r="D791" s="11"/>
      <c r="E791" s="11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</row>
    <row r="792">
      <c r="B792" s="17"/>
      <c r="C792" s="17"/>
      <c r="D792" s="11"/>
      <c r="E792" s="11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</row>
    <row r="793">
      <c r="B793" s="17"/>
      <c r="C793" s="17"/>
      <c r="D793" s="11"/>
      <c r="E793" s="11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</row>
    <row r="794">
      <c r="B794" s="17"/>
      <c r="C794" s="17"/>
      <c r="D794" s="11"/>
      <c r="E794" s="11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</row>
    <row r="795">
      <c r="B795" s="17"/>
      <c r="C795" s="17"/>
      <c r="D795" s="11"/>
      <c r="E795" s="11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</row>
    <row r="796">
      <c r="B796" s="17"/>
      <c r="C796" s="17"/>
      <c r="D796" s="11"/>
      <c r="E796" s="11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</row>
    <row r="797">
      <c r="B797" s="17"/>
      <c r="C797" s="17"/>
      <c r="D797" s="11"/>
      <c r="E797" s="11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</row>
    <row r="798">
      <c r="B798" s="17"/>
      <c r="C798" s="17"/>
      <c r="D798" s="11"/>
      <c r="E798" s="11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</row>
    <row r="799">
      <c r="B799" s="17"/>
      <c r="C799" s="17"/>
      <c r="D799" s="11"/>
      <c r="E799" s="11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</row>
    <row r="800">
      <c r="B800" s="17"/>
      <c r="C800" s="17"/>
      <c r="D800" s="11"/>
      <c r="E800" s="11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</row>
    <row r="801">
      <c r="B801" s="17"/>
      <c r="C801" s="17"/>
      <c r="D801" s="11"/>
      <c r="E801" s="11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</row>
    <row r="802">
      <c r="B802" s="17"/>
      <c r="C802" s="17"/>
      <c r="D802" s="11"/>
      <c r="E802" s="11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</row>
    <row r="803">
      <c r="B803" s="17"/>
      <c r="C803" s="17"/>
      <c r="D803" s="11"/>
      <c r="E803" s="11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</row>
    <row r="804">
      <c r="B804" s="17"/>
      <c r="C804" s="17"/>
      <c r="D804" s="11"/>
      <c r="E804" s="11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</row>
    <row r="805">
      <c r="B805" s="17"/>
      <c r="C805" s="17"/>
      <c r="D805" s="11"/>
      <c r="E805" s="11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</row>
    <row r="806">
      <c r="B806" s="17"/>
      <c r="C806" s="17"/>
      <c r="D806" s="11"/>
      <c r="E806" s="11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</row>
    <row r="807">
      <c r="B807" s="17"/>
      <c r="C807" s="17"/>
      <c r="D807" s="11"/>
      <c r="E807" s="11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</row>
    <row r="808">
      <c r="B808" s="17"/>
      <c r="C808" s="17"/>
      <c r="D808" s="11"/>
      <c r="E808" s="11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</row>
    <row r="809">
      <c r="B809" s="17"/>
      <c r="C809" s="17"/>
      <c r="D809" s="11"/>
      <c r="E809" s="11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</row>
    <row r="810">
      <c r="B810" s="17"/>
      <c r="C810" s="17"/>
      <c r="D810" s="11"/>
      <c r="E810" s="11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</row>
    <row r="811">
      <c r="B811" s="17"/>
      <c r="C811" s="17"/>
      <c r="D811" s="11"/>
      <c r="E811" s="11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</row>
    <row r="812">
      <c r="B812" s="17"/>
      <c r="C812" s="17"/>
      <c r="D812" s="11"/>
      <c r="E812" s="11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</row>
    <row r="813">
      <c r="B813" s="17"/>
      <c r="C813" s="17"/>
      <c r="D813" s="11"/>
      <c r="E813" s="11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</row>
    <row r="814">
      <c r="B814" s="17"/>
      <c r="C814" s="17"/>
      <c r="D814" s="11"/>
      <c r="E814" s="11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</row>
    <row r="815">
      <c r="B815" s="17"/>
      <c r="C815" s="17"/>
      <c r="D815" s="11"/>
      <c r="E815" s="11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</row>
    <row r="816">
      <c r="B816" s="17"/>
      <c r="C816" s="17"/>
      <c r="D816" s="11"/>
      <c r="E816" s="11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</row>
    <row r="817">
      <c r="B817" s="17"/>
      <c r="C817" s="17"/>
      <c r="D817" s="11"/>
      <c r="E817" s="11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</row>
    <row r="818">
      <c r="B818" s="17"/>
      <c r="C818" s="17"/>
      <c r="D818" s="11"/>
      <c r="E818" s="11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</row>
    <row r="819">
      <c r="B819" s="17"/>
      <c r="C819" s="17"/>
      <c r="D819" s="11"/>
      <c r="E819" s="11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</row>
    <row r="820">
      <c r="B820" s="17"/>
      <c r="C820" s="17"/>
      <c r="D820" s="11"/>
      <c r="E820" s="11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</row>
    <row r="821">
      <c r="B821" s="17"/>
      <c r="C821" s="17"/>
      <c r="D821" s="11"/>
      <c r="E821" s="11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</row>
    <row r="822">
      <c r="B822" s="17"/>
      <c r="C822" s="17"/>
      <c r="D822" s="11"/>
      <c r="E822" s="11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</row>
    <row r="823">
      <c r="B823" s="17"/>
      <c r="C823" s="17"/>
      <c r="D823" s="11"/>
      <c r="E823" s="11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</row>
    <row r="824">
      <c r="B824" s="17"/>
      <c r="C824" s="17"/>
      <c r="D824" s="11"/>
      <c r="E824" s="11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</row>
    <row r="825">
      <c r="B825" s="17"/>
      <c r="C825" s="17"/>
      <c r="D825" s="11"/>
      <c r="E825" s="11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</row>
    <row r="826">
      <c r="B826" s="17"/>
      <c r="C826" s="17"/>
      <c r="D826" s="11"/>
      <c r="E826" s="11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</row>
    <row r="827">
      <c r="B827" s="17"/>
      <c r="C827" s="17"/>
      <c r="D827" s="11"/>
      <c r="E827" s="11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</row>
    <row r="828">
      <c r="B828" s="17"/>
      <c r="C828" s="17"/>
      <c r="D828" s="11"/>
      <c r="E828" s="11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</row>
    <row r="829">
      <c r="B829" s="17"/>
      <c r="C829" s="17"/>
      <c r="D829" s="11"/>
      <c r="E829" s="11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</row>
    <row r="830">
      <c r="B830" s="17"/>
      <c r="C830" s="17"/>
      <c r="D830" s="11"/>
      <c r="E830" s="11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</row>
    <row r="831">
      <c r="B831" s="17"/>
      <c r="C831" s="17"/>
      <c r="D831" s="11"/>
      <c r="E831" s="11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</row>
    <row r="832">
      <c r="B832" s="17"/>
      <c r="C832" s="17"/>
      <c r="D832" s="11"/>
      <c r="E832" s="11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</row>
    <row r="833">
      <c r="B833" s="17"/>
      <c r="C833" s="17"/>
      <c r="D833" s="11"/>
      <c r="E833" s="11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</row>
    <row r="834">
      <c r="B834" s="17"/>
      <c r="C834" s="17"/>
      <c r="D834" s="11"/>
      <c r="E834" s="11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</row>
    <row r="835">
      <c r="B835" s="17"/>
      <c r="C835" s="17"/>
      <c r="D835" s="11"/>
      <c r="E835" s="11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</row>
    <row r="836">
      <c r="B836" s="17"/>
      <c r="C836" s="17"/>
      <c r="D836" s="11"/>
      <c r="E836" s="11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</row>
    <row r="837">
      <c r="B837" s="17"/>
      <c r="C837" s="17"/>
      <c r="D837" s="11"/>
      <c r="E837" s="11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</row>
    <row r="838">
      <c r="B838" s="17"/>
      <c r="C838" s="17"/>
      <c r="D838" s="11"/>
      <c r="E838" s="11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</row>
    <row r="839">
      <c r="B839" s="17"/>
      <c r="C839" s="17"/>
      <c r="D839" s="11"/>
      <c r="E839" s="11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</row>
    <row r="840">
      <c r="B840" s="17"/>
      <c r="C840" s="17"/>
      <c r="D840" s="11"/>
      <c r="E840" s="11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</row>
    <row r="841">
      <c r="B841" s="17"/>
      <c r="C841" s="17"/>
      <c r="D841" s="11"/>
      <c r="E841" s="11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</row>
    <row r="842">
      <c r="B842" s="17"/>
      <c r="C842" s="17"/>
      <c r="D842" s="11"/>
      <c r="E842" s="11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</row>
    <row r="843">
      <c r="B843" s="17"/>
      <c r="C843" s="17"/>
      <c r="D843" s="11"/>
      <c r="E843" s="11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</row>
    <row r="844">
      <c r="B844" s="17"/>
      <c r="C844" s="17"/>
      <c r="D844" s="11"/>
      <c r="E844" s="11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</row>
    <row r="845">
      <c r="B845" s="17"/>
      <c r="C845" s="17"/>
      <c r="D845" s="11"/>
      <c r="E845" s="11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</row>
    <row r="846">
      <c r="B846" s="17"/>
      <c r="C846" s="17"/>
      <c r="D846" s="11"/>
      <c r="E846" s="11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</row>
    <row r="847">
      <c r="B847" s="17"/>
      <c r="C847" s="17"/>
      <c r="D847" s="11"/>
      <c r="E847" s="11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</row>
    <row r="848">
      <c r="B848" s="17"/>
      <c r="C848" s="17"/>
      <c r="D848" s="11"/>
      <c r="E848" s="11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</row>
    <row r="849">
      <c r="B849" s="17"/>
      <c r="C849" s="17"/>
      <c r="D849" s="11"/>
      <c r="E849" s="11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</row>
    <row r="850">
      <c r="B850" s="17"/>
      <c r="C850" s="17"/>
      <c r="D850" s="11"/>
      <c r="E850" s="11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</row>
    <row r="851">
      <c r="B851" s="17"/>
      <c r="C851" s="17"/>
      <c r="D851" s="11"/>
      <c r="E851" s="11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</row>
    <row r="852">
      <c r="B852" s="17"/>
      <c r="C852" s="17"/>
      <c r="D852" s="11"/>
      <c r="E852" s="11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</row>
    <row r="853">
      <c r="B853" s="17"/>
      <c r="C853" s="17"/>
      <c r="D853" s="11"/>
      <c r="E853" s="11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</row>
    <row r="854">
      <c r="B854" s="17"/>
      <c r="C854" s="17"/>
      <c r="D854" s="11"/>
      <c r="E854" s="11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</row>
    <row r="855">
      <c r="B855" s="17"/>
      <c r="C855" s="17"/>
      <c r="D855" s="11"/>
      <c r="E855" s="11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</row>
    <row r="856">
      <c r="B856" s="17"/>
      <c r="C856" s="17"/>
      <c r="D856" s="11"/>
      <c r="E856" s="11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</row>
    <row r="857">
      <c r="B857" s="17"/>
      <c r="C857" s="17"/>
      <c r="D857" s="11"/>
      <c r="E857" s="11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</row>
    <row r="858">
      <c r="B858" s="17"/>
      <c r="C858" s="17"/>
      <c r="D858" s="11"/>
      <c r="E858" s="11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</row>
    <row r="859">
      <c r="B859" s="17"/>
      <c r="C859" s="17"/>
      <c r="D859" s="11"/>
      <c r="E859" s="11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</row>
    <row r="860">
      <c r="B860" s="17"/>
      <c r="C860" s="17"/>
      <c r="D860" s="11"/>
      <c r="E860" s="11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</row>
    <row r="861">
      <c r="B861" s="17"/>
      <c r="C861" s="17"/>
      <c r="D861" s="11"/>
      <c r="E861" s="11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</row>
    <row r="862">
      <c r="B862" s="17"/>
      <c r="C862" s="17"/>
      <c r="D862" s="11"/>
      <c r="E862" s="11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</row>
    <row r="863">
      <c r="B863" s="17"/>
      <c r="C863" s="17"/>
      <c r="D863" s="11"/>
      <c r="E863" s="11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</row>
    <row r="864">
      <c r="B864" s="17"/>
      <c r="C864" s="17"/>
      <c r="D864" s="11"/>
      <c r="E864" s="11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</row>
    <row r="865">
      <c r="B865" s="17"/>
      <c r="C865" s="17"/>
      <c r="D865" s="11"/>
      <c r="E865" s="11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</row>
    <row r="866">
      <c r="B866" s="17"/>
      <c r="C866" s="17"/>
      <c r="D866" s="11"/>
      <c r="E866" s="11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</row>
    <row r="867">
      <c r="B867" s="17"/>
      <c r="C867" s="17"/>
      <c r="D867" s="11"/>
      <c r="E867" s="11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</row>
    <row r="868">
      <c r="B868" s="17"/>
      <c r="C868" s="17"/>
      <c r="D868" s="11"/>
      <c r="E868" s="11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</row>
    <row r="869">
      <c r="B869" s="17"/>
      <c r="C869" s="17"/>
      <c r="D869" s="11"/>
      <c r="E869" s="11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</row>
    <row r="870">
      <c r="B870" s="17"/>
      <c r="C870" s="17"/>
      <c r="D870" s="11"/>
      <c r="E870" s="11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</row>
    <row r="871">
      <c r="B871" s="17"/>
      <c r="C871" s="17"/>
      <c r="D871" s="11"/>
      <c r="E871" s="11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</row>
    <row r="872">
      <c r="B872" s="17"/>
      <c r="C872" s="17"/>
      <c r="D872" s="11"/>
      <c r="E872" s="11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</row>
    <row r="873">
      <c r="B873" s="17"/>
      <c r="C873" s="17"/>
      <c r="D873" s="11"/>
      <c r="E873" s="11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</row>
    <row r="874">
      <c r="B874" s="17"/>
      <c r="C874" s="17"/>
      <c r="D874" s="11"/>
      <c r="E874" s="11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</row>
    <row r="875">
      <c r="B875" s="17"/>
      <c r="C875" s="17"/>
      <c r="D875" s="11"/>
      <c r="E875" s="11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</row>
    <row r="876">
      <c r="B876" s="17"/>
      <c r="C876" s="17"/>
      <c r="D876" s="11"/>
      <c r="E876" s="11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</row>
    <row r="877">
      <c r="B877" s="17"/>
      <c r="C877" s="17"/>
      <c r="D877" s="11"/>
      <c r="E877" s="11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</row>
    <row r="878">
      <c r="B878" s="17"/>
      <c r="C878" s="17"/>
      <c r="D878" s="11"/>
      <c r="E878" s="11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</row>
    <row r="879">
      <c r="B879" s="17"/>
      <c r="C879" s="17"/>
      <c r="D879" s="11"/>
      <c r="E879" s="11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</row>
    <row r="880">
      <c r="B880" s="17"/>
      <c r="C880" s="17"/>
      <c r="D880" s="11"/>
      <c r="E880" s="11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</row>
    <row r="881">
      <c r="B881" s="17"/>
      <c r="C881" s="17"/>
      <c r="D881" s="11"/>
      <c r="E881" s="11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</row>
    <row r="882">
      <c r="B882" s="17"/>
      <c r="C882" s="17"/>
      <c r="D882" s="11"/>
      <c r="E882" s="11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</row>
    <row r="883">
      <c r="B883" s="17"/>
      <c r="C883" s="17"/>
      <c r="D883" s="11"/>
      <c r="E883" s="11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</row>
    <row r="884">
      <c r="B884" s="17"/>
      <c r="C884" s="17"/>
      <c r="D884" s="11"/>
      <c r="E884" s="11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</row>
    <row r="885">
      <c r="B885" s="17"/>
      <c r="C885" s="17"/>
      <c r="D885" s="11"/>
      <c r="E885" s="11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</row>
    <row r="886">
      <c r="B886" s="17"/>
      <c r="C886" s="17"/>
      <c r="D886" s="11"/>
      <c r="E886" s="11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</row>
    <row r="887">
      <c r="B887" s="17"/>
      <c r="C887" s="17"/>
      <c r="D887" s="11"/>
      <c r="E887" s="11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</row>
    <row r="888">
      <c r="B888" s="17"/>
      <c r="C888" s="17"/>
      <c r="D888" s="11"/>
      <c r="E888" s="11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</row>
    <row r="889">
      <c r="B889" s="17"/>
      <c r="C889" s="17"/>
      <c r="D889" s="11"/>
      <c r="E889" s="11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</row>
    <row r="890">
      <c r="B890" s="17"/>
      <c r="C890" s="17"/>
      <c r="D890" s="11"/>
      <c r="E890" s="11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</row>
    <row r="891">
      <c r="B891" s="17"/>
      <c r="C891" s="17"/>
      <c r="D891" s="11"/>
      <c r="E891" s="11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</row>
    <row r="892">
      <c r="B892" s="17"/>
      <c r="C892" s="17"/>
      <c r="D892" s="11"/>
      <c r="E892" s="11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</row>
    <row r="893">
      <c r="B893" s="17"/>
      <c r="C893" s="17"/>
      <c r="D893" s="11"/>
      <c r="E893" s="11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</row>
    <row r="894">
      <c r="B894" s="17"/>
      <c r="C894" s="17"/>
      <c r="D894" s="11"/>
      <c r="E894" s="11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</row>
    <row r="895">
      <c r="B895" s="17"/>
      <c r="C895" s="17"/>
      <c r="D895" s="11"/>
      <c r="E895" s="11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</row>
    <row r="896">
      <c r="B896" s="17"/>
      <c r="C896" s="17"/>
      <c r="D896" s="11"/>
      <c r="E896" s="11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</row>
    <row r="897">
      <c r="B897" s="17"/>
      <c r="C897" s="17"/>
      <c r="D897" s="11"/>
      <c r="E897" s="11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</row>
    <row r="898">
      <c r="B898" s="17"/>
      <c r="C898" s="17"/>
      <c r="D898" s="11"/>
      <c r="E898" s="11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</row>
    <row r="899">
      <c r="B899" s="17"/>
      <c r="C899" s="17"/>
      <c r="D899" s="11"/>
      <c r="E899" s="11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</row>
    <row r="900">
      <c r="B900" s="17"/>
      <c r="C900" s="17"/>
      <c r="D900" s="11"/>
      <c r="E900" s="11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</row>
    <row r="901">
      <c r="B901" s="17"/>
      <c r="C901" s="17"/>
      <c r="D901" s="11"/>
      <c r="E901" s="11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</row>
    <row r="902">
      <c r="B902" s="17"/>
      <c r="C902" s="17"/>
      <c r="D902" s="11"/>
      <c r="E902" s="11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</row>
    <row r="903">
      <c r="B903" s="17"/>
      <c r="C903" s="17"/>
      <c r="D903" s="11"/>
      <c r="E903" s="11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</row>
    <row r="904">
      <c r="B904" s="17"/>
      <c r="C904" s="17"/>
      <c r="D904" s="11"/>
      <c r="E904" s="11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</row>
    <row r="905">
      <c r="B905" s="17"/>
      <c r="C905" s="17"/>
      <c r="D905" s="11"/>
      <c r="E905" s="11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</row>
    <row r="906">
      <c r="B906" s="17"/>
      <c r="C906" s="17"/>
      <c r="D906" s="11"/>
      <c r="E906" s="11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</row>
    <row r="907">
      <c r="B907" s="17"/>
      <c r="C907" s="17"/>
      <c r="D907" s="11"/>
      <c r="E907" s="11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</row>
    <row r="908">
      <c r="B908" s="17"/>
      <c r="C908" s="17"/>
      <c r="D908" s="11"/>
      <c r="E908" s="11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</row>
    <row r="909">
      <c r="B909" s="17"/>
      <c r="C909" s="17"/>
      <c r="D909" s="11"/>
      <c r="E909" s="11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</row>
    <row r="910">
      <c r="B910" s="17"/>
      <c r="C910" s="17"/>
      <c r="D910" s="11"/>
      <c r="E910" s="11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</row>
    <row r="911">
      <c r="B911" s="17"/>
      <c r="C911" s="17"/>
      <c r="D911" s="11"/>
      <c r="E911" s="11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</row>
    <row r="912">
      <c r="B912" s="17"/>
      <c r="C912" s="17"/>
      <c r="D912" s="11"/>
      <c r="E912" s="11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</row>
    <row r="913">
      <c r="B913" s="17"/>
      <c r="C913" s="17"/>
      <c r="D913" s="11"/>
      <c r="E913" s="11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</row>
    <row r="914">
      <c r="B914" s="17"/>
      <c r="C914" s="17"/>
      <c r="D914" s="11"/>
      <c r="E914" s="11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</row>
    <row r="915">
      <c r="B915" s="17"/>
      <c r="C915" s="17"/>
      <c r="D915" s="11"/>
      <c r="E915" s="11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</row>
    <row r="916">
      <c r="B916" s="17"/>
      <c r="C916" s="17"/>
      <c r="D916" s="11"/>
      <c r="E916" s="11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</row>
    <row r="917">
      <c r="B917" s="17"/>
      <c r="C917" s="17"/>
      <c r="D917" s="11"/>
      <c r="E917" s="11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</row>
    <row r="918">
      <c r="B918" s="17"/>
      <c r="C918" s="17"/>
      <c r="D918" s="11"/>
      <c r="E918" s="11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</row>
    <row r="919">
      <c r="B919" s="17"/>
      <c r="C919" s="17"/>
      <c r="D919" s="11"/>
      <c r="E919" s="11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</row>
    <row r="920">
      <c r="B920" s="17"/>
      <c r="C920" s="17"/>
      <c r="D920" s="11"/>
      <c r="E920" s="11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</row>
    <row r="921">
      <c r="B921" s="17"/>
      <c r="C921" s="17"/>
      <c r="D921" s="11"/>
      <c r="E921" s="11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</row>
    <row r="922">
      <c r="B922" s="17"/>
      <c r="C922" s="17"/>
      <c r="D922" s="11"/>
      <c r="E922" s="11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</row>
    <row r="923">
      <c r="B923" s="17"/>
      <c r="C923" s="17"/>
      <c r="D923" s="11"/>
      <c r="E923" s="11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</row>
  </sheetData>
  <mergeCells count="4">
    <mergeCell ref="H335:Q335"/>
    <mergeCell ref="H636:P636"/>
    <mergeCell ref="H733:P733"/>
    <mergeCell ref="H735:P735"/>
  </mergeCells>
  <dataValidations>
    <dataValidation type="list" allowBlank="1" showErrorMessage="1" sqref="G2:G923">
      <formula1>"FULL RIM,HALF RIM,RIMLESS"</formula1>
    </dataValidation>
    <dataValidation type="list" allowBlank="1" showErrorMessage="1" sqref="R2:R923">
      <formula1>"AMIRUN,DHAVAL,DEVENDRA,GITANJALI,ADITI,Mukul,DEEPANSHU,JATIN"</formula1>
    </dataValidation>
    <dataValidation type="list" allowBlank="1" showErrorMessage="1" sqref="L2:L334 L336:L635 L637:L732 L734 L736:L923">
      <formula1>"MANUAL,TRACING"</formula1>
    </dataValidation>
  </dataValidations>
  <hyperlinks>
    <hyperlink r:id="rId1" ref="S210"/>
    <hyperlink r:id="rId2" ref="S211"/>
    <hyperlink r:id="rId3" ref="S212"/>
    <hyperlink r:id="rId4" ref="D570"/>
    <hyperlink r:id="rId5" ref="D572"/>
    <hyperlink r:id="rId6" ref="D581"/>
    <hyperlink r:id="rId7" ref="D709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0" t="s">
        <v>656</v>
      </c>
      <c r="B1" s="150" t="s">
        <v>657</v>
      </c>
      <c r="C1" s="150" t="s">
        <v>658</v>
      </c>
      <c r="D1" s="150" t="s">
        <v>659</v>
      </c>
      <c r="E1" s="150" t="s">
        <v>660</v>
      </c>
      <c r="F1" s="150" t="s">
        <v>661</v>
      </c>
      <c r="G1" s="150" t="s">
        <v>43</v>
      </c>
      <c r="H1" s="150" t="s">
        <v>19</v>
      </c>
      <c r="I1" s="150" t="s">
        <v>137</v>
      </c>
      <c r="J1" s="150" t="s">
        <v>336</v>
      </c>
      <c r="K1" s="150" t="s">
        <v>405</v>
      </c>
      <c r="L1" s="150" t="s">
        <v>4</v>
      </c>
      <c r="M1" s="151" t="s">
        <v>5</v>
      </c>
    </row>
    <row r="2">
      <c r="A2" s="152" t="s">
        <v>443</v>
      </c>
      <c r="B2" s="153">
        <v>19.0</v>
      </c>
      <c r="C2" s="153">
        <v>16.0</v>
      </c>
      <c r="D2" s="153">
        <v>3.0</v>
      </c>
      <c r="E2" s="154">
        <v>0.188</v>
      </c>
      <c r="F2" s="152" t="s">
        <v>662</v>
      </c>
      <c r="G2" s="154">
        <v>0.1875</v>
      </c>
      <c r="H2" s="154">
        <v>0.0</v>
      </c>
      <c r="I2" s="154">
        <v>0.0</v>
      </c>
      <c r="J2" s="154">
        <v>0.0</v>
      </c>
      <c r="K2" s="154">
        <v>0.0625</v>
      </c>
      <c r="L2" s="152" t="s">
        <v>43</v>
      </c>
      <c r="M2" s="155">
        <v>0.1875</v>
      </c>
    </row>
    <row r="3">
      <c r="A3" s="156" t="s">
        <v>434</v>
      </c>
      <c r="B3" s="157">
        <v>43.0</v>
      </c>
      <c r="C3" s="157">
        <v>41.0</v>
      </c>
      <c r="D3" s="157">
        <v>6.0</v>
      </c>
      <c r="E3" s="158">
        <v>0.146</v>
      </c>
      <c r="F3" s="156" t="s">
        <v>662</v>
      </c>
      <c r="G3" s="158">
        <v>0.119</v>
      </c>
      <c r="H3" s="158">
        <v>0.0</v>
      </c>
      <c r="I3" s="158">
        <v>0.0238</v>
      </c>
      <c r="J3" s="158">
        <v>0.0</v>
      </c>
      <c r="K3" s="158">
        <v>0.0952</v>
      </c>
      <c r="L3" s="156" t="s">
        <v>43</v>
      </c>
      <c r="M3" s="159">
        <v>0.119</v>
      </c>
    </row>
    <row r="4">
      <c r="A4" s="152" t="s">
        <v>444</v>
      </c>
      <c r="B4" s="153">
        <v>54.0</v>
      </c>
      <c r="C4" s="153">
        <v>52.0</v>
      </c>
      <c r="D4" s="153">
        <v>5.0</v>
      </c>
      <c r="E4" s="154">
        <v>0.096</v>
      </c>
      <c r="F4" s="152" t="s">
        <v>662</v>
      </c>
      <c r="G4" s="154">
        <v>0.0962</v>
      </c>
      <c r="H4" s="154">
        <v>0.0</v>
      </c>
      <c r="I4" s="154">
        <v>0.0</v>
      </c>
      <c r="J4" s="154">
        <v>0.0</v>
      </c>
      <c r="K4" s="154">
        <v>0.0385</v>
      </c>
      <c r="L4" s="152" t="s">
        <v>43</v>
      </c>
      <c r="M4" s="155">
        <v>0.0962</v>
      </c>
    </row>
    <row r="5">
      <c r="A5" s="156" t="s">
        <v>445</v>
      </c>
      <c r="B5" s="157">
        <v>53.0</v>
      </c>
      <c r="C5" s="157">
        <v>52.0</v>
      </c>
      <c r="D5" s="157">
        <v>5.0</v>
      </c>
      <c r="E5" s="158">
        <v>0.096</v>
      </c>
      <c r="F5" s="156" t="s">
        <v>662</v>
      </c>
      <c r="G5" s="158">
        <v>0.0943</v>
      </c>
      <c r="H5" s="158">
        <v>0.0</v>
      </c>
      <c r="I5" s="158">
        <v>0.0</v>
      </c>
      <c r="J5" s="158">
        <v>0.0</v>
      </c>
      <c r="K5" s="158">
        <v>0.0189</v>
      </c>
      <c r="L5" s="156" t="s">
        <v>43</v>
      </c>
      <c r="M5" s="159">
        <v>0.0943</v>
      </c>
    </row>
    <row r="6">
      <c r="A6" s="152" t="s">
        <v>392</v>
      </c>
      <c r="B6" s="153">
        <v>32.0</v>
      </c>
      <c r="C6" s="153">
        <v>31.0</v>
      </c>
      <c r="D6" s="153">
        <v>3.0</v>
      </c>
      <c r="E6" s="154">
        <v>0.097</v>
      </c>
      <c r="F6" s="152" t="s">
        <v>662</v>
      </c>
      <c r="G6" s="154">
        <v>0.0909</v>
      </c>
      <c r="H6" s="154">
        <v>0.0</v>
      </c>
      <c r="I6" s="154">
        <v>0.0</v>
      </c>
      <c r="J6" s="154">
        <v>0.0</v>
      </c>
      <c r="K6" s="154">
        <v>0.0606</v>
      </c>
      <c r="L6" s="152" t="s">
        <v>43</v>
      </c>
      <c r="M6" s="155">
        <v>0.0909</v>
      </c>
    </row>
    <row r="7">
      <c r="A7" s="156" t="s">
        <v>446</v>
      </c>
      <c r="B7" s="157">
        <v>52.0</v>
      </c>
      <c r="C7" s="157">
        <v>53.0</v>
      </c>
      <c r="D7" s="157">
        <v>3.0</v>
      </c>
      <c r="E7" s="158">
        <v>0.057</v>
      </c>
      <c r="F7" s="156" t="s">
        <v>662</v>
      </c>
      <c r="G7" s="158">
        <v>0.0566</v>
      </c>
      <c r="H7" s="158">
        <v>0.0</v>
      </c>
      <c r="I7" s="158">
        <v>0.0</v>
      </c>
      <c r="J7" s="158">
        <v>0.0</v>
      </c>
      <c r="K7" s="158">
        <v>0.0377</v>
      </c>
      <c r="L7" s="156" t="s">
        <v>43</v>
      </c>
      <c r="M7" s="159">
        <v>0.0566</v>
      </c>
    </row>
    <row r="8">
      <c r="A8" s="152" t="s">
        <v>426</v>
      </c>
      <c r="B8" s="153">
        <v>38.0</v>
      </c>
      <c r="C8" s="153">
        <v>37.0</v>
      </c>
      <c r="D8" s="153">
        <v>4.0</v>
      </c>
      <c r="E8" s="154">
        <v>0.108</v>
      </c>
      <c r="F8" s="152" t="s">
        <v>662</v>
      </c>
      <c r="G8" s="154">
        <v>0.0541</v>
      </c>
      <c r="H8" s="154">
        <v>0.027</v>
      </c>
      <c r="I8" s="154">
        <v>0.027</v>
      </c>
      <c r="J8" s="154">
        <v>0.0</v>
      </c>
      <c r="K8" s="154">
        <v>0.0</v>
      </c>
      <c r="L8" s="152" t="s">
        <v>43</v>
      </c>
      <c r="M8" s="155">
        <v>0.0541</v>
      </c>
    </row>
    <row r="9">
      <c r="A9" s="156" t="s">
        <v>447</v>
      </c>
      <c r="B9" s="157">
        <v>79.0</v>
      </c>
      <c r="C9" s="157">
        <v>79.0</v>
      </c>
      <c r="D9" s="157">
        <v>4.0</v>
      </c>
      <c r="E9" s="158">
        <v>0.051</v>
      </c>
      <c r="F9" s="156" t="s">
        <v>662</v>
      </c>
      <c r="G9" s="158">
        <v>0.038</v>
      </c>
      <c r="H9" s="158">
        <v>0.0</v>
      </c>
      <c r="I9" s="158">
        <v>0.0127</v>
      </c>
      <c r="J9" s="158">
        <v>0.0</v>
      </c>
      <c r="K9" s="158">
        <v>0.0253</v>
      </c>
      <c r="L9" s="156" t="s">
        <v>43</v>
      </c>
      <c r="M9" s="159">
        <v>0.038</v>
      </c>
    </row>
    <row r="10">
      <c r="A10" s="152" t="s">
        <v>448</v>
      </c>
      <c r="B10" s="153">
        <v>55.0</v>
      </c>
      <c r="C10" s="153">
        <v>52.0</v>
      </c>
      <c r="D10" s="153">
        <v>3.0</v>
      </c>
      <c r="E10" s="154">
        <v>0.058</v>
      </c>
      <c r="F10" s="152" t="s">
        <v>662</v>
      </c>
      <c r="G10" s="154">
        <v>0.037</v>
      </c>
      <c r="H10" s="154">
        <v>0.0</v>
      </c>
      <c r="I10" s="154">
        <v>0.0185</v>
      </c>
      <c r="J10" s="154">
        <v>0.0</v>
      </c>
      <c r="K10" s="154">
        <v>0.0</v>
      </c>
      <c r="L10" s="152" t="s">
        <v>43</v>
      </c>
      <c r="M10" s="155">
        <v>0.037</v>
      </c>
    </row>
    <row r="11">
      <c r="A11" s="156" t="s">
        <v>449</v>
      </c>
      <c r="B11" s="157">
        <v>28.0</v>
      </c>
      <c r="C11" s="157">
        <v>28.0</v>
      </c>
      <c r="D11" s="157">
        <v>3.0</v>
      </c>
      <c r="E11" s="158">
        <v>0.107</v>
      </c>
      <c r="F11" s="156" t="s">
        <v>662</v>
      </c>
      <c r="G11" s="158">
        <v>0.0714</v>
      </c>
      <c r="H11" s="158">
        <v>0.0</v>
      </c>
      <c r="I11" s="158">
        <v>0.0714</v>
      </c>
      <c r="J11" s="158">
        <v>0.0</v>
      </c>
      <c r="K11" s="158">
        <v>0.0</v>
      </c>
      <c r="L11" s="156" t="s">
        <v>320</v>
      </c>
      <c r="M11" s="159">
        <v>0.0714</v>
      </c>
    </row>
    <row r="12">
      <c r="A12" s="152" t="s">
        <v>450</v>
      </c>
      <c r="B12" s="153">
        <v>64.0</v>
      </c>
      <c r="C12" s="153">
        <v>61.0</v>
      </c>
      <c r="D12" s="153">
        <v>4.0</v>
      </c>
      <c r="E12" s="154">
        <v>0.066</v>
      </c>
      <c r="F12" s="152" t="s">
        <v>662</v>
      </c>
      <c r="G12" s="154">
        <v>0.0625</v>
      </c>
      <c r="H12" s="154">
        <v>0.0</v>
      </c>
      <c r="I12" s="154">
        <v>0.0313</v>
      </c>
      <c r="J12" s="154">
        <v>0.0</v>
      </c>
      <c r="K12" s="154">
        <v>0.0625</v>
      </c>
      <c r="L12" s="152" t="s">
        <v>395</v>
      </c>
      <c r="M12" s="155">
        <v>0.0625</v>
      </c>
    </row>
    <row r="13">
      <c r="A13" s="156" t="s">
        <v>451</v>
      </c>
      <c r="B13" s="157">
        <v>49.0</v>
      </c>
      <c r="C13" s="157">
        <v>47.0</v>
      </c>
      <c r="D13" s="157">
        <v>3.0</v>
      </c>
      <c r="E13" s="158">
        <v>0.064</v>
      </c>
      <c r="F13" s="156" t="s">
        <v>662</v>
      </c>
      <c r="G13" s="158">
        <v>0.0417</v>
      </c>
      <c r="H13" s="158">
        <v>0.0</v>
      </c>
      <c r="I13" s="158">
        <v>0.0</v>
      </c>
      <c r="J13" s="158">
        <v>0.0208</v>
      </c>
      <c r="K13" s="158">
        <v>0.0417</v>
      </c>
      <c r="L13" s="156" t="s">
        <v>395</v>
      </c>
      <c r="M13" s="159">
        <v>0.0417</v>
      </c>
    </row>
    <row r="14">
      <c r="A14" s="152" t="s">
        <v>452</v>
      </c>
      <c r="B14" s="153">
        <v>23.0</v>
      </c>
      <c r="C14" s="153">
        <v>23.0</v>
      </c>
      <c r="D14" s="153">
        <v>3.0</v>
      </c>
      <c r="E14" s="154">
        <v>0.13</v>
      </c>
      <c r="F14" s="152" t="s">
        <v>662</v>
      </c>
      <c r="G14" s="154">
        <v>0.0435</v>
      </c>
      <c r="H14" s="154">
        <v>0.0</v>
      </c>
      <c r="I14" s="154">
        <v>0.1304</v>
      </c>
      <c r="J14" s="154">
        <v>0.0</v>
      </c>
      <c r="K14" s="154">
        <v>0.0</v>
      </c>
      <c r="L14" s="152" t="s">
        <v>453</v>
      </c>
      <c r="M14" s="155">
        <v>0.1304</v>
      </c>
    </row>
    <row r="15">
      <c r="A15" s="156" t="s">
        <v>311</v>
      </c>
      <c r="B15" s="157">
        <v>80.0</v>
      </c>
      <c r="C15" s="157">
        <v>66.0</v>
      </c>
      <c r="D15" s="157">
        <v>14.0</v>
      </c>
      <c r="E15" s="158">
        <v>0.212</v>
      </c>
      <c r="F15" s="156" t="s">
        <v>662</v>
      </c>
      <c r="G15" s="158">
        <v>0.0519</v>
      </c>
      <c r="H15" s="158">
        <v>0.013</v>
      </c>
      <c r="I15" s="158">
        <v>0.1299</v>
      </c>
      <c r="J15" s="158">
        <v>0.0</v>
      </c>
      <c r="K15" s="158">
        <v>0.0779</v>
      </c>
      <c r="L15" s="156" t="s">
        <v>453</v>
      </c>
      <c r="M15" s="159">
        <v>0.1299</v>
      </c>
    </row>
    <row r="16">
      <c r="A16" s="152" t="s">
        <v>213</v>
      </c>
      <c r="B16" s="153">
        <v>8.0</v>
      </c>
      <c r="C16" s="153">
        <v>7.0</v>
      </c>
      <c r="D16" s="153">
        <v>6.0</v>
      </c>
      <c r="E16" s="154">
        <v>0.857</v>
      </c>
      <c r="F16" s="152" t="s">
        <v>662</v>
      </c>
      <c r="G16" s="154">
        <v>0.0</v>
      </c>
      <c r="H16" s="154">
        <v>0.6364</v>
      </c>
      <c r="I16" s="154">
        <v>0.0</v>
      </c>
      <c r="J16" s="154">
        <v>0.0</v>
      </c>
      <c r="K16" s="154">
        <v>0.0</v>
      </c>
      <c r="L16" s="152" t="s">
        <v>19</v>
      </c>
      <c r="M16" s="155">
        <v>0.6364</v>
      </c>
    </row>
    <row r="17">
      <c r="A17" s="156" t="s">
        <v>438</v>
      </c>
      <c r="B17" s="157">
        <v>10.0</v>
      </c>
      <c r="C17" s="157">
        <v>5.0</v>
      </c>
      <c r="D17" s="157">
        <v>4.0</v>
      </c>
      <c r="E17" s="158">
        <v>0.8</v>
      </c>
      <c r="F17" s="156" t="s">
        <v>662</v>
      </c>
      <c r="G17" s="158">
        <v>0.1429</v>
      </c>
      <c r="H17" s="158">
        <v>0.4286</v>
      </c>
      <c r="I17" s="158">
        <v>0.0</v>
      </c>
      <c r="J17" s="158">
        <v>0.0</v>
      </c>
      <c r="K17" s="158">
        <v>0.0</v>
      </c>
      <c r="L17" s="156" t="s">
        <v>19</v>
      </c>
      <c r="M17" s="159">
        <v>0.4286</v>
      </c>
    </row>
    <row r="18">
      <c r="A18" s="152" t="s">
        <v>454</v>
      </c>
      <c r="B18" s="153">
        <v>16.0</v>
      </c>
      <c r="C18" s="153">
        <v>15.0</v>
      </c>
      <c r="D18" s="153">
        <v>3.0</v>
      </c>
      <c r="E18" s="154">
        <v>0.2</v>
      </c>
      <c r="F18" s="152" t="s">
        <v>662</v>
      </c>
      <c r="G18" s="154">
        <v>0.0</v>
      </c>
      <c r="H18" s="154">
        <v>0.381</v>
      </c>
      <c r="I18" s="154">
        <v>0.0</v>
      </c>
      <c r="J18" s="154">
        <v>0.0</v>
      </c>
      <c r="K18" s="154">
        <v>0.0</v>
      </c>
      <c r="L18" s="152" t="s">
        <v>19</v>
      </c>
      <c r="M18" s="155">
        <v>0.381</v>
      </c>
    </row>
    <row r="19">
      <c r="A19" s="156" t="s">
        <v>455</v>
      </c>
      <c r="B19" s="157">
        <v>5.0</v>
      </c>
      <c r="C19" s="157">
        <v>10.0</v>
      </c>
      <c r="D19" s="157">
        <v>8.0</v>
      </c>
      <c r="E19" s="158">
        <v>0.8</v>
      </c>
      <c r="F19" s="156" t="s">
        <v>662</v>
      </c>
      <c r="G19" s="158">
        <v>0.0</v>
      </c>
      <c r="H19" s="158">
        <v>0.2414</v>
      </c>
      <c r="I19" s="158">
        <v>0.0</v>
      </c>
      <c r="J19" s="158">
        <v>0.0345</v>
      </c>
      <c r="K19" s="158">
        <v>0.0</v>
      </c>
      <c r="L19" s="156" t="s">
        <v>19</v>
      </c>
      <c r="M19" s="159">
        <v>0.2414</v>
      </c>
    </row>
    <row r="20">
      <c r="A20" s="152" t="s">
        <v>383</v>
      </c>
      <c r="B20" s="153">
        <v>17.0</v>
      </c>
      <c r="C20" s="153">
        <v>15.0</v>
      </c>
      <c r="D20" s="153">
        <v>5.0</v>
      </c>
      <c r="E20" s="154">
        <v>0.333</v>
      </c>
      <c r="F20" s="152" t="s">
        <v>662</v>
      </c>
      <c r="G20" s="154">
        <v>0.0</v>
      </c>
      <c r="H20" s="154">
        <v>0.2</v>
      </c>
      <c r="I20" s="154">
        <v>0.0667</v>
      </c>
      <c r="J20" s="154">
        <v>0.0667</v>
      </c>
      <c r="K20" s="154">
        <v>0.0</v>
      </c>
      <c r="L20" s="152" t="s">
        <v>19</v>
      </c>
      <c r="M20" s="155">
        <v>0.2</v>
      </c>
    </row>
    <row r="21">
      <c r="A21" s="156" t="s">
        <v>342</v>
      </c>
      <c r="B21" s="157">
        <v>24.0</v>
      </c>
      <c r="C21" s="157">
        <v>20.0</v>
      </c>
      <c r="D21" s="157">
        <v>3.0</v>
      </c>
      <c r="E21" s="158">
        <v>0.15</v>
      </c>
      <c r="F21" s="156" t="s">
        <v>662</v>
      </c>
      <c r="G21" s="158">
        <v>0.0</v>
      </c>
      <c r="H21" s="158">
        <v>0.15</v>
      </c>
      <c r="I21" s="158">
        <v>0.0</v>
      </c>
      <c r="J21" s="158">
        <v>0.0</v>
      </c>
      <c r="K21" s="158">
        <v>0.0</v>
      </c>
      <c r="L21" s="156" t="s">
        <v>19</v>
      </c>
      <c r="M21" s="159">
        <v>0.15</v>
      </c>
    </row>
    <row r="22">
      <c r="A22" s="152" t="s">
        <v>456</v>
      </c>
      <c r="B22" s="153">
        <v>22.0</v>
      </c>
      <c r="C22" s="153">
        <v>23.0</v>
      </c>
      <c r="D22" s="153">
        <v>3.0</v>
      </c>
      <c r="E22" s="154">
        <v>0.13</v>
      </c>
      <c r="F22" s="152" t="s">
        <v>662</v>
      </c>
      <c r="G22" s="154">
        <v>0.0</v>
      </c>
      <c r="H22" s="154">
        <v>0.1304</v>
      </c>
      <c r="I22" s="154">
        <v>0.0</v>
      </c>
      <c r="J22" s="154">
        <v>0.0</v>
      </c>
      <c r="K22" s="154">
        <v>0.0435</v>
      </c>
      <c r="L22" s="152" t="s">
        <v>19</v>
      </c>
      <c r="M22" s="155">
        <v>0.1304</v>
      </c>
    </row>
    <row r="23">
      <c r="A23" s="156" t="s">
        <v>468</v>
      </c>
      <c r="B23" s="153">
        <v>11.0</v>
      </c>
      <c r="C23" s="153">
        <v>11.0</v>
      </c>
      <c r="D23" s="153">
        <v>6.0</v>
      </c>
      <c r="E23" s="154">
        <v>0.545</v>
      </c>
      <c r="F23" s="152" t="s">
        <v>662</v>
      </c>
      <c r="G23" s="154">
        <v>0.3077</v>
      </c>
      <c r="H23" s="154">
        <v>0.0769</v>
      </c>
      <c r="I23" s="154">
        <v>0.0769</v>
      </c>
      <c r="J23" s="154">
        <v>0.1538</v>
      </c>
      <c r="K23" s="154">
        <v>0.0</v>
      </c>
      <c r="L23" s="152" t="s">
        <v>43</v>
      </c>
      <c r="M23" s="155">
        <v>0.3077</v>
      </c>
    </row>
    <row r="24">
      <c r="A24" s="160" t="s">
        <v>494</v>
      </c>
      <c r="B24" s="157">
        <v>121.0</v>
      </c>
      <c r="C24" s="157">
        <v>111.0</v>
      </c>
      <c r="D24" s="157">
        <v>33.0</v>
      </c>
      <c r="E24" s="158">
        <v>0.297</v>
      </c>
      <c r="F24" s="156" t="s">
        <v>662</v>
      </c>
      <c r="G24" s="158">
        <v>0.1812</v>
      </c>
      <c r="H24" s="158">
        <v>0.0671</v>
      </c>
      <c r="I24" s="158">
        <v>0.0</v>
      </c>
      <c r="J24" s="158">
        <v>0.0403</v>
      </c>
      <c r="K24" s="158">
        <v>0.0403</v>
      </c>
      <c r="L24" s="156" t="s">
        <v>43</v>
      </c>
      <c r="M24" s="159">
        <v>0.1812</v>
      </c>
    </row>
    <row r="25">
      <c r="A25" s="156" t="s">
        <v>469</v>
      </c>
      <c r="B25" s="157">
        <v>25.0</v>
      </c>
      <c r="C25" s="157">
        <v>25.0</v>
      </c>
      <c r="D25" s="157">
        <v>7.0</v>
      </c>
      <c r="E25" s="158">
        <v>0.28</v>
      </c>
      <c r="F25" s="156" t="s">
        <v>662</v>
      </c>
      <c r="G25" s="158">
        <v>0.1667</v>
      </c>
      <c r="H25" s="158">
        <v>0.0333</v>
      </c>
      <c r="I25" s="158">
        <v>0.0333</v>
      </c>
      <c r="J25" s="158">
        <v>0.0667</v>
      </c>
      <c r="K25" s="158">
        <v>0.0</v>
      </c>
      <c r="L25" s="156" t="s">
        <v>43</v>
      </c>
      <c r="M25" s="159">
        <v>0.1667</v>
      </c>
    </row>
    <row r="26">
      <c r="A26" s="156" t="s">
        <v>470</v>
      </c>
      <c r="B26" s="157">
        <v>40.0</v>
      </c>
      <c r="C26" s="157">
        <v>40.0</v>
      </c>
      <c r="D26" s="157">
        <v>6.0</v>
      </c>
      <c r="E26" s="158">
        <v>0.15</v>
      </c>
      <c r="F26" s="156" t="s">
        <v>662</v>
      </c>
      <c r="G26" s="158">
        <v>0.0976</v>
      </c>
      <c r="H26" s="158">
        <v>0.0488</v>
      </c>
      <c r="I26" s="158">
        <v>0.0</v>
      </c>
      <c r="J26" s="158">
        <v>0.0244</v>
      </c>
      <c r="K26" s="158">
        <v>0.0</v>
      </c>
      <c r="L26" s="156" t="s">
        <v>43</v>
      </c>
      <c r="M26" s="159">
        <v>0.0976</v>
      </c>
    </row>
    <row r="27">
      <c r="A27" s="160" t="s">
        <v>663</v>
      </c>
      <c r="B27" s="157">
        <v>39.0</v>
      </c>
      <c r="C27" s="157">
        <v>41.0</v>
      </c>
      <c r="D27" s="157">
        <v>5.0</v>
      </c>
      <c r="E27" s="158">
        <v>0.122</v>
      </c>
      <c r="F27" s="156" t="s">
        <v>662</v>
      </c>
      <c r="G27" s="158">
        <v>0.0909</v>
      </c>
      <c r="H27" s="158">
        <v>0.0</v>
      </c>
      <c r="I27" s="158">
        <v>0.0227</v>
      </c>
      <c r="J27" s="158">
        <v>0.0</v>
      </c>
      <c r="K27" s="158">
        <v>0.0227</v>
      </c>
      <c r="L27" s="156" t="s">
        <v>43</v>
      </c>
      <c r="M27" s="159">
        <v>0.0909</v>
      </c>
    </row>
    <row r="28">
      <c r="A28" s="156" t="s">
        <v>471</v>
      </c>
      <c r="B28" s="153">
        <v>61.0</v>
      </c>
      <c r="C28" s="153">
        <v>57.0</v>
      </c>
      <c r="D28" s="153">
        <v>7.0</v>
      </c>
      <c r="E28" s="154">
        <v>0.123</v>
      </c>
      <c r="F28" s="152" t="s">
        <v>662</v>
      </c>
      <c r="G28" s="154">
        <v>0.0678</v>
      </c>
      <c r="H28" s="154">
        <v>0.0169</v>
      </c>
      <c r="I28" s="154">
        <v>0.0169</v>
      </c>
      <c r="J28" s="154">
        <v>0.0508</v>
      </c>
      <c r="K28" s="154">
        <v>0.0169</v>
      </c>
      <c r="L28" s="152" t="s">
        <v>43</v>
      </c>
      <c r="M28" s="155">
        <v>0.0678</v>
      </c>
    </row>
    <row r="29">
      <c r="A29" s="156" t="s">
        <v>472</v>
      </c>
      <c r="B29" s="157">
        <v>149.0</v>
      </c>
      <c r="C29" s="157">
        <v>144.0</v>
      </c>
      <c r="D29" s="157">
        <v>8.0</v>
      </c>
      <c r="E29" s="158">
        <v>0.056</v>
      </c>
      <c r="F29" s="156" t="s">
        <v>662</v>
      </c>
      <c r="G29" s="158">
        <v>0.0411</v>
      </c>
      <c r="H29" s="158">
        <v>0.0</v>
      </c>
      <c r="I29" s="158">
        <v>0.0068</v>
      </c>
      <c r="J29" s="158">
        <v>0.0342</v>
      </c>
      <c r="K29" s="158">
        <v>0.0068</v>
      </c>
      <c r="L29" s="156" t="s">
        <v>43</v>
      </c>
      <c r="M29" s="159">
        <v>0.0411</v>
      </c>
    </row>
    <row r="30">
      <c r="A30" s="156" t="s">
        <v>473</v>
      </c>
      <c r="B30" s="153">
        <v>76.0</v>
      </c>
      <c r="C30" s="153">
        <v>81.0</v>
      </c>
      <c r="D30" s="153">
        <v>5.0</v>
      </c>
      <c r="E30" s="154">
        <v>0.062</v>
      </c>
      <c r="F30" s="152" t="s">
        <v>662</v>
      </c>
      <c r="G30" s="154">
        <v>0.0361</v>
      </c>
      <c r="H30" s="154">
        <v>0.0</v>
      </c>
      <c r="I30" s="154">
        <v>0.0</v>
      </c>
      <c r="J30" s="154">
        <v>0.012</v>
      </c>
      <c r="K30" s="154">
        <v>0.0241</v>
      </c>
      <c r="L30" s="152" t="s">
        <v>43</v>
      </c>
      <c r="M30" s="155">
        <v>0.0361</v>
      </c>
    </row>
    <row r="31">
      <c r="A31" s="156" t="s">
        <v>172</v>
      </c>
      <c r="B31" s="157">
        <v>119.0</v>
      </c>
      <c r="C31" s="157">
        <v>122.0</v>
      </c>
      <c r="D31" s="157">
        <v>9.0</v>
      </c>
      <c r="E31" s="158">
        <v>0.074</v>
      </c>
      <c r="F31" s="156" t="s">
        <v>662</v>
      </c>
      <c r="G31" s="158">
        <v>0.0391</v>
      </c>
      <c r="H31" s="158">
        <v>0.0313</v>
      </c>
      <c r="I31" s="158">
        <v>0.0156</v>
      </c>
      <c r="J31" s="158">
        <v>0.0469</v>
      </c>
      <c r="K31" s="158">
        <v>0.0</v>
      </c>
      <c r="L31" s="156" t="s">
        <v>474</v>
      </c>
      <c r="M31" s="159">
        <v>0.0469</v>
      </c>
    </row>
    <row r="32">
      <c r="A32" s="156" t="s">
        <v>353</v>
      </c>
      <c r="B32" s="153">
        <v>65.0</v>
      </c>
      <c r="C32" s="153">
        <v>67.0</v>
      </c>
      <c r="D32" s="153">
        <v>8.0</v>
      </c>
      <c r="E32" s="154">
        <v>0.119</v>
      </c>
      <c r="F32" s="152" t="s">
        <v>662</v>
      </c>
      <c r="G32" s="154">
        <v>0.0857</v>
      </c>
      <c r="H32" s="154">
        <v>0.0</v>
      </c>
      <c r="I32" s="154">
        <v>0.0143</v>
      </c>
      <c r="J32" s="154">
        <v>0.0857</v>
      </c>
      <c r="K32" s="154">
        <v>0.0143</v>
      </c>
      <c r="L32" s="152" t="s">
        <v>395</v>
      </c>
      <c r="M32" s="155">
        <v>0.0857</v>
      </c>
    </row>
    <row r="33">
      <c r="A33" s="156" t="s">
        <v>475</v>
      </c>
      <c r="B33" s="157">
        <v>114.0</v>
      </c>
      <c r="C33" s="157">
        <v>106.0</v>
      </c>
      <c r="D33" s="157">
        <v>15.0</v>
      </c>
      <c r="E33" s="158">
        <v>0.142</v>
      </c>
      <c r="F33" s="156" t="s">
        <v>662</v>
      </c>
      <c r="G33" s="158">
        <v>0.0796</v>
      </c>
      <c r="H33" s="158">
        <v>0.0</v>
      </c>
      <c r="I33" s="158">
        <v>0.0708</v>
      </c>
      <c r="J33" s="158">
        <v>0.0973</v>
      </c>
      <c r="K33" s="158">
        <v>0.0</v>
      </c>
      <c r="L33" s="156" t="s">
        <v>395</v>
      </c>
      <c r="M33" s="159">
        <v>0.0973</v>
      </c>
    </row>
    <row r="34">
      <c r="A34" s="156" t="s">
        <v>476</v>
      </c>
      <c r="B34" s="153">
        <v>91.0</v>
      </c>
      <c r="C34" s="153">
        <v>90.0</v>
      </c>
      <c r="D34" s="153">
        <v>5.0</v>
      </c>
      <c r="E34" s="154">
        <v>0.056</v>
      </c>
      <c r="F34" s="152" t="s">
        <v>662</v>
      </c>
      <c r="G34" s="154">
        <v>0.0222</v>
      </c>
      <c r="H34" s="154">
        <v>0.0111</v>
      </c>
      <c r="I34" s="154">
        <v>0.0111</v>
      </c>
      <c r="J34" s="154">
        <v>0.0222</v>
      </c>
      <c r="K34" s="154">
        <v>0.0111</v>
      </c>
      <c r="L34" s="152" t="s">
        <v>395</v>
      </c>
      <c r="M34" s="155">
        <v>0.0222</v>
      </c>
    </row>
    <row r="35">
      <c r="A35" s="156" t="s">
        <v>477</v>
      </c>
      <c r="B35" s="157">
        <v>40.0</v>
      </c>
      <c r="C35" s="157">
        <v>37.0</v>
      </c>
      <c r="D35" s="157">
        <v>6.0</v>
      </c>
      <c r="E35" s="158">
        <v>0.162</v>
      </c>
      <c r="F35" s="156" t="s">
        <v>662</v>
      </c>
      <c r="G35" s="158">
        <v>0.0769</v>
      </c>
      <c r="H35" s="158">
        <v>0.0</v>
      </c>
      <c r="I35" s="158">
        <v>0.1026</v>
      </c>
      <c r="J35" s="158">
        <v>0.1026</v>
      </c>
      <c r="K35" s="158">
        <v>0.0</v>
      </c>
      <c r="L35" s="156" t="s">
        <v>137</v>
      </c>
      <c r="M35" s="159">
        <v>0.1026</v>
      </c>
    </row>
    <row r="36">
      <c r="A36" s="156" t="s">
        <v>478</v>
      </c>
      <c r="B36" s="153">
        <v>178.0</v>
      </c>
      <c r="C36" s="153">
        <v>173.0</v>
      </c>
      <c r="D36" s="153">
        <v>11.0</v>
      </c>
      <c r="E36" s="154">
        <v>0.064</v>
      </c>
      <c r="F36" s="152" t="s">
        <v>662</v>
      </c>
      <c r="G36" s="154">
        <v>0.0284</v>
      </c>
      <c r="H36" s="154">
        <v>0.0</v>
      </c>
      <c r="I36" s="154">
        <v>0.0341</v>
      </c>
      <c r="J36" s="154">
        <v>0.0398</v>
      </c>
      <c r="K36" s="154">
        <v>0.0114</v>
      </c>
      <c r="L36" s="152" t="s">
        <v>479</v>
      </c>
      <c r="M36" s="155">
        <v>0.0398</v>
      </c>
    </row>
    <row r="37">
      <c r="A37" s="160" t="s">
        <v>664</v>
      </c>
      <c r="B37" s="153">
        <v>12.0</v>
      </c>
      <c r="C37" s="153">
        <v>11.0</v>
      </c>
      <c r="D37" s="153">
        <v>5.0</v>
      </c>
      <c r="E37" s="154">
        <v>0.455</v>
      </c>
      <c r="F37" s="152" t="s">
        <v>662</v>
      </c>
      <c r="G37" s="154">
        <v>0.0</v>
      </c>
      <c r="H37" s="154">
        <v>0.0</v>
      </c>
      <c r="I37" s="154">
        <v>0.3571</v>
      </c>
      <c r="J37" s="154">
        <v>0.3571</v>
      </c>
      <c r="K37" s="154">
        <v>0.0</v>
      </c>
      <c r="L37" s="152" t="s">
        <v>665</v>
      </c>
      <c r="M37" s="155">
        <v>0.3571</v>
      </c>
    </row>
    <row r="38">
      <c r="A38" s="160" t="s">
        <v>367</v>
      </c>
      <c r="B38" s="157">
        <v>28.0</v>
      </c>
      <c r="C38" s="157">
        <v>18.0</v>
      </c>
      <c r="D38" s="157">
        <v>9.0</v>
      </c>
      <c r="E38" s="158">
        <v>0.5</v>
      </c>
      <c r="F38" s="156" t="s">
        <v>662</v>
      </c>
      <c r="G38" s="158">
        <v>0.0417</v>
      </c>
      <c r="H38" s="158">
        <v>0.0833</v>
      </c>
      <c r="I38" s="158">
        <v>0.2083</v>
      </c>
      <c r="J38" s="158">
        <v>0.0417</v>
      </c>
      <c r="K38" s="158">
        <v>0.0833</v>
      </c>
      <c r="L38" s="156" t="s">
        <v>666</v>
      </c>
      <c r="M38" s="159">
        <v>0.2083</v>
      </c>
    </row>
    <row r="39">
      <c r="A39" s="160" t="s">
        <v>376</v>
      </c>
      <c r="B39" s="153">
        <v>24.0</v>
      </c>
      <c r="C39" s="153">
        <v>23.0</v>
      </c>
      <c r="D39" s="153">
        <v>8.0</v>
      </c>
      <c r="E39" s="154">
        <v>0.348</v>
      </c>
      <c r="F39" s="152" t="s">
        <v>662</v>
      </c>
      <c r="G39" s="154">
        <v>0.0303</v>
      </c>
      <c r="H39" s="154">
        <v>0.0606</v>
      </c>
      <c r="I39" s="154">
        <v>0.2424</v>
      </c>
      <c r="J39" s="154">
        <v>0.0303</v>
      </c>
      <c r="K39" s="154">
        <v>0.0</v>
      </c>
      <c r="L39" s="152" t="s">
        <v>666</v>
      </c>
      <c r="M39" s="155">
        <v>0.2424</v>
      </c>
    </row>
    <row r="40">
      <c r="A40" s="156" t="s">
        <v>480</v>
      </c>
      <c r="B40" s="157">
        <v>39.0</v>
      </c>
      <c r="C40" s="157">
        <v>39.0</v>
      </c>
      <c r="D40" s="157">
        <v>6.0</v>
      </c>
      <c r="E40" s="158">
        <v>0.154</v>
      </c>
      <c r="F40" s="156" t="s">
        <v>662</v>
      </c>
      <c r="G40" s="158">
        <v>0.093</v>
      </c>
      <c r="H40" s="158">
        <v>0.0</v>
      </c>
      <c r="I40" s="158">
        <v>0.1163</v>
      </c>
      <c r="J40" s="158">
        <v>0.1395</v>
      </c>
      <c r="K40" s="158">
        <v>0.0</v>
      </c>
      <c r="L40" s="156" t="s">
        <v>405</v>
      </c>
      <c r="M40" s="159">
        <v>0.1395</v>
      </c>
    </row>
    <row r="41">
      <c r="A41" s="156" t="s">
        <v>481</v>
      </c>
      <c r="B41" s="153">
        <v>54.0</v>
      </c>
      <c r="C41" s="153">
        <v>55.0</v>
      </c>
      <c r="D41" s="153">
        <v>6.0</v>
      </c>
      <c r="E41" s="154">
        <v>0.109</v>
      </c>
      <c r="F41" s="152" t="s">
        <v>662</v>
      </c>
      <c r="G41" s="154">
        <v>0.0862</v>
      </c>
      <c r="H41" s="154">
        <v>0.0</v>
      </c>
      <c r="I41" s="154">
        <v>0.0172</v>
      </c>
      <c r="J41" s="154">
        <v>0.1034</v>
      </c>
      <c r="K41" s="154">
        <v>0.0</v>
      </c>
      <c r="L41" s="152" t="s">
        <v>405</v>
      </c>
      <c r="M41" s="155">
        <v>0.1034</v>
      </c>
    </row>
    <row r="42">
      <c r="A42" s="156" t="s">
        <v>287</v>
      </c>
      <c r="B42" s="157">
        <v>89.0</v>
      </c>
      <c r="C42" s="157">
        <v>76.0</v>
      </c>
      <c r="D42" s="157">
        <v>6.0</v>
      </c>
      <c r="E42" s="158">
        <v>0.079</v>
      </c>
      <c r="F42" s="156" t="s">
        <v>662</v>
      </c>
      <c r="G42" s="158">
        <v>0.0471</v>
      </c>
      <c r="H42" s="158">
        <v>0.0118</v>
      </c>
      <c r="I42" s="158">
        <v>0.0118</v>
      </c>
      <c r="J42" s="158">
        <v>0.1294</v>
      </c>
      <c r="K42" s="158">
        <v>0.0</v>
      </c>
      <c r="L42" s="156" t="s">
        <v>405</v>
      </c>
      <c r="M42" s="159">
        <v>0.1294</v>
      </c>
    </row>
    <row r="43">
      <c r="A43" s="156" t="s">
        <v>482</v>
      </c>
      <c r="B43" s="153">
        <v>116.0</v>
      </c>
      <c r="C43" s="153">
        <v>114.0</v>
      </c>
      <c r="D43" s="153">
        <v>7.0</v>
      </c>
      <c r="E43" s="154">
        <v>0.061</v>
      </c>
      <c r="F43" s="152" t="s">
        <v>662</v>
      </c>
      <c r="G43" s="154">
        <v>0.0424</v>
      </c>
      <c r="H43" s="154">
        <v>0.0</v>
      </c>
      <c r="I43" s="154">
        <v>0.0339</v>
      </c>
      <c r="J43" s="154">
        <v>0.0678</v>
      </c>
      <c r="K43" s="154">
        <v>0.0085</v>
      </c>
      <c r="L43" s="152" t="s">
        <v>405</v>
      </c>
      <c r="M43" s="155">
        <v>0.0678</v>
      </c>
    </row>
    <row r="44">
      <c r="A44" s="156" t="s">
        <v>256</v>
      </c>
      <c r="B44" s="157">
        <v>68.0</v>
      </c>
      <c r="C44" s="157">
        <v>66.0</v>
      </c>
      <c r="D44" s="157">
        <v>5.0</v>
      </c>
      <c r="E44" s="158">
        <v>0.076</v>
      </c>
      <c r="F44" s="156" t="s">
        <v>662</v>
      </c>
      <c r="G44" s="158">
        <v>0.0423</v>
      </c>
      <c r="H44" s="158">
        <v>0.0423</v>
      </c>
      <c r="I44" s="158">
        <v>0.0</v>
      </c>
      <c r="J44" s="158">
        <v>0.0704</v>
      </c>
      <c r="K44" s="158">
        <v>0.0</v>
      </c>
      <c r="L44" s="156" t="s">
        <v>405</v>
      </c>
      <c r="M44" s="159">
        <v>0.0704</v>
      </c>
    </row>
    <row r="45">
      <c r="A45" s="156" t="s">
        <v>483</v>
      </c>
      <c r="B45" s="157">
        <v>102.0</v>
      </c>
      <c r="C45" s="157">
        <v>99.0</v>
      </c>
      <c r="D45" s="157">
        <v>6.0</v>
      </c>
      <c r="E45" s="158">
        <v>0.061</v>
      </c>
      <c r="F45" s="156" t="s">
        <v>662</v>
      </c>
      <c r="G45" s="158">
        <v>0.0297</v>
      </c>
      <c r="H45" s="158">
        <v>0.0</v>
      </c>
      <c r="I45" s="158">
        <v>0.0297</v>
      </c>
      <c r="J45" s="158">
        <v>0.0594</v>
      </c>
      <c r="K45" s="158">
        <v>0.0</v>
      </c>
      <c r="L45" s="156" t="s">
        <v>405</v>
      </c>
      <c r="M45" s="159">
        <v>0.0594</v>
      </c>
    </row>
    <row r="46">
      <c r="A46" s="160" t="s">
        <v>213</v>
      </c>
      <c r="B46" s="157">
        <v>26.0</v>
      </c>
      <c r="C46" s="157">
        <v>26.0</v>
      </c>
      <c r="D46" s="157">
        <v>13.0</v>
      </c>
      <c r="E46" s="158">
        <v>0.5</v>
      </c>
      <c r="F46" s="156" t="s">
        <v>662</v>
      </c>
      <c r="G46" s="158">
        <v>0.0968</v>
      </c>
      <c r="H46" s="158">
        <v>0.2903</v>
      </c>
      <c r="I46" s="158">
        <v>0.0</v>
      </c>
      <c r="J46" s="158">
        <v>0.0323</v>
      </c>
      <c r="K46" s="158">
        <v>0.0323</v>
      </c>
      <c r="L46" s="156" t="s">
        <v>19</v>
      </c>
      <c r="M46" s="159">
        <v>0.2903</v>
      </c>
    </row>
    <row r="47">
      <c r="A47" s="156" t="s">
        <v>484</v>
      </c>
      <c r="B47" s="153">
        <v>40.0</v>
      </c>
      <c r="C47" s="153">
        <v>37.0</v>
      </c>
      <c r="D47" s="153">
        <v>7.0</v>
      </c>
      <c r="E47" s="154">
        <v>0.189</v>
      </c>
      <c r="F47" s="152" t="s">
        <v>662</v>
      </c>
      <c r="G47" s="154">
        <v>0.0732</v>
      </c>
      <c r="H47" s="154">
        <v>0.122</v>
      </c>
      <c r="I47" s="154">
        <v>0.0</v>
      </c>
      <c r="J47" s="154">
        <v>0.0732</v>
      </c>
      <c r="K47" s="154">
        <v>0.0</v>
      </c>
      <c r="L47" s="152" t="s">
        <v>19</v>
      </c>
      <c r="M47" s="155">
        <v>0.122</v>
      </c>
    </row>
    <row r="48">
      <c r="A48" s="156" t="s">
        <v>485</v>
      </c>
      <c r="B48" s="157">
        <v>12.0</v>
      </c>
      <c r="C48" s="157">
        <v>12.0</v>
      </c>
      <c r="D48" s="157">
        <v>5.0</v>
      </c>
      <c r="E48" s="158">
        <v>0.417</v>
      </c>
      <c r="F48" s="156" t="s">
        <v>662</v>
      </c>
      <c r="G48" s="158">
        <v>0.0714</v>
      </c>
      <c r="H48" s="158">
        <v>0.2857</v>
      </c>
      <c r="I48" s="158">
        <v>0.0</v>
      </c>
      <c r="J48" s="158">
        <v>0.0</v>
      </c>
      <c r="K48" s="158">
        <v>0.0</v>
      </c>
      <c r="L48" s="156" t="s">
        <v>19</v>
      </c>
      <c r="M48" s="159">
        <v>0.2857</v>
      </c>
    </row>
    <row r="49">
      <c r="A49" s="160" t="s">
        <v>82</v>
      </c>
      <c r="B49" s="153">
        <v>16.0</v>
      </c>
      <c r="C49" s="153">
        <v>19.0</v>
      </c>
      <c r="D49" s="153">
        <v>9.0</v>
      </c>
      <c r="E49" s="154">
        <v>0.474</v>
      </c>
      <c r="F49" s="152" t="s">
        <v>662</v>
      </c>
      <c r="G49" s="154">
        <v>0.0294</v>
      </c>
      <c r="H49" s="154">
        <v>0.3824</v>
      </c>
      <c r="I49" s="154">
        <v>0.0294</v>
      </c>
      <c r="J49" s="154">
        <v>0.0294</v>
      </c>
      <c r="K49" s="154">
        <v>0.0294</v>
      </c>
      <c r="L49" s="152" t="s">
        <v>19</v>
      </c>
      <c r="M49" s="155">
        <v>0.3824</v>
      </c>
    </row>
    <row r="50">
      <c r="A50" s="156" t="s">
        <v>486</v>
      </c>
      <c r="B50" s="157">
        <v>39.0</v>
      </c>
      <c r="C50" s="157">
        <v>40.0</v>
      </c>
      <c r="D50" s="157">
        <v>5.0</v>
      </c>
      <c r="E50" s="158">
        <v>0.125</v>
      </c>
      <c r="F50" s="156" t="s">
        <v>662</v>
      </c>
      <c r="G50" s="158">
        <v>0.025</v>
      </c>
      <c r="H50" s="158">
        <v>0.05</v>
      </c>
      <c r="I50" s="158">
        <v>0.025</v>
      </c>
      <c r="J50" s="158">
        <v>0.025</v>
      </c>
      <c r="K50" s="158">
        <v>0.025</v>
      </c>
      <c r="L50" s="156" t="s">
        <v>19</v>
      </c>
      <c r="M50" s="159">
        <v>0.05</v>
      </c>
    </row>
    <row r="51">
      <c r="A51" s="156" t="s">
        <v>487</v>
      </c>
      <c r="B51" s="153">
        <v>112.0</v>
      </c>
      <c r="C51" s="153">
        <v>121.0</v>
      </c>
      <c r="D51" s="153">
        <v>7.0</v>
      </c>
      <c r="E51" s="154">
        <v>0.058</v>
      </c>
      <c r="F51" s="152" t="s">
        <v>662</v>
      </c>
      <c r="G51" s="154">
        <v>0.0242</v>
      </c>
      <c r="H51" s="154">
        <v>0.0323</v>
      </c>
      <c r="I51" s="154">
        <v>0.0161</v>
      </c>
      <c r="J51" s="154">
        <v>0.0242</v>
      </c>
      <c r="K51" s="154">
        <v>0.0</v>
      </c>
      <c r="L51" s="152" t="s">
        <v>19</v>
      </c>
      <c r="M51" s="155">
        <v>0.0323</v>
      </c>
    </row>
    <row r="52">
      <c r="A52" s="160" t="s">
        <v>400</v>
      </c>
      <c r="B52" s="157">
        <v>50.0</v>
      </c>
      <c r="C52" s="157">
        <v>41.0</v>
      </c>
      <c r="D52" s="157">
        <v>9.0</v>
      </c>
      <c r="E52" s="158">
        <v>0.22</v>
      </c>
      <c r="F52" s="156" t="s">
        <v>662</v>
      </c>
      <c r="G52" s="158">
        <v>0.02</v>
      </c>
      <c r="H52" s="158">
        <v>0.14</v>
      </c>
      <c r="I52" s="158">
        <v>0.08</v>
      </c>
      <c r="J52" s="158">
        <v>0.08</v>
      </c>
      <c r="K52" s="158">
        <v>0.02</v>
      </c>
      <c r="L52" s="156" t="s">
        <v>19</v>
      </c>
      <c r="M52" s="159">
        <v>0.14</v>
      </c>
    </row>
    <row r="53">
      <c r="A53" s="156" t="s">
        <v>488</v>
      </c>
      <c r="B53" s="153">
        <v>56.0</v>
      </c>
      <c r="C53" s="153">
        <v>51.0</v>
      </c>
      <c r="D53" s="153">
        <v>9.0</v>
      </c>
      <c r="E53" s="154">
        <v>0.176</v>
      </c>
      <c r="F53" s="152" t="s">
        <v>662</v>
      </c>
      <c r="G53" s="154">
        <v>0.0175</v>
      </c>
      <c r="H53" s="154">
        <v>0.1053</v>
      </c>
      <c r="I53" s="154">
        <v>0.0351</v>
      </c>
      <c r="J53" s="154">
        <v>0.0702</v>
      </c>
      <c r="K53" s="154">
        <v>0.0</v>
      </c>
      <c r="L53" s="152" t="s">
        <v>19</v>
      </c>
      <c r="M53" s="155">
        <v>0.1053</v>
      </c>
    </row>
    <row r="54">
      <c r="A54" s="156" t="s">
        <v>374</v>
      </c>
      <c r="B54" s="157">
        <v>163.0</v>
      </c>
      <c r="C54" s="157">
        <v>156.0</v>
      </c>
      <c r="D54" s="157">
        <v>11.0</v>
      </c>
      <c r="E54" s="158">
        <v>0.071</v>
      </c>
      <c r="F54" s="156" t="s">
        <v>662</v>
      </c>
      <c r="G54" s="158">
        <v>0.0122</v>
      </c>
      <c r="H54" s="158">
        <v>0.0427</v>
      </c>
      <c r="I54" s="158">
        <v>0.0122</v>
      </c>
      <c r="J54" s="158">
        <v>0.0305</v>
      </c>
      <c r="K54" s="158">
        <v>0.0061</v>
      </c>
      <c r="L54" s="156" t="s">
        <v>19</v>
      </c>
      <c r="M54" s="159">
        <v>0.0427</v>
      </c>
    </row>
    <row r="55">
      <c r="A55" s="160" t="s">
        <v>265</v>
      </c>
      <c r="B55" s="153">
        <v>26.0</v>
      </c>
      <c r="C55" s="153">
        <v>26.0</v>
      </c>
      <c r="D55" s="153">
        <v>18.0</v>
      </c>
      <c r="E55" s="154">
        <v>0.692</v>
      </c>
      <c r="F55" s="152" t="s">
        <v>662</v>
      </c>
      <c r="G55" s="154">
        <v>0.0</v>
      </c>
      <c r="H55" s="154">
        <v>0.6</v>
      </c>
      <c r="I55" s="154">
        <v>0.0</v>
      </c>
      <c r="J55" s="154">
        <v>0.0</v>
      </c>
      <c r="K55" s="154">
        <v>0.0</v>
      </c>
      <c r="L55" s="152" t="s">
        <v>19</v>
      </c>
      <c r="M55" s="155">
        <v>0.6</v>
      </c>
    </row>
    <row r="56">
      <c r="A56" s="160" t="s">
        <v>667</v>
      </c>
      <c r="B56" s="157">
        <v>15.0</v>
      </c>
      <c r="C56" s="157">
        <v>8.0</v>
      </c>
      <c r="D56" s="157">
        <v>8.0</v>
      </c>
      <c r="E56" s="158">
        <v>1.0</v>
      </c>
      <c r="F56" s="156" t="s">
        <v>662</v>
      </c>
      <c r="G56" s="158">
        <v>0.0</v>
      </c>
      <c r="H56" s="158">
        <v>0.7143</v>
      </c>
      <c r="I56" s="158">
        <v>0.0</v>
      </c>
      <c r="J56" s="158">
        <v>0.0571</v>
      </c>
      <c r="K56" s="158">
        <v>0.0286</v>
      </c>
      <c r="L56" s="156" t="s">
        <v>19</v>
      </c>
      <c r="M56" s="159">
        <v>0.7143</v>
      </c>
    </row>
    <row r="57">
      <c r="A57" s="160" t="s">
        <v>440</v>
      </c>
      <c r="B57" s="153">
        <v>21.0</v>
      </c>
      <c r="C57" s="153">
        <v>13.0</v>
      </c>
      <c r="D57" s="153">
        <v>6.0</v>
      </c>
      <c r="E57" s="154">
        <v>0.462</v>
      </c>
      <c r="F57" s="152" t="s">
        <v>662</v>
      </c>
      <c r="G57" s="154">
        <v>0.1053</v>
      </c>
      <c r="H57" s="154">
        <v>0.1579</v>
      </c>
      <c r="I57" s="154">
        <v>0.0526</v>
      </c>
      <c r="J57" s="154">
        <v>0.1579</v>
      </c>
      <c r="K57" s="154">
        <v>0.0</v>
      </c>
      <c r="L57" s="152" t="s">
        <v>668</v>
      </c>
      <c r="M57" s="155">
        <v>0.1579</v>
      </c>
    </row>
    <row r="58">
      <c r="A58" s="156" t="s">
        <v>142</v>
      </c>
      <c r="B58" s="157">
        <v>14.0</v>
      </c>
      <c r="C58" s="157">
        <v>13.0</v>
      </c>
      <c r="D58" s="157">
        <v>10.0</v>
      </c>
      <c r="E58" s="158">
        <v>0.769</v>
      </c>
      <c r="F58" s="156" t="s">
        <v>662</v>
      </c>
      <c r="G58" s="158">
        <v>0.1111</v>
      </c>
      <c r="H58" s="158">
        <v>0.0556</v>
      </c>
      <c r="I58" s="158">
        <v>0.0556</v>
      </c>
      <c r="J58" s="158">
        <v>0.1111</v>
      </c>
      <c r="K58" s="158">
        <v>0.3889</v>
      </c>
      <c r="L58" s="156" t="s">
        <v>336</v>
      </c>
      <c r="M58" s="159">
        <v>0.3889</v>
      </c>
    </row>
    <row r="59">
      <c r="A59" s="152" t="s">
        <v>489</v>
      </c>
      <c r="B59" s="153">
        <v>73.0</v>
      </c>
      <c r="C59" s="153">
        <v>69.0</v>
      </c>
      <c r="D59" s="153">
        <v>28.0</v>
      </c>
      <c r="E59" s="154">
        <v>0.406</v>
      </c>
      <c r="F59" s="152" t="s">
        <v>662</v>
      </c>
      <c r="G59" s="154">
        <v>0.0842</v>
      </c>
      <c r="H59" s="154">
        <v>0.0526</v>
      </c>
      <c r="I59" s="154">
        <v>0.0105</v>
      </c>
      <c r="J59" s="154">
        <v>0.1579</v>
      </c>
      <c r="K59" s="154">
        <v>0.2316</v>
      </c>
      <c r="L59" s="152" t="s">
        <v>462</v>
      </c>
      <c r="M59" s="154">
        <v>0.2316</v>
      </c>
    </row>
    <row r="60">
      <c r="A60" s="156" t="s">
        <v>498</v>
      </c>
      <c r="B60" s="157">
        <v>101.0</v>
      </c>
      <c r="C60" s="157">
        <v>97.0</v>
      </c>
      <c r="D60" s="157">
        <v>23.0</v>
      </c>
      <c r="E60" s="158">
        <v>0.237</v>
      </c>
      <c r="F60" s="156" t="s">
        <v>662</v>
      </c>
      <c r="G60" s="158">
        <v>0.0882</v>
      </c>
      <c r="H60" s="158">
        <v>0.0588</v>
      </c>
      <c r="I60" s="158">
        <v>0.0686</v>
      </c>
      <c r="J60" s="158">
        <v>0.098</v>
      </c>
      <c r="K60" s="158">
        <v>0.0196</v>
      </c>
      <c r="L60" s="156" t="s">
        <v>499</v>
      </c>
      <c r="M60" s="158">
        <v>0.098</v>
      </c>
    </row>
    <row r="61">
      <c r="A61" s="152" t="s">
        <v>311</v>
      </c>
      <c r="B61" s="153">
        <v>157.0</v>
      </c>
      <c r="C61" s="153">
        <v>150.0</v>
      </c>
      <c r="D61" s="153">
        <v>20.0</v>
      </c>
      <c r="E61" s="154">
        <v>0.133</v>
      </c>
      <c r="F61" s="152" t="s">
        <v>662</v>
      </c>
      <c r="G61" s="154">
        <v>0.0449</v>
      </c>
      <c r="H61" s="154">
        <v>0.0192</v>
      </c>
      <c r="I61" s="154">
        <v>0.0705</v>
      </c>
      <c r="J61" s="154">
        <v>0.0385</v>
      </c>
      <c r="K61" s="154">
        <v>0.0</v>
      </c>
      <c r="L61" s="152" t="s">
        <v>497</v>
      </c>
      <c r="M61" s="154">
        <v>0.0705</v>
      </c>
    </row>
    <row r="62">
      <c r="A62" s="156" t="s">
        <v>438</v>
      </c>
      <c r="B62" s="157">
        <v>22.0</v>
      </c>
      <c r="C62" s="157">
        <v>21.0</v>
      </c>
      <c r="D62" s="157">
        <v>15.0</v>
      </c>
      <c r="E62" s="158">
        <v>0.714</v>
      </c>
      <c r="F62" s="156" t="s">
        <v>662</v>
      </c>
      <c r="G62" s="158">
        <v>0.0833</v>
      </c>
      <c r="H62" s="158">
        <v>0.5417</v>
      </c>
      <c r="I62" s="158">
        <v>0.0</v>
      </c>
      <c r="J62" s="158">
        <v>0.0417</v>
      </c>
      <c r="K62" s="158">
        <v>0.0</v>
      </c>
      <c r="L62" s="156" t="s">
        <v>89</v>
      </c>
      <c r="M62" s="158">
        <v>0.5417</v>
      </c>
    </row>
    <row r="63">
      <c r="A63" s="152" t="s">
        <v>484</v>
      </c>
      <c r="B63" s="153">
        <v>53.0</v>
      </c>
      <c r="C63" s="153">
        <v>51.0</v>
      </c>
      <c r="D63" s="153">
        <v>11.0</v>
      </c>
      <c r="E63" s="154">
        <v>0.216</v>
      </c>
      <c r="F63" s="152" t="s">
        <v>662</v>
      </c>
      <c r="G63" s="154">
        <v>0.1091</v>
      </c>
      <c r="H63" s="154">
        <v>0.0909</v>
      </c>
      <c r="I63" s="154">
        <v>0.0</v>
      </c>
      <c r="J63" s="154">
        <v>0.1273</v>
      </c>
      <c r="K63" s="154">
        <v>0.0</v>
      </c>
      <c r="L63" s="161" t="s">
        <v>499</v>
      </c>
      <c r="M63" s="154">
        <v>0.1273</v>
      </c>
    </row>
    <row r="64">
      <c r="A64" s="156" t="s">
        <v>491</v>
      </c>
      <c r="B64" s="157">
        <v>216.0</v>
      </c>
      <c r="C64" s="157">
        <v>212.0</v>
      </c>
      <c r="D64" s="157">
        <v>11.0</v>
      </c>
      <c r="E64" s="158">
        <v>0.052</v>
      </c>
      <c r="F64" s="156" t="s">
        <v>662</v>
      </c>
      <c r="G64" s="158">
        <v>0.0423</v>
      </c>
      <c r="H64" s="158">
        <v>0.0047</v>
      </c>
      <c r="I64" s="158">
        <v>0.0047</v>
      </c>
      <c r="J64" s="158">
        <v>0.0376</v>
      </c>
      <c r="K64" s="158">
        <v>0.0047</v>
      </c>
      <c r="L64" s="156" t="s">
        <v>133</v>
      </c>
      <c r="M64" s="158">
        <v>0.0423</v>
      </c>
    </row>
    <row r="65">
      <c r="A65" s="152" t="s">
        <v>513</v>
      </c>
      <c r="B65" s="153">
        <v>35.0</v>
      </c>
      <c r="C65" s="153">
        <v>34.0</v>
      </c>
      <c r="D65" s="153">
        <v>11.0</v>
      </c>
      <c r="E65" s="154">
        <v>0.324</v>
      </c>
      <c r="F65" s="152" t="s">
        <v>662</v>
      </c>
      <c r="G65" s="154">
        <v>0.0488</v>
      </c>
      <c r="H65" s="154">
        <v>0.0732</v>
      </c>
      <c r="I65" s="154">
        <v>0.0732</v>
      </c>
      <c r="J65" s="154">
        <v>0.0488</v>
      </c>
      <c r="K65" s="154">
        <v>0.0488</v>
      </c>
      <c r="L65" s="152" t="s">
        <v>89</v>
      </c>
      <c r="M65" s="154">
        <v>0.0732</v>
      </c>
    </row>
    <row r="66">
      <c r="A66" s="156" t="s">
        <v>510</v>
      </c>
      <c r="B66" s="157">
        <v>89.0</v>
      </c>
      <c r="C66" s="157">
        <v>78.0</v>
      </c>
      <c r="D66" s="157">
        <v>10.0</v>
      </c>
      <c r="E66" s="158">
        <v>0.128</v>
      </c>
      <c r="F66" s="156" t="s">
        <v>662</v>
      </c>
      <c r="G66" s="158">
        <v>0.0341</v>
      </c>
      <c r="H66" s="158">
        <v>0.0227</v>
      </c>
      <c r="I66" s="158">
        <v>0.0455</v>
      </c>
      <c r="J66" s="158">
        <v>0.1364</v>
      </c>
      <c r="K66" s="158">
        <v>0.0114</v>
      </c>
      <c r="L66" s="156" t="s">
        <v>511</v>
      </c>
      <c r="M66" s="158">
        <v>0.1364</v>
      </c>
    </row>
    <row r="67">
      <c r="A67" s="152" t="s">
        <v>514</v>
      </c>
      <c r="B67" s="153">
        <v>14.0</v>
      </c>
      <c r="C67" s="153">
        <v>15.0</v>
      </c>
      <c r="D67" s="153">
        <v>10.0</v>
      </c>
      <c r="E67" s="154">
        <v>0.667</v>
      </c>
      <c r="F67" s="152" t="s">
        <v>662</v>
      </c>
      <c r="G67" s="154">
        <v>0.0</v>
      </c>
      <c r="H67" s="154">
        <v>0.5</v>
      </c>
      <c r="I67" s="154">
        <v>0.0</v>
      </c>
      <c r="J67" s="154">
        <v>0.1111</v>
      </c>
      <c r="K67" s="154">
        <v>0.0556</v>
      </c>
      <c r="L67" s="152" t="s">
        <v>89</v>
      </c>
      <c r="M67" s="154">
        <v>0.5</v>
      </c>
    </row>
    <row r="68">
      <c r="A68" s="156" t="s">
        <v>500</v>
      </c>
      <c r="B68" s="157">
        <v>83.0</v>
      </c>
      <c r="C68" s="157">
        <v>85.0</v>
      </c>
      <c r="D68" s="157">
        <v>9.0</v>
      </c>
      <c r="E68" s="158">
        <v>0.106</v>
      </c>
      <c r="F68" s="156" t="s">
        <v>662</v>
      </c>
      <c r="G68" s="158">
        <v>0.069</v>
      </c>
      <c r="H68" s="158">
        <v>0.023</v>
      </c>
      <c r="I68" s="158">
        <v>0.023</v>
      </c>
      <c r="J68" s="158">
        <v>0.092</v>
      </c>
      <c r="K68" s="158">
        <v>0.0</v>
      </c>
      <c r="L68" s="156" t="s">
        <v>499</v>
      </c>
      <c r="M68" s="158">
        <v>0.092</v>
      </c>
    </row>
    <row r="69">
      <c r="A69" s="152" t="s">
        <v>213</v>
      </c>
      <c r="B69" s="153">
        <v>26.0</v>
      </c>
      <c r="C69" s="153">
        <v>20.0</v>
      </c>
      <c r="D69" s="153">
        <v>9.0</v>
      </c>
      <c r="E69" s="154">
        <v>0.45</v>
      </c>
      <c r="F69" s="152" t="s">
        <v>662</v>
      </c>
      <c r="G69" s="154">
        <v>0.0</v>
      </c>
      <c r="H69" s="154">
        <v>0.2963</v>
      </c>
      <c r="I69" s="154">
        <v>0.037</v>
      </c>
      <c r="J69" s="154">
        <v>0.037</v>
      </c>
      <c r="K69" s="154">
        <v>0.037</v>
      </c>
      <c r="L69" s="152" t="s">
        <v>89</v>
      </c>
      <c r="M69" s="154">
        <v>0.2963</v>
      </c>
    </row>
    <row r="70">
      <c r="A70" s="156" t="s">
        <v>501</v>
      </c>
      <c r="B70" s="157">
        <v>133.0</v>
      </c>
      <c r="C70" s="157">
        <v>131.0</v>
      </c>
      <c r="D70" s="157">
        <v>8.0</v>
      </c>
      <c r="E70" s="158">
        <v>0.061</v>
      </c>
      <c r="F70" s="156" t="s">
        <v>662</v>
      </c>
      <c r="G70" s="158">
        <v>0.035</v>
      </c>
      <c r="H70" s="158">
        <v>0.007</v>
      </c>
      <c r="I70" s="158">
        <v>0.014</v>
      </c>
      <c r="J70" s="158">
        <v>0.035</v>
      </c>
      <c r="K70" s="158">
        <v>0.0</v>
      </c>
      <c r="L70" s="156" t="s">
        <v>499</v>
      </c>
      <c r="M70" s="158">
        <v>0.035</v>
      </c>
    </row>
    <row r="71">
      <c r="A71" s="152" t="s">
        <v>502</v>
      </c>
      <c r="B71" s="153">
        <v>20.0</v>
      </c>
      <c r="C71" s="153">
        <v>17.0</v>
      </c>
      <c r="D71" s="153">
        <v>8.0</v>
      </c>
      <c r="E71" s="154">
        <v>0.471</v>
      </c>
      <c r="F71" s="152" t="s">
        <v>662</v>
      </c>
      <c r="G71" s="154">
        <v>0.0</v>
      </c>
      <c r="H71" s="154">
        <v>0.0476</v>
      </c>
      <c r="I71" s="154">
        <v>0.381</v>
      </c>
      <c r="J71" s="154">
        <v>0.0476</v>
      </c>
      <c r="K71" s="154">
        <v>0.0</v>
      </c>
      <c r="L71" s="152" t="s">
        <v>387</v>
      </c>
      <c r="M71" s="154">
        <v>0.381</v>
      </c>
    </row>
    <row r="72">
      <c r="A72" s="156" t="s">
        <v>515</v>
      </c>
      <c r="B72" s="157">
        <v>14.0</v>
      </c>
      <c r="C72" s="157">
        <v>11.0</v>
      </c>
      <c r="D72" s="157">
        <v>8.0</v>
      </c>
      <c r="E72" s="158">
        <v>0.727</v>
      </c>
      <c r="F72" s="156" t="s">
        <v>662</v>
      </c>
      <c r="G72" s="158">
        <v>0.0</v>
      </c>
      <c r="H72" s="158">
        <v>0.0</v>
      </c>
      <c r="I72" s="158">
        <v>0.0</v>
      </c>
      <c r="J72" s="158">
        <v>0.0625</v>
      </c>
      <c r="K72" s="158">
        <v>0.5</v>
      </c>
      <c r="L72" s="156" t="s">
        <v>462</v>
      </c>
      <c r="M72" s="158">
        <v>0.5</v>
      </c>
    </row>
    <row r="73">
      <c r="A73" s="152" t="s">
        <v>367</v>
      </c>
      <c r="B73" s="153">
        <v>25.0</v>
      </c>
      <c r="C73" s="153">
        <v>16.0</v>
      </c>
      <c r="D73" s="153">
        <v>7.0</v>
      </c>
      <c r="E73" s="154">
        <v>0.438</v>
      </c>
      <c r="F73" s="152" t="s">
        <v>662</v>
      </c>
      <c r="G73" s="154">
        <v>0.0952</v>
      </c>
      <c r="H73" s="154">
        <v>0.0476</v>
      </c>
      <c r="I73" s="154">
        <v>0.2381</v>
      </c>
      <c r="J73" s="154">
        <v>0.0952</v>
      </c>
      <c r="K73" s="154">
        <v>0.0</v>
      </c>
      <c r="L73" s="152" t="s">
        <v>387</v>
      </c>
      <c r="M73" s="154">
        <v>0.2381</v>
      </c>
    </row>
    <row r="74">
      <c r="A74" s="156" t="s">
        <v>509</v>
      </c>
      <c r="B74" s="157">
        <v>66.0</v>
      </c>
      <c r="C74" s="157">
        <v>66.0</v>
      </c>
      <c r="D74" s="157">
        <v>7.0</v>
      </c>
      <c r="E74" s="158">
        <v>0.106</v>
      </c>
      <c r="F74" s="156" t="s">
        <v>662</v>
      </c>
      <c r="G74" s="158">
        <v>0.0758</v>
      </c>
      <c r="H74" s="158">
        <v>0.0152</v>
      </c>
      <c r="I74" s="158">
        <v>0.0152</v>
      </c>
      <c r="J74" s="158">
        <v>0.0758</v>
      </c>
      <c r="K74" s="158">
        <v>0.0</v>
      </c>
      <c r="L74" s="156" t="s">
        <v>507</v>
      </c>
      <c r="M74" s="158">
        <v>0.0758</v>
      </c>
    </row>
    <row r="75">
      <c r="A75" s="152" t="s">
        <v>374</v>
      </c>
      <c r="B75" s="153">
        <v>120.0</v>
      </c>
      <c r="C75" s="153">
        <v>115.0</v>
      </c>
      <c r="D75" s="153">
        <v>7.0</v>
      </c>
      <c r="E75" s="154">
        <v>0.061</v>
      </c>
      <c r="F75" s="152" t="s">
        <v>662</v>
      </c>
      <c r="G75" s="154">
        <v>0.0252</v>
      </c>
      <c r="H75" s="154">
        <v>0.0084</v>
      </c>
      <c r="I75" s="154">
        <v>0.0336</v>
      </c>
      <c r="J75" s="154">
        <v>0.0588</v>
      </c>
      <c r="K75" s="154">
        <v>0.0084</v>
      </c>
      <c r="L75" s="161" t="s">
        <v>507</v>
      </c>
      <c r="M75" s="154">
        <v>0.0588</v>
      </c>
    </row>
    <row r="76">
      <c r="A76" s="156" t="s">
        <v>516</v>
      </c>
      <c r="B76" s="157">
        <v>69.0</v>
      </c>
      <c r="C76" s="157">
        <v>67.0</v>
      </c>
      <c r="D76" s="157">
        <v>6.0</v>
      </c>
      <c r="E76" s="158">
        <v>0.09</v>
      </c>
      <c r="F76" s="156" t="s">
        <v>662</v>
      </c>
      <c r="G76" s="158">
        <v>0.0299</v>
      </c>
      <c r="H76" s="158">
        <v>0.0149</v>
      </c>
      <c r="I76" s="158">
        <v>0.0149</v>
      </c>
      <c r="J76" s="158">
        <v>0.0149</v>
      </c>
      <c r="K76" s="158">
        <v>0.0299</v>
      </c>
      <c r="L76" s="156" t="s">
        <v>462</v>
      </c>
      <c r="M76" s="158">
        <v>0.0299</v>
      </c>
    </row>
    <row r="77">
      <c r="A77" s="152" t="s">
        <v>492</v>
      </c>
      <c r="B77" s="153">
        <v>104.0</v>
      </c>
      <c r="C77" s="153">
        <v>107.0</v>
      </c>
      <c r="D77" s="153">
        <v>6.0</v>
      </c>
      <c r="E77" s="154">
        <v>0.056</v>
      </c>
      <c r="F77" s="152" t="s">
        <v>662</v>
      </c>
      <c r="G77" s="154">
        <v>0.0561</v>
      </c>
      <c r="H77" s="154">
        <v>0.0</v>
      </c>
      <c r="I77" s="154">
        <v>0.0</v>
      </c>
      <c r="J77" s="154">
        <v>0.0187</v>
      </c>
      <c r="K77" s="154">
        <v>0.0</v>
      </c>
      <c r="L77" s="152" t="s">
        <v>133</v>
      </c>
      <c r="M77" s="154">
        <v>0.0561</v>
      </c>
    </row>
    <row r="78">
      <c r="A78" s="156" t="s">
        <v>523</v>
      </c>
      <c r="B78" s="157">
        <v>32.0</v>
      </c>
      <c r="C78" s="157">
        <v>31.0</v>
      </c>
      <c r="D78" s="157">
        <v>6.0</v>
      </c>
      <c r="E78" s="158">
        <v>0.194</v>
      </c>
      <c r="F78" s="156" t="s">
        <v>662</v>
      </c>
      <c r="G78" s="158">
        <v>0.0</v>
      </c>
      <c r="H78" s="158">
        <v>0.1818</v>
      </c>
      <c r="I78" s="158">
        <v>0.0</v>
      </c>
      <c r="J78" s="158">
        <v>0.0303</v>
      </c>
      <c r="K78" s="158">
        <v>0.0</v>
      </c>
      <c r="L78" s="156" t="s">
        <v>89</v>
      </c>
      <c r="M78" s="158">
        <v>0.1818</v>
      </c>
    </row>
    <row r="79">
      <c r="A79" s="152" t="s">
        <v>504</v>
      </c>
      <c r="B79" s="153">
        <v>121.0</v>
      </c>
      <c r="C79" s="153">
        <v>113.0</v>
      </c>
      <c r="D79" s="153">
        <v>6.0</v>
      </c>
      <c r="E79" s="154">
        <v>0.053</v>
      </c>
      <c r="F79" s="152" t="s">
        <v>662</v>
      </c>
      <c r="G79" s="154">
        <v>0.0169</v>
      </c>
      <c r="H79" s="154">
        <v>0.0085</v>
      </c>
      <c r="I79" s="154">
        <v>0.0254</v>
      </c>
      <c r="J79" s="154">
        <v>0.0254</v>
      </c>
      <c r="K79" s="154">
        <v>0.0085</v>
      </c>
      <c r="L79" s="152" t="s">
        <v>505</v>
      </c>
      <c r="M79" s="154">
        <v>0.0254</v>
      </c>
    </row>
    <row r="80">
      <c r="A80" s="156" t="s">
        <v>476</v>
      </c>
      <c r="B80" s="157">
        <v>118.0</v>
      </c>
      <c r="C80" s="157">
        <v>116.0</v>
      </c>
      <c r="D80" s="157">
        <v>6.0</v>
      </c>
      <c r="E80" s="158">
        <v>0.052</v>
      </c>
      <c r="F80" s="156" t="s">
        <v>662</v>
      </c>
      <c r="G80" s="158">
        <v>0.0168</v>
      </c>
      <c r="H80" s="158">
        <v>0.0084</v>
      </c>
      <c r="I80" s="158">
        <v>0.0</v>
      </c>
      <c r="J80" s="158">
        <v>0.0252</v>
      </c>
      <c r="K80" s="158">
        <v>0.0168</v>
      </c>
      <c r="L80" s="156" t="s">
        <v>507</v>
      </c>
      <c r="M80" s="158">
        <v>0.0252</v>
      </c>
    </row>
    <row r="81">
      <c r="A81" s="152" t="s">
        <v>353</v>
      </c>
      <c r="B81" s="153">
        <v>44.0</v>
      </c>
      <c r="C81" s="153">
        <v>38.0</v>
      </c>
      <c r="D81" s="153">
        <v>6.0</v>
      </c>
      <c r="E81" s="154">
        <v>0.158</v>
      </c>
      <c r="F81" s="152" t="s">
        <v>662</v>
      </c>
      <c r="G81" s="154">
        <v>0.0652</v>
      </c>
      <c r="H81" s="154">
        <v>0.0217</v>
      </c>
      <c r="I81" s="154">
        <v>0.0435</v>
      </c>
      <c r="J81" s="154">
        <v>0.1087</v>
      </c>
      <c r="K81" s="154">
        <v>0.0217</v>
      </c>
      <c r="L81" s="152" t="s">
        <v>507</v>
      </c>
      <c r="M81" s="154">
        <v>0.1087</v>
      </c>
    </row>
    <row r="82">
      <c r="A82" s="156" t="s">
        <v>517</v>
      </c>
      <c r="B82" s="157">
        <v>19.0</v>
      </c>
      <c r="C82" s="157">
        <v>17.0</v>
      </c>
      <c r="D82" s="157">
        <v>6.0</v>
      </c>
      <c r="E82" s="158">
        <v>0.353</v>
      </c>
      <c r="F82" s="156" t="s">
        <v>662</v>
      </c>
      <c r="G82" s="158">
        <v>0.15</v>
      </c>
      <c r="H82" s="158">
        <v>0.05</v>
      </c>
      <c r="I82" s="158">
        <v>0.05</v>
      </c>
      <c r="J82" s="158">
        <v>0.05</v>
      </c>
      <c r="K82" s="158">
        <v>0.15</v>
      </c>
      <c r="L82" s="156" t="s">
        <v>462</v>
      </c>
      <c r="M82" s="158">
        <v>0.15</v>
      </c>
    </row>
    <row r="83">
      <c r="A83" s="152" t="s">
        <v>506</v>
      </c>
      <c r="B83" s="153">
        <v>113.0</v>
      </c>
      <c r="C83" s="153">
        <v>110.0</v>
      </c>
      <c r="D83" s="153">
        <v>6.0</v>
      </c>
      <c r="E83" s="154">
        <v>0.055</v>
      </c>
      <c r="F83" s="152" t="s">
        <v>662</v>
      </c>
      <c r="G83" s="154">
        <v>0.027</v>
      </c>
      <c r="H83" s="154">
        <v>0.009</v>
      </c>
      <c r="I83" s="154">
        <v>0.0</v>
      </c>
      <c r="J83" s="154">
        <v>0.045</v>
      </c>
      <c r="K83" s="154">
        <v>0.009</v>
      </c>
      <c r="L83" s="152" t="s">
        <v>507</v>
      </c>
      <c r="M83" s="154">
        <v>0.045</v>
      </c>
    </row>
    <row r="84">
      <c r="A84" s="156" t="s">
        <v>480</v>
      </c>
      <c r="B84" s="157">
        <v>41.0</v>
      </c>
      <c r="C84" s="157">
        <v>36.0</v>
      </c>
      <c r="D84" s="157">
        <v>6.0</v>
      </c>
      <c r="E84" s="158">
        <v>0.167</v>
      </c>
      <c r="F84" s="156" t="s">
        <v>662</v>
      </c>
      <c r="G84" s="158">
        <v>0.0889</v>
      </c>
      <c r="H84" s="158">
        <v>0.0</v>
      </c>
      <c r="I84" s="158">
        <v>0.1111</v>
      </c>
      <c r="J84" s="158">
        <v>0.0444</v>
      </c>
      <c r="K84" s="158">
        <v>0.0</v>
      </c>
      <c r="L84" s="161" t="s">
        <v>503</v>
      </c>
      <c r="M84" s="158">
        <v>0.1111</v>
      </c>
    </row>
    <row r="85">
      <c r="A85" s="152" t="s">
        <v>508</v>
      </c>
      <c r="B85" s="153">
        <v>72.0</v>
      </c>
      <c r="C85" s="153">
        <v>69.0</v>
      </c>
      <c r="D85" s="153">
        <v>5.0</v>
      </c>
      <c r="E85" s="154">
        <v>0.072</v>
      </c>
      <c r="F85" s="152" t="s">
        <v>662</v>
      </c>
      <c r="G85" s="154">
        <v>0.0286</v>
      </c>
      <c r="H85" s="154">
        <v>0.0143</v>
      </c>
      <c r="I85" s="154">
        <v>0.0143</v>
      </c>
      <c r="J85" s="154">
        <v>0.0571</v>
      </c>
      <c r="K85" s="154">
        <v>0.0143</v>
      </c>
      <c r="L85" s="152" t="s">
        <v>507</v>
      </c>
      <c r="M85" s="154">
        <v>0.0571</v>
      </c>
    </row>
    <row r="86">
      <c r="A86" s="156" t="s">
        <v>464</v>
      </c>
      <c r="B86" s="157">
        <v>88.0</v>
      </c>
      <c r="C86" s="157">
        <v>85.0</v>
      </c>
      <c r="D86" s="157">
        <v>5.0</v>
      </c>
      <c r="E86" s="158">
        <v>0.059</v>
      </c>
      <c r="F86" s="156" t="s">
        <v>662</v>
      </c>
      <c r="G86" s="158">
        <v>0.0337</v>
      </c>
      <c r="H86" s="158">
        <v>0.0225</v>
      </c>
      <c r="I86" s="158">
        <v>0.0</v>
      </c>
      <c r="J86" s="158">
        <v>0.0449</v>
      </c>
      <c r="K86" s="158">
        <v>0.0</v>
      </c>
      <c r="L86" s="156" t="s">
        <v>507</v>
      </c>
      <c r="M86" s="158">
        <v>0.0449</v>
      </c>
    </row>
    <row r="87">
      <c r="A87" s="152" t="s">
        <v>463</v>
      </c>
      <c r="B87" s="153">
        <v>84.0</v>
      </c>
      <c r="C87" s="153">
        <v>78.0</v>
      </c>
      <c r="D87" s="153">
        <v>5.0</v>
      </c>
      <c r="E87" s="154">
        <v>0.064</v>
      </c>
      <c r="F87" s="152" t="s">
        <v>662</v>
      </c>
      <c r="G87" s="154">
        <v>0.0247</v>
      </c>
      <c r="H87" s="154">
        <v>0.0123</v>
      </c>
      <c r="I87" s="154">
        <v>0.0247</v>
      </c>
      <c r="J87" s="154">
        <v>0.0494</v>
      </c>
      <c r="K87" s="154">
        <v>0.0</v>
      </c>
      <c r="L87" s="152" t="s">
        <v>507</v>
      </c>
      <c r="M87" s="154">
        <v>0.0494</v>
      </c>
    </row>
    <row r="88">
      <c r="A88" s="156" t="s">
        <v>493</v>
      </c>
      <c r="B88" s="157">
        <v>86.0</v>
      </c>
      <c r="C88" s="157">
        <v>78.0</v>
      </c>
      <c r="D88" s="157">
        <v>5.0</v>
      </c>
      <c r="E88" s="158">
        <v>0.064</v>
      </c>
      <c r="F88" s="156" t="s">
        <v>662</v>
      </c>
      <c r="G88" s="158">
        <v>0.0494</v>
      </c>
      <c r="H88" s="158">
        <v>0.0123</v>
      </c>
      <c r="I88" s="158">
        <v>0.0123</v>
      </c>
      <c r="J88" s="158">
        <v>0.0123</v>
      </c>
      <c r="K88" s="158">
        <v>0.0</v>
      </c>
      <c r="L88" s="156" t="s">
        <v>133</v>
      </c>
      <c r="M88" s="158">
        <v>0.0494</v>
      </c>
    </row>
    <row r="89">
      <c r="A89" s="152" t="s">
        <v>518</v>
      </c>
      <c r="B89" s="153">
        <v>26.0</v>
      </c>
      <c r="C89" s="153">
        <v>23.0</v>
      </c>
      <c r="D89" s="153">
        <v>5.0</v>
      </c>
      <c r="E89" s="154">
        <v>0.217</v>
      </c>
      <c r="F89" s="152" t="s">
        <v>662</v>
      </c>
      <c r="G89" s="154">
        <v>0.0</v>
      </c>
      <c r="H89" s="154">
        <v>0.0417</v>
      </c>
      <c r="I89" s="154">
        <v>0.0</v>
      </c>
      <c r="J89" s="154">
        <v>0.0</v>
      </c>
      <c r="K89" s="154">
        <v>0.2083</v>
      </c>
      <c r="L89" s="152" t="s">
        <v>462</v>
      </c>
      <c r="M89" s="154">
        <v>0.2083</v>
      </c>
    </row>
    <row r="90">
      <c r="A90" s="156" t="s">
        <v>494</v>
      </c>
      <c r="B90" s="157">
        <v>21.0</v>
      </c>
      <c r="C90" s="157">
        <v>13.0</v>
      </c>
      <c r="D90" s="157">
        <v>5.0</v>
      </c>
      <c r="E90" s="158">
        <v>0.385</v>
      </c>
      <c r="F90" s="156" t="s">
        <v>662</v>
      </c>
      <c r="G90" s="158">
        <v>0.2632</v>
      </c>
      <c r="H90" s="158">
        <v>0.1053</v>
      </c>
      <c r="I90" s="158">
        <v>0.0</v>
      </c>
      <c r="J90" s="158">
        <v>0.1053</v>
      </c>
      <c r="K90" s="158">
        <v>0.0</v>
      </c>
      <c r="L90" s="156" t="s">
        <v>133</v>
      </c>
      <c r="M90" s="158">
        <v>0.2632</v>
      </c>
    </row>
    <row r="91">
      <c r="A91" s="152" t="s">
        <v>495</v>
      </c>
      <c r="B91" s="153">
        <v>45.0</v>
      </c>
      <c r="C91" s="153">
        <v>43.0</v>
      </c>
      <c r="D91" s="153">
        <v>5.0</v>
      </c>
      <c r="E91" s="154">
        <v>0.116</v>
      </c>
      <c r="F91" s="152" t="s">
        <v>662</v>
      </c>
      <c r="G91" s="154">
        <v>0.1087</v>
      </c>
      <c r="H91" s="154">
        <v>0.0</v>
      </c>
      <c r="I91" s="154">
        <v>0.0</v>
      </c>
      <c r="J91" s="154">
        <v>0.1087</v>
      </c>
      <c r="K91" s="154">
        <v>0.0217</v>
      </c>
      <c r="L91" s="152" t="s">
        <v>133</v>
      </c>
      <c r="M91" s="154">
        <v>0.1087</v>
      </c>
    </row>
    <row r="92">
      <c r="A92" s="156" t="s">
        <v>475</v>
      </c>
      <c r="B92" s="157">
        <v>42.0</v>
      </c>
      <c r="C92" s="157">
        <v>39.0</v>
      </c>
      <c r="D92" s="157">
        <v>5.0</v>
      </c>
      <c r="E92" s="158">
        <v>0.128</v>
      </c>
      <c r="F92" s="156" t="s">
        <v>662</v>
      </c>
      <c r="G92" s="158">
        <v>0.0488</v>
      </c>
      <c r="H92" s="158">
        <v>0.0</v>
      </c>
      <c r="I92" s="158">
        <v>0.0732</v>
      </c>
      <c r="J92" s="158">
        <v>0.0244</v>
      </c>
      <c r="K92" s="158">
        <v>0.0</v>
      </c>
      <c r="L92" s="156" t="s">
        <v>497</v>
      </c>
      <c r="M92" s="158">
        <v>0.0732</v>
      </c>
    </row>
    <row r="93">
      <c r="A93" s="152" t="s">
        <v>496</v>
      </c>
      <c r="B93" s="153">
        <v>15.0</v>
      </c>
      <c r="C93" s="153">
        <v>12.0</v>
      </c>
      <c r="D93" s="153">
        <v>5.0</v>
      </c>
      <c r="E93" s="154">
        <v>0.417</v>
      </c>
      <c r="F93" s="152" t="s">
        <v>662</v>
      </c>
      <c r="G93" s="154">
        <v>0.3077</v>
      </c>
      <c r="H93" s="154">
        <v>0.0</v>
      </c>
      <c r="I93" s="154">
        <v>0.0769</v>
      </c>
      <c r="J93" s="154">
        <v>0.0769</v>
      </c>
      <c r="K93" s="154">
        <v>0.0</v>
      </c>
      <c r="L93" s="152" t="s">
        <v>133</v>
      </c>
      <c r="M93" s="154">
        <v>0.3077</v>
      </c>
    </row>
    <row r="94">
      <c r="A94" s="156" t="s">
        <v>512</v>
      </c>
      <c r="B94" s="157">
        <v>40.0</v>
      </c>
      <c r="C94" s="157">
        <v>45.0</v>
      </c>
      <c r="D94" s="157">
        <v>5.0</v>
      </c>
      <c r="E94" s="158">
        <v>0.111</v>
      </c>
      <c r="F94" s="156" t="s">
        <v>662</v>
      </c>
      <c r="G94" s="158">
        <v>0.0444</v>
      </c>
      <c r="H94" s="158">
        <v>0.0444</v>
      </c>
      <c r="I94" s="158">
        <v>0.0444</v>
      </c>
      <c r="J94" s="158">
        <v>0.0889</v>
      </c>
      <c r="K94" s="158">
        <v>0.0</v>
      </c>
      <c r="L94" s="156" t="s">
        <v>511</v>
      </c>
      <c r="M94" s="158">
        <v>0.0889</v>
      </c>
    </row>
    <row r="95">
      <c r="A95" s="152" t="s">
        <v>351</v>
      </c>
      <c r="B95" s="153">
        <v>69.0</v>
      </c>
      <c r="C95" s="153">
        <v>69.0</v>
      </c>
      <c r="D95" s="153">
        <v>5.0</v>
      </c>
      <c r="E95" s="154">
        <v>0.072</v>
      </c>
      <c r="F95" s="152" t="s">
        <v>662</v>
      </c>
      <c r="G95" s="154">
        <v>0.0694</v>
      </c>
      <c r="H95" s="154">
        <v>0.0</v>
      </c>
      <c r="I95" s="154">
        <v>0.0</v>
      </c>
      <c r="J95" s="154">
        <v>0.0417</v>
      </c>
      <c r="K95" s="154">
        <v>0.0</v>
      </c>
      <c r="L95" s="152" t="s">
        <v>507</v>
      </c>
      <c r="M95" s="154">
        <v>0.0694</v>
      </c>
    </row>
    <row r="96">
      <c r="A96" s="156" t="s">
        <v>469</v>
      </c>
      <c r="B96" s="157">
        <v>23.0</v>
      </c>
      <c r="C96" s="157">
        <v>22.0</v>
      </c>
      <c r="D96" s="157">
        <v>5.0</v>
      </c>
      <c r="E96" s="158">
        <v>0.227</v>
      </c>
      <c r="F96" s="156" t="s">
        <v>662</v>
      </c>
      <c r="G96" s="158">
        <v>0.1304</v>
      </c>
      <c r="H96" s="158">
        <v>0.0</v>
      </c>
      <c r="I96" s="158">
        <v>0.087</v>
      </c>
      <c r="J96" s="158">
        <v>0.087</v>
      </c>
      <c r="K96" s="158">
        <v>0.0</v>
      </c>
      <c r="L96" s="156" t="s">
        <v>133</v>
      </c>
      <c r="M96" s="158">
        <v>0.1304</v>
      </c>
    </row>
    <row r="97">
      <c r="A97" s="152" t="s">
        <v>199</v>
      </c>
      <c r="B97" s="153">
        <v>21.0</v>
      </c>
      <c r="C97" s="153">
        <v>18.0</v>
      </c>
      <c r="D97" s="153">
        <v>4.0</v>
      </c>
      <c r="E97" s="154">
        <v>0.222</v>
      </c>
      <c r="F97" s="152" t="s">
        <v>662</v>
      </c>
      <c r="G97" s="154">
        <v>0.1905</v>
      </c>
      <c r="H97" s="154">
        <v>0.0</v>
      </c>
      <c r="I97" s="154">
        <v>0.0</v>
      </c>
      <c r="J97" s="154">
        <v>0.0476</v>
      </c>
      <c r="K97" s="154">
        <v>0.0</v>
      </c>
      <c r="L97" s="152" t="s">
        <v>43</v>
      </c>
      <c r="M97" s="154">
        <v>0.1905</v>
      </c>
    </row>
    <row r="98">
      <c r="A98" s="156" t="s">
        <v>540</v>
      </c>
      <c r="B98" s="157">
        <v>114.0</v>
      </c>
      <c r="C98" s="157">
        <v>109.0</v>
      </c>
      <c r="D98" s="157">
        <v>6.0</v>
      </c>
      <c r="E98" s="158">
        <v>0.055</v>
      </c>
      <c r="F98" s="156" t="s">
        <v>662</v>
      </c>
      <c r="G98" s="158">
        <v>0.0364</v>
      </c>
      <c r="H98" s="158">
        <v>0.0091</v>
      </c>
      <c r="I98" s="158">
        <v>0.0091</v>
      </c>
      <c r="J98" s="158">
        <v>0.0273</v>
      </c>
      <c r="K98" s="158">
        <v>0.0091</v>
      </c>
      <c r="L98" s="156" t="s">
        <v>43</v>
      </c>
      <c r="M98" s="158">
        <v>0.0364</v>
      </c>
    </row>
    <row r="99">
      <c r="A99" s="152" t="s">
        <v>541</v>
      </c>
      <c r="B99" s="153">
        <v>97.0</v>
      </c>
      <c r="C99" s="153">
        <v>96.0</v>
      </c>
      <c r="D99" s="153">
        <v>5.0</v>
      </c>
      <c r="E99" s="154">
        <v>0.052</v>
      </c>
      <c r="F99" s="152" t="s">
        <v>662</v>
      </c>
      <c r="G99" s="154">
        <v>0.051</v>
      </c>
      <c r="H99" s="154">
        <v>0.0102</v>
      </c>
      <c r="I99" s="154">
        <v>0.0102</v>
      </c>
      <c r="J99" s="154">
        <v>0.0408</v>
      </c>
      <c r="K99" s="154">
        <v>0.0</v>
      </c>
      <c r="L99" s="152" t="s">
        <v>43</v>
      </c>
      <c r="M99" s="154">
        <v>0.051</v>
      </c>
    </row>
    <row r="100">
      <c r="A100" s="156" t="s">
        <v>543</v>
      </c>
      <c r="B100" s="157">
        <v>34.0</v>
      </c>
      <c r="C100" s="157">
        <v>30.0</v>
      </c>
      <c r="D100" s="157">
        <v>4.0</v>
      </c>
      <c r="E100" s="158">
        <v>0.133</v>
      </c>
      <c r="F100" s="156" t="s">
        <v>662</v>
      </c>
      <c r="G100" s="158">
        <v>0.0645</v>
      </c>
      <c r="H100" s="158">
        <v>0.0</v>
      </c>
      <c r="I100" s="158">
        <v>0.0645</v>
      </c>
      <c r="J100" s="158">
        <v>0.0</v>
      </c>
      <c r="K100" s="158">
        <v>0.0</v>
      </c>
      <c r="L100" s="156" t="s">
        <v>320</v>
      </c>
      <c r="M100" s="158">
        <v>0.0645</v>
      </c>
    </row>
    <row r="101">
      <c r="A101" s="152" t="s">
        <v>433</v>
      </c>
      <c r="B101" s="153">
        <v>31.0</v>
      </c>
      <c r="C101" s="153">
        <v>31.0</v>
      </c>
      <c r="D101" s="153">
        <v>4.0</v>
      </c>
      <c r="E101" s="154">
        <v>0.129</v>
      </c>
      <c r="F101" s="152" t="s">
        <v>662</v>
      </c>
      <c r="G101" s="154">
        <v>0.0625</v>
      </c>
      <c r="H101" s="154">
        <v>0.0313</v>
      </c>
      <c r="I101" s="154">
        <v>0.0625</v>
      </c>
      <c r="J101" s="154">
        <v>0.0625</v>
      </c>
      <c r="K101" s="154">
        <v>0.0</v>
      </c>
      <c r="L101" s="152" t="s">
        <v>320</v>
      </c>
      <c r="M101" s="154">
        <v>0.0625</v>
      </c>
    </row>
    <row r="102">
      <c r="A102" s="156" t="s">
        <v>544</v>
      </c>
      <c r="B102" s="157">
        <v>48.0</v>
      </c>
      <c r="C102" s="157">
        <v>41.0</v>
      </c>
      <c r="D102" s="157">
        <v>5.0</v>
      </c>
      <c r="E102" s="158">
        <v>0.122</v>
      </c>
      <c r="F102" s="156" t="s">
        <v>662</v>
      </c>
      <c r="G102" s="158">
        <v>0.0455</v>
      </c>
      <c r="H102" s="158">
        <v>0.0</v>
      </c>
      <c r="I102" s="158">
        <v>0.0455</v>
      </c>
      <c r="J102" s="158">
        <v>0.1136</v>
      </c>
      <c r="K102" s="158">
        <v>0.0227</v>
      </c>
      <c r="L102" s="156" t="s">
        <v>320</v>
      </c>
      <c r="M102" s="158">
        <v>0.1136</v>
      </c>
    </row>
    <row r="103">
      <c r="A103" s="152" t="s">
        <v>669</v>
      </c>
      <c r="B103" s="153">
        <v>55.0</v>
      </c>
      <c r="C103" s="153">
        <v>54.0</v>
      </c>
      <c r="D103" s="153">
        <v>4.0</v>
      </c>
      <c r="E103" s="154">
        <v>0.074</v>
      </c>
      <c r="F103" s="152" t="s">
        <v>662</v>
      </c>
      <c r="G103" s="154">
        <v>0.0179</v>
      </c>
      <c r="H103" s="154">
        <v>0.0</v>
      </c>
      <c r="I103" s="154">
        <v>0.0536</v>
      </c>
      <c r="J103" s="154">
        <v>0.0</v>
      </c>
      <c r="K103" s="154">
        <v>0.0</v>
      </c>
      <c r="L103" s="152" t="s">
        <v>137</v>
      </c>
      <c r="M103" s="154">
        <v>0.0536</v>
      </c>
    </row>
    <row r="104">
      <c r="A104" s="156" t="s">
        <v>670</v>
      </c>
      <c r="B104" s="157">
        <v>82.0</v>
      </c>
      <c r="C104" s="157">
        <v>76.0</v>
      </c>
      <c r="D104" s="157">
        <v>4.0</v>
      </c>
      <c r="E104" s="158">
        <v>0.053</v>
      </c>
      <c r="F104" s="156" t="s">
        <v>662</v>
      </c>
      <c r="G104" s="158">
        <v>0.013</v>
      </c>
      <c r="H104" s="158">
        <v>0.0</v>
      </c>
      <c r="I104" s="158">
        <v>0.026</v>
      </c>
      <c r="J104" s="158">
        <v>0.013</v>
      </c>
      <c r="K104" s="158">
        <v>0.013</v>
      </c>
      <c r="L104" s="156" t="s">
        <v>137</v>
      </c>
      <c r="M104" s="158">
        <v>0.026</v>
      </c>
    </row>
    <row r="105">
      <c r="A105" s="152" t="s">
        <v>469</v>
      </c>
      <c r="B105" s="153">
        <v>29.0</v>
      </c>
      <c r="C105" s="153">
        <v>24.0</v>
      </c>
      <c r="D105" s="153">
        <v>4.0</v>
      </c>
      <c r="E105" s="154">
        <v>0.167</v>
      </c>
      <c r="F105" s="152" t="s">
        <v>662</v>
      </c>
      <c r="G105" s="154">
        <v>0.0769</v>
      </c>
      <c r="H105" s="154">
        <v>0.0</v>
      </c>
      <c r="I105" s="154">
        <v>0.0769</v>
      </c>
      <c r="J105" s="154">
        <v>0.0769</v>
      </c>
      <c r="K105" s="154">
        <v>0.0</v>
      </c>
      <c r="L105" s="152" t="s">
        <v>665</v>
      </c>
      <c r="M105" s="154">
        <v>0.0769</v>
      </c>
    </row>
    <row r="106">
      <c r="A106" s="156" t="s">
        <v>397</v>
      </c>
      <c r="B106" s="157">
        <v>61.0</v>
      </c>
      <c r="C106" s="157">
        <v>58.0</v>
      </c>
      <c r="D106" s="157">
        <v>4.0</v>
      </c>
      <c r="E106" s="158">
        <v>0.069</v>
      </c>
      <c r="F106" s="156" t="s">
        <v>662</v>
      </c>
      <c r="G106" s="158">
        <v>0.0164</v>
      </c>
      <c r="H106" s="158">
        <v>0.0164</v>
      </c>
      <c r="I106" s="158">
        <v>0.0164</v>
      </c>
      <c r="J106" s="158">
        <v>0.0492</v>
      </c>
      <c r="K106" s="158">
        <v>0.0328</v>
      </c>
      <c r="L106" s="156" t="s">
        <v>405</v>
      </c>
      <c r="M106" s="158">
        <v>0.0492</v>
      </c>
    </row>
    <row r="107">
      <c r="A107" s="162" t="s">
        <v>596</v>
      </c>
      <c r="B107" s="163">
        <v>15.0</v>
      </c>
      <c r="C107" s="163">
        <v>14.0</v>
      </c>
      <c r="D107" s="163">
        <v>4.0</v>
      </c>
      <c r="E107" s="164">
        <v>0.286</v>
      </c>
      <c r="F107" s="162" t="s">
        <v>662</v>
      </c>
      <c r="G107" s="164">
        <v>0.0588</v>
      </c>
      <c r="H107" s="164">
        <v>0.0588</v>
      </c>
      <c r="I107" s="164">
        <v>0.1176</v>
      </c>
      <c r="J107" s="164">
        <v>0.2353</v>
      </c>
      <c r="K107" s="164">
        <v>0.0588</v>
      </c>
      <c r="L107" s="162" t="s">
        <v>409</v>
      </c>
      <c r="M107" s="164">
        <v>0.2353</v>
      </c>
    </row>
    <row r="108">
      <c r="A108" s="162" t="s">
        <v>328</v>
      </c>
      <c r="B108" s="165">
        <v>12.0</v>
      </c>
      <c r="C108" s="165">
        <v>13.0</v>
      </c>
      <c r="D108" s="165">
        <v>4.0</v>
      </c>
      <c r="E108" s="166">
        <v>0.308</v>
      </c>
      <c r="F108" s="160" t="s">
        <v>662</v>
      </c>
      <c r="G108" s="166">
        <v>0.0</v>
      </c>
      <c r="H108" s="166">
        <v>0.0769</v>
      </c>
      <c r="I108" s="166">
        <v>0.0769</v>
      </c>
      <c r="J108" s="166">
        <v>0.1538</v>
      </c>
      <c r="K108" s="166">
        <v>0.1538</v>
      </c>
      <c r="L108" s="160" t="s">
        <v>671</v>
      </c>
      <c r="M108" s="166">
        <v>0.1538</v>
      </c>
    </row>
    <row r="109">
      <c r="A109" s="152" t="s">
        <v>545</v>
      </c>
      <c r="B109" s="153">
        <v>14.0</v>
      </c>
      <c r="C109" s="153">
        <v>14.0</v>
      </c>
      <c r="D109" s="153">
        <v>10.0</v>
      </c>
      <c r="E109" s="154">
        <v>0.714</v>
      </c>
      <c r="F109" s="152" t="s">
        <v>662</v>
      </c>
      <c r="G109" s="154">
        <v>0.1765</v>
      </c>
      <c r="H109" s="154">
        <v>0.4706</v>
      </c>
      <c r="I109" s="154">
        <v>0.0</v>
      </c>
      <c r="J109" s="154">
        <v>0.0588</v>
      </c>
      <c r="K109" s="154">
        <v>0.0</v>
      </c>
      <c r="L109" s="152" t="s">
        <v>19</v>
      </c>
      <c r="M109" s="154">
        <v>0.4706</v>
      </c>
    </row>
    <row r="110">
      <c r="A110" s="156" t="s">
        <v>368</v>
      </c>
      <c r="B110" s="157">
        <v>16.0</v>
      </c>
      <c r="C110" s="157">
        <v>15.0</v>
      </c>
      <c r="D110" s="157">
        <v>4.0</v>
      </c>
      <c r="E110" s="158">
        <v>0.267</v>
      </c>
      <c r="F110" s="156" t="s">
        <v>662</v>
      </c>
      <c r="G110" s="158">
        <v>0.0667</v>
      </c>
      <c r="H110" s="158">
        <v>0.2</v>
      </c>
      <c r="I110" s="158">
        <v>0.0</v>
      </c>
      <c r="J110" s="158">
        <v>0.0</v>
      </c>
      <c r="K110" s="158">
        <v>0.0</v>
      </c>
      <c r="L110" s="156" t="s">
        <v>19</v>
      </c>
      <c r="M110" s="158">
        <v>0.2</v>
      </c>
    </row>
    <row r="111">
      <c r="A111" s="152" t="s">
        <v>342</v>
      </c>
      <c r="B111" s="153">
        <v>33.0</v>
      </c>
      <c r="C111" s="153">
        <v>32.0</v>
      </c>
      <c r="D111" s="153">
        <v>7.0</v>
      </c>
      <c r="E111" s="154">
        <v>0.219</v>
      </c>
      <c r="F111" s="152" t="s">
        <v>662</v>
      </c>
      <c r="G111" s="154">
        <v>0.0625</v>
      </c>
      <c r="H111" s="154">
        <v>0.125</v>
      </c>
      <c r="I111" s="154">
        <v>0.0313</v>
      </c>
      <c r="J111" s="154">
        <v>0.0</v>
      </c>
      <c r="K111" s="154">
        <v>0.0</v>
      </c>
      <c r="L111" s="152" t="s">
        <v>19</v>
      </c>
      <c r="M111" s="154">
        <v>0.125</v>
      </c>
    </row>
    <row r="112">
      <c r="A112" s="156" t="s">
        <v>546</v>
      </c>
      <c r="B112" s="157">
        <v>28.0</v>
      </c>
      <c r="C112" s="157">
        <v>25.0</v>
      </c>
      <c r="D112" s="157">
        <v>5.0</v>
      </c>
      <c r="E112" s="158">
        <v>0.2</v>
      </c>
      <c r="F112" s="156" t="s">
        <v>662</v>
      </c>
      <c r="G112" s="158">
        <v>0.0385</v>
      </c>
      <c r="H112" s="158">
        <v>0.1538</v>
      </c>
      <c r="I112" s="158">
        <v>0.0</v>
      </c>
      <c r="J112" s="158">
        <v>0.0</v>
      </c>
      <c r="K112" s="158">
        <v>0.0</v>
      </c>
      <c r="L112" s="156" t="s">
        <v>19</v>
      </c>
      <c r="M112" s="158">
        <v>0.1538</v>
      </c>
    </row>
    <row r="113">
      <c r="A113" s="152" t="s">
        <v>489</v>
      </c>
      <c r="B113" s="153">
        <v>81.0</v>
      </c>
      <c r="C113" s="153">
        <v>53.0</v>
      </c>
      <c r="D113" s="153">
        <v>8.0</v>
      </c>
      <c r="E113" s="154">
        <v>0.151</v>
      </c>
      <c r="F113" s="152" t="s">
        <v>662</v>
      </c>
      <c r="G113" s="154">
        <v>0.0308</v>
      </c>
      <c r="H113" s="154">
        <v>0.1385</v>
      </c>
      <c r="I113" s="154">
        <v>0.0</v>
      </c>
      <c r="J113" s="154">
        <v>0.0615</v>
      </c>
      <c r="K113" s="154">
        <v>0.0462</v>
      </c>
      <c r="L113" s="152" t="s">
        <v>19</v>
      </c>
      <c r="M113" s="154">
        <v>0.1385</v>
      </c>
    </row>
    <row r="114">
      <c r="A114" s="156" t="s">
        <v>172</v>
      </c>
      <c r="B114" s="157">
        <v>95.0</v>
      </c>
      <c r="C114" s="157">
        <v>97.0</v>
      </c>
      <c r="D114" s="157">
        <v>8.0</v>
      </c>
      <c r="E114" s="158">
        <v>0.082</v>
      </c>
      <c r="F114" s="156" t="s">
        <v>662</v>
      </c>
      <c r="G114" s="158">
        <v>0.0192</v>
      </c>
      <c r="H114" s="158">
        <v>0.0673</v>
      </c>
      <c r="I114" s="158">
        <v>0.0</v>
      </c>
      <c r="J114" s="158">
        <v>0.0577</v>
      </c>
      <c r="K114" s="158">
        <v>0.0</v>
      </c>
      <c r="L114" s="156" t="s">
        <v>19</v>
      </c>
      <c r="M114" s="158">
        <v>0.0673</v>
      </c>
    </row>
    <row r="115">
      <c r="A115" s="152" t="s">
        <v>142</v>
      </c>
      <c r="B115" s="153">
        <v>9.0</v>
      </c>
      <c r="C115" s="153">
        <v>9.0</v>
      </c>
      <c r="D115" s="153">
        <v>6.0</v>
      </c>
      <c r="E115" s="154">
        <v>0.667</v>
      </c>
      <c r="F115" s="152" t="s">
        <v>662</v>
      </c>
      <c r="G115" s="154">
        <v>0.0</v>
      </c>
      <c r="H115" s="154">
        <v>0.0833</v>
      </c>
      <c r="I115" s="154">
        <v>0.0</v>
      </c>
      <c r="J115" s="154">
        <v>0.1667</v>
      </c>
      <c r="K115" s="154">
        <v>0.4167</v>
      </c>
      <c r="L115" s="152" t="s">
        <v>336</v>
      </c>
      <c r="M115" s="154">
        <v>0.4167</v>
      </c>
    </row>
    <row r="116">
      <c r="A116" s="162" t="s">
        <v>440</v>
      </c>
      <c r="B116" s="163">
        <v>16.0</v>
      </c>
      <c r="C116" s="163">
        <v>8.0</v>
      </c>
      <c r="D116" s="163">
        <v>5.0</v>
      </c>
      <c r="E116" s="164">
        <v>0.625</v>
      </c>
      <c r="F116" s="162" t="s">
        <v>662</v>
      </c>
      <c r="G116" s="164">
        <v>0.1538</v>
      </c>
      <c r="H116" s="164">
        <v>0.1538</v>
      </c>
      <c r="I116" s="164">
        <v>0.1538</v>
      </c>
      <c r="J116" s="164">
        <v>0.1538</v>
      </c>
      <c r="K116" s="164">
        <v>0.0</v>
      </c>
      <c r="L116" s="162" t="s">
        <v>336</v>
      </c>
      <c r="M116" s="164">
        <v>0.1538</v>
      </c>
    </row>
    <row r="117">
      <c r="A117" s="156" t="s">
        <v>576</v>
      </c>
      <c r="B117" s="157">
        <v>6.0</v>
      </c>
      <c r="C117" s="157">
        <v>3.0</v>
      </c>
      <c r="D117" s="157">
        <v>3.0</v>
      </c>
      <c r="E117" s="158">
        <v>1.0</v>
      </c>
      <c r="F117" s="156" t="s">
        <v>662</v>
      </c>
      <c r="G117" s="158">
        <v>0.0</v>
      </c>
      <c r="H117" s="158">
        <v>0.6</v>
      </c>
      <c r="I117" s="158">
        <v>0.0</v>
      </c>
      <c r="J117" s="158">
        <v>0.2</v>
      </c>
      <c r="K117" s="158">
        <v>0.2</v>
      </c>
      <c r="L117" s="156" t="s">
        <v>19</v>
      </c>
      <c r="M117" s="158">
        <v>0.6</v>
      </c>
    </row>
    <row r="118">
      <c r="A118" s="156" t="s">
        <v>514</v>
      </c>
      <c r="B118" s="157">
        <v>10.0</v>
      </c>
      <c r="C118" s="157">
        <v>9.0</v>
      </c>
      <c r="D118" s="157">
        <v>7.0</v>
      </c>
      <c r="E118" s="158">
        <v>0.778</v>
      </c>
      <c r="F118" s="156" t="s">
        <v>662</v>
      </c>
      <c r="G118" s="158">
        <v>0.0</v>
      </c>
      <c r="H118" s="158">
        <v>0.7</v>
      </c>
      <c r="I118" s="158">
        <v>0.0</v>
      </c>
      <c r="J118" s="158">
        <v>0.0</v>
      </c>
      <c r="K118" s="158">
        <v>0.0</v>
      </c>
      <c r="L118" s="156" t="s">
        <v>19</v>
      </c>
      <c r="M118" s="158">
        <v>0.7</v>
      </c>
    </row>
    <row r="119">
      <c r="A119" s="152" t="s">
        <v>573</v>
      </c>
      <c r="B119" s="153">
        <v>13.0</v>
      </c>
      <c r="C119" s="153">
        <v>10.0</v>
      </c>
      <c r="D119" s="153">
        <v>6.0</v>
      </c>
      <c r="E119" s="154">
        <v>0.6</v>
      </c>
      <c r="F119" s="152" t="s">
        <v>662</v>
      </c>
      <c r="G119" s="154">
        <v>0.0833</v>
      </c>
      <c r="H119" s="154">
        <v>0.4167</v>
      </c>
      <c r="I119" s="154">
        <v>0.0</v>
      </c>
      <c r="J119" s="154">
        <v>0.0833</v>
      </c>
      <c r="K119" s="154">
        <v>0.0</v>
      </c>
      <c r="L119" s="152" t="s">
        <v>19</v>
      </c>
      <c r="M119" s="154">
        <v>0.4167</v>
      </c>
    </row>
    <row r="120">
      <c r="A120" s="156" t="s">
        <v>578</v>
      </c>
      <c r="B120" s="157">
        <v>9.0</v>
      </c>
      <c r="C120" s="157">
        <v>8.0</v>
      </c>
      <c r="D120" s="157">
        <v>3.0</v>
      </c>
      <c r="E120" s="158">
        <v>0.375</v>
      </c>
      <c r="F120" s="156" t="s">
        <v>662</v>
      </c>
      <c r="G120" s="158">
        <v>0.0</v>
      </c>
      <c r="H120" s="158">
        <v>0.3333</v>
      </c>
      <c r="I120" s="158">
        <v>0.0</v>
      </c>
      <c r="J120" s="158">
        <v>0.0</v>
      </c>
      <c r="K120" s="158">
        <v>0.0</v>
      </c>
      <c r="L120" s="156" t="s">
        <v>19</v>
      </c>
      <c r="M120" s="158">
        <v>0.3333</v>
      </c>
    </row>
    <row r="121">
      <c r="A121" s="152" t="s">
        <v>293</v>
      </c>
      <c r="B121" s="153">
        <v>31.0</v>
      </c>
      <c r="C121" s="153">
        <v>24.0</v>
      </c>
      <c r="D121" s="153">
        <v>8.0</v>
      </c>
      <c r="E121" s="154">
        <v>0.333</v>
      </c>
      <c r="F121" s="152" t="s">
        <v>662</v>
      </c>
      <c r="G121" s="154">
        <v>0.0714</v>
      </c>
      <c r="H121" s="154">
        <v>0.2143</v>
      </c>
      <c r="I121" s="154">
        <v>0.0</v>
      </c>
      <c r="J121" s="154">
        <v>0.0</v>
      </c>
      <c r="K121" s="154">
        <v>0.0</v>
      </c>
      <c r="L121" s="152" t="s">
        <v>19</v>
      </c>
      <c r="M121" s="154">
        <v>0.2143</v>
      </c>
    </row>
    <row r="122">
      <c r="A122" s="156" t="s">
        <v>567</v>
      </c>
      <c r="B122" s="157">
        <v>9.0</v>
      </c>
      <c r="C122" s="157">
        <v>10.0</v>
      </c>
      <c r="D122" s="157">
        <v>3.0</v>
      </c>
      <c r="E122" s="158">
        <v>0.3</v>
      </c>
      <c r="F122" s="156" t="s">
        <v>662</v>
      </c>
      <c r="G122" s="158">
        <v>0.2</v>
      </c>
      <c r="H122" s="158">
        <v>0.0</v>
      </c>
      <c r="I122" s="158">
        <v>0.1</v>
      </c>
      <c r="J122" s="158">
        <v>0.2</v>
      </c>
      <c r="K122" s="158">
        <v>0.0</v>
      </c>
      <c r="L122" s="156" t="s">
        <v>43</v>
      </c>
      <c r="M122" s="158">
        <v>0.2</v>
      </c>
    </row>
    <row r="123">
      <c r="A123" s="152" t="s">
        <v>558</v>
      </c>
      <c r="B123" s="153">
        <v>29.0</v>
      </c>
      <c r="C123" s="153">
        <v>24.0</v>
      </c>
      <c r="D123" s="153">
        <v>7.0</v>
      </c>
      <c r="E123" s="154">
        <v>0.292</v>
      </c>
      <c r="F123" s="152" t="s">
        <v>662</v>
      </c>
      <c r="G123" s="154">
        <v>0.3103</v>
      </c>
      <c r="H123" s="154">
        <v>0.0345</v>
      </c>
      <c r="I123" s="154">
        <v>0.0</v>
      </c>
      <c r="J123" s="154">
        <v>0.1379</v>
      </c>
      <c r="K123" s="154">
        <v>0.0</v>
      </c>
      <c r="L123" s="152" t="s">
        <v>43</v>
      </c>
      <c r="M123" s="154">
        <v>0.3103</v>
      </c>
    </row>
    <row r="124">
      <c r="A124" s="152" t="s">
        <v>492</v>
      </c>
      <c r="B124" s="153">
        <v>16.0</v>
      </c>
      <c r="C124" s="153">
        <v>11.0</v>
      </c>
      <c r="D124" s="153">
        <v>3.0</v>
      </c>
      <c r="E124" s="154">
        <v>0.273</v>
      </c>
      <c r="F124" s="152" t="s">
        <v>662</v>
      </c>
      <c r="G124" s="154">
        <v>0.1667</v>
      </c>
      <c r="H124" s="154">
        <v>0.0833</v>
      </c>
      <c r="I124" s="154">
        <v>0.0</v>
      </c>
      <c r="J124" s="154">
        <v>0.0</v>
      </c>
      <c r="K124" s="154">
        <v>0.0</v>
      </c>
      <c r="L124" s="152" t="s">
        <v>43</v>
      </c>
      <c r="M124" s="154">
        <v>0.1667</v>
      </c>
    </row>
    <row r="125">
      <c r="A125" s="152" t="s">
        <v>569</v>
      </c>
      <c r="B125" s="153">
        <v>12.0</v>
      </c>
      <c r="C125" s="153">
        <v>11.0</v>
      </c>
      <c r="D125" s="153">
        <v>3.0</v>
      </c>
      <c r="E125" s="154">
        <v>0.273</v>
      </c>
      <c r="F125" s="152" t="s">
        <v>662</v>
      </c>
      <c r="G125" s="154">
        <v>0.3077</v>
      </c>
      <c r="H125" s="154">
        <v>0.0</v>
      </c>
      <c r="I125" s="154">
        <v>0.0769</v>
      </c>
      <c r="J125" s="154">
        <v>0.0769</v>
      </c>
      <c r="K125" s="154">
        <v>0.0</v>
      </c>
      <c r="L125" s="152" t="s">
        <v>43</v>
      </c>
      <c r="M125" s="154">
        <v>0.3077</v>
      </c>
    </row>
    <row r="126">
      <c r="A126" s="152" t="s">
        <v>575</v>
      </c>
      <c r="B126" s="153">
        <v>11.0</v>
      </c>
      <c r="C126" s="153">
        <v>11.0</v>
      </c>
      <c r="D126" s="153">
        <v>3.0</v>
      </c>
      <c r="E126" s="154">
        <v>0.273</v>
      </c>
      <c r="F126" s="152" t="s">
        <v>662</v>
      </c>
      <c r="G126" s="154">
        <v>0.0</v>
      </c>
      <c r="H126" s="154">
        <v>0.25</v>
      </c>
      <c r="I126" s="154">
        <v>0.0</v>
      </c>
      <c r="J126" s="154">
        <v>0.0</v>
      </c>
      <c r="K126" s="154">
        <v>0.0</v>
      </c>
      <c r="L126" s="152" t="s">
        <v>19</v>
      </c>
      <c r="M126" s="154">
        <v>0.25</v>
      </c>
    </row>
    <row r="127">
      <c r="A127" s="167" t="s">
        <v>498</v>
      </c>
      <c r="B127" s="168">
        <v>50.0</v>
      </c>
      <c r="C127" s="168">
        <v>33.0</v>
      </c>
      <c r="D127" s="168">
        <v>7.0</v>
      </c>
      <c r="E127" s="169">
        <v>0.212</v>
      </c>
      <c r="F127" s="167" t="s">
        <v>662</v>
      </c>
      <c r="G127" s="169">
        <v>0.1463</v>
      </c>
      <c r="H127" s="169">
        <v>0.0244</v>
      </c>
      <c r="I127" s="169">
        <v>0.0488</v>
      </c>
      <c r="J127" s="169">
        <v>0.0976</v>
      </c>
      <c r="K127" s="169">
        <v>0.0</v>
      </c>
      <c r="L127" s="167" t="s">
        <v>43</v>
      </c>
      <c r="M127" s="169">
        <v>0.1463</v>
      </c>
    </row>
    <row r="128">
      <c r="A128" s="152" t="s">
        <v>562</v>
      </c>
      <c r="B128" s="153">
        <v>29.0</v>
      </c>
      <c r="C128" s="153">
        <v>29.0</v>
      </c>
      <c r="D128" s="153">
        <v>6.0</v>
      </c>
      <c r="E128" s="154">
        <v>0.207</v>
      </c>
      <c r="F128" s="152" t="s">
        <v>662</v>
      </c>
      <c r="G128" s="154">
        <v>0.0968</v>
      </c>
      <c r="H128" s="154">
        <v>0.0645</v>
      </c>
      <c r="I128" s="154">
        <v>0.0</v>
      </c>
      <c r="J128" s="154">
        <v>0.0645</v>
      </c>
      <c r="K128" s="154">
        <v>0.0323</v>
      </c>
      <c r="L128" s="152" t="s">
        <v>43</v>
      </c>
      <c r="M128" s="154">
        <v>0.0968</v>
      </c>
    </row>
    <row r="129">
      <c r="A129" s="156" t="s">
        <v>563</v>
      </c>
      <c r="B129" s="157">
        <v>26.0</v>
      </c>
      <c r="C129" s="157">
        <v>28.0</v>
      </c>
      <c r="D129" s="157">
        <v>5.0</v>
      </c>
      <c r="E129" s="158">
        <v>0.179</v>
      </c>
      <c r="F129" s="156" t="s">
        <v>662</v>
      </c>
      <c r="G129" s="158">
        <v>0.1</v>
      </c>
      <c r="H129" s="158">
        <v>0.0</v>
      </c>
      <c r="I129" s="158">
        <v>0.1</v>
      </c>
      <c r="J129" s="158">
        <v>0.0333</v>
      </c>
      <c r="K129" s="158">
        <v>0.0</v>
      </c>
      <c r="L129" s="156" t="s">
        <v>43</v>
      </c>
      <c r="M129" s="158">
        <v>0.1</v>
      </c>
    </row>
    <row r="130">
      <c r="A130" s="156" t="s">
        <v>572</v>
      </c>
      <c r="B130" s="157">
        <v>49.0</v>
      </c>
      <c r="C130" s="157">
        <v>47.0</v>
      </c>
      <c r="D130" s="157">
        <v>8.0</v>
      </c>
      <c r="E130" s="158">
        <v>0.17</v>
      </c>
      <c r="F130" s="156" t="s">
        <v>662</v>
      </c>
      <c r="G130" s="158">
        <v>0.0</v>
      </c>
      <c r="H130" s="158">
        <v>0.1176</v>
      </c>
      <c r="I130" s="158">
        <v>0.0196</v>
      </c>
      <c r="J130" s="158">
        <v>0.0</v>
      </c>
      <c r="K130" s="158">
        <v>0.0196</v>
      </c>
      <c r="L130" s="156" t="s">
        <v>19</v>
      </c>
      <c r="M130" s="158">
        <v>0.1176</v>
      </c>
    </row>
    <row r="131">
      <c r="A131" s="152" t="s">
        <v>570</v>
      </c>
      <c r="B131" s="153">
        <v>21.0</v>
      </c>
      <c r="C131" s="153">
        <v>19.0</v>
      </c>
      <c r="D131" s="153">
        <v>3.0</v>
      </c>
      <c r="E131" s="154">
        <v>0.158</v>
      </c>
      <c r="F131" s="152" t="s">
        <v>662</v>
      </c>
      <c r="G131" s="154">
        <v>0.1579</v>
      </c>
      <c r="H131" s="154">
        <v>0.0</v>
      </c>
      <c r="I131" s="154">
        <v>0.0</v>
      </c>
      <c r="J131" s="154">
        <v>0.0526</v>
      </c>
      <c r="K131" s="154">
        <v>0.0</v>
      </c>
      <c r="L131" s="152" t="s">
        <v>43</v>
      </c>
      <c r="M131" s="154">
        <v>0.1579</v>
      </c>
    </row>
    <row r="132">
      <c r="A132" s="152" t="s">
        <v>566</v>
      </c>
      <c r="B132" s="153">
        <v>29.0</v>
      </c>
      <c r="C132" s="153">
        <v>27.0</v>
      </c>
      <c r="D132" s="153">
        <v>4.0</v>
      </c>
      <c r="E132" s="154">
        <v>0.148</v>
      </c>
      <c r="F132" s="152" t="s">
        <v>662</v>
      </c>
      <c r="G132" s="154">
        <v>0.1034</v>
      </c>
      <c r="H132" s="154">
        <v>0.0345</v>
      </c>
      <c r="I132" s="154">
        <v>0.0345</v>
      </c>
      <c r="J132" s="154">
        <v>0.0</v>
      </c>
      <c r="K132" s="154">
        <v>0.0345</v>
      </c>
      <c r="L132" s="152" t="s">
        <v>43</v>
      </c>
      <c r="M132" s="154">
        <v>0.1034</v>
      </c>
    </row>
    <row r="133">
      <c r="A133" s="156" t="s">
        <v>180</v>
      </c>
      <c r="B133" s="157">
        <v>44.0</v>
      </c>
      <c r="C133" s="157">
        <v>41.0</v>
      </c>
      <c r="D133" s="157">
        <v>6.0</v>
      </c>
      <c r="E133" s="158">
        <v>0.146</v>
      </c>
      <c r="F133" s="156" t="s">
        <v>662</v>
      </c>
      <c r="G133" s="158">
        <v>0.0889</v>
      </c>
      <c r="H133" s="158">
        <v>0.0222</v>
      </c>
      <c r="I133" s="158">
        <v>0.0444</v>
      </c>
      <c r="J133" s="158">
        <v>0.0444</v>
      </c>
      <c r="K133" s="158">
        <v>0.0</v>
      </c>
      <c r="L133" s="156" t="s">
        <v>43</v>
      </c>
      <c r="M133" s="158">
        <v>0.0889</v>
      </c>
    </row>
    <row r="134">
      <c r="A134" s="152" t="s">
        <v>402</v>
      </c>
      <c r="B134" s="153">
        <v>22.0</v>
      </c>
      <c r="C134" s="153">
        <v>21.0</v>
      </c>
      <c r="D134" s="153">
        <v>3.0</v>
      </c>
      <c r="E134" s="154">
        <v>0.143</v>
      </c>
      <c r="F134" s="152" t="s">
        <v>662</v>
      </c>
      <c r="G134" s="154">
        <v>0.0</v>
      </c>
      <c r="H134" s="154">
        <v>0.0909</v>
      </c>
      <c r="I134" s="154">
        <v>0.0455</v>
      </c>
      <c r="J134" s="154">
        <v>0.0455</v>
      </c>
      <c r="K134" s="154">
        <v>0.0</v>
      </c>
      <c r="L134" s="152" t="s">
        <v>19</v>
      </c>
      <c r="M134" s="154">
        <v>0.0909</v>
      </c>
    </row>
    <row r="135">
      <c r="A135" s="156" t="s">
        <v>560</v>
      </c>
      <c r="B135" s="157">
        <v>45.0</v>
      </c>
      <c r="C135" s="157">
        <v>45.0</v>
      </c>
      <c r="D135" s="157">
        <v>6.0</v>
      </c>
      <c r="E135" s="158">
        <v>0.133</v>
      </c>
      <c r="F135" s="156" t="s">
        <v>662</v>
      </c>
      <c r="G135" s="158">
        <v>0.087</v>
      </c>
      <c r="H135" s="158">
        <v>0.0</v>
      </c>
      <c r="I135" s="158">
        <v>0.0435</v>
      </c>
      <c r="J135" s="158">
        <v>0.0435</v>
      </c>
      <c r="K135" s="158">
        <v>0.0</v>
      </c>
      <c r="L135" s="156" t="s">
        <v>43</v>
      </c>
      <c r="M135" s="158">
        <v>0.087</v>
      </c>
    </row>
    <row r="136">
      <c r="A136" s="156" t="s">
        <v>559</v>
      </c>
      <c r="B136" s="157">
        <v>64.0</v>
      </c>
      <c r="C136" s="157">
        <v>61.0</v>
      </c>
      <c r="D136" s="157">
        <v>7.0</v>
      </c>
      <c r="E136" s="158">
        <v>0.115</v>
      </c>
      <c r="F136" s="156" t="s">
        <v>662</v>
      </c>
      <c r="G136" s="158">
        <v>0.0968</v>
      </c>
      <c r="H136" s="158">
        <v>0.0</v>
      </c>
      <c r="I136" s="158">
        <v>0.0161</v>
      </c>
      <c r="J136" s="158">
        <v>0.0806</v>
      </c>
      <c r="K136" s="158">
        <v>0.0</v>
      </c>
      <c r="L136" s="156" t="s">
        <v>43</v>
      </c>
      <c r="M136" s="158">
        <v>0.0968</v>
      </c>
    </row>
    <row r="137">
      <c r="A137" s="156" t="s">
        <v>469</v>
      </c>
      <c r="B137" s="157">
        <v>35.0</v>
      </c>
      <c r="C137" s="157">
        <v>29.0</v>
      </c>
      <c r="D137" s="157">
        <v>3.0</v>
      </c>
      <c r="E137" s="158">
        <v>0.103</v>
      </c>
      <c r="F137" s="156" t="s">
        <v>662</v>
      </c>
      <c r="G137" s="158">
        <v>0.0588</v>
      </c>
      <c r="H137" s="158">
        <v>0.0</v>
      </c>
      <c r="I137" s="158">
        <v>0.0294</v>
      </c>
      <c r="J137" s="158">
        <v>0.0294</v>
      </c>
      <c r="K137" s="158">
        <v>0.0294</v>
      </c>
      <c r="L137" s="156" t="s">
        <v>43</v>
      </c>
      <c r="M137" s="158">
        <v>0.0588</v>
      </c>
    </row>
    <row r="138">
      <c r="A138" s="152" t="s">
        <v>561</v>
      </c>
      <c r="B138" s="153">
        <v>61.0</v>
      </c>
      <c r="C138" s="153">
        <v>63.0</v>
      </c>
      <c r="D138" s="153">
        <v>6.0</v>
      </c>
      <c r="E138" s="154">
        <v>0.095</v>
      </c>
      <c r="F138" s="152" t="s">
        <v>662</v>
      </c>
      <c r="G138" s="154">
        <v>0.0769</v>
      </c>
      <c r="H138" s="154">
        <v>0.0</v>
      </c>
      <c r="I138" s="154">
        <v>0.0154</v>
      </c>
      <c r="J138" s="154">
        <v>0.0154</v>
      </c>
      <c r="K138" s="154">
        <v>0.0154</v>
      </c>
      <c r="L138" s="152" t="s">
        <v>43</v>
      </c>
      <c r="M138" s="154">
        <v>0.0769</v>
      </c>
    </row>
    <row r="139">
      <c r="A139" s="156" t="s">
        <v>568</v>
      </c>
      <c r="B139" s="157">
        <v>36.0</v>
      </c>
      <c r="C139" s="157">
        <v>36.0</v>
      </c>
      <c r="D139" s="157">
        <v>3.0</v>
      </c>
      <c r="E139" s="158">
        <v>0.083</v>
      </c>
      <c r="F139" s="156" t="s">
        <v>662</v>
      </c>
      <c r="G139" s="158">
        <v>0.0789</v>
      </c>
      <c r="H139" s="158">
        <v>0.0</v>
      </c>
      <c r="I139" s="158">
        <v>0.0</v>
      </c>
      <c r="J139" s="158">
        <v>0.0263</v>
      </c>
      <c r="K139" s="158">
        <v>0.0</v>
      </c>
      <c r="L139" s="156" t="s">
        <v>43</v>
      </c>
      <c r="M139" s="158">
        <v>0.0789</v>
      </c>
    </row>
    <row r="140">
      <c r="A140" s="152" t="s">
        <v>571</v>
      </c>
      <c r="B140" s="153">
        <v>88.0</v>
      </c>
      <c r="C140" s="153">
        <v>84.0</v>
      </c>
      <c r="D140" s="153">
        <v>5.0</v>
      </c>
      <c r="E140" s="154">
        <v>0.06</v>
      </c>
      <c r="F140" s="152" t="s">
        <v>662</v>
      </c>
      <c r="G140" s="154">
        <v>0.0357</v>
      </c>
      <c r="H140" s="154">
        <v>0.0</v>
      </c>
      <c r="I140" s="154">
        <v>0.0357</v>
      </c>
      <c r="J140" s="154">
        <v>0.0238</v>
      </c>
      <c r="K140" s="154">
        <v>0.0</v>
      </c>
      <c r="L140" s="152" t="s">
        <v>320</v>
      </c>
      <c r="M140" s="154">
        <v>0.0357</v>
      </c>
    </row>
    <row r="141">
      <c r="A141" s="156" t="s">
        <v>388</v>
      </c>
      <c r="B141" s="157">
        <v>52.0</v>
      </c>
      <c r="C141" s="157">
        <v>50.0</v>
      </c>
      <c r="D141" s="157">
        <v>3.0</v>
      </c>
      <c r="E141" s="158">
        <v>0.06</v>
      </c>
      <c r="F141" s="156" t="s">
        <v>662</v>
      </c>
      <c r="G141" s="158">
        <v>0.0566</v>
      </c>
      <c r="H141" s="158">
        <v>0.0</v>
      </c>
      <c r="I141" s="158">
        <v>0.0</v>
      </c>
      <c r="J141" s="158">
        <v>0.0566</v>
      </c>
      <c r="K141" s="158">
        <v>0.0</v>
      </c>
      <c r="L141" s="156" t="s">
        <v>43</v>
      </c>
      <c r="M141" s="158">
        <v>0.0566</v>
      </c>
    </row>
    <row r="142">
      <c r="A142" s="156" t="s">
        <v>574</v>
      </c>
      <c r="B142" s="157">
        <v>88.0</v>
      </c>
      <c r="C142" s="157">
        <v>91.0</v>
      </c>
      <c r="D142" s="157">
        <v>5.0</v>
      </c>
      <c r="E142" s="158">
        <v>0.055</v>
      </c>
      <c r="F142" s="156" t="s">
        <v>662</v>
      </c>
      <c r="G142" s="158">
        <v>0.0106</v>
      </c>
      <c r="H142" s="158">
        <v>0.0532</v>
      </c>
      <c r="I142" s="158">
        <v>0.0</v>
      </c>
      <c r="J142" s="158">
        <v>0.0426</v>
      </c>
      <c r="K142" s="158">
        <v>0.0</v>
      </c>
      <c r="L142" s="156" t="s">
        <v>19</v>
      </c>
      <c r="M142" s="158">
        <v>0.0532</v>
      </c>
    </row>
    <row r="143">
      <c r="A143" s="152" t="s">
        <v>564</v>
      </c>
      <c r="B143" s="153">
        <v>78.0</v>
      </c>
      <c r="C143" s="153">
        <v>73.0</v>
      </c>
      <c r="D143" s="153">
        <v>4.0</v>
      </c>
      <c r="E143" s="154">
        <v>0.055</v>
      </c>
      <c r="F143" s="152" t="s">
        <v>662</v>
      </c>
      <c r="G143" s="154">
        <v>0.027</v>
      </c>
      <c r="H143" s="154">
        <v>0.0135</v>
      </c>
      <c r="I143" s="154">
        <v>0.0135</v>
      </c>
      <c r="J143" s="154">
        <v>0.0</v>
      </c>
      <c r="K143" s="154">
        <v>0.0</v>
      </c>
      <c r="L143" s="152" t="s">
        <v>43</v>
      </c>
      <c r="M143" s="154">
        <v>0.027</v>
      </c>
    </row>
    <row r="144">
      <c r="A144" s="156" t="s">
        <v>565</v>
      </c>
      <c r="B144" s="157">
        <v>73.0</v>
      </c>
      <c r="C144" s="157">
        <v>75.0</v>
      </c>
      <c r="D144" s="157">
        <v>4.0</v>
      </c>
      <c r="E144" s="158">
        <v>0.053</v>
      </c>
      <c r="F144" s="156" t="s">
        <v>662</v>
      </c>
      <c r="G144" s="158">
        <v>0.0263</v>
      </c>
      <c r="H144" s="158">
        <v>0.0</v>
      </c>
      <c r="I144" s="158">
        <v>0.0263</v>
      </c>
      <c r="J144" s="158">
        <v>0.0263</v>
      </c>
      <c r="K144" s="158">
        <v>0.0</v>
      </c>
      <c r="L144" s="156" t="s">
        <v>43</v>
      </c>
      <c r="M144" s="158">
        <v>0.0263</v>
      </c>
    </row>
    <row r="145">
      <c r="A145" s="170" t="s">
        <v>517</v>
      </c>
      <c r="B145" s="171">
        <v>17.0</v>
      </c>
      <c r="C145" s="171">
        <v>14.0</v>
      </c>
      <c r="D145" s="171">
        <v>5.0</v>
      </c>
      <c r="E145" s="172">
        <v>0.357</v>
      </c>
      <c r="F145" s="170" t="s">
        <v>662</v>
      </c>
      <c r="G145" s="172">
        <v>0.1667</v>
      </c>
      <c r="H145" s="172">
        <v>0.0</v>
      </c>
      <c r="I145" s="172">
        <v>0.0</v>
      </c>
      <c r="J145" s="172">
        <v>0.0556</v>
      </c>
      <c r="K145" s="172">
        <v>0.1111</v>
      </c>
      <c r="L145" s="170" t="s">
        <v>43</v>
      </c>
      <c r="M145" s="172">
        <v>0.1667</v>
      </c>
    </row>
    <row r="146">
      <c r="A146" s="173" t="s">
        <v>123</v>
      </c>
      <c r="B146" s="174">
        <v>11.0</v>
      </c>
      <c r="C146" s="174">
        <v>12.0</v>
      </c>
      <c r="D146" s="174">
        <v>3.0</v>
      </c>
      <c r="E146" s="175">
        <v>0.25</v>
      </c>
      <c r="F146" s="173" t="s">
        <v>662</v>
      </c>
      <c r="G146" s="175">
        <v>0.2308</v>
      </c>
      <c r="H146" s="175">
        <v>0.0</v>
      </c>
      <c r="I146" s="175">
        <v>0.0</v>
      </c>
      <c r="J146" s="175">
        <v>0.0769</v>
      </c>
      <c r="K146" s="175">
        <v>0.0</v>
      </c>
      <c r="L146" s="173" t="s">
        <v>43</v>
      </c>
      <c r="M146" s="175">
        <v>0.2308</v>
      </c>
    </row>
    <row r="147">
      <c r="A147" s="170" t="s">
        <v>587</v>
      </c>
      <c r="B147" s="171">
        <v>19.0</v>
      </c>
      <c r="C147" s="171">
        <v>19.0</v>
      </c>
      <c r="D147" s="171">
        <v>3.0</v>
      </c>
      <c r="E147" s="172">
        <v>0.158</v>
      </c>
      <c r="F147" s="170" t="s">
        <v>662</v>
      </c>
      <c r="G147" s="172">
        <v>0.12</v>
      </c>
      <c r="H147" s="172">
        <v>0.0</v>
      </c>
      <c r="I147" s="172">
        <v>0.0</v>
      </c>
      <c r="J147" s="172">
        <v>0.0</v>
      </c>
      <c r="K147" s="172">
        <v>0.0</v>
      </c>
      <c r="L147" s="170" t="s">
        <v>43</v>
      </c>
      <c r="M147" s="172">
        <v>0.12</v>
      </c>
    </row>
    <row r="148">
      <c r="A148" s="173" t="s">
        <v>588</v>
      </c>
      <c r="B148" s="174">
        <v>38.0</v>
      </c>
      <c r="C148" s="174">
        <v>33.0</v>
      </c>
      <c r="D148" s="174">
        <v>3.0</v>
      </c>
      <c r="E148" s="175">
        <v>0.091</v>
      </c>
      <c r="F148" s="173" t="s">
        <v>662</v>
      </c>
      <c r="G148" s="175">
        <v>0.0588</v>
      </c>
      <c r="H148" s="175">
        <v>0.0294</v>
      </c>
      <c r="I148" s="175">
        <v>0.0</v>
      </c>
      <c r="J148" s="175">
        <v>0.0294</v>
      </c>
      <c r="K148" s="175">
        <v>0.0</v>
      </c>
      <c r="L148" s="173" t="s">
        <v>43</v>
      </c>
      <c r="M148" s="175">
        <v>0.0588</v>
      </c>
    </row>
    <row r="149">
      <c r="A149" s="170" t="s">
        <v>589</v>
      </c>
      <c r="B149" s="171">
        <v>150.0</v>
      </c>
      <c r="C149" s="171">
        <v>145.0</v>
      </c>
      <c r="D149" s="171">
        <v>15.0</v>
      </c>
      <c r="E149" s="172">
        <v>0.103</v>
      </c>
      <c r="F149" s="170" t="s">
        <v>662</v>
      </c>
      <c r="G149" s="172">
        <v>0.0476</v>
      </c>
      <c r="H149" s="172">
        <v>0.0204</v>
      </c>
      <c r="I149" s="172">
        <v>0.034</v>
      </c>
      <c r="J149" s="172">
        <v>0.0544</v>
      </c>
      <c r="K149" s="172">
        <v>0.0</v>
      </c>
      <c r="L149" s="170" t="s">
        <v>395</v>
      </c>
      <c r="M149" s="172">
        <v>0.0544</v>
      </c>
    </row>
    <row r="150">
      <c r="A150" s="173" t="s">
        <v>500</v>
      </c>
      <c r="B150" s="174">
        <v>101.0</v>
      </c>
      <c r="C150" s="174">
        <v>97.0</v>
      </c>
      <c r="D150" s="174">
        <v>10.0</v>
      </c>
      <c r="E150" s="175">
        <v>0.103</v>
      </c>
      <c r="F150" s="173" t="s">
        <v>662</v>
      </c>
      <c r="G150" s="175">
        <v>0.0588</v>
      </c>
      <c r="H150" s="175">
        <v>0.0098</v>
      </c>
      <c r="I150" s="175">
        <v>0.0294</v>
      </c>
      <c r="J150" s="175">
        <v>0.0882</v>
      </c>
      <c r="K150" s="175">
        <v>0.0098</v>
      </c>
      <c r="L150" s="173" t="s">
        <v>395</v>
      </c>
      <c r="M150" s="175">
        <v>0.0882</v>
      </c>
    </row>
    <row r="151">
      <c r="A151" s="170" t="s">
        <v>590</v>
      </c>
      <c r="B151" s="171">
        <v>26.0</v>
      </c>
      <c r="C151" s="171">
        <v>26.0</v>
      </c>
      <c r="D151" s="171">
        <v>3.0</v>
      </c>
      <c r="E151" s="172">
        <v>0.115</v>
      </c>
      <c r="F151" s="170" t="s">
        <v>662</v>
      </c>
      <c r="G151" s="172">
        <v>0.0741</v>
      </c>
      <c r="H151" s="172">
        <v>0.0</v>
      </c>
      <c r="I151" s="172">
        <v>0.037</v>
      </c>
      <c r="J151" s="172">
        <v>0.1481</v>
      </c>
      <c r="K151" s="172">
        <v>0.0</v>
      </c>
      <c r="L151" s="170" t="s">
        <v>395</v>
      </c>
      <c r="M151" s="172">
        <v>0.1481</v>
      </c>
    </row>
    <row r="152">
      <c r="A152" s="173" t="s">
        <v>455</v>
      </c>
      <c r="B152" s="174">
        <v>64.0</v>
      </c>
      <c r="C152" s="174">
        <v>51.0</v>
      </c>
      <c r="D152" s="174">
        <v>29.0</v>
      </c>
      <c r="E152" s="175">
        <v>0.569</v>
      </c>
      <c r="F152" s="173" t="s">
        <v>662</v>
      </c>
      <c r="G152" s="175">
        <v>0.0133</v>
      </c>
      <c r="H152" s="175">
        <v>0.3467</v>
      </c>
      <c r="I152" s="175">
        <v>0.0</v>
      </c>
      <c r="J152" s="175">
        <v>0.0533</v>
      </c>
      <c r="K152" s="175">
        <v>0.04</v>
      </c>
      <c r="L152" s="173" t="s">
        <v>19</v>
      </c>
      <c r="M152" s="175">
        <v>0.3467</v>
      </c>
    </row>
    <row r="153">
      <c r="A153" s="170" t="s">
        <v>591</v>
      </c>
      <c r="B153" s="171">
        <v>31.0</v>
      </c>
      <c r="C153" s="171">
        <v>27.0</v>
      </c>
      <c r="D153" s="171">
        <v>9.0</v>
      </c>
      <c r="E153" s="172">
        <v>0.333</v>
      </c>
      <c r="F153" s="170" t="s">
        <v>662</v>
      </c>
      <c r="G153" s="172">
        <v>0.0323</v>
      </c>
      <c r="H153" s="172">
        <v>0.2581</v>
      </c>
      <c r="I153" s="172">
        <v>0.0</v>
      </c>
      <c r="J153" s="172">
        <v>0.0323</v>
      </c>
      <c r="K153" s="172">
        <v>0.0323</v>
      </c>
      <c r="L153" s="170" t="s">
        <v>19</v>
      </c>
      <c r="M153" s="172">
        <v>0.2581</v>
      </c>
    </row>
    <row r="154">
      <c r="A154" s="173" t="s">
        <v>592</v>
      </c>
      <c r="B154" s="174">
        <v>45.0</v>
      </c>
      <c r="C154" s="174">
        <v>41.0</v>
      </c>
      <c r="D154" s="174">
        <v>7.0</v>
      </c>
      <c r="E154" s="175">
        <v>0.171</v>
      </c>
      <c r="F154" s="173" t="s">
        <v>662</v>
      </c>
      <c r="G154" s="175">
        <v>0.0</v>
      </c>
      <c r="H154" s="175">
        <v>0.1273</v>
      </c>
      <c r="I154" s="175">
        <v>0.0</v>
      </c>
      <c r="J154" s="175">
        <v>0.0364</v>
      </c>
      <c r="K154" s="175">
        <v>0.0</v>
      </c>
      <c r="L154" s="173" t="s">
        <v>19</v>
      </c>
      <c r="M154" s="175">
        <v>0.1273</v>
      </c>
    </row>
    <row r="155">
      <c r="A155" s="170" t="s">
        <v>440</v>
      </c>
      <c r="B155" s="171">
        <v>11.0</v>
      </c>
      <c r="C155" s="171">
        <v>9.0</v>
      </c>
      <c r="D155" s="171">
        <v>5.0</v>
      </c>
      <c r="E155" s="172">
        <v>0.556</v>
      </c>
      <c r="F155" s="170" t="s">
        <v>662</v>
      </c>
      <c r="G155" s="172">
        <v>0.0</v>
      </c>
      <c r="H155" s="172">
        <v>0.3</v>
      </c>
      <c r="I155" s="172">
        <v>0.1</v>
      </c>
      <c r="J155" s="172">
        <v>0.1</v>
      </c>
      <c r="K155" s="172">
        <v>0.1</v>
      </c>
      <c r="L155" s="170" t="s">
        <v>19</v>
      </c>
      <c r="M155" s="172">
        <v>0.3</v>
      </c>
    </row>
    <row r="156">
      <c r="A156" s="173" t="s">
        <v>593</v>
      </c>
      <c r="B156" s="174">
        <v>35.0</v>
      </c>
      <c r="C156" s="174">
        <v>37.0</v>
      </c>
      <c r="D156" s="174">
        <v>5.0</v>
      </c>
      <c r="E156" s="175">
        <v>0.135</v>
      </c>
      <c r="F156" s="173" t="s">
        <v>662</v>
      </c>
      <c r="G156" s="175">
        <v>0.0465</v>
      </c>
      <c r="H156" s="175">
        <v>0.0698</v>
      </c>
      <c r="I156" s="175">
        <v>0.0</v>
      </c>
      <c r="J156" s="175">
        <v>0.0233</v>
      </c>
      <c r="K156" s="175">
        <v>0.0233</v>
      </c>
      <c r="L156" s="173" t="s">
        <v>19</v>
      </c>
      <c r="M156" s="175">
        <v>0.0698</v>
      </c>
    </row>
    <row r="157">
      <c r="A157" s="170" t="s">
        <v>594</v>
      </c>
      <c r="B157" s="171">
        <v>6.0</v>
      </c>
      <c r="C157" s="171">
        <v>4.0</v>
      </c>
      <c r="D157" s="171">
        <v>3.0</v>
      </c>
      <c r="E157" s="172">
        <v>0.75</v>
      </c>
      <c r="F157" s="170" t="s">
        <v>662</v>
      </c>
      <c r="G157" s="172">
        <v>0.0</v>
      </c>
      <c r="H157" s="172">
        <v>0.375</v>
      </c>
      <c r="I157" s="172">
        <v>0.0</v>
      </c>
      <c r="J157" s="172">
        <v>0.0</v>
      </c>
      <c r="K157" s="172">
        <v>0.0</v>
      </c>
      <c r="L157" s="170" t="s">
        <v>19</v>
      </c>
      <c r="M157" s="172">
        <v>0.375</v>
      </c>
    </row>
    <row r="158">
      <c r="A158" s="173" t="s">
        <v>595</v>
      </c>
      <c r="B158" s="174">
        <v>16.0</v>
      </c>
      <c r="C158" s="174">
        <v>16.0</v>
      </c>
      <c r="D158" s="174">
        <v>3.0</v>
      </c>
      <c r="E158" s="175">
        <v>0.188</v>
      </c>
      <c r="F158" s="173" t="s">
        <v>662</v>
      </c>
      <c r="G158" s="175">
        <v>0.0</v>
      </c>
      <c r="H158" s="175">
        <v>0.1176</v>
      </c>
      <c r="I158" s="175">
        <v>0.0</v>
      </c>
      <c r="J158" s="175">
        <v>0.0588</v>
      </c>
      <c r="K158" s="175">
        <v>0.0588</v>
      </c>
      <c r="L158" s="173" t="s">
        <v>19</v>
      </c>
      <c r="M158" s="175">
        <v>0.1176</v>
      </c>
    </row>
    <row r="159">
      <c r="A159" s="170" t="s">
        <v>596</v>
      </c>
      <c r="B159" s="171">
        <v>12.0</v>
      </c>
      <c r="C159" s="171">
        <v>9.0</v>
      </c>
      <c r="D159" s="171">
        <v>3.0</v>
      </c>
      <c r="E159" s="172">
        <v>0.333</v>
      </c>
      <c r="F159" s="170" t="s">
        <v>662</v>
      </c>
      <c r="G159" s="172">
        <v>0.0909</v>
      </c>
      <c r="H159" s="172">
        <v>0.0</v>
      </c>
      <c r="I159" s="172">
        <v>0.0909</v>
      </c>
      <c r="J159" s="172">
        <v>0.0909</v>
      </c>
      <c r="K159" s="172">
        <v>0.0909</v>
      </c>
      <c r="L159" s="170" t="s">
        <v>336</v>
      </c>
      <c r="M159" s="172">
        <v>0.0909</v>
      </c>
    </row>
    <row r="160">
      <c r="A160" s="176" t="s">
        <v>517</v>
      </c>
      <c r="B160" s="153">
        <v>14.0</v>
      </c>
      <c r="C160" s="153">
        <v>11.0</v>
      </c>
      <c r="D160" s="153">
        <v>4.0</v>
      </c>
      <c r="E160" s="154">
        <v>0.364</v>
      </c>
      <c r="F160" s="152" t="s">
        <v>662</v>
      </c>
      <c r="G160" s="154">
        <v>0.25</v>
      </c>
      <c r="H160" s="154">
        <v>0.0833</v>
      </c>
      <c r="I160" s="154">
        <v>0.1667</v>
      </c>
      <c r="J160" s="154">
        <v>0.0</v>
      </c>
      <c r="K160" s="154">
        <v>0.0</v>
      </c>
      <c r="L160" s="152" t="s">
        <v>43</v>
      </c>
      <c r="M160" s="154">
        <v>0.25</v>
      </c>
    </row>
    <row r="161">
      <c r="A161" s="156" t="s">
        <v>597</v>
      </c>
      <c r="B161" s="157">
        <v>12.0</v>
      </c>
      <c r="C161" s="157">
        <v>11.0</v>
      </c>
      <c r="D161" s="157">
        <v>3.0</v>
      </c>
      <c r="E161" s="158">
        <v>0.273</v>
      </c>
      <c r="F161" s="156" t="s">
        <v>662</v>
      </c>
      <c r="G161" s="158">
        <v>0.25</v>
      </c>
      <c r="H161" s="158">
        <v>0.0</v>
      </c>
      <c r="I161" s="158">
        <v>0.0</v>
      </c>
      <c r="J161" s="158">
        <v>0.0</v>
      </c>
      <c r="K161" s="158">
        <v>0.0</v>
      </c>
      <c r="L161" s="156" t="s">
        <v>43</v>
      </c>
      <c r="M161" s="158">
        <v>0.25</v>
      </c>
    </row>
    <row r="162">
      <c r="A162" s="152" t="s">
        <v>598</v>
      </c>
      <c r="B162" s="153">
        <v>11.0</v>
      </c>
      <c r="C162" s="153">
        <v>7.0</v>
      </c>
      <c r="D162" s="153">
        <v>3.0</v>
      </c>
      <c r="E162" s="154">
        <v>0.429</v>
      </c>
      <c r="F162" s="152" t="s">
        <v>662</v>
      </c>
      <c r="G162" s="154">
        <v>0.2222</v>
      </c>
      <c r="H162" s="154">
        <v>0.1111</v>
      </c>
      <c r="I162" s="154">
        <v>0.1111</v>
      </c>
      <c r="J162" s="154">
        <v>0.0</v>
      </c>
      <c r="K162" s="154">
        <v>0.0</v>
      </c>
      <c r="L162" s="152" t="s">
        <v>43</v>
      </c>
      <c r="M162" s="154">
        <v>0.2222</v>
      </c>
    </row>
    <row r="163">
      <c r="A163" s="156" t="s">
        <v>599</v>
      </c>
      <c r="B163" s="157">
        <v>48.0</v>
      </c>
      <c r="C163" s="157">
        <v>38.0</v>
      </c>
      <c r="D163" s="157">
        <v>9.0</v>
      </c>
      <c r="E163" s="158">
        <v>0.237</v>
      </c>
      <c r="F163" s="156" t="s">
        <v>662</v>
      </c>
      <c r="G163" s="158">
        <v>0.0976</v>
      </c>
      <c r="H163" s="158">
        <v>0.0244</v>
      </c>
      <c r="I163" s="158">
        <v>0.0732</v>
      </c>
      <c r="J163" s="158">
        <v>0.0488</v>
      </c>
      <c r="K163" s="158">
        <v>0.0488</v>
      </c>
      <c r="L163" s="156" t="s">
        <v>43</v>
      </c>
      <c r="M163" s="158">
        <v>0.0976</v>
      </c>
    </row>
    <row r="164">
      <c r="A164" s="152" t="s">
        <v>600</v>
      </c>
      <c r="B164" s="153">
        <v>17.0</v>
      </c>
      <c r="C164" s="153">
        <v>12.0</v>
      </c>
      <c r="D164" s="153">
        <v>3.0</v>
      </c>
      <c r="E164" s="154">
        <v>0.25</v>
      </c>
      <c r="F164" s="152" t="s">
        <v>662</v>
      </c>
      <c r="G164" s="154">
        <v>0.1538</v>
      </c>
      <c r="H164" s="154">
        <v>0.0</v>
      </c>
      <c r="I164" s="154">
        <v>0.1538</v>
      </c>
      <c r="J164" s="154">
        <v>0.0</v>
      </c>
      <c r="K164" s="154">
        <v>0.0769</v>
      </c>
      <c r="L164" s="152" t="s">
        <v>395</v>
      </c>
      <c r="M164" s="154">
        <v>0.1538</v>
      </c>
    </row>
    <row r="165">
      <c r="A165" s="156" t="s">
        <v>367</v>
      </c>
      <c r="B165" s="157">
        <v>12.0</v>
      </c>
      <c r="C165" s="157">
        <v>8.0</v>
      </c>
      <c r="D165" s="157">
        <v>4.0</v>
      </c>
      <c r="E165" s="158">
        <v>0.5</v>
      </c>
      <c r="F165" s="156" t="s">
        <v>662</v>
      </c>
      <c r="G165" s="158">
        <v>0.0</v>
      </c>
      <c r="H165" s="158">
        <v>0.0</v>
      </c>
      <c r="I165" s="158">
        <v>0.1</v>
      </c>
      <c r="J165" s="158">
        <v>0.0</v>
      </c>
      <c r="K165" s="158">
        <v>0.4</v>
      </c>
      <c r="L165" s="156" t="s">
        <v>137</v>
      </c>
      <c r="M165" s="158">
        <v>0.4</v>
      </c>
    </row>
    <row r="166">
      <c r="A166" s="152" t="s">
        <v>342</v>
      </c>
      <c r="B166" s="153">
        <v>23.0</v>
      </c>
      <c r="C166" s="153">
        <v>21.0</v>
      </c>
      <c r="D166" s="153">
        <v>3.0</v>
      </c>
      <c r="E166" s="154">
        <v>0.143</v>
      </c>
      <c r="F166" s="152" t="s">
        <v>662</v>
      </c>
      <c r="G166" s="154">
        <v>0.0476</v>
      </c>
      <c r="H166" s="154">
        <v>0.0</v>
      </c>
      <c r="I166" s="154">
        <v>0.0476</v>
      </c>
      <c r="J166" s="154">
        <v>0.0</v>
      </c>
      <c r="K166" s="154">
        <v>0.0952</v>
      </c>
      <c r="L166" s="152" t="s">
        <v>137</v>
      </c>
      <c r="M166" s="154">
        <v>0.0952</v>
      </c>
    </row>
    <row r="167">
      <c r="A167" s="156" t="s">
        <v>601</v>
      </c>
      <c r="B167" s="157">
        <v>53.0</v>
      </c>
      <c r="C167" s="157">
        <v>51.0</v>
      </c>
      <c r="D167" s="157">
        <v>4.0</v>
      </c>
      <c r="E167" s="158">
        <v>0.078</v>
      </c>
      <c r="F167" s="156" t="s">
        <v>662</v>
      </c>
      <c r="G167" s="158">
        <v>0.0364</v>
      </c>
      <c r="H167" s="158">
        <v>0.0</v>
      </c>
      <c r="I167" s="158">
        <v>0.0182</v>
      </c>
      <c r="J167" s="158">
        <v>0.0</v>
      </c>
      <c r="K167" s="158">
        <v>0.0545</v>
      </c>
      <c r="L167" s="156" t="s">
        <v>137</v>
      </c>
      <c r="M167" s="158">
        <v>0.0545</v>
      </c>
    </row>
    <row r="168">
      <c r="A168" s="176" t="s">
        <v>440</v>
      </c>
      <c r="B168" s="153">
        <v>15.0</v>
      </c>
      <c r="C168" s="153">
        <v>9.0</v>
      </c>
      <c r="D168" s="153">
        <v>3.0</v>
      </c>
      <c r="E168" s="154">
        <v>0.333</v>
      </c>
      <c r="F168" s="152" t="s">
        <v>662</v>
      </c>
      <c r="G168" s="154">
        <v>0.1</v>
      </c>
      <c r="H168" s="154">
        <v>0.1</v>
      </c>
      <c r="I168" s="154">
        <v>0.2</v>
      </c>
      <c r="J168" s="154">
        <v>0.0</v>
      </c>
      <c r="K168" s="154">
        <v>0.1</v>
      </c>
      <c r="L168" s="152" t="s">
        <v>602</v>
      </c>
      <c r="M168" s="154">
        <v>0.2</v>
      </c>
    </row>
    <row r="169">
      <c r="A169" s="156" t="s">
        <v>172</v>
      </c>
      <c r="B169" s="157">
        <v>30.0</v>
      </c>
      <c r="C169" s="157">
        <v>29.0</v>
      </c>
      <c r="D169" s="157">
        <v>3.0</v>
      </c>
      <c r="E169" s="158">
        <v>0.103</v>
      </c>
      <c r="F169" s="156" t="s">
        <v>662</v>
      </c>
      <c r="G169" s="158">
        <v>0.0667</v>
      </c>
      <c r="H169" s="158">
        <v>0.0333</v>
      </c>
      <c r="I169" s="158">
        <v>0.1333</v>
      </c>
      <c r="J169" s="158">
        <v>0.0</v>
      </c>
      <c r="K169" s="158">
        <v>0.0</v>
      </c>
      <c r="L169" s="156" t="s">
        <v>602</v>
      </c>
      <c r="M169" s="158">
        <v>0.1333</v>
      </c>
    </row>
    <row r="170">
      <c r="A170" s="152" t="s">
        <v>584</v>
      </c>
      <c r="B170" s="153">
        <v>41.0</v>
      </c>
      <c r="C170" s="153">
        <v>36.0</v>
      </c>
      <c r="D170" s="153">
        <v>7.0</v>
      </c>
      <c r="E170" s="154">
        <v>0.194</v>
      </c>
      <c r="F170" s="152" t="s">
        <v>662</v>
      </c>
      <c r="G170" s="154">
        <v>0.1053</v>
      </c>
      <c r="H170" s="154">
        <v>0.0</v>
      </c>
      <c r="I170" s="154">
        <v>0.1316</v>
      </c>
      <c r="J170" s="154">
        <v>0.0263</v>
      </c>
      <c r="K170" s="154">
        <v>0.0526</v>
      </c>
      <c r="L170" s="152" t="s">
        <v>602</v>
      </c>
      <c r="M170" s="154">
        <v>0.1316</v>
      </c>
    </row>
    <row r="171">
      <c r="A171" s="156" t="s">
        <v>510</v>
      </c>
      <c r="B171" s="157">
        <v>39.0</v>
      </c>
      <c r="C171" s="157">
        <v>32.0</v>
      </c>
      <c r="D171" s="157">
        <v>3.0</v>
      </c>
      <c r="E171" s="158">
        <v>0.094</v>
      </c>
      <c r="F171" s="156" t="s">
        <v>662</v>
      </c>
      <c r="G171" s="158">
        <v>0.0278</v>
      </c>
      <c r="H171" s="158">
        <v>0.0</v>
      </c>
      <c r="I171" s="158">
        <v>0.1111</v>
      </c>
      <c r="J171" s="158">
        <v>0.0</v>
      </c>
      <c r="K171" s="158">
        <v>0.0556</v>
      </c>
      <c r="L171" s="156" t="s">
        <v>602</v>
      </c>
      <c r="M171" s="158">
        <v>0.1111</v>
      </c>
    </row>
    <row r="172">
      <c r="A172" s="152" t="s">
        <v>603</v>
      </c>
      <c r="B172" s="153">
        <v>44.0</v>
      </c>
      <c r="C172" s="153">
        <v>39.0</v>
      </c>
      <c r="D172" s="153">
        <v>3.0</v>
      </c>
      <c r="E172" s="154">
        <v>0.077</v>
      </c>
      <c r="F172" s="152" t="s">
        <v>662</v>
      </c>
      <c r="G172" s="154">
        <v>0.05</v>
      </c>
      <c r="H172" s="154">
        <v>0.0</v>
      </c>
      <c r="I172" s="154">
        <v>0.05</v>
      </c>
      <c r="J172" s="154">
        <v>0.0</v>
      </c>
      <c r="K172" s="154">
        <v>0.025</v>
      </c>
      <c r="L172" s="152" t="s">
        <v>602</v>
      </c>
      <c r="M172" s="154">
        <v>0.05</v>
      </c>
    </row>
    <row r="173">
      <c r="A173" s="156" t="s">
        <v>604</v>
      </c>
      <c r="B173" s="157">
        <v>85.0</v>
      </c>
      <c r="C173" s="157">
        <v>80.0</v>
      </c>
      <c r="D173" s="157">
        <v>5.0</v>
      </c>
      <c r="E173" s="158">
        <v>0.063</v>
      </c>
      <c r="F173" s="156" t="s">
        <v>662</v>
      </c>
      <c r="G173" s="158">
        <v>0.025</v>
      </c>
      <c r="H173" s="158">
        <v>0.025</v>
      </c>
      <c r="I173" s="158">
        <v>0.0375</v>
      </c>
      <c r="J173" s="158">
        <v>0.0</v>
      </c>
      <c r="K173" s="158">
        <v>0.025</v>
      </c>
      <c r="L173" s="156" t="s">
        <v>602</v>
      </c>
      <c r="M173" s="158">
        <v>0.0375</v>
      </c>
    </row>
    <row r="174">
      <c r="A174" s="152" t="s">
        <v>535</v>
      </c>
      <c r="B174" s="153">
        <v>8.0</v>
      </c>
      <c r="C174" s="153">
        <v>4.0</v>
      </c>
      <c r="D174" s="153">
        <v>3.0</v>
      </c>
      <c r="E174" s="154">
        <v>0.75</v>
      </c>
      <c r="F174" s="152" t="s">
        <v>662</v>
      </c>
      <c r="G174" s="154">
        <v>0.0</v>
      </c>
      <c r="H174" s="154">
        <v>0.4286</v>
      </c>
      <c r="I174" s="154">
        <v>0.1429</v>
      </c>
      <c r="J174" s="154">
        <v>0.0</v>
      </c>
      <c r="K174" s="154">
        <v>0.0</v>
      </c>
      <c r="L174" s="152" t="s">
        <v>19</v>
      </c>
      <c r="M174" s="154">
        <v>0.4286</v>
      </c>
    </row>
    <row r="175">
      <c r="A175" s="156" t="s">
        <v>591</v>
      </c>
      <c r="B175" s="157">
        <v>52.0</v>
      </c>
      <c r="C175" s="157">
        <v>42.0</v>
      </c>
      <c r="D175" s="157">
        <v>11.0</v>
      </c>
      <c r="E175" s="158">
        <v>0.262</v>
      </c>
      <c r="F175" s="156" t="s">
        <v>662</v>
      </c>
      <c r="G175" s="158">
        <v>0.0227</v>
      </c>
      <c r="H175" s="158">
        <v>0.2045</v>
      </c>
      <c r="I175" s="158">
        <v>0.0</v>
      </c>
      <c r="J175" s="158">
        <v>0.0227</v>
      </c>
      <c r="K175" s="158">
        <v>0.0</v>
      </c>
      <c r="L175" s="156" t="s">
        <v>19</v>
      </c>
      <c r="M175" s="158">
        <v>0.2045</v>
      </c>
    </row>
    <row r="176">
      <c r="A176" s="152" t="s">
        <v>548</v>
      </c>
      <c r="B176" s="153">
        <v>72.0</v>
      </c>
      <c r="C176" s="153">
        <v>43.0</v>
      </c>
      <c r="D176" s="153">
        <v>17.0</v>
      </c>
      <c r="E176" s="154">
        <v>0.395</v>
      </c>
      <c r="F176" s="152" t="s">
        <v>662</v>
      </c>
      <c r="G176" s="154">
        <v>0.1111</v>
      </c>
      <c r="H176" s="154">
        <v>0.1481</v>
      </c>
      <c r="I176" s="154">
        <v>0.0185</v>
      </c>
      <c r="J176" s="154">
        <v>0.037</v>
      </c>
      <c r="K176" s="154">
        <v>0.0741</v>
      </c>
      <c r="L176" s="152" t="s">
        <v>19</v>
      </c>
      <c r="M176" s="154">
        <v>0.1481</v>
      </c>
    </row>
    <row r="177">
      <c r="A177" s="156" t="s">
        <v>302</v>
      </c>
      <c r="B177" s="157">
        <v>15.0</v>
      </c>
      <c r="C177" s="157">
        <v>12.0</v>
      </c>
      <c r="D177" s="157">
        <v>5.0</v>
      </c>
      <c r="E177" s="158">
        <v>0.417</v>
      </c>
      <c r="F177" s="156" t="s">
        <v>662</v>
      </c>
      <c r="G177" s="158">
        <v>0.1538</v>
      </c>
      <c r="H177" s="158">
        <v>0.0</v>
      </c>
      <c r="I177" s="158">
        <v>0.1538</v>
      </c>
      <c r="J177" s="158">
        <v>0.2308</v>
      </c>
      <c r="K177" s="158">
        <v>0.0</v>
      </c>
      <c r="L177" s="156" t="s">
        <v>415</v>
      </c>
      <c r="M177" s="158">
        <v>0.2308</v>
      </c>
    </row>
    <row r="178">
      <c r="A178" s="152" t="s">
        <v>579</v>
      </c>
      <c r="B178" s="153">
        <v>10.0</v>
      </c>
      <c r="C178" s="153">
        <v>10.0</v>
      </c>
      <c r="D178" s="153">
        <v>3.0</v>
      </c>
      <c r="E178" s="154">
        <v>0.3</v>
      </c>
      <c r="F178" s="152" t="s">
        <v>662</v>
      </c>
      <c r="G178" s="154">
        <v>0.0909</v>
      </c>
      <c r="H178" s="154">
        <v>0.0</v>
      </c>
      <c r="I178" s="154">
        <v>0.0909</v>
      </c>
      <c r="J178" s="154">
        <v>0.1818</v>
      </c>
      <c r="K178" s="154">
        <v>0.0</v>
      </c>
      <c r="L178" s="152" t="s">
        <v>415</v>
      </c>
      <c r="M178" s="154">
        <v>0.1818</v>
      </c>
    </row>
    <row r="179">
      <c r="A179" s="152" t="s">
        <v>302</v>
      </c>
      <c r="B179" s="153">
        <v>26.0</v>
      </c>
      <c r="C179" s="153">
        <v>15.0</v>
      </c>
      <c r="D179" s="153">
        <v>10.0</v>
      </c>
      <c r="E179" s="154">
        <v>0.667</v>
      </c>
      <c r="F179" s="152" t="s">
        <v>662</v>
      </c>
      <c r="G179" s="154">
        <v>0.381</v>
      </c>
      <c r="H179" s="154">
        <v>0.0476</v>
      </c>
      <c r="I179" s="154">
        <v>0.1905</v>
      </c>
      <c r="J179" s="154">
        <v>0.0</v>
      </c>
      <c r="K179" s="154">
        <v>0.0476</v>
      </c>
      <c r="L179" s="152" t="s">
        <v>43</v>
      </c>
      <c r="M179" s="155">
        <v>0.381</v>
      </c>
    </row>
    <row r="180">
      <c r="A180" s="156" t="s">
        <v>517</v>
      </c>
      <c r="B180" s="157">
        <v>26.0</v>
      </c>
      <c r="C180" s="157">
        <v>16.0</v>
      </c>
      <c r="D180" s="157">
        <v>5.0</v>
      </c>
      <c r="E180" s="158">
        <v>0.313</v>
      </c>
      <c r="F180" s="156" t="s">
        <v>662</v>
      </c>
      <c r="G180" s="158">
        <v>0.1818</v>
      </c>
      <c r="H180" s="158">
        <v>0.0</v>
      </c>
      <c r="I180" s="158">
        <v>0.0455</v>
      </c>
      <c r="J180" s="158">
        <v>0.0455</v>
      </c>
      <c r="K180" s="158">
        <v>0.0909</v>
      </c>
      <c r="L180" s="156" t="s">
        <v>43</v>
      </c>
      <c r="M180" s="159">
        <v>0.1818</v>
      </c>
    </row>
    <row r="181">
      <c r="A181" s="152" t="s">
        <v>180</v>
      </c>
      <c r="B181" s="153">
        <v>64.0</v>
      </c>
      <c r="C181" s="153">
        <v>63.0</v>
      </c>
      <c r="D181" s="153">
        <v>5.0</v>
      </c>
      <c r="E181" s="154">
        <v>0.079</v>
      </c>
      <c r="F181" s="152" t="s">
        <v>662</v>
      </c>
      <c r="G181" s="154">
        <v>0.0635</v>
      </c>
      <c r="H181" s="154">
        <v>0.0159</v>
      </c>
      <c r="I181" s="154">
        <v>0.0159</v>
      </c>
      <c r="J181" s="154">
        <v>0.0</v>
      </c>
      <c r="K181" s="154">
        <v>0.0</v>
      </c>
      <c r="L181" s="152" t="s">
        <v>43</v>
      </c>
      <c r="M181" s="155">
        <v>0.0635</v>
      </c>
    </row>
    <row r="182">
      <c r="A182" s="156" t="s">
        <v>606</v>
      </c>
      <c r="B182" s="157">
        <v>93.0</v>
      </c>
      <c r="C182" s="157">
        <v>90.0</v>
      </c>
      <c r="D182" s="157">
        <v>6.0</v>
      </c>
      <c r="E182" s="158">
        <v>0.067</v>
      </c>
      <c r="F182" s="156" t="s">
        <v>662</v>
      </c>
      <c r="G182" s="158">
        <v>0.0532</v>
      </c>
      <c r="H182" s="158">
        <v>0.0</v>
      </c>
      <c r="I182" s="158">
        <v>0.0426</v>
      </c>
      <c r="J182" s="158">
        <v>0.0</v>
      </c>
      <c r="K182" s="158">
        <v>0.0106</v>
      </c>
      <c r="L182" s="156" t="s">
        <v>43</v>
      </c>
      <c r="M182" s="159">
        <v>0.0532</v>
      </c>
    </row>
    <row r="183">
      <c r="A183" s="152" t="s">
        <v>607</v>
      </c>
      <c r="B183" s="153">
        <v>201.0</v>
      </c>
      <c r="C183" s="153">
        <v>198.0</v>
      </c>
      <c r="D183" s="153">
        <v>11.0</v>
      </c>
      <c r="E183" s="154">
        <v>0.056</v>
      </c>
      <c r="F183" s="152" t="s">
        <v>662</v>
      </c>
      <c r="G183" s="154">
        <v>0.04</v>
      </c>
      <c r="H183" s="154">
        <v>0.0</v>
      </c>
      <c r="I183" s="154">
        <v>0.015</v>
      </c>
      <c r="J183" s="154">
        <v>0.015</v>
      </c>
      <c r="K183" s="154">
        <v>0.005</v>
      </c>
      <c r="L183" s="152" t="s">
        <v>43</v>
      </c>
      <c r="M183" s="155">
        <v>0.04</v>
      </c>
    </row>
    <row r="184">
      <c r="A184" s="156" t="s">
        <v>608</v>
      </c>
      <c r="B184" s="157">
        <v>127.0</v>
      </c>
      <c r="C184" s="157">
        <v>115.0</v>
      </c>
      <c r="D184" s="157">
        <v>7.0</v>
      </c>
      <c r="E184" s="158">
        <v>0.061</v>
      </c>
      <c r="F184" s="156" t="s">
        <v>662</v>
      </c>
      <c r="G184" s="158">
        <v>0.042</v>
      </c>
      <c r="H184" s="158">
        <v>0.0</v>
      </c>
      <c r="I184" s="158">
        <v>0.042</v>
      </c>
      <c r="J184" s="158">
        <v>0.0168</v>
      </c>
      <c r="K184" s="158">
        <v>0.0</v>
      </c>
      <c r="L184" s="156" t="s">
        <v>395</v>
      </c>
      <c r="M184" s="159">
        <v>0.042</v>
      </c>
    </row>
    <row r="185">
      <c r="A185" s="177" t="s">
        <v>367</v>
      </c>
      <c r="B185" s="178">
        <v>16.0</v>
      </c>
      <c r="C185" s="178">
        <v>11.0</v>
      </c>
      <c r="D185" s="178">
        <v>7.0</v>
      </c>
      <c r="E185" s="179">
        <v>0.636</v>
      </c>
      <c r="F185" s="177" t="s">
        <v>662</v>
      </c>
      <c r="G185" s="179">
        <v>0.1053</v>
      </c>
      <c r="H185" s="179">
        <v>0.0</v>
      </c>
      <c r="I185" s="179">
        <v>0.1579</v>
      </c>
      <c r="J185" s="179">
        <v>0.3158</v>
      </c>
      <c r="K185" s="179">
        <v>0.0</v>
      </c>
      <c r="L185" s="177" t="s">
        <v>137</v>
      </c>
      <c r="M185" s="180">
        <v>0.3158</v>
      </c>
    </row>
    <row r="186">
      <c r="A186" s="156" t="s">
        <v>374</v>
      </c>
      <c r="B186" s="157">
        <v>115.0</v>
      </c>
      <c r="C186" s="157">
        <v>108.0</v>
      </c>
      <c r="D186" s="157">
        <v>13.0</v>
      </c>
      <c r="E186" s="158">
        <v>0.12</v>
      </c>
      <c r="F186" s="156" t="s">
        <v>662</v>
      </c>
      <c r="G186" s="158">
        <v>0.0182</v>
      </c>
      <c r="H186" s="158">
        <v>0.0091</v>
      </c>
      <c r="I186" s="158">
        <v>0.0273</v>
      </c>
      <c r="J186" s="158">
        <v>0.1</v>
      </c>
      <c r="K186" s="158">
        <v>0.0</v>
      </c>
      <c r="L186" s="156" t="s">
        <v>137</v>
      </c>
      <c r="M186" s="159">
        <v>0.1</v>
      </c>
    </row>
    <row r="187">
      <c r="A187" s="152" t="s">
        <v>311</v>
      </c>
      <c r="B187" s="153">
        <v>203.0</v>
      </c>
      <c r="C187" s="153">
        <v>195.0</v>
      </c>
      <c r="D187" s="153">
        <v>13.0</v>
      </c>
      <c r="E187" s="154">
        <v>0.067</v>
      </c>
      <c r="F187" s="152" t="s">
        <v>662</v>
      </c>
      <c r="G187" s="154">
        <v>0.0305</v>
      </c>
      <c r="H187" s="154">
        <v>0.0</v>
      </c>
      <c r="I187" s="154">
        <v>0.0254</v>
      </c>
      <c r="J187" s="154">
        <v>0.0457</v>
      </c>
      <c r="K187" s="154">
        <v>0.0</v>
      </c>
      <c r="L187" s="152" t="s">
        <v>137</v>
      </c>
      <c r="M187" s="155">
        <v>0.0457</v>
      </c>
    </row>
    <row r="188">
      <c r="A188" s="156" t="s">
        <v>609</v>
      </c>
      <c r="B188" s="157">
        <v>135.0</v>
      </c>
      <c r="C188" s="157">
        <v>127.0</v>
      </c>
      <c r="D188" s="157">
        <v>7.0</v>
      </c>
      <c r="E188" s="158">
        <v>0.055</v>
      </c>
      <c r="F188" s="156" t="s">
        <v>662</v>
      </c>
      <c r="G188" s="158">
        <v>0.0155</v>
      </c>
      <c r="H188" s="158">
        <v>0.0</v>
      </c>
      <c r="I188" s="158">
        <v>0.0233</v>
      </c>
      <c r="J188" s="158">
        <v>0.0388</v>
      </c>
      <c r="K188" s="158">
        <v>0.0</v>
      </c>
      <c r="L188" s="156" t="s">
        <v>137</v>
      </c>
      <c r="M188" s="159">
        <v>0.0388</v>
      </c>
    </row>
    <row r="189">
      <c r="A189" s="152" t="s">
        <v>610</v>
      </c>
      <c r="B189" s="153">
        <v>104.0</v>
      </c>
      <c r="C189" s="153">
        <v>97.0</v>
      </c>
      <c r="D189" s="153">
        <v>5.0</v>
      </c>
      <c r="E189" s="154">
        <v>0.052</v>
      </c>
      <c r="F189" s="152" t="s">
        <v>662</v>
      </c>
      <c r="G189" s="154">
        <v>0.0206</v>
      </c>
      <c r="H189" s="154">
        <v>0.0</v>
      </c>
      <c r="I189" s="154">
        <v>0.0825</v>
      </c>
      <c r="J189" s="154">
        <v>0.0206</v>
      </c>
      <c r="K189" s="154">
        <v>0.0103</v>
      </c>
      <c r="L189" s="152" t="s">
        <v>405</v>
      </c>
      <c r="M189" s="155">
        <v>0.0825</v>
      </c>
    </row>
    <row r="190">
      <c r="A190" s="156" t="s">
        <v>611</v>
      </c>
      <c r="B190" s="157">
        <v>32.0</v>
      </c>
      <c r="C190" s="157">
        <v>31.0</v>
      </c>
      <c r="D190" s="157">
        <v>6.0</v>
      </c>
      <c r="E190" s="158">
        <v>0.194</v>
      </c>
      <c r="F190" s="156" t="s">
        <v>662</v>
      </c>
      <c r="G190" s="158">
        <v>0.0909</v>
      </c>
      <c r="H190" s="158">
        <v>0.0303</v>
      </c>
      <c r="I190" s="158">
        <v>0.1212</v>
      </c>
      <c r="J190" s="158">
        <v>0.0606</v>
      </c>
      <c r="K190" s="158">
        <v>0.0303</v>
      </c>
      <c r="L190" s="156" t="s">
        <v>602</v>
      </c>
      <c r="M190" s="159">
        <v>0.1212</v>
      </c>
    </row>
    <row r="191">
      <c r="A191" s="152" t="s">
        <v>612</v>
      </c>
      <c r="B191" s="153">
        <v>82.0</v>
      </c>
      <c r="C191" s="153">
        <v>76.0</v>
      </c>
      <c r="D191" s="153">
        <v>6.0</v>
      </c>
      <c r="E191" s="154">
        <v>0.079</v>
      </c>
      <c r="F191" s="152" t="s">
        <v>662</v>
      </c>
      <c r="G191" s="154">
        <v>0.0263</v>
      </c>
      <c r="H191" s="154">
        <v>0.0</v>
      </c>
      <c r="I191" s="154">
        <v>0.0526</v>
      </c>
      <c r="J191" s="154">
        <v>0.0526</v>
      </c>
      <c r="K191" s="154">
        <v>0.0</v>
      </c>
      <c r="L191" s="152" t="s">
        <v>409</v>
      </c>
      <c r="M191" s="155">
        <v>0.0526</v>
      </c>
    </row>
    <row r="192">
      <c r="A192" s="156" t="s">
        <v>265</v>
      </c>
      <c r="B192" s="157">
        <v>12.0</v>
      </c>
      <c r="C192" s="157">
        <v>9.0</v>
      </c>
      <c r="D192" s="157">
        <v>9.0</v>
      </c>
      <c r="E192" s="158">
        <v>1.0</v>
      </c>
      <c r="F192" s="156" t="s">
        <v>662</v>
      </c>
      <c r="G192" s="158">
        <v>0.1</v>
      </c>
      <c r="H192" s="158">
        <v>0.7</v>
      </c>
      <c r="I192" s="158">
        <v>0.0</v>
      </c>
      <c r="J192" s="158">
        <v>0.0</v>
      </c>
      <c r="K192" s="158">
        <v>0.1</v>
      </c>
      <c r="L192" s="156" t="s">
        <v>19</v>
      </c>
      <c r="M192" s="159">
        <v>0.7</v>
      </c>
    </row>
    <row r="193">
      <c r="A193" s="152" t="s">
        <v>461</v>
      </c>
      <c r="B193" s="153">
        <v>6.0</v>
      </c>
      <c r="C193" s="153">
        <v>6.0</v>
      </c>
      <c r="D193" s="153">
        <v>6.0</v>
      </c>
      <c r="E193" s="154">
        <v>1.0</v>
      </c>
      <c r="F193" s="152" t="s">
        <v>662</v>
      </c>
      <c r="G193" s="154">
        <v>0.0</v>
      </c>
      <c r="H193" s="154">
        <v>1.0</v>
      </c>
      <c r="I193" s="154">
        <v>0.0</v>
      </c>
      <c r="J193" s="154">
        <v>0.0</v>
      </c>
      <c r="K193" s="154">
        <v>0.0</v>
      </c>
      <c r="L193" s="152" t="s">
        <v>19</v>
      </c>
      <c r="M193" s="155">
        <v>1.0</v>
      </c>
    </row>
    <row r="194">
      <c r="A194" s="156" t="s">
        <v>545</v>
      </c>
      <c r="B194" s="157">
        <v>7.0</v>
      </c>
      <c r="C194" s="157">
        <v>7.0</v>
      </c>
      <c r="D194" s="157">
        <v>6.0</v>
      </c>
      <c r="E194" s="158">
        <v>0.857</v>
      </c>
      <c r="F194" s="156" t="s">
        <v>662</v>
      </c>
      <c r="G194" s="158">
        <v>0.0909</v>
      </c>
      <c r="H194" s="158">
        <v>0.4545</v>
      </c>
      <c r="I194" s="158">
        <v>0.0909</v>
      </c>
      <c r="J194" s="158">
        <v>0.0</v>
      </c>
      <c r="K194" s="158">
        <v>0.0</v>
      </c>
      <c r="L194" s="156" t="s">
        <v>19</v>
      </c>
      <c r="M194" s="159">
        <v>0.4545</v>
      </c>
    </row>
    <row r="195">
      <c r="A195" s="177" t="s">
        <v>376</v>
      </c>
      <c r="B195" s="178">
        <v>13.0</v>
      </c>
      <c r="C195" s="178">
        <v>11.0</v>
      </c>
      <c r="D195" s="178">
        <v>6.0</v>
      </c>
      <c r="E195" s="179">
        <v>0.545</v>
      </c>
      <c r="F195" s="177" t="s">
        <v>662</v>
      </c>
      <c r="G195" s="179">
        <v>0.125</v>
      </c>
      <c r="H195" s="179">
        <v>0.25</v>
      </c>
      <c r="I195" s="179">
        <v>0.0625</v>
      </c>
      <c r="J195" s="179">
        <v>0.1875</v>
      </c>
      <c r="K195" s="179">
        <v>0.0625</v>
      </c>
      <c r="L195" s="177" t="s">
        <v>19</v>
      </c>
      <c r="M195" s="180">
        <v>0.25</v>
      </c>
    </row>
    <row r="196">
      <c r="A196" s="156" t="s">
        <v>548</v>
      </c>
      <c r="B196" s="157">
        <v>154.0</v>
      </c>
      <c r="C196" s="157">
        <v>125.0</v>
      </c>
      <c r="D196" s="157">
        <v>44.0</v>
      </c>
      <c r="E196" s="158">
        <v>0.352</v>
      </c>
      <c r="F196" s="156" t="s">
        <v>662</v>
      </c>
      <c r="G196" s="158">
        <v>0.0314</v>
      </c>
      <c r="H196" s="158">
        <v>0.3019</v>
      </c>
      <c r="I196" s="158">
        <v>0.0629</v>
      </c>
      <c r="J196" s="158">
        <v>0.0252</v>
      </c>
      <c r="K196" s="158">
        <v>0.0063</v>
      </c>
      <c r="L196" s="156" t="s">
        <v>19</v>
      </c>
      <c r="M196" s="159">
        <v>0.3019</v>
      </c>
    </row>
    <row r="197">
      <c r="A197" s="152" t="s">
        <v>342</v>
      </c>
      <c r="B197" s="153">
        <v>101.0</v>
      </c>
      <c r="C197" s="153">
        <v>96.0</v>
      </c>
      <c r="D197" s="153">
        <v>26.0</v>
      </c>
      <c r="E197" s="154">
        <v>0.271</v>
      </c>
      <c r="F197" s="152" t="s">
        <v>662</v>
      </c>
      <c r="G197" s="154">
        <v>0.0388</v>
      </c>
      <c r="H197" s="154">
        <v>0.1553</v>
      </c>
      <c r="I197" s="154">
        <v>0.0388</v>
      </c>
      <c r="J197" s="154">
        <v>0.0777</v>
      </c>
      <c r="K197" s="154">
        <v>0.0194</v>
      </c>
      <c r="L197" s="152" t="s">
        <v>19</v>
      </c>
      <c r="M197" s="155">
        <v>0.1553</v>
      </c>
    </row>
    <row r="198">
      <c r="A198" s="156" t="s">
        <v>510</v>
      </c>
      <c r="B198" s="157">
        <v>49.0</v>
      </c>
      <c r="C198" s="157">
        <v>42.0</v>
      </c>
      <c r="D198" s="157">
        <v>9.0</v>
      </c>
      <c r="E198" s="158">
        <v>0.214</v>
      </c>
      <c r="F198" s="156" t="s">
        <v>662</v>
      </c>
      <c r="G198" s="158">
        <v>0.0612</v>
      </c>
      <c r="H198" s="158">
        <v>0.1429</v>
      </c>
      <c r="I198" s="158">
        <v>0.0408</v>
      </c>
      <c r="J198" s="158">
        <v>0.0204</v>
      </c>
      <c r="K198" s="158">
        <v>0.0</v>
      </c>
      <c r="L198" s="156" t="s">
        <v>19</v>
      </c>
      <c r="M198" s="159">
        <v>0.1429</v>
      </c>
    </row>
    <row r="199">
      <c r="A199" s="152" t="s">
        <v>293</v>
      </c>
      <c r="B199" s="153">
        <v>61.0</v>
      </c>
      <c r="C199" s="153">
        <v>61.0</v>
      </c>
      <c r="D199" s="153">
        <v>7.0</v>
      </c>
      <c r="E199" s="154">
        <v>0.115</v>
      </c>
      <c r="F199" s="152" t="s">
        <v>662</v>
      </c>
      <c r="G199" s="154">
        <v>0.0328</v>
      </c>
      <c r="H199" s="154">
        <v>0.0492</v>
      </c>
      <c r="I199" s="154">
        <v>0.0328</v>
      </c>
      <c r="J199" s="154">
        <v>0.0328</v>
      </c>
      <c r="K199" s="154">
        <v>0.0</v>
      </c>
      <c r="L199" s="152" t="s">
        <v>19</v>
      </c>
      <c r="M199" s="155">
        <v>0.0492</v>
      </c>
    </row>
    <row r="200">
      <c r="A200" s="156" t="s">
        <v>605</v>
      </c>
      <c r="B200" s="157">
        <v>8.0</v>
      </c>
      <c r="C200" s="157">
        <v>7.0</v>
      </c>
      <c r="D200" s="157">
        <v>5.0</v>
      </c>
      <c r="E200" s="158">
        <v>0.714</v>
      </c>
      <c r="F200" s="156" t="s">
        <v>662</v>
      </c>
      <c r="G200" s="158">
        <v>0.1429</v>
      </c>
      <c r="H200" s="158">
        <v>0.0</v>
      </c>
      <c r="I200" s="158">
        <v>0.1429</v>
      </c>
      <c r="J200" s="158">
        <v>0.0</v>
      </c>
      <c r="K200" s="158">
        <v>0.5714</v>
      </c>
      <c r="L200" s="156" t="s">
        <v>415</v>
      </c>
      <c r="M200" s="159">
        <v>0.5714</v>
      </c>
    </row>
    <row r="201">
      <c r="A201" s="152" t="s">
        <v>614</v>
      </c>
      <c r="B201" s="153">
        <v>17.0</v>
      </c>
      <c r="C201" s="153">
        <v>17.0</v>
      </c>
      <c r="D201" s="153">
        <v>4.0</v>
      </c>
      <c r="E201" s="154">
        <v>0.235</v>
      </c>
      <c r="F201" s="152" t="s">
        <v>662</v>
      </c>
      <c r="G201" s="154">
        <v>0.1053</v>
      </c>
      <c r="H201" s="154">
        <v>0.0526</v>
      </c>
      <c r="I201" s="154">
        <v>0.0</v>
      </c>
      <c r="J201" s="154">
        <v>0.0526</v>
      </c>
      <c r="K201" s="154">
        <v>0.0</v>
      </c>
      <c r="L201" s="152" t="s">
        <v>43</v>
      </c>
      <c r="M201" s="155">
        <v>0.1053</v>
      </c>
    </row>
    <row r="202">
      <c r="A202" s="181" t="s">
        <v>589</v>
      </c>
      <c r="B202" s="182">
        <v>74.0</v>
      </c>
      <c r="C202" s="182">
        <v>73.0</v>
      </c>
      <c r="D202" s="182">
        <v>4.0</v>
      </c>
      <c r="E202" s="183">
        <v>0.055</v>
      </c>
      <c r="F202" s="181" t="s">
        <v>662</v>
      </c>
      <c r="G202" s="183">
        <v>0.0548</v>
      </c>
      <c r="H202" s="183">
        <v>0.0</v>
      </c>
      <c r="I202" s="183">
        <v>0.0411</v>
      </c>
      <c r="J202" s="183">
        <v>0.0</v>
      </c>
      <c r="K202" s="183">
        <v>0.0</v>
      </c>
      <c r="L202" s="181" t="s">
        <v>43</v>
      </c>
      <c r="M202" s="184">
        <v>0.0548</v>
      </c>
    </row>
    <row r="203">
      <c r="A203" s="185" t="s">
        <v>615</v>
      </c>
      <c r="B203" s="186">
        <v>55.0</v>
      </c>
      <c r="C203" s="186">
        <v>47.0</v>
      </c>
      <c r="D203" s="186">
        <v>4.0</v>
      </c>
      <c r="E203" s="187">
        <v>0.085</v>
      </c>
      <c r="F203" s="185" t="s">
        <v>662</v>
      </c>
      <c r="G203" s="187">
        <v>0.0784</v>
      </c>
      <c r="H203" s="187">
        <v>0.0</v>
      </c>
      <c r="I203" s="187">
        <v>0.0588</v>
      </c>
      <c r="J203" s="187">
        <v>0.0</v>
      </c>
      <c r="K203" s="187">
        <v>0.0</v>
      </c>
      <c r="L203" s="185" t="s">
        <v>43</v>
      </c>
      <c r="M203" s="188">
        <v>0.0784</v>
      </c>
    </row>
    <row r="204">
      <c r="A204" s="185" t="s">
        <v>616</v>
      </c>
      <c r="B204" s="186">
        <v>40.0</v>
      </c>
      <c r="C204" s="186">
        <v>38.0</v>
      </c>
      <c r="D204" s="186">
        <v>4.0</v>
      </c>
      <c r="E204" s="187">
        <v>0.105</v>
      </c>
      <c r="F204" s="185" t="s">
        <v>662</v>
      </c>
      <c r="G204" s="187">
        <v>0.1053</v>
      </c>
      <c r="H204" s="187">
        <v>0.0</v>
      </c>
      <c r="I204" s="187">
        <v>0.0</v>
      </c>
      <c r="J204" s="187">
        <v>0.0</v>
      </c>
      <c r="K204" s="187">
        <v>0.0</v>
      </c>
      <c r="L204" s="185" t="s">
        <v>43</v>
      </c>
      <c r="M204" s="188">
        <v>0.1053</v>
      </c>
    </row>
    <row r="205">
      <c r="A205" s="181" t="s">
        <v>617</v>
      </c>
      <c r="B205" s="182">
        <v>14.0</v>
      </c>
      <c r="C205" s="182">
        <v>14.0</v>
      </c>
      <c r="D205" s="182">
        <v>4.0</v>
      </c>
      <c r="E205" s="183">
        <v>0.286</v>
      </c>
      <c r="F205" s="181" t="s">
        <v>662</v>
      </c>
      <c r="G205" s="183">
        <v>0.1429</v>
      </c>
      <c r="H205" s="183">
        <v>0.0</v>
      </c>
      <c r="I205" s="183">
        <v>0.0714</v>
      </c>
      <c r="J205" s="183">
        <v>0.1429</v>
      </c>
      <c r="K205" s="183">
        <v>0.0</v>
      </c>
      <c r="L205" s="181" t="s">
        <v>43</v>
      </c>
      <c r="M205" s="184">
        <v>0.1429</v>
      </c>
    </row>
    <row r="206">
      <c r="A206" s="185" t="s">
        <v>618</v>
      </c>
      <c r="B206" s="186">
        <v>8.0</v>
      </c>
      <c r="C206" s="186">
        <v>7.0</v>
      </c>
      <c r="D206" s="186">
        <v>4.0</v>
      </c>
      <c r="E206" s="187">
        <v>0.571</v>
      </c>
      <c r="F206" s="185" t="s">
        <v>662</v>
      </c>
      <c r="G206" s="187">
        <v>0.3333</v>
      </c>
      <c r="H206" s="187">
        <v>0.0</v>
      </c>
      <c r="I206" s="187">
        <v>0.0</v>
      </c>
      <c r="J206" s="187">
        <v>0.1111</v>
      </c>
      <c r="K206" s="187">
        <v>0.0</v>
      </c>
      <c r="L206" s="185" t="s">
        <v>43</v>
      </c>
      <c r="M206" s="188">
        <v>0.3333</v>
      </c>
    </row>
    <row r="207">
      <c r="A207" s="185" t="s">
        <v>469</v>
      </c>
      <c r="B207" s="186">
        <v>18.0</v>
      </c>
      <c r="C207" s="186">
        <v>17.0</v>
      </c>
      <c r="D207" s="186">
        <v>4.0</v>
      </c>
      <c r="E207" s="187">
        <v>0.235</v>
      </c>
      <c r="F207" s="185" t="s">
        <v>662</v>
      </c>
      <c r="G207" s="187">
        <v>0.1667</v>
      </c>
      <c r="H207" s="187">
        <v>0.0</v>
      </c>
      <c r="I207" s="187">
        <v>0.0556</v>
      </c>
      <c r="J207" s="187">
        <v>0.0556</v>
      </c>
      <c r="K207" s="187">
        <v>0.0556</v>
      </c>
      <c r="L207" s="185" t="s">
        <v>43</v>
      </c>
      <c r="M207" s="188">
        <v>0.1667</v>
      </c>
    </row>
    <row r="208">
      <c r="A208" s="189" t="s">
        <v>328</v>
      </c>
      <c r="B208" s="190">
        <v>9.0</v>
      </c>
      <c r="C208" s="190">
        <v>6.0</v>
      </c>
      <c r="D208" s="190">
        <v>4.0</v>
      </c>
      <c r="E208" s="191">
        <v>0.667</v>
      </c>
      <c r="F208" s="189" t="s">
        <v>662</v>
      </c>
      <c r="G208" s="191">
        <v>0.0</v>
      </c>
      <c r="H208" s="191">
        <v>0.0</v>
      </c>
      <c r="I208" s="191">
        <v>0.3333</v>
      </c>
      <c r="J208" s="191">
        <v>0.5</v>
      </c>
      <c r="K208" s="191">
        <v>0.1667</v>
      </c>
      <c r="L208" s="189" t="s">
        <v>137</v>
      </c>
      <c r="M208" s="192">
        <v>0.5</v>
      </c>
    </row>
    <row r="209">
      <c r="A209" s="193" t="s">
        <v>440</v>
      </c>
      <c r="B209" s="194">
        <v>21.0</v>
      </c>
      <c r="C209" s="194">
        <v>12.0</v>
      </c>
      <c r="D209" s="194">
        <v>4.0</v>
      </c>
      <c r="E209" s="195">
        <v>0.333</v>
      </c>
      <c r="F209" s="193" t="s">
        <v>662</v>
      </c>
      <c r="G209" s="195">
        <v>0.1</v>
      </c>
      <c r="H209" s="195">
        <v>0.1</v>
      </c>
      <c r="I209" s="195">
        <v>0.25</v>
      </c>
      <c r="J209" s="195">
        <v>0.25</v>
      </c>
      <c r="K209" s="195">
        <v>0.05</v>
      </c>
      <c r="L209" s="193" t="s">
        <v>405</v>
      </c>
      <c r="M209" s="196">
        <v>0.25</v>
      </c>
    </row>
    <row r="210">
      <c r="A210" s="181" t="s">
        <v>619</v>
      </c>
      <c r="B210" s="182">
        <v>7.0</v>
      </c>
      <c r="C210" s="182">
        <v>5.0</v>
      </c>
      <c r="D210" s="182">
        <v>4.0</v>
      </c>
      <c r="E210" s="183">
        <v>0.8</v>
      </c>
      <c r="F210" s="181" t="s">
        <v>662</v>
      </c>
      <c r="G210" s="183">
        <v>0.0</v>
      </c>
      <c r="H210" s="183">
        <v>0.5</v>
      </c>
      <c r="I210" s="183">
        <v>0.0</v>
      </c>
      <c r="J210" s="183">
        <v>0.0</v>
      </c>
      <c r="K210" s="183">
        <v>0.1667</v>
      </c>
      <c r="L210" s="181" t="s">
        <v>19</v>
      </c>
      <c r="M210" s="184">
        <v>0.5</v>
      </c>
    </row>
    <row r="211">
      <c r="A211" s="181" t="s">
        <v>620</v>
      </c>
      <c r="B211" s="182">
        <v>10.0</v>
      </c>
      <c r="C211" s="182">
        <v>10.0</v>
      </c>
      <c r="D211" s="182">
        <v>4.0</v>
      </c>
      <c r="E211" s="183">
        <v>0.4</v>
      </c>
      <c r="F211" s="181" t="s">
        <v>662</v>
      </c>
      <c r="G211" s="183">
        <v>0.0833</v>
      </c>
      <c r="H211" s="183">
        <v>0.25</v>
      </c>
      <c r="I211" s="183">
        <v>0.0833</v>
      </c>
      <c r="J211" s="183">
        <v>0.0</v>
      </c>
      <c r="K211" s="183">
        <v>0.0</v>
      </c>
      <c r="L211" s="181" t="s">
        <v>19</v>
      </c>
      <c r="M211" s="184">
        <v>0.25</v>
      </c>
    </row>
    <row r="212">
      <c r="A212" s="181" t="s">
        <v>514</v>
      </c>
      <c r="B212" s="182">
        <v>8.0</v>
      </c>
      <c r="C212" s="182">
        <v>8.0</v>
      </c>
      <c r="D212" s="182">
        <v>4.0</v>
      </c>
      <c r="E212" s="183">
        <v>0.5</v>
      </c>
      <c r="F212" s="181" t="s">
        <v>662</v>
      </c>
      <c r="G212" s="183">
        <v>0.0</v>
      </c>
      <c r="H212" s="183">
        <v>0.5</v>
      </c>
      <c r="I212" s="183">
        <v>0.0</v>
      </c>
      <c r="J212" s="183">
        <v>0.0</v>
      </c>
      <c r="K212" s="183">
        <v>0.0</v>
      </c>
      <c r="L212" s="181" t="s">
        <v>19</v>
      </c>
      <c r="M212" s="184">
        <v>0.5</v>
      </c>
    </row>
    <row r="213">
      <c r="A213" s="185" t="s">
        <v>621</v>
      </c>
      <c r="B213" s="186">
        <v>76.0</v>
      </c>
      <c r="C213" s="186">
        <v>76.0</v>
      </c>
      <c r="D213" s="186">
        <v>4.0</v>
      </c>
      <c r="E213" s="187">
        <v>0.053</v>
      </c>
      <c r="F213" s="185" t="s">
        <v>662</v>
      </c>
      <c r="G213" s="187">
        <v>0.0132</v>
      </c>
      <c r="H213" s="187">
        <v>0.0263</v>
      </c>
      <c r="I213" s="187">
        <v>0.0263</v>
      </c>
      <c r="J213" s="187">
        <v>0.0</v>
      </c>
      <c r="K213" s="187">
        <v>0.0132</v>
      </c>
      <c r="L213" s="185" t="s">
        <v>415</v>
      </c>
      <c r="M213" s="188">
        <v>0.0263</v>
      </c>
    </row>
    <row r="214">
      <c r="A214" s="161" t="s">
        <v>644</v>
      </c>
      <c r="B214" s="153">
        <v>6.0</v>
      </c>
      <c r="C214" s="153">
        <v>7.0</v>
      </c>
      <c r="D214" s="153">
        <v>3.0</v>
      </c>
      <c r="E214" s="154">
        <v>0.429</v>
      </c>
      <c r="F214" s="152" t="s">
        <v>662</v>
      </c>
      <c r="G214" s="154">
        <v>0.4286</v>
      </c>
      <c r="H214" s="154">
        <v>0.0</v>
      </c>
      <c r="I214" s="154">
        <v>0.0</v>
      </c>
      <c r="J214" s="154">
        <v>0.0</v>
      </c>
      <c r="K214" s="154">
        <v>0.0</v>
      </c>
      <c r="L214" s="152" t="s">
        <v>43</v>
      </c>
      <c r="M214" s="155">
        <v>0.4286</v>
      </c>
    </row>
    <row r="215">
      <c r="A215" s="161" t="s">
        <v>645</v>
      </c>
      <c r="B215" s="157">
        <v>13.0</v>
      </c>
      <c r="C215" s="157">
        <v>11.0</v>
      </c>
      <c r="D215" s="157">
        <v>5.0</v>
      </c>
      <c r="E215" s="158">
        <v>0.455</v>
      </c>
      <c r="F215" s="156" t="s">
        <v>662</v>
      </c>
      <c r="G215" s="158">
        <v>0.3077</v>
      </c>
      <c r="H215" s="158">
        <v>0.0</v>
      </c>
      <c r="I215" s="158">
        <v>0.0769</v>
      </c>
      <c r="J215" s="158">
        <v>0.1538</v>
      </c>
      <c r="K215" s="158">
        <v>0.0</v>
      </c>
      <c r="L215" s="156" t="s">
        <v>43</v>
      </c>
      <c r="M215" s="159">
        <v>0.3077</v>
      </c>
    </row>
    <row r="216">
      <c r="A216" s="161" t="s">
        <v>558</v>
      </c>
      <c r="B216" s="153">
        <v>15.0</v>
      </c>
      <c r="C216" s="153">
        <v>15.0</v>
      </c>
      <c r="D216" s="153">
        <v>4.0</v>
      </c>
      <c r="E216" s="154">
        <v>0.267</v>
      </c>
      <c r="F216" s="152" t="s">
        <v>662</v>
      </c>
      <c r="G216" s="154">
        <v>0.25</v>
      </c>
      <c r="H216" s="154">
        <v>0.0</v>
      </c>
      <c r="I216" s="154">
        <v>0.0</v>
      </c>
      <c r="J216" s="154">
        <v>0.0625</v>
      </c>
      <c r="K216" s="154">
        <v>0.0</v>
      </c>
      <c r="L216" s="152" t="s">
        <v>43</v>
      </c>
      <c r="M216" s="155">
        <v>0.25</v>
      </c>
    </row>
    <row r="217">
      <c r="A217" s="161" t="s">
        <v>579</v>
      </c>
      <c r="B217" s="157">
        <v>23.0</v>
      </c>
      <c r="C217" s="157">
        <v>22.0</v>
      </c>
      <c r="D217" s="157">
        <v>6.0</v>
      </c>
      <c r="E217" s="158">
        <v>0.273</v>
      </c>
      <c r="F217" s="156" t="s">
        <v>662</v>
      </c>
      <c r="G217" s="158">
        <v>0.2083</v>
      </c>
      <c r="H217" s="158">
        <v>0.0417</v>
      </c>
      <c r="I217" s="158">
        <v>0.1667</v>
      </c>
      <c r="J217" s="158">
        <v>0.0</v>
      </c>
      <c r="K217" s="158">
        <v>0.0</v>
      </c>
      <c r="L217" s="156" t="s">
        <v>43</v>
      </c>
      <c r="M217" s="159">
        <v>0.2083</v>
      </c>
    </row>
    <row r="218">
      <c r="A218" s="161" t="s">
        <v>646</v>
      </c>
      <c r="B218" s="153">
        <v>11.0</v>
      </c>
      <c r="C218" s="153">
        <v>9.0</v>
      </c>
      <c r="D218" s="153">
        <v>3.0</v>
      </c>
      <c r="E218" s="154">
        <v>0.333</v>
      </c>
      <c r="F218" s="152" t="s">
        <v>662</v>
      </c>
      <c r="G218" s="154">
        <v>0.2</v>
      </c>
      <c r="H218" s="154">
        <v>0.0</v>
      </c>
      <c r="I218" s="154">
        <v>0.0</v>
      </c>
      <c r="J218" s="154">
        <v>0.0</v>
      </c>
      <c r="K218" s="154">
        <v>0.1</v>
      </c>
      <c r="L218" s="152" t="s">
        <v>43</v>
      </c>
      <c r="M218" s="155">
        <v>0.2</v>
      </c>
    </row>
    <row r="219">
      <c r="A219" s="156" t="s">
        <v>627</v>
      </c>
      <c r="B219" s="157">
        <v>18.0</v>
      </c>
      <c r="C219" s="157">
        <v>15.0</v>
      </c>
      <c r="D219" s="157">
        <v>3.0</v>
      </c>
      <c r="E219" s="158">
        <v>0.2</v>
      </c>
      <c r="F219" s="156" t="s">
        <v>662</v>
      </c>
      <c r="G219" s="158">
        <v>0.1333</v>
      </c>
      <c r="H219" s="158">
        <v>0.0</v>
      </c>
      <c r="I219" s="158">
        <v>0.0667</v>
      </c>
      <c r="J219" s="158">
        <v>0.0</v>
      </c>
      <c r="K219" s="158">
        <v>0.0667</v>
      </c>
      <c r="L219" s="156" t="s">
        <v>43</v>
      </c>
      <c r="M219" s="159">
        <v>0.1333</v>
      </c>
    </row>
    <row r="220">
      <c r="A220" s="152" t="s">
        <v>628</v>
      </c>
      <c r="B220" s="153">
        <v>27.0</v>
      </c>
      <c r="C220" s="153">
        <v>27.0</v>
      </c>
      <c r="D220" s="153">
        <v>3.0</v>
      </c>
      <c r="E220" s="154">
        <v>0.111</v>
      </c>
      <c r="F220" s="152" t="s">
        <v>662</v>
      </c>
      <c r="G220" s="154">
        <v>0.1111</v>
      </c>
      <c r="H220" s="154">
        <v>0.0</v>
      </c>
      <c r="I220" s="154">
        <v>0.0741</v>
      </c>
      <c r="J220" s="154">
        <v>0.0</v>
      </c>
      <c r="K220" s="154">
        <v>0.0</v>
      </c>
      <c r="L220" s="152" t="s">
        <v>43</v>
      </c>
      <c r="M220" s="155">
        <v>0.1111</v>
      </c>
    </row>
    <row r="221">
      <c r="A221" s="156" t="s">
        <v>629</v>
      </c>
      <c r="B221" s="157">
        <v>39.0</v>
      </c>
      <c r="C221" s="157">
        <v>38.0</v>
      </c>
      <c r="D221" s="157">
        <v>4.0</v>
      </c>
      <c r="E221" s="158">
        <v>0.105</v>
      </c>
      <c r="F221" s="156" t="s">
        <v>662</v>
      </c>
      <c r="G221" s="158">
        <v>0.0789</v>
      </c>
      <c r="H221" s="158">
        <v>0.0</v>
      </c>
      <c r="I221" s="158">
        <v>0.0</v>
      </c>
      <c r="J221" s="158">
        <v>0.0263</v>
      </c>
      <c r="K221" s="158">
        <v>0.0</v>
      </c>
      <c r="L221" s="156" t="s">
        <v>43</v>
      </c>
      <c r="M221" s="159">
        <v>0.0789</v>
      </c>
    </row>
    <row r="222">
      <c r="A222" s="152" t="s">
        <v>589</v>
      </c>
      <c r="B222" s="153">
        <v>129.0</v>
      </c>
      <c r="C222" s="153">
        <v>125.0</v>
      </c>
      <c r="D222" s="153">
        <v>7.0</v>
      </c>
      <c r="E222" s="154">
        <v>0.056</v>
      </c>
      <c r="F222" s="152" t="s">
        <v>662</v>
      </c>
      <c r="G222" s="154">
        <v>0.048</v>
      </c>
      <c r="H222" s="154">
        <v>0.0</v>
      </c>
      <c r="I222" s="154">
        <v>0.016</v>
      </c>
      <c r="J222" s="154">
        <v>0.008</v>
      </c>
      <c r="K222" s="154">
        <v>0.0</v>
      </c>
      <c r="L222" s="152" t="s">
        <v>43</v>
      </c>
      <c r="M222" s="155">
        <v>0.048</v>
      </c>
    </row>
    <row r="223">
      <c r="A223" s="160" t="s">
        <v>400</v>
      </c>
      <c r="B223" s="157">
        <v>20.0</v>
      </c>
      <c r="C223" s="157">
        <v>16.0</v>
      </c>
      <c r="D223" s="157">
        <v>7.0</v>
      </c>
      <c r="E223" s="158">
        <v>0.438</v>
      </c>
      <c r="F223" s="156" t="s">
        <v>662</v>
      </c>
      <c r="G223" s="158">
        <v>0.1579</v>
      </c>
      <c r="H223" s="158">
        <v>0.1053</v>
      </c>
      <c r="I223" s="158">
        <v>0.0526</v>
      </c>
      <c r="J223" s="158">
        <v>0.1579</v>
      </c>
      <c r="K223" s="158">
        <v>0.0526</v>
      </c>
      <c r="L223" s="156" t="s">
        <v>320</v>
      </c>
      <c r="M223" s="159">
        <v>0.1579</v>
      </c>
    </row>
    <row r="224">
      <c r="A224" s="152" t="s">
        <v>597</v>
      </c>
      <c r="B224" s="153">
        <v>23.0</v>
      </c>
      <c r="C224" s="153">
        <v>19.0</v>
      </c>
      <c r="D224" s="153">
        <v>4.0</v>
      </c>
      <c r="E224" s="154">
        <v>0.211</v>
      </c>
      <c r="F224" s="152" t="s">
        <v>662</v>
      </c>
      <c r="G224" s="154">
        <v>0.1364</v>
      </c>
      <c r="H224" s="154">
        <v>0.0</v>
      </c>
      <c r="I224" s="154">
        <v>0.0909</v>
      </c>
      <c r="J224" s="154">
        <v>0.1364</v>
      </c>
      <c r="K224" s="154">
        <v>0.0</v>
      </c>
      <c r="L224" s="152" t="s">
        <v>320</v>
      </c>
      <c r="M224" s="155">
        <v>0.1364</v>
      </c>
    </row>
    <row r="225">
      <c r="A225" s="156" t="s">
        <v>631</v>
      </c>
      <c r="B225" s="157">
        <v>61.0</v>
      </c>
      <c r="C225" s="157">
        <v>54.0</v>
      </c>
      <c r="D225" s="157">
        <v>8.0</v>
      </c>
      <c r="E225" s="158">
        <v>0.148</v>
      </c>
      <c r="F225" s="156" t="s">
        <v>662</v>
      </c>
      <c r="G225" s="158">
        <v>0.0862</v>
      </c>
      <c r="H225" s="158">
        <v>0.0</v>
      </c>
      <c r="I225" s="158">
        <v>0.0172</v>
      </c>
      <c r="J225" s="158">
        <v>0.069</v>
      </c>
      <c r="K225" s="158">
        <v>0.0345</v>
      </c>
      <c r="L225" s="156" t="s">
        <v>320</v>
      </c>
      <c r="M225" s="159">
        <v>0.0862</v>
      </c>
    </row>
    <row r="226">
      <c r="A226" s="152" t="s">
        <v>615</v>
      </c>
      <c r="B226" s="153">
        <v>63.0</v>
      </c>
      <c r="C226" s="153">
        <v>64.0</v>
      </c>
      <c r="D226" s="153">
        <v>4.0</v>
      </c>
      <c r="E226" s="154">
        <v>0.063</v>
      </c>
      <c r="F226" s="152" t="s">
        <v>662</v>
      </c>
      <c r="G226" s="154">
        <v>0.0462</v>
      </c>
      <c r="H226" s="154">
        <v>0.0</v>
      </c>
      <c r="I226" s="154">
        <v>0.0462</v>
      </c>
      <c r="J226" s="154">
        <v>0.0154</v>
      </c>
      <c r="K226" s="154">
        <v>0.0</v>
      </c>
      <c r="L226" s="152" t="s">
        <v>395</v>
      </c>
      <c r="M226" s="155">
        <v>0.0462</v>
      </c>
    </row>
    <row r="227">
      <c r="A227" s="156" t="s">
        <v>632</v>
      </c>
      <c r="B227" s="157">
        <v>15.0</v>
      </c>
      <c r="C227" s="157">
        <v>14.0</v>
      </c>
      <c r="D227" s="157">
        <v>5.0</v>
      </c>
      <c r="E227" s="158">
        <v>0.357</v>
      </c>
      <c r="F227" s="156" t="s">
        <v>662</v>
      </c>
      <c r="G227" s="158">
        <v>0.125</v>
      </c>
      <c r="H227" s="158">
        <v>0.0</v>
      </c>
      <c r="I227" s="158">
        <v>0.1875</v>
      </c>
      <c r="J227" s="158">
        <v>0.25</v>
      </c>
      <c r="K227" s="158">
        <v>0.0</v>
      </c>
      <c r="L227" s="156" t="s">
        <v>395</v>
      </c>
      <c r="M227" s="159">
        <v>0.25</v>
      </c>
    </row>
    <row r="228">
      <c r="A228" s="161" t="s">
        <v>647</v>
      </c>
      <c r="B228" s="153">
        <v>13.0</v>
      </c>
      <c r="C228" s="153">
        <v>9.0</v>
      </c>
      <c r="D228" s="153">
        <v>7.0</v>
      </c>
      <c r="E228" s="154">
        <v>0.778</v>
      </c>
      <c r="F228" s="152" t="s">
        <v>662</v>
      </c>
      <c r="G228" s="154">
        <v>0.0909</v>
      </c>
      <c r="H228" s="154">
        <v>0.5455</v>
      </c>
      <c r="I228" s="154">
        <v>0.0</v>
      </c>
      <c r="J228" s="154">
        <v>0.0</v>
      </c>
      <c r="K228" s="154">
        <v>0.0</v>
      </c>
      <c r="L228" s="152" t="s">
        <v>19</v>
      </c>
      <c r="M228" s="155">
        <v>0.5455</v>
      </c>
    </row>
    <row r="229">
      <c r="A229" s="161" t="s">
        <v>648</v>
      </c>
      <c r="B229" s="157">
        <v>6.0</v>
      </c>
      <c r="C229" s="157">
        <v>4.0</v>
      </c>
      <c r="D229" s="157">
        <v>3.0</v>
      </c>
      <c r="E229" s="158">
        <v>0.75</v>
      </c>
      <c r="F229" s="156" t="s">
        <v>662</v>
      </c>
      <c r="G229" s="158">
        <v>0.25</v>
      </c>
      <c r="H229" s="158">
        <v>0.5</v>
      </c>
      <c r="I229" s="158">
        <v>0.0</v>
      </c>
      <c r="J229" s="158">
        <v>0.0</v>
      </c>
      <c r="K229" s="158">
        <v>0.0</v>
      </c>
      <c r="L229" s="156" t="s">
        <v>19</v>
      </c>
      <c r="M229" s="159">
        <v>0.5</v>
      </c>
    </row>
    <row r="230">
      <c r="A230" s="161" t="s">
        <v>514</v>
      </c>
      <c r="B230" s="153">
        <v>4.0</v>
      </c>
      <c r="C230" s="153">
        <v>4.0</v>
      </c>
      <c r="D230" s="153">
        <v>3.0</v>
      </c>
      <c r="E230" s="154">
        <v>0.75</v>
      </c>
      <c r="F230" s="152" t="s">
        <v>662</v>
      </c>
      <c r="G230" s="154">
        <v>0.2</v>
      </c>
      <c r="H230" s="154">
        <v>0.4</v>
      </c>
      <c r="I230" s="154">
        <v>0.0</v>
      </c>
      <c r="J230" s="154">
        <v>0.0</v>
      </c>
      <c r="K230" s="154">
        <v>0.0</v>
      </c>
      <c r="L230" s="152" t="s">
        <v>19</v>
      </c>
      <c r="M230" s="155">
        <v>0.4</v>
      </c>
    </row>
    <row r="231">
      <c r="A231" s="161" t="s">
        <v>265</v>
      </c>
      <c r="B231" s="157">
        <v>14.0</v>
      </c>
      <c r="C231" s="157">
        <v>7.0</v>
      </c>
      <c r="D231" s="157">
        <v>6.0</v>
      </c>
      <c r="E231" s="158">
        <v>0.857</v>
      </c>
      <c r="F231" s="156" t="s">
        <v>662</v>
      </c>
      <c r="G231" s="158">
        <v>0.0714</v>
      </c>
      <c r="H231" s="158">
        <v>0.3571</v>
      </c>
      <c r="I231" s="158">
        <v>0.0</v>
      </c>
      <c r="J231" s="158">
        <v>0.0</v>
      </c>
      <c r="K231" s="158">
        <v>0.0</v>
      </c>
      <c r="L231" s="156" t="s">
        <v>19</v>
      </c>
      <c r="M231" s="159">
        <v>0.3571</v>
      </c>
    </row>
    <row r="232">
      <c r="A232" s="161" t="s">
        <v>649</v>
      </c>
      <c r="B232" s="153">
        <v>10.0</v>
      </c>
      <c r="C232" s="153">
        <v>9.0</v>
      </c>
      <c r="D232" s="153">
        <v>4.0</v>
      </c>
      <c r="E232" s="154">
        <v>0.444</v>
      </c>
      <c r="F232" s="152" t="s">
        <v>662</v>
      </c>
      <c r="G232" s="154">
        <v>0.1</v>
      </c>
      <c r="H232" s="154">
        <v>0.3</v>
      </c>
      <c r="I232" s="154">
        <v>0.0</v>
      </c>
      <c r="J232" s="154">
        <v>0.0</v>
      </c>
      <c r="K232" s="154">
        <v>0.0</v>
      </c>
      <c r="L232" s="152" t="s">
        <v>19</v>
      </c>
      <c r="M232" s="155">
        <v>0.3</v>
      </c>
    </row>
    <row r="233">
      <c r="A233" s="161" t="s">
        <v>650</v>
      </c>
      <c r="B233" s="157">
        <v>8.0</v>
      </c>
      <c r="C233" s="157">
        <v>9.0</v>
      </c>
      <c r="D233" s="157">
        <v>3.0</v>
      </c>
      <c r="E233" s="158">
        <v>0.333</v>
      </c>
      <c r="F233" s="156" t="s">
        <v>662</v>
      </c>
      <c r="G233" s="158">
        <v>0.0</v>
      </c>
      <c r="H233" s="158">
        <v>0.3</v>
      </c>
      <c r="I233" s="158">
        <v>0.0</v>
      </c>
      <c r="J233" s="158">
        <v>0.0</v>
      </c>
      <c r="K233" s="158">
        <v>0.0</v>
      </c>
      <c r="L233" s="156" t="s">
        <v>19</v>
      </c>
      <c r="M233" s="159">
        <v>0.3</v>
      </c>
    </row>
    <row r="234">
      <c r="A234" s="152" t="s">
        <v>599</v>
      </c>
      <c r="B234" s="153">
        <v>16.0</v>
      </c>
      <c r="C234" s="153">
        <v>16.0</v>
      </c>
      <c r="D234" s="153">
        <v>3.0</v>
      </c>
      <c r="E234" s="154">
        <v>0.188</v>
      </c>
      <c r="F234" s="152" t="s">
        <v>662</v>
      </c>
      <c r="G234" s="154">
        <v>0.0</v>
      </c>
      <c r="H234" s="154">
        <v>0.1176</v>
      </c>
      <c r="I234" s="154">
        <v>0.0588</v>
      </c>
      <c r="J234" s="154">
        <v>0.0</v>
      </c>
      <c r="K234" s="154">
        <v>0.0</v>
      </c>
      <c r="L234" s="152" t="s">
        <v>19</v>
      </c>
      <c r="M234" s="155">
        <v>0.1176</v>
      </c>
    </row>
    <row r="235">
      <c r="A235" s="156" t="s">
        <v>633</v>
      </c>
      <c r="B235" s="157">
        <v>40.0</v>
      </c>
      <c r="C235" s="157">
        <v>37.0</v>
      </c>
      <c r="D235" s="157">
        <v>4.0</v>
      </c>
      <c r="E235" s="158">
        <v>0.108</v>
      </c>
      <c r="F235" s="156" t="s">
        <v>662</v>
      </c>
      <c r="G235" s="158">
        <v>0.0263</v>
      </c>
      <c r="H235" s="158">
        <v>0.0789</v>
      </c>
      <c r="I235" s="158">
        <v>0.0526</v>
      </c>
      <c r="J235" s="158">
        <v>0.0</v>
      </c>
      <c r="K235" s="158">
        <v>0.0</v>
      </c>
      <c r="L235" s="156" t="s">
        <v>19</v>
      </c>
      <c r="M235" s="159">
        <v>0.0789</v>
      </c>
    </row>
    <row r="236">
      <c r="A236" s="152" t="s">
        <v>634</v>
      </c>
      <c r="B236" s="153">
        <v>91.0</v>
      </c>
      <c r="C236" s="153">
        <v>90.0</v>
      </c>
      <c r="D236" s="153">
        <v>5.0</v>
      </c>
      <c r="E236" s="154">
        <v>0.056</v>
      </c>
      <c r="F236" s="152" t="s">
        <v>662</v>
      </c>
      <c r="G236" s="154">
        <v>0.0</v>
      </c>
      <c r="H236" s="154">
        <v>0.0549</v>
      </c>
      <c r="I236" s="154">
        <v>0.022</v>
      </c>
      <c r="J236" s="154">
        <v>0.0</v>
      </c>
      <c r="K236" s="154">
        <v>0.0</v>
      </c>
      <c r="L236" s="152" t="s">
        <v>19</v>
      </c>
      <c r="M236" s="155">
        <v>0.0549</v>
      </c>
    </row>
    <row r="237">
      <c r="A237" s="156" t="s">
        <v>635</v>
      </c>
      <c r="B237" s="157">
        <v>54.0</v>
      </c>
      <c r="C237" s="157">
        <v>53.0</v>
      </c>
      <c r="D237" s="157">
        <v>3.0</v>
      </c>
      <c r="E237" s="158">
        <v>0.057</v>
      </c>
      <c r="F237" s="156" t="s">
        <v>662</v>
      </c>
      <c r="G237" s="158">
        <v>0.0185</v>
      </c>
      <c r="H237" s="158">
        <v>0.037</v>
      </c>
      <c r="I237" s="158">
        <v>0.0185</v>
      </c>
      <c r="J237" s="158">
        <v>0.0185</v>
      </c>
      <c r="K237" s="158">
        <v>0.0</v>
      </c>
      <c r="L237" s="156" t="s">
        <v>19</v>
      </c>
      <c r="M237" s="159">
        <v>0.037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0" t="s">
        <v>656</v>
      </c>
      <c r="B1" s="150" t="s">
        <v>657</v>
      </c>
      <c r="C1" s="150" t="s">
        <v>672</v>
      </c>
      <c r="D1" s="150" t="s">
        <v>673</v>
      </c>
      <c r="E1" s="150" t="s">
        <v>674</v>
      </c>
      <c r="F1" s="150" t="s">
        <v>658</v>
      </c>
      <c r="G1" s="150" t="s">
        <v>659</v>
      </c>
      <c r="H1" s="150" t="s">
        <v>660</v>
      </c>
      <c r="I1" s="150" t="s">
        <v>661</v>
      </c>
      <c r="J1" s="150" t="s">
        <v>43</v>
      </c>
      <c r="K1" s="150" t="s">
        <v>19</v>
      </c>
      <c r="L1" s="150" t="s">
        <v>405</v>
      </c>
      <c r="M1" s="150" t="s">
        <v>137</v>
      </c>
      <c r="N1" s="150" t="s">
        <v>415</v>
      </c>
      <c r="O1" s="150" t="s">
        <v>675</v>
      </c>
      <c r="P1" s="151" t="s">
        <v>676</v>
      </c>
    </row>
    <row r="2">
      <c r="A2" s="161" t="s">
        <v>644</v>
      </c>
      <c r="B2" s="153">
        <v>6.0</v>
      </c>
      <c r="C2" s="197">
        <v>0.5</v>
      </c>
      <c r="D2" s="154">
        <v>1.0</v>
      </c>
      <c r="E2" s="198"/>
      <c r="F2" s="153">
        <v>7.0</v>
      </c>
      <c r="G2" s="153">
        <v>3.0</v>
      </c>
      <c r="H2" s="154">
        <v>0.429</v>
      </c>
      <c r="I2" s="152" t="s">
        <v>662</v>
      </c>
      <c r="J2" s="154">
        <v>0.4286</v>
      </c>
      <c r="K2" s="154">
        <v>0.0</v>
      </c>
      <c r="L2" s="154">
        <v>0.0</v>
      </c>
      <c r="M2" s="154">
        <v>0.0</v>
      </c>
      <c r="N2" s="154">
        <v>0.0</v>
      </c>
      <c r="O2" s="152" t="s">
        <v>43</v>
      </c>
      <c r="P2" s="155">
        <v>0.4286</v>
      </c>
    </row>
    <row r="3">
      <c r="A3" s="161" t="s">
        <v>645</v>
      </c>
      <c r="B3" s="157">
        <v>13.0</v>
      </c>
      <c r="C3" s="199">
        <v>0.28</v>
      </c>
      <c r="D3" s="158">
        <v>1.0</v>
      </c>
      <c r="E3" s="200"/>
      <c r="F3" s="157">
        <v>11.0</v>
      </c>
      <c r="G3" s="157">
        <v>5.0</v>
      </c>
      <c r="H3" s="158">
        <v>0.455</v>
      </c>
      <c r="I3" s="156" t="s">
        <v>662</v>
      </c>
      <c r="J3" s="158">
        <v>0.3077</v>
      </c>
      <c r="K3" s="158">
        <v>0.0</v>
      </c>
      <c r="L3" s="158">
        <v>0.0769</v>
      </c>
      <c r="M3" s="158">
        <v>0.1538</v>
      </c>
      <c r="N3" s="158">
        <v>0.0</v>
      </c>
      <c r="O3" s="156" t="s">
        <v>43</v>
      </c>
      <c r="P3" s="159">
        <v>0.3077</v>
      </c>
    </row>
    <row r="4">
      <c r="A4" s="161" t="s">
        <v>558</v>
      </c>
      <c r="B4" s="153">
        <v>15.0</v>
      </c>
      <c r="C4" s="197">
        <v>1.0</v>
      </c>
      <c r="D4" s="154">
        <v>1.0</v>
      </c>
      <c r="E4" s="198"/>
      <c r="F4" s="153">
        <v>15.0</v>
      </c>
      <c r="G4" s="153">
        <v>4.0</v>
      </c>
      <c r="H4" s="154">
        <v>0.267</v>
      </c>
      <c r="I4" s="152" t="s">
        <v>662</v>
      </c>
      <c r="J4" s="154">
        <v>0.25</v>
      </c>
      <c r="K4" s="154">
        <v>0.0</v>
      </c>
      <c r="L4" s="154">
        <v>0.0</v>
      </c>
      <c r="M4" s="154">
        <v>0.0625</v>
      </c>
      <c r="N4" s="154">
        <v>0.0</v>
      </c>
      <c r="O4" s="152" t="s">
        <v>43</v>
      </c>
      <c r="P4" s="155">
        <v>0.25</v>
      </c>
    </row>
    <row r="5">
      <c r="A5" s="161" t="s">
        <v>579</v>
      </c>
      <c r="B5" s="157">
        <v>23.0</v>
      </c>
      <c r="C5" s="199">
        <v>0.09</v>
      </c>
      <c r="D5" s="158">
        <v>1.0</v>
      </c>
      <c r="E5" s="200"/>
      <c r="F5" s="157">
        <v>22.0</v>
      </c>
      <c r="G5" s="157">
        <v>6.0</v>
      </c>
      <c r="H5" s="158">
        <v>0.273</v>
      </c>
      <c r="I5" s="156" t="s">
        <v>662</v>
      </c>
      <c r="J5" s="158">
        <v>0.2083</v>
      </c>
      <c r="K5" s="158">
        <v>0.0417</v>
      </c>
      <c r="L5" s="158">
        <v>0.1667</v>
      </c>
      <c r="M5" s="158">
        <v>0.0</v>
      </c>
      <c r="N5" s="158">
        <v>0.0</v>
      </c>
      <c r="O5" s="156" t="s">
        <v>43</v>
      </c>
      <c r="P5" s="159">
        <v>0.2083</v>
      </c>
    </row>
    <row r="6">
      <c r="A6" s="161" t="s">
        <v>646</v>
      </c>
      <c r="B6" s="153">
        <v>11.0</v>
      </c>
      <c r="C6" s="197">
        <v>0.52</v>
      </c>
      <c r="D6" s="154">
        <v>1.0</v>
      </c>
      <c r="E6" s="198"/>
      <c r="F6" s="153">
        <v>9.0</v>
      </c>
      <c r="G6" s="153">
        <v>3.0</v>
      </c>
      <c r="H6" s="154">
        <v>0.333</v>
      </c>
      <c r="I6" s="152" t="s">
        <v>662</v>
      </c>
      <c r="J6" s="154">
        <v>0.2</v>
      </c>
      <c r="K6" s="154">
        <v>0.0</v>
      </c>
      <c r="L6" s="154">
        <v>0.0</v>
      </c>
      <c r="M6" s="154">
        <v>0.0</v>
      </c>
      <c r="N6" s="154">
        <v>0.1</v>
      </c>
      <c r="O6" s="152" t="s">
        <v>43</v>
      </c>
      <c r="P6" s="155">
        <v>0.2</v>
      </c>
    </row>
    <row r="7">
      <c r="A7" s="156" t="s">
        <v>627</v>
      </c>
      <c r="B7" s="157">
        <v>18.0</v>
      </c>
      <c r="C7" s="199">
        <v>0.9</v>
      </c>
      <c r="D7" s="158">
        <v>1.0</v>
      </c>
      <c r="E7" s="200"/>
      <c r="F7" s="157">
        <v>15.0</v>
      </c>
      <c r="G7" s="157">
        <v>3.0</v>
      </c>
      <c r="H7" s="158">
        <v>0.2</v>
      </c>
      <c r="I7" s="156" t="s">
        <v>662</v>
      </c>
      <c r="J7" s="158">
        <v>0.1333</v>
      </c>
      <c r="K7" s="158">
        <v>0.0</v>
      </c>
      <c r="L7" s="158">
        <v>0.0667</v>
      </c>
      <c r="M7" s="158">
        <v>0.0</v>
      </c>
      <c r="N7" s="158">
        <v>0.0667</v>
      </c>
      <c r="O7" s="156" t="s">
        <v>43</v>
      </c>
      <c r="P7" s="159">
        <v>0.1333</v>
      </c>
    </row>
    <row r="8">
      <c r="A8" s="152" t="s">
        <v>628</v>
      </c>
      <c r="B8" s="153">
        <v>27.0</v>
      </c>
      <c r="C8" s="197">
        <v>1.0</v>
      </c>
      <c r="D8" s="154">
        <v>1.0</v>
      </c>
      <c r="E8" s="198"/>
      <c r="F8" s="153">
        <v>27.0</v>
      </c>
      <c r="G8" s="153">
        <v>3.0</v>
      </c>
      <c r="H8" s="154">
        <v>0.111</v>
      </c>
      <c r="I8" s="152" t="s">
        <v>662</v>
      </c>
      <c r="J8" s="154">
        <v>0.1111</v>
      </c>
      <c r="K8" s="154">
        <v>0.0</v>
      </c>
      <c r="L8" s="154">
        <v>0.0741</v>
      </c>
      <c r="M8" s="154">
        <v>0.0</v>
      </c>
      <c r="N8" s="154">
        <v>0.0</v>
      </c>
      <c r="O8" s="152" t="s">
        <v>43</v>
      </c>
      <c r="P8" s="155">
        <v>0.1111</v>
      </c>
    </row>
    <row r="9">
      <c r="A9" s="156" t="s">
        <v>629</v>
      </c>
      <c r="B9" s="157">
        <v>39.0</v>
      </c>
      <c r="C9" s="199">
        <v>0.43</v>
      </c>
      <c r="D9" s="158">
        <v>1.0</v>
      </c>
      <c r="E9" s="200"/>
      <c r="F9" s="157">
        <v>38.0</v>
      </c>
      <c r="G9" s="157">
        <v>4.0</v>
      </c>
      <c r="H9" s="158">
        <v>0.105</v>
      </c>
      <c r="I9" s="156" t="s">
        <v>662</v>
      </c>
      <c r="J9" s="158">
        <v>0.0789</v>
      </c>
      <c r="K9" s="158">
        <v>0.0</v>
      </c>
      <c r="L9" s="158">
        <v>0.0</v>
      </c>
      <c r="M9" s="158">
        <v>0.0263</v>
      </c>
      <c r="N9" s="158">
        <v>0.0</v>
      </c>
      <c r="O9" s="156" t="s">
        <v>43</v>
      </c>
      <c r="P9" s="159">
        <v>0.0789</v>
      </c>
    </row>
    <row r="10">
      <c r="A10" s="152" t="s">
        <v>589</v>
      </c>
      <c r="B10" s="153">
        <v>129.0</v>
      </c>
      <c r="C10" s="197">
        <v>0.54</v>
      </c>
      <c r="D10" s="154">
        <v>1.0</v>
      </c>
      <c r="E10" s="198"/>
      <c r="F10" s="153">
        <v>125.0</v>
      </c>
      <c r="G10" s="153">
        <v>7.0</v>
      </c>
      <c r="H10" s="154">
        <v>0.056</v>
      </c>
      <c r="I10" s="152" t="s">
        <v>662</v>
      </c>
      <c r="J10" s="154">
        <v>0.048</v>
      </c>
      <c r="K10" s="154">
        <v>0.0</v>
      </c>
      <c r="L10" s="154">
        <v>0.016</v>
      </c>
      <c r="M10" s="154">
        <v>0.008</v>
      </c>
      <c r="N10" s="154">
        <v>0.0</v>
      </c>
      <c r="O10" s="152" t="s">
        <v>43</v>
      </c>
      <c r="P10" s="155">
        <v>0.048</v>
      </c>
    </row>
    <row r="11">
      <c r="A11" s="160" t="s">
        <v>400</v>
      </c>
      <c r="B11" s="157">
        <v>20.0</v>
      </c>
      <c r="C11" s="199">
        <v>0.28</v>
      </c>
      <c r="D11" s="158">
        <v>1.0</v>
      </c>
      <c r="E11" s="200"/>
      <c r="F11" s="157">
        <v>16.0</v>
      </c>
      <c r="G11" s="157">
        <v>7.0</v>
      </c>
      <c r="H11" s="158">
        <v>0.438</v>
      </c>
      <c r="I11" s="156" t="s">
        <v>662</v>
      </c>
      <c r="J11" s="158">
        <v>0.1579</v>
      </c>
      <c r="K11" s="158">
        <v>0.1053</v>
      </c>
      <c r="L11" s="158">
        <v>0.0526</v>
      </c>
      <c r="M11" s="158">
        <v>0.1579</v>
      </c>
      <c r="N11" s="158">
        <v>0.0526</v>
      </c>
      <c r="O11" s="156" t="s">
        <v>320</v>
      </c>
      <c r="P11" s="159">
        <v>0.1579</v>
      </c>
    </row>
    <row r="12">
      <c r="A12" s="152" t="s">
        <v>597</v>
      </c>
      <c r="B12" s="153">
        <v>23.0</v>
      </c>
      <c r="C12" s="197">
        <v>1.0</v>
      </c>
      <c r="D12" s="154">
        <v>1.0</v>
      </c>
      <c r="E12" s="198"/>
      <c r="F12" s="153">
        <v>19.0</v>
      </c>
      <c r="G12" s="153">
        <v>4.0</v>
      </c>
      <c r="H12" s="154">
        <v>0.211</v>
      </c>
      <c r="I12" s="152" t="s">
        <v>662</v>
      </c>
      <c r="J12" s="154">
        <v>0.1364</v>
      </c>
      <c r="K12" s="154">
        <v>0.0</v>
      </c>
      <c r="L12" s="154">
        <v>0.0909</v>
      </c>
      <c r="M12" s="154">
        <v>0.1364</v>
      </c>
      <c r="N12" s="154">
        <v>0.0</v>
      </c>
      <c r="O12" s="152" t="s">
        <v>320</v>
      </c>
      <c r="P12" s="155">
        <v>0.1364</v>
      </c>
    </row>
    <row r="13">
      <c r="A13" s="156" t="s">
        <v>631</v>
      </c>
      <c r="B13" s="157">
        <v>61.0</v>
      </c>
      <c r="C13" s="199">
        <v>0.32</v>
      </c>
      <c r="D13" s="158">
        <v>1.0</v>
      </c>
      <c r="E13" s="200"/>
      <c r="F13" s="157">
        <v>54.0</v>
      </c>
      <c r="G13" s="157">
        <v>8.0</v>
      </c>
      <c r="H13" s="158">
        <v>0.148</v>
      </c>
      <c r="I13" s="156" t="s">
        <v>662</v>
      </c>
      <c r="J13" s="158">
        <v>0.0862</v>
      </c>
      <c r="K13" s="158">
        <v>0.0</v>
      </c>
      <c r="L13" s="158">
        <v>0.0172</v>
      </c>
      <c r="M13" s="158">
        <v>0.069</v>
      </c>
      <c r="N13" s="158">
        <v>0.0345</v>
      </c>
      <c r="O13" s="156" t="s">
        <v>320</v>
      </c>
      <c r="P13" s="159">
        <v>0.0862</v>
      </c>
    </row>
    <row r="14">
      <c r="A14" s="152" t="s">
        <v>615</v>
      </c>
      <c r="B14" s="153">
        <v>63.0</v>
      </c>
      <c r="C14" s="197">
        <v>0.57</v>
      </c>
      <c r="D14" s="154">
        <v>1.0</v>
      </c>
      <c r="E14" s="198"/>
      <c r="F14" s="153">
        <v>64.0</v>
      </c>
      <c r="G14" s="153">
        <v>4.0</v>
      </c>
      <c r="H14" s="154">
        <v>0.063</v>
      </c>
      <c r="I14" s="152" t="s">
        <v>662</v>
      </c>
      <c r="J14" s="154">
        <v>0.0462</v>
      </c>
      <c r="K14" s="154">
        <v>0.0</v>
      </c>
      <c r="L14" s="154">
        <v>0.0462</v>
      </c>
      <c r="M14" s="154">
        <v>0.0154</v>
      </c>
      <c r="N14" s="154">
        <v>0.0</v>
      </c>
      <c r="O14" s="152" t="s">
        <v>395</v>
      </c>
      <c r="P14" s="155">
        <v>0.0462</v>
      </c>
    </row>
    <row r="15">
      <c r="A15" s="156" t="s">
        <v>632</v>
      </c>
      <c r="B15" s="157">
        <v>15.0</v>
      </c>
      <c r="C15" s="199">
        <v>0.75</v>
      </c>
      <c r="D15" s="158">
        <v>1.0</v>
      </c>
      <c r="E15" s="200"/>
      <c r="F15" s="157">
        <v>14.0</v>
      </c>
      <c r="G15" s="157">
        <v>5.0</v>
      </c>
      <c r="H15" s="158">
        <v>0.357</v>
      </c>
      <c r="I15" s="156" t="s">
        <v>662</v>
      </c>
      <c r="J15" s="158">
        <v>0.125</v>
      </c>
      <c r="K15" s="158">
        <v>0.0</v>
      </c>
      <c r="L15" s="158">
        <v>0.1875</v>
      </c>
      <c r="M15" s="158">
        <v>0.25</v>
      </c>
      <c r="N15" s="158">
        <v>0.0</v>
      </c>
      <c r="O15" s="156" t="s">
        <v>395</v>
      </c>
      <c r="P15" s="159">
        <v>0.25</v>
      </c>
    </row>
    <row r="16">
      <c r="A16" s="161" t="s">
        <v>647</v>
      </c>
      <c r="B16" s="153">
        <v>13.0</v>
      </c>
      <c r="C16" s="197">
        <v>0.14</v>
      </c>
      <c r="D16" s="154">
        <v>1.0</v>
      </c>
      <c r="E16" s="198"/>
      <c r="F16" s="153">
        <v>9.0</v>
      </c>
      <c r="G16" s="153">
        <v>7.0</v>
      </c>
      <c r="H16" s="154">
        <v>0.778</v>
      </c>
      <c r="I16" s="152" t="s">
        <v>662</v>
      </c>
      <c r="J16" s="154">
        <v>0.0909</v>
      </c>
      <c r="K16" s="154">
        <v>0.5455</v>
      </c>
      <c r="L16" s="154">
        <v>0.0</v>
      </c>
      <c r="M16" s="154">
        <v>0.0</v>
      </c>
      <c r="N16" s="154">
        <v>0.0</v>
      </c>
      <c r="O16" s="152" t="s">
        <v>19</v>
      </c>
      <c r="P16" s="155">
        <v>0.5455</v>
      </c>
    </row>
    <row r="17">
      <c r="A17" s="161" t="s">
        <v>648</v>
      </c>
      <c r="B17" s="157">
        <v>6.0</v>
      </c>
      <c r="C17" s="199">
        <v>0.22</v>
      </c>
      <c r="D17" s="158">
        <v>1.0</v>
      </c>
      <c r="E17" s="200"/>
      <c r="F17" s="157">
        <v>4.0</v>
      </c>
      <c r="G17" s="157">
        <v>3.0</v>
      </c>
      <c r="H17" s="158">
        <v>0.75</v>
      </c>
      <c r="I17" s="156" t="s">
        <v>662</v>
      </c>
      <c r="J17" s="158">
        <v>0.25</v>
      </c>
      <c r="K17" s="158">
        <v>0.5</v>
      </c>
      <c r="L17" s="158">
        <v>0.0</v>
      </c>
      <c r="M17" s="158">
        <v>0.0</v>
      </c>
      <c r="N17" s="158">
        <v>0.0</v>
      </c>
      <c r="O17" s="156" t="s">
        <v>19</v>
      </c>
      <c r="P17" s="159">
        <v>0.5</v>
      </c>
    </row>
    <row r="18">
      <c r="A18" s="161" t="s">
        <v>514</v>
      </c>
      <c r="B18" s="153">
        <v>4.0</v>
      </c>
      <c r="C18" s="197">
        <v>0.12</v>
      </c>
      <c r="D18" s="154">
        <v>1.0</v>
      </c>
      <c r="E18" s="198"/>
      <c r="F18" s="153">
        <v>4.0</v>
      </c>
      <c r="G18" s="153">
        <v>3.0</v>
      </c>
      <c r="H18" s="154">
        <v>0.75</v>
      </c>
      <c r="I18" s="152" t="s">
        <v>662</v>
      </c>
      <c r="J18" s="154">
        <v>0.2</v>
      </c>
      <c r="K18" s="154">
        <v>0.4</v>
      </c>
      <c r="L18" s="154">
        <v>0.0</v>
      </c>
      <c r="M18" s="154">
        <v>0.0</v>
      </c>
      <c r="N18" s="154">
        <v>0.0</v>
      </c>
      <c r="O18" s="152" t="s">
        <v>19</v>
      </c>
      <c r="P18" s="155">
        <v>0.4</v>
      </c>
    </row>
    <row r="19">
      <c r="A19" s="161" t="s">
        <v>265</v>
      </c>
      <c r="B19" s="157">
        <v>14.0</v>
      </c>
      <c r="C19" s="199">
        <v>0.22</v>
      </c>
      <c r="D19" s="158">
        <v>1.0</v>
      </c>
      <c r="E19" s="200"/>
      <c r="F19" s="157">
        <v>7.0</v>
      </c>
      <c r="G19" s="157">
        <v>6.0</v>
      </c>
      <c r="H19" s="158">
        <v>0.857</v>
      </c>
      <c r="I19" s="156" t="s">
        <v>662</v>
      </c>
      <c r="J19" s="158">
        <v>0.0714</v>
      </c>
      <c r="K19" s="158">
        <v>0.3571</v>
      </c>
      <c r="L19" s="158">
        <v>0.0</v>
      </c>
      <c r="M19" s="158">
        <v>0.0</v>
      </c>
      <c r="N19" s="158">
        <v>0.0</v>
      </c>
      <c r="O19" s="156" t="s">
        <v>19</v>
      </c>
      <c r="P19" s="159">
        <v>0.3571</v>
      </c>
    </row>
    <row r="20">
      <c r="A20" s="161" t="s">
        <v>649</v>
      </c>
      <c r="B20" s="153">
        <v>10.0</v>
      </c>
      <c r="C20" s="197">
        <v>1.0</v>
      </c>
      <c r="D20" s="154">
        <v>1.0</v>
      </c>
      <c r="E20" s="198"/>
      <c r="F20" s="153">
        <v>9.0</v>
      </c>
      <c r="G20" s="153">
        <v>4.0</v>
      </c>
      <c r="H20" s="154">
        <v>0.444</v>
      </c>
      <c r="I20" s="152" t="s">
        <v>662</v>
      </c>
      <c r="J20" s="154">
        <v>0.1</v>
      </c>
      <c r="K20" s="154">
        <v>0.3</v>
      </c>
      <c r="L20" s="154">
        <v>0.0</v>
      </c>
      <c r="M20" s="154">
        <v>0.0</v>
      </c>
      <c r="N20" s="154">
        <v>0.0</v>
      </c>
      <c r="O20" s="152" t="s">
        <v>19</v>
      </c>
      <c r="P20" s="155">
        <v>0.3</v>
      </c>
    </row>
    <row r="21">
      <c r="A21" s="161" t="s">
        <v>650</v>
      </c>
      <c r="B21" s="157">
        <v>8.0</v>
      </c>
      <c r="C21" s="199">
        <v>0.19</v>
      </c>
      <c r="D21" s="158">
        <v>1.0</v>
      </c>
      <c r="E21" s="200"/>
      <c r="F21" s="157">
        <v>9.0</v>
      </c>
      <c r="G21" s="157">
        <v>3.0</v>
      </c>
      <c r="H21" s="158">
        <v>0.333</v>
      </c>
      <c r="I21" s="156" t="s">
        <v>662</v>
      </c>
      <c r="J21" s="158">
        <v>0.0</v>
      </c>
      <c r="K21" s="158">
        <v>0.3</v>
      </c>
      <c r="L21" s="158">
        <v>0.0</v>
      </c>
      <c r="M21" s="158">
        <v>0.0</v>
      </c>
      <c r="N21" s="158">
        <v>0.0</v>
      </c>
      <c r="O21" s="156" t="s">
        <v>19</v>
      </c>
      <c r="P21" s="159">
        <v>0.3</v>
      </c>
    </row>
    <row r="22">
      <c r="A22" s="152" t="s">
        <v>599</v>
      </c>
      <c r="B22" s="153">
        <v>16.0</v>
      </c>
      <c r="C22" s="197">
        <v>0.36</v>
      </c>
      <c r="D22" s="154">
        <v>1.0</v>
      </c>
      <c r="E22" s="198"/>
      <c r="F22" s="153">
        <v>16.0</v>
      </c>
      <c r="G22" s="153">
        <v>3.0</v>
      </c>
      <c r="H22" s="154">
        <v>0.188</v>
      </c>
      <c r="I22" s="152" t="s">
        <v>662</v>
      </c>
      <c r="J22" s="154">
        <v>0.0</v>
      </c>
      <c r="K22" s="154">
        <v>0.1176</v>
      </c>
      <c r="L22" s="154">
        <v>0.0588</v>
      </c>
      <c r="M22" s="154">
        <v>0.0</v>
      </c>
      <c r="N22" s="154">
        <v>0.0</v>
      </c>
      <c r="O22" s="152" t="s">
        <v>19</v>
      </c>
      <c r="P22" s="155">
        <v>0.1176</v>
      </c>
    </row>
    <row r="23">
      <c r="A23" s="156" t="s">
        <v>633</v>
      </c>
      <c r="B23" s="157">
        <v>40.0</v>
      </c>
      <c r="C23" s="199">
        <v>0.85</v>
      </c>
      <c r="D23" s="158">
        <v>1.0</v>
      </c>
      <c r="E23" s="200"/>
      <c r="F23" s="157">
        <v>37.0</v>
      </c>
      <c r="G23" s="157">
        <v>4.0</v>
      </c>
      <c r="H23" s="158">
        <v>0.108</v>
      </c>
      <c r="I23" s="156" t="s">
        <v>662</v>
      </c>
      <c r="J23" s="158">
        <v>0.0263</v>
      </c>
      <c r="K23" s="158">
        <v>0.0789</v>
      </c>
      <c r="L23" s="158">
        <v>0.0526</v>
      </c>
      <c r="M23" s="158">
        <v>0.0</v>
      </c>
      <c r="N23" s="158">
        <v>0.0</v>
      </c>
      <c r="O23" s="156" t="s">
        <v>19</v>
      </c>
      <c r="P23" s="159">
        <v>0.0789</v>
      </c>
    </row>
    <row r="24">
      <c r="A24" s="152" t="s">
        <v>634</v>
      </c>
      <c r="B24" s="153">
        <v>91.0</v>
      </c>
      <c r="C24" s="197">
        <v>0.82</v>
      </c>
      <c r="D24" s="154">
        <v>1.0</v>
      </c>
      <c r="E24" s="198"/>
      <c r="F24" s="153">
        <v>90.0</v>
      </c>
      <c r="G24" s="153">
        <v>5.0</v>
      </c>
      <c r="H24" s="154">
        <v>0.056</v>
      </c>
      <c r="I24" s="152" t="s">
        <v>662</v>
      </c>
      <c r="J24" s="154">
        <v>0.0</v>
      </c>
      <c r="K24" s="154">
        <v>0.0549</v>
      </c>
      <c r="L24" s="154">
        <v>0.022</v>
      </c>
      <c r="M24" s="154">
        <v>0.0</v>
      </c>
      <c r="N24" s="154">
        <v>0.0</v>
      </c>
      <c r="O24" s="152" t="s">
        <v>19</v>
      </c>
      <c r="P24" s="155">
        <v>0.0549</v>
      </c>
    </row>
    <row r="25">
      <c r="A25" s="156" t="s">
        <v>635</v>
      </c>
      <c r="B25" s="157">
        <v>54.0</v>
      </c>
      <c r="C25" s="199">
        <v>1.0</v>
      </c>
      <c r="D25" s="158">
        <v>1.0</v>
      </c>
      <c r="E25" s="200"/>
      <c r="F25" s="157">
        <v>53.0</v>
      </c>
      <c r="G25" s="157">
        <v>3.0</v>
      </c>
      <c r="H25" s="158">
        <v>0.057</v>
      </c>
      <c r="I25" s="156" t="s">
        <v>662</v>
      </c>
      <c r="J25" s="158">
        <v>0.0185</v>
      </c>
      <c r="K25" s="158">
        <v>0.037</v>
      </c>
      <c r="L25" s="158">
        <v>0.0185</v>
      </c>
      <c r="M25" s="158">
        <v>0.0185</v>
      </c>
      <c r="N25" s="158">
        <v>0.0</v>
      </c>
      <c r="O25" s="156" t="s">
        <v>19</v>
      </c>
      <c r="P25" s="159">
        <v>0.037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</cols>
  <sheetData>
    <row r="1">
      <c r="A1" s="150" t="s">
        <v>656</v>
      </c>
      <c r="B1" s="150" t="s">
        <v>657</v>
      </c>
      <c r="C1" s="150" t="s">
        <v>672</v>
      </c>
      <c r="D1" s="150" t="s">
        <v>673</v>
      </c>
      <c r="E1" s="150" t="s">
        <v>674</v>
      </c>
      <c r="F1" s="150" t="s">
        <v>658</v>
      </c>
      <c r="G1" s="150" t="s">
        <v>659</v>
      </c>
      <c r="H1" s="150" t="s">
        <v>660</v>
      </c>
      <c r="I1" s="150" t="s">
        <v>661</v>
      </c>
      <c r="J1" s="150" t="s">
        <v>133</v>
      </c>
      <c r="K1" s="150" t="s">
        <v>89</v>
      </c>
      <c r="L1" s="150" t="s">
        <v>507</v>
      </c>
      <c r="M1" s="150" t="s">
        <v>462</v>
      </c>
      <c r="N1" s="150" t="s">
        <v>387</v>
      </c>
      <c r="O1" s="150" t="s">
        <v>677</v>
      </c>
      <c r="P1" s="150" t="s">
        <v>676</v>
      </c>
    </row>
    <row r="2">
      <c r="A2" s="176" t="s">
        <v>517</v>
      </c>
      <c r="B2" s="153">
        <v>14.0</v>
      </c>
      <c r="C2" s="197">
        <v>1.0</v>
      </c>
      <c r="D2" s="154">
        <v>1.0</v>
      </c>
      <c r="E2" s="198"/>
      <c r="F2" s="153">
        <v>11.0</v>
      </c>
      <c r="G2" s="153">
        <v>4.0</v>
      </c>
      <c r="H2" s="154">
        <v>0.364</v>
      </c>
      <c r="I2" s="152" t="s">
        <v>662</v>
      </c>
      <c r="J2" s="154">
        <v>0.25</v>
      </c>
      <c r="K2" s="154">
        <v>0.0833</v>
      </c>
      <c r="L2" s="154">
        <v>0.1667</v>
      </c>
      <c r="M2" s="154">
        <v>0.0</v>
      </c>
      <c r="N2" s="154">
        <v>0.0</v>
      </c>
      <c r="O2" s="152" t="s">
        <v>43</v>
      </c>
      <c r="P2" s="154">
        <v>0.25</v>
      </c>
    </row>
    <row r="3">
      <c r="A3" s="156" t="s">
        <v>597</v>
      </c>
      <c r="B3" s="157">
        <v>12.0</v>
      </c>
      <c r="C3" s="199">
        <v>1.0</v>
      </c>
      <c r="D3" s="158">
        <v>1.0</v>
      </c>
      <c r="E3" s="200"/>
      <c r="F3" s="157">
        <v>11.0</v>
      </c>
      <c r="G3" s="157">
        <v>3.0</v>
      </c>
      <c r="H3" s="158">
        <v>0.273</v>
      </c>
      <c r="I3" s="156" t="s">
        <v>662</v>
      </c>
      <c r="J3" s="158">
        <v>0.25</v>
      </c>
      <c r="K3" s="158">
        <v>0.0</v>
      </c>
      <c r="L3" s="158">
        <v>0.0</v>
      </c>
      <c r="M3" s="158">
        <v>0.0</v>
      </c>
      <c r="N3" s="158">
        <v>0.0</v>
      </c>
      <c r="O3" s="156" t="s">
        <v>43</v>
      </c>
      <c r="P3" s="158">
        <v>0.25</v>
      </c>
    </row>
    <row r="4">
      <c r="A4" s="152" t="s">
        <v>598</v>
      </c>
      <c r="B4" s="153">
        <v>11.0</v>
      </c>
      <c r="C4" s="197">
        <v>0.52</v>
      </c>
      <c r="D4" s="154">
        <v>1.0</v>
      </c>
      <c r="E4" s="198"/>
      <c r="F4" s="153">
        <v>7.0</v>
      </c>
      <c r="G4" s="153">
        <v>3.0</v>
      </c>
      <c r="H4" s="154">
        <v>0.429</v>
      </c>
      <c r="I4" s="152" t="s">
        <v>662</v>
      </c>
      <c r="J4" s="154">
        <v>0.2222</v>
      </c>
      <c r="K4" s="154">
        <v>0.1111</v>
      </c>
      <c r="L4" s="154">
        <v>0.1111</v>
      </c>
      <c r="M4" s="154">
        <v>0.0</v>
      </c>
      <c r="N4" s="154">
        <v>0.0</v>
      </c>
      <c r="O4" s="152" t="s">
        <v>43</v>
      </c>
      <c r="P4" s="154">
        <v>0.2222</v>
      </c>
    </row>
    <row r="5">
      <c r="A5" s="156" t="s">
        <v>599</v>
      </c>
      <c r="B5" s="157">
        <v>48.0</v>
      </c>
      <c r="C5" s="199">
        <v>0.89</v>
      </c>
      <c r="D5" s="158">
        <v>1.0</v>
      </c>
      <c r="E5" s="200"/>
      <c r="F5" s="157">
        <v>38.0</v>
      </c>
      <c r="G5" s="157">
        <v>9.0</v>
      </c>
      <c r="H5" s="158">
        <v>0.237</v>
      </c>
      <c r="I5" s="156" t="s">
        <v>662</v>
      </c>
      <c r="J5" s="158">
        <v>0.0976</v>
      </c>
      <c r="K5" s="158">
        <v>0.0244</v>
      </c>
      <c r="L5" s="158">
        <v>0.0732</v>
      </c>
      <c r="M5" s="158">
        <v>0.0488</v>
      </c>
      <c r="N5" s="158">
        <v>0.0488</v>
      </c>
      <c r="O5" s="156" t="s">
        <v>43</v>
      </c>
      <c r="P5" s="158">
        <v>0.0976</v>
      </c>
    </row>
    <row r="6">
      <c r="A6" s="152" t="s">
        <v>600</v>
      </c>
      <c r="B6" s="153">
        <v>17.0</v>
      </c>
      <c r="C6" s="197">
        <v>0.61</v>
      </c>
      <c r="D6" s="154">
        <v>1.0</v>
      </c>
      <c r="E6" s="198"/>
      <c r="F6" s="153">
        <v>12.0</v>
      </c>
      <c r="G6" s="153">
        <v>3.0</v>
      </c>
      <c r="H6" s="154">
        <v>0.25</v>
      </c>
      <c r="I6" s="152" t="s">
        <v>662</v>
      </c>
      <c r="J6" s="154">
        <v>0.1538</v>
      </c>
      <c r="K6" s="154">
        <v>0.0</v>
      </c>
      <c r="L6" s="154">
        <v>0.1538</v>
      </c>
      <c r="M6" s="154">
        <v>0.0</v>
      </c>
      <c r="N6" s="154">
        <v>0.0769</v>
      </c>
      <c r="O6" s="152" t="s">
        <v>395</v>
      </c>
      <c r="P6" s="154">
        <v>0.1538</v>
      </c>
    </row>
    <row r="7">
      <c r="A7" s="156" t="s">
        <v>367</v>
      </c>
      <c r="B7" s="157">
        <v>12.0</v>
      </c>
      <c r="C7" s="199">
        <v>0.29</v>
      </c>
      <c r="D7" s="158">
        <v>1.0</v>
      </c>
      <c r="E7" s="200"/>
      <c r="F7" s="157">
        <v>8.0</v>
      </c>
      <c r="G7" s="157">
        <v>4.0</v>
      </c>
      <c r="H7" s="158">
        <v>0.5</v>
      </c>
      <c r="I7" s="156" t="s">
        <v>662</v>
      </c>
      <c r="J7" s="158">
        <v>0.0</v>
      </c>
      <c r="K7" s="158">
        <v>0.0</v>
      </c>
      <c r="L7" s="158">
        <v>0.1</v>
      </c>
      <c r="M7" s="158">
        <v>0.0</v>
      </c>
      <c r="N7" s="158">
        <v>0.4</v>
      </c>
      <c r="O7" s="156" t="s">
        <v>137</v>
      </c>
      <c r="P7" s="158">
        <v>0.4</v>
      </c>
    </row>
    <row r="8">
      <c r="A8" s="152" t="s">
        <v>342</v>
      </c>
      <c r="B8" s="153">
        <v>23.0</v>
      </c>
      <c r="C8" s="197">
        <v>0.79</v>
      </c>
      <c r="D8" s="154">
        <v>1.0</v>
      </c>
      <c r="E8" s="198"/>
      <c r="F8" s="153">
        <v>21.0</v>
      </c>
      <c r="G8" s="153">
        <v>3.0</v>
      </c>
      <c r="H8" s="154">
        <v>0.143</v>
      </c>
      <c r="I8" s="152" t="s">
        <v>662</v>
      </c>
      <c r="J8" s="154">
        <v>0.0476</v>
      </c>
      <c r="K8" s="154">
        <v>0.0</v>
      </c>
      <c r="L8" s="154">
        <v>0.0476</v>
      </c>
      <c r="M8" s="154">
        <v>0.0</v>
      </c>
      <c r="N8" s="154">
        <v>0.0952</v>
      </c>
      <c r="O8" s="152" t="s">
        <v>137</v>
      </c>
      <c r="P8" s="154">
        <v>0.0952</v>
      </c>
    </row>
    <row r="9">
      <c r="A9" s="156" t="s">
        <v>601</v>
      </c>
      <c r="B9" s="157">
        <v>53.0</v>
      </c>
      <c r="C9" s="199">
        <v>0.62</v>
      </c>
      <c r="D9" s="158">
        <v>1.0</v>
      </c>
      <c r="E9" s="200"/>
      <c r="F9" s="157">
        <v>51.0</v>
      </c>
      <c r="G9" s="157">
        <v>4.0</v>
      </c>
      <c r="H9" s="158">
        <v>0.078</v>
      </c>
      <c r="I9" s="156" t="s">
        <v>662</v>
      </c>
      <c r="J9" s="158">
        <v>0.0364</v>
      </c>
      <c r="K9" s="158">
        <v>0.0</v>
      </c>
      <c r="L9" s="158">
        <v>0.0182</v>
      </c>
      <c r="M9" s="158">
        <v>0.0</v>
      </c>
      <c r="N9" s="158">
        <v>0.0545</v>
      </c>
      <c r="O9" s="156" t="s">
        <v>137</v>
      </c>
      <c r="P9" s="158">
        <v>0.0545</v>
      </c>
    </row>
    <row r="10">
      <c r="A10" s="176" t="s">
        <v>440</v>
      </c>
      <c r="B10" s="153">
        <v>15.0</v>
      </c>
      <c r="C10" s="197">
        <v>0.5</v>
      </c>
      <c r="D10" s="154">
        <v>1.0</v>
      </c>
      <c r="E10" s="198"/>
      <c r="F10" s="153">
        <v>9.0</v>
      </c>
      <c r="G10" s="153">
        <v>3.0</v>
      </c>
      <c r="H10" s="154">
        <v>0.333</v>
      </c>
      <c r="I10" s="152" t="s">
        <v>662</v>
      </c>
      <c r="J10" s="154">
        <v>0.1</v>
      </c>
      <c r="K10" s="154">
        <v>0.1</v>
      </c>
      <c r="L10" s="154">
        <v>0.2</v>
      </c>
      <c r="M10" s="154">
        <v>0.0</v>
      </c>
      <c r="N10" s="154">
        <v>0.1</v>
      </c>
      <c r="O10" s="152" t="s">
        <v>602</v>
      </c>
      <c r="P10" s="154">
        <v>0.2</v>
      </c>
    </row>
    <row r="11">
      <c r="A11" s="156" t="s">
        <v>172</v>
      </c>
      <c r="B11" s="157">
        <v>30.0</v>
      </c>
      <c r="C11" s="199">
        <v>0.37</v>
      </c>
      <c r="D11" s="158">
        <v>1.0</v>
      </c>
      <c r="E11" s="200"/>
      <c r="F11" s="157">
        <v>29.0</v>
      </c>
      <c r="G11" s="157">
        <v>3.0</v>
      </c>
      <c r="H11" s="158">
        <v>0.103</v>
      </c>
      <c r="I11" s="156" t="s">
        <v>662</v>
      </c>
      <c r="J11" s="158">
        <v>0.0667</v>
      </c>
      <c r="K11" s="158">
        <v>0.0333</v>
      </c>
      <c r="L11" s="158">
        <v>0.1333</v>
      </c>
      <c r="M11" s="158">
        <v>0.0</v>
      </c>
      <c r="N11" s="158">
        <v>0.0</v>
      </c>
      <c r="O11" s="156" t="s">
        <v>602</v>
      </c>
      <c r="P11" s="158">
        <v>0.1333</v>
      </c>
    </row>
    <row r="12">
      <c r="A12" s="152" t="s">
        <v>584</v>
      </c>
      <c r="B12" s="153">
        <v>41.0</v>
      </c>
      <c r="C12" s="197">
        <v>0.39</v>
      </c>
      <c r="D12" s="154">
        <v>1.0</v>
      </c>
      <c r="E12" s="198"/>
      <c r="F12" s="153">
        <v>36.0</v>
      </c>
      <c r="G12" s="153">
        <v>7.0</v>
      </c>
      <c r="H12" s="154">
        <v>0.194</v>
      </c>
      <c r="I12" s="152" t="s">
        <v>662</v>
      </c>
      <c r="J12" s="154">
        <v>0.1053</v>
      </c>
      <c r="K12" s="154">
        <v>0.0</v>
      </c>
      <c r="L12" s="154">
        <v>0.1316</v>
      </c>
      <c r="M12" s="154">
        <v>0.0263</v>
      </c>
      <c r="N12" s="154">
        <v>0.0526</v>
      </c>
      <c r="O12" s="152" t="s">
        <v>602</v>
      </c>
      <c r="P12" s="154">
        <v>0.1316</v>
      </c>
    </row>
    <row r="13">
      <c r="A13" s="156" t="s">
        <v>510</v>
      </c>
      <c r="B13" s="157">
        <v>39.0</v>
      </c>
      <c r="C13" s="199">
        <v>0.72</v>
      </c>
      <c r="D13" s="158">
        <v>1.0</v>
      </c>
      <c r="E13" s="200"/>
      <c r="F13" s="157">
        <v>32.0</v>
      </c>
      <c r="G13" s="157">
        <v>3.0</v>
      </c>
      <c r="H13" s="158">
        <v>0.094</v>
      </c>
      <c r="I13" s="156" t="s">
        <v>662</v>
      </c>
      <c r="J13" s="158">
        <v>0.0278</v>
      </c>
      <c r="K13" s="158">
        <v>0.0</v>
      </c>
      <c r="L13" s="158">
        <v>0.1111</v>
      </c>
      <c r="M13" s="158">
        <v>0.0</v>
      </c>
      <c r="N13" s="158">
        <v>0.0556</v>
      </c>
      <c r="O13" s="156" t="s">
        <v>602</v>
      </c>
      <c r="P13" s="158">
        <v>0.1111</v>
      </c>
    </row>
    <row r="14">
      <c r="A14" s="152" t="s">
        <v>603</v>
      </c>
      <c r="B14" s="153">
        <v>44.0</v>
      </c>
      <c r="C14" s="197">
        <v>0.3</v>
      </c>
      <c r="D14" s="154">
        <v>1.0</v>
      </c>
      <c r="E14" s="198"/>
      <c r="F14" s="153">
        <v>39.0</v>
      </c>
      <c r="G14" s="153">
        <v>3.0</v>
      </c>
      <c r="H14" s="154">
        <v>0.077</v>
      </c>
      <c r="I14" s="152" t="s">
        <v>662</v>
      </c>
      <c r="J14" s="154">
        <v>0.05</v>
      </c>
      <c r="K14" s="154">
        <v>0.0</v>
      </c>
      <c r="L14" s="154">
        <v>0.05</v>
      </c>
      <c r="M14" s="154">
        <v>0.0</v>
      </c>
      <c r="N14" s="154">
        <v>0.025</v>
      </c>
      <c r="O14" s="152" t="s">
        <v>602</v>
      </c>
      <c r="P14" s="154">
        <v>0.05</v>
      </c>
    </row>
    <row r="15">
      <c r="A15" s="156" t="s">
        <v>604</v>
      </c>
      <c r="B15" s="157">
        <v>85.0</v>
      </c>
      <c r="C15" s="199">
        <v>0.68</v>
      </c>
      <c r="D15" s="158">
        <v>1.0</v>
      </c>
      <c r="E15" s="200"/>
      <c r="F15" s="157">
        <v>80.0</v>
      </c>
      <c r="G15" s="157">
        <v>5.0</v>
      </c>
      <c r="H15" s="158">
        <v>0.063</v>
      </c>
      <c r="I15" s="156" t="s">
        <v>662</v>
      </c>
      <c r="J15" s="158">
        <v>0.025</v>
      </c>
      <c r="K15" s="158">
        <v>0.025</v>
      </c>
      <c r="L15" s="158">
        <v>0.0375</v>
      </c>
      <c r="M15" s="158">
        <v>0.0</v>
      </c>
      <c r="N15" s="158">
        <v>0.025</v>
      </c>
      <c r="O15" s="156" t="s">
        <v>602</v>
      </c>
      <c r="P15" s="158">
        <v>0.0375</v>
      </c>
    </row>
    <row r="16">
      <c r="A16" s="152" t="s">
        <v>535</v>
      </c>
      <c r="B16" s="153">
        <v>8.0</v>
      </c>
      <c r="C16" s="197">
        <v>0.62</v>
      </c>
      <c r="D16" s="154">
        <v>1.0</v>
      </c>
      <c r="E16" s="198"/>
      <c r="F16" s="153">
        <v>4.0</v>
      </c>
      <c r="G16" s="153">
        <v>3.0</v>
      </c>
      <c r="H16" s="154">
        <v>0.75</v>
      </c>
      <c r="I16" s="152" t="s">
        <v>662</v>
      </c>
      <c r="J16" s="154">
        <v>0.0</v>
      </c>
      <c r="K16" s="154">
        <v>0.4286</v>
      </c>
      <c r="L16" s="154">
        <v>0.1429</v>
      </c>
      <c r="M16" s="154">
        <v>0.0</v>
      </c>
      <c r="N16" s="154">
        <v>0.0</v>
      </c>
      <c r="O16" s="152" t="s">
        <v>19</v>
      </c>
      <c r="P16" s="154">
        <v>0.4286</v>
      </c>
    </row>
    <row r="17">
      <c r="A17" s="156" t="s">
        <v>591</v>
      </c>
      <c r="B17" s="157">
        <v>52.0</v>
      </c>
      <c r="C17" s="199">
        <v>0.98</v>
      </c>
      <c r="D17" s="158">
        <v>1.0</v>
      </c>
      <c r="E17" s="200"/>
      <c r="F17" s="157">
        <v>42.0</v>
      </c>
      <c r="G17" s="157">
        <v>11.0</v>
      </c>
      <c r="H17" s="158">
        <v>0.262</v>
      </c>
      <c r="I17" s="156" t="s">
        <v>662</v>
      </c>
      <c r="J17" s="158">
        <v>0.0227</v>
      </c>
      <c r="K17" s="158">
        <v>0.2045</v>
      </c>
      <c r="L17" s="158">
        <v>0.0</v>
      </c>
      <c r="M17" s="158">
        <v>0.0227</v>
      </c>
      <c r="N17" s="158">
        <v>0.0</v>
      </c>
      <c r="O17" s="156" t="s">
        <v>19</v>
      </c>
      <c r="P17" s="158">
        <v>0.2045</v>
      </c>
    </row>
    <row r="18">
      <c r="A18" s="152" t="s">
        <v>548</v>
      </c>
      <c r="B18" s="153">
        <v>72.0</v>
      </c>
      <c r="C18" s="197">
        <v>0.9</v>
      </c>
      <c r="D18" s="154">
        <v>1.0</v>
      </c>
      <c r="E18" s="198"/>
      <c r="F18" s="153">
        <v>43.0</v>
      </c>
      <c r="G18" s="153">
        <v>17.0</v>
      </c>
      <c r="H18" s="154">
        <v>0.395</v>
      </c>
      <c r="I18" s="152" t="s">
        <v>662</v>
      </c>
      <c r="J18" s="154">
        <v>0.1111</v>
      </c>
      <c r="K18" s="154">
        <v>0.1481</v>
      </c>
      <c r="L18" s="154">
        <v>0.0185</v>
      </c>
      <c r="M18" s="154">
        <v>0.037</v>
      </c>
      <c r="N18" s="154">
        <v>0.0741</v>
      </c>
      <c r="O18" s="152" t="s">
        <v>19</v>
      </c>
      <c r="P18" s="154">
        <v>0.1481</v>
      </c>
    </row>
    <row r="19">
      <c r="A19" s="156" t="s">
        <v>302</v>
      </c>
      <c r="B19" s="157">
        <v>15.0</v>
      </c>
      <c r="C19" s="199">
        <v>0.83</v>
      </c>
      <c r="D19" s="158">
        <v>1.0</v>
      </c>
      <c r="E19" s="200"/>
      <c r="F19" s="157">
        <v>12.0</v>
      </c>
      <c r="G19" s="157">
        <v>5.0</v>
      </c>
      <c r="H19" s="158">
        <v>0.417</v>
      </c>
      <c r="I19" s="156" t="s">
        <v>662</v>
      </c>
      <c r="J19" s="158">
        <v>0.1538</v>
      </c>
      <c r="K19" s="158">
        <v>0.0</v>
      </c>
      <c r="L19" s="158">
        <v>0.1538</v>
      </c>
      <c r="M19" s="158">
        <v>0.2308</v>
      </c>
      <c r="N19" s="158">
        <v>0.0</v>
      </c>
      <c r="O19" s="156" t="s">
        <v>415</v>
      </c>
      <c r="P19" s="158">
        <v>0.2308</v>
      </c>
    </row>
    <row r="20">
      <c r="A20" s="152" t="s">
        <v>579</v>
      </c>
      <c r="B20" s="153">
        <v>10.0</v>
      </c>
      <c r="C20" s="197">
        <v>0.11</v>
      </c>
      <c r="D20" s="154">
        <v>1.0</v>
      </c>
      <c r="E20" s="198"/>
      <c r="F20" s="153">
        <v>10.0</v>
      </c>
      <c r="G20" s="153">
        <v>3.0</v>
      </c>
      <c r="H20" s="154">
        <v>0.3</v>
      </c>
      <c r="I20" s="152" t="s">
        <v>662</v>
      </c>
      <c r="J20" s="154">
        <v>0.0909</v>
      </c>
      <c r="K20" s="154">
        <v>0.0</v>
      </c>
      <c r="L20" s="154">
        <v>0.0909</v>
      </c>
      <c r="M20" s="154">
        <v>0.1818</v>
      </c>
      <c r="N20" s="154">
        <v>0.0</v>
      </c>
      <c r="O20" s="152" t="s">
        <v>415</v>
      </c>
      <c r="P20" s="154">
        <v>0.1818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0" t="s">
        <v>678</v>
      </c>
      <c r="B1" s="150" t="s">
        <v>657</v>
      </c>
      <c r="C1" s="150" t="s">
        <v>672</v>
      </c>
      <c r="D1" s="150" t="s">
        <v>673</v>
      </c>
      <c r="E1" s="150" t="s">
        <v>674</v>
      </c>
      <c r="F1" s="150" t="s">
        <v>658</v>
      </c>
      <c r="G1" s="150" t="s">
        <v>659</v>
      </c>
      <c r="H1" s="150" t="s">
        <v>660</v>
      </c>
      <c r="I1" s="150" t="s">
        <v>661</v>
      </c>
      <c r="J1" s="150" t="s">
        <v>133</v>
      </c>
      <c r="K1" s="150" t="s">
        <v>89</v>
      </c>
      <c r="L1" s="150" t="s">
        <v>507</v>
      </c>
      <c r="M1" s="150" t="s">
        <v>387</v>
      </c>
      <c r="N1" s="150" t="s">
        <v>679</v>
      </c>
      <c r="O1" s="150" t="s">
        <v>675</v>
      </c>
      <c r="P1" s="151" t="s">
        <v>676</v>
      </c>
    </row>
    <row r="2">
      <c r="A2" s="152" t="s">
        <v>302</v>
      </c>
      <c r="B2" s="153">
        <v>26.0</v>
      </c>
      <c r="C2" s="197">
        <v>0.39</v>
      </c>
      <c r="D2" s="154">
        <v>1.0</v>
      </c>
      <c r="E2" s="198"/>
      <c r="F2" s="153">
        <v>15.0</v>
      </c>
      <c r="G2" s="153">
        <v>10.0</v>
      </c>
      <c r="H2" s="154">
        <v>0.667</v>
      </c>
      <c r="I2" s="152" t="s">
        <v>662</v>
      </c>
      <c r="J2" s="154">
        <v>0.381</v>
      </c>
      <c r="K2" s="154">
        <v>0.0476</v>
      </c>
      <c r="L2" s="154">
        <v>0.1905</v>
      </c>
      <c r="M2" s="154">
        <v>0.0</v>
      </c>
      <c r="N2" s="154">
        <v>0.0476</v>
      </c>
      <c r="O2" s="152" t="s">
        <v>43</v>
      </c>
      <c r="P2" s="155">
        <v>0.381</v>
      </c>
    </row>
    <row r="3">
      <c r="A3" s="156" t="s">
        <v>517</v>
      </c>
      <c r="B3" s="157">
        <v>26.0</v>
      </c>
      <c r="C3" s="199">
        <v>1.0</v>
      </c>
      <c r="D3" s="158">
        <v>1.0</v>
      </c>
      <c r="E3" s="200"/>
      <c r="F3" s="157">
        <v>16.0</v>
      </c>
      <c r="G3" s="157">
        <v>5.0</v>
      </c>
      <c r="H3" s="158">
        <v>0.313</v>
      </c>
      <c r="I3" s="156" t="s">
        <v>662</v>
      </c>
      <c r="J3" s="158">
        <v>0.1818</v>
      </c>
      <c r="K3" s="158">
        <v>0.0</v>
      </c>
      <c r="L3" s="158">
        <v>0.0455</v>
      </c>
      <c r="M3" s="158">
        <v>0.0455</v>
      </c>
      <c r="N3" s="158">
        <v>0.0909</v>
      </c>
      <c r="O3" s="156" t="s">
        <v>43</v>
      </c>
      <c r="P3" s="159">
        <v>0.1818</v>
      </c>
    </row>
    <row r="4">
      <c r="A4" s="152" t="s">
        <v>180</v>
      </c>
      <c r="B4" s="153">
        <v>64.0</v>
      </c>
      <c r="C4" s="197">
        <v>0.97</v>
      </c>
      <c r="D4" s="154">
        <v>1.0</v>
      </c>
      <c r="E4" s="198"/>
      <c r="F4" s="153">
        <v>63.0</v>
      </c>
      <c r="G4" s="153">
        <v>5.0</v>
      </c>
      <c r="H4" s="154">
        <v>0.079</v>
      </c>
      <c r="I4" s="152" t="s">
        <v>662</v>
      </c>
      <c r="J4" s="154">
        <v>0.0635</v>
      </c>
      <c r="K4" s="154">
        <v>0.0159</v>
      </c>
      <c r="L4" s="154">
        <v>0.0159</v>
      </c>
      <c r="M4" s="154">
        <v>0.0</v>
      </c>
      <c r="N4" s="154">
        <v>0.0</v>
      </c>
      <c r="O4" s="152" t="s">
        <v>43</v>
      </c>
      <c r="P4" s="155">
        <v>0.0635</v>
      </c>
    </row>
    <row r="5">
      <c r="A5" s="156" t="s">
        <v>606</v>
      </c>
      <c r="B5" s="157">
        <v>93.0</v>
      </c>
      <c r="C5" s="199">
        <v>0.18</v>
      </c>
      <c r="D5" s="158">
        <v>1.0</v>
      </c>
      <c r="E5" s="200"/>
      <c r="F5" s="157">
        <v>90.0</v>
      </c>
      <c r="G5" s="157">
        <v>6.0</v>
      </c>
      <c r="H5" s="158">
        <v>0.067</v>
      </c>
      <c r="I5" s="156" t="s">
        <v>662</v>
      </c>
      <c r="J5" s="158">
        <v>0.0532</v>
      </c>
      <c r="K5" s="158">
        <v>0.0</v>
      </c>
      <c r="L5" s="158">
        <v>0.0426</v>
      </c>
      <c r="M5" s="158">
        <v>0.0</v>
      </c>
      <c r="N5" s="158">
        <v>0.0106</v>
      </c>
      <c r="O5" s="156" t="s">
        <v>43</v>
      </c>
      <c r="P5" s="159">
        <v>0.0532</v>
      </c>
    </row>
    <row r="6">
      <c r="A6" s="152" t="s">
        <v>607</v>
      </c>
      <c r="B6" s="153">
        <v>201.0</v>
      </c>
      <c r="C6" s="197">
        <v>0.55</v>
      </c>
      <c r="D6" s="154">
        <v>1.0</v>
      </c>
      <c r="E6" s="198"/>
      <c r="F6" s="153">
        <v>198.0</v>
      </c>
      <c r="G6" s="153">
        <v>11.0</v>
      </c>
      <c r="H6" s="154">
        <v>0.056</v>
      </c>
      <c r="I6" s="152" t="s">
        <v>662</v>
      </c>
      <c r="J6" s="154">
        <v>0.04</v>
      </c>
      <c r="K6" s="154">
        <v>0.0</v>
      </c>
      <c r="L6" s="154">
        <v>0.015</v>
      </c>
      <c r="M6" s="154">
        <v>0.015</v>
      </c>
      <c r="N6" s="154">
        <v>0.005</v>
      </c>
      <c r="O6" s="152" t="s">
        <v>43</v>
      </c>
      <c r="P6" s="155">
        <v>0.04</v>
      </c>
    </row>
    <row r="7">
      <c r="A7" s="156" t="s">
        <v>608</v>
      </c>
      <c r="B7" s="157">
        <v>127.0</v>
      </c>
      <c r="C7" s="199">
        <v>0.2</v>
      </c>
      <c r="D7" s="158">
        <v>1.0</v>
      </c>
      <c r="E7" s="200"/>
      <c r="F7" s="157">
        <v>115.0</v>
      </c>
      <c r="G7" s="157">
        <v>7.0</v>
      </c>
      <c r="H7" s="158">
        <v>0.061</v>
      </c>
      <c r="I7" s="156" t="s">
        <v>662</v>
      </c>
      <c r="J7" s="158">
        <v>0.042</v>
      </c>
      <c r="K7" s="158">
        <v>0.0</v>
      </c>
      <c r="L7" s="158">
        <v>0.042</v>
      </c>
      <c r="M7" s="158">
        <v>0.0168</v>
      </c>
      <c r="N7" s="158">
        <v>0.0</v>
      </c>
      <c r="O7" s="156" t="s">
        <v>395</v>
      </c>
      <c r="P7" s="159">
        <v>0.042</v>
      </c>
    </row>
    <row r="8">
      <c r="A8" s="177" t="s">
        <v>367</v>
      </c>
      <c r="B8" s="178">
        <v>16.0</v>
      </c>
      <c r="C8" s="201">
        <v>0.23</v>
      </c>
      <c r="D8" s="179">
        <v>1.0</v>
      </c>
      <c r="E8" s="202"/>
      <c r="F8" s="178">
        <v>11.0</v>
      </c>
      <c r="G8" s="178">
        <v>7.0</v>
      </c>
      <c r="H8" s="179">
        <v>0.636</v>
      </c>
      <c r="I8" s="177" t="s">
        <v>662</v>
      </c>
      <c r="J8" s="179">
        <v>0.1053</v>
      </c>
      <c r="K8" s="179">
        <v>0.0</v>
      </c>
      <c r="L8" s="179">
        <v>0.1579</v>
      </c>
      <c r="M8" s="179">
        <v>0.3158</v>
      </c>
      <c r="N8" s="179">
        <v>0.0</v>
      </c>
      <c r="O8" s="177" t="s">
        <v>137</v>
      </c>
      <c r="P8" s="180">
        <v>0.3158</v>
      </c>
    </row>
    <row r="9">
      <c r="A9" s="156" t="s">
        <v>374</v>
      </c>
      <c r="B9" s="157">
        <v>115.0</v>
      </c>
      <c r="C9" s="199">
        <v>0.99</v>
      </c>
      <c r="D9" s="158">
        <v>1.0</v>
      </c>
      <c r="E9" s="200"/>
      <c r="F9" s="157">
        <v>108.0</v>
      </c>
      <c r="G9" s="157">
        <v>13.0</v>
      </c>
      <c r="H9" s="158">
        <v>0.12</v>
      </c>
      <c r="I9" s="156" t="s">
        <v>662</v>
      </c>
      <c r="J9" s="158">
        <v>0.0182</v>
      </c>
      <c r="K9" s="158">
        <v>0.0091</v>
      </c>
      <c r="L9" s="158">
        <v>0.0273</v>
      </c>
      <c r="M9" s="158">
        <v>0.1</v>
      </c>
      <c r="N9" s="158">
        <v>0.0</v>
      </c>
      <c r="O9" s="156" t="s">
        <v>137</v>
      </c>
      <c r="P9" s="159">
        <v>0.1</v>
      </c>
    </row>
    <row r="10">
      <c r="A10" s="152" t="s">
        <v>311</v>
      </c>
      <c r="B10" s="153">
        <v>203.0</v>
      </c>
      <c r="C10" s="197">
        <v>1.0</v>
      </c>
      <c r="D10" s="154">
        <v>1.0</v>
      </c>
      <c r="E10" s="198"/>
      <c r="F10" s="153">
        <v>195.0</v>
      </c>
      <c r="G10" s="153">
        <v>13.0</v>
      </c>
      <c r="H10" s="154">
        <v>0.067</v>
      </c>
      <c r="I10" s="152" t="s">
        <v>662</v>
      </c>
      <c r="J10" s="154">
        <v>0.0305</v>
      </c>
      <c r="K10" s="154">
        <v>0.0</v>
      </c>
      <c r="L10" s="154">
        <v>0.0254</v>
      </c>
      <c r="M10" s="154">
        <v>0.0457</v>
      </c>
      <c r="N10" s="154">
        <v>0.0</v>
      </c>
      <c r="O10" s="152" t="s">
        <v>137</v>
      </c>
      <c r="P10" s="155">
        <v>0.0457</v>
      </c>
    </row>
    <row r="11">
      <c r="A11" s="156" t="s">
        <v>609</v>
      </c>
      <c r="B11" s="157">
        <v>135.0</v>
      </c>
      <c r="C11" s="199">
        <v>0.28</v>
      </c>
      <c r="D11" s="158">
        <v>1.0</v>
      </c>
      <c r="E11" s="200"/>
      <c r="F11" s="157">
        <v>127.0</v>
      </c>
      <c r="G11" s="157">
        <v>7.0</v>
      </c>
      <c r="H11" s="158">
        <v>0.055</v>
      </c>
      <c r="I11" s="156" t="s">
        <v>662</v>
      </c>
      <c r="J11" s="158">
        <v>0.0155</v>
      </c>
      <c r="K11" s="158">
        <v>0.0</v>
      </c>
      <c r="L11" s="158">
        <v>0.0233</v>
      </c>
      <c r="M11" s="158">
        <v>0.0388</v>
      </c>
      <c r="N11" s="158">
        <v>0.0</v>
      </c>
      <c r="O11" s="156" t="s">
        <v>137</v>
      </c>
      <c r="P11" s="159">
        <v>0.0388</v>
      </c>
    </row>
    <row r="12">
      <c r="A12" s="152" t="s">
        <v>610</v>
      </c>
      <c r="B12" s="153">
        <v>104.0</v>
      </c>
      <c r="C12" s="197">
        <v>1.0</v>
      </c>
      <c r="D12" s="154">
        <v>1.0</v>
      </c>
      <c r="E12" s="198"/>
      <c r="F12" s="153">
        <v>97.0</v>
      </c>
      <c r="G12" s="153">
        <v>5.0</v>
      </c>
      <c r="H12" s="154">
        <v>0.052</v>
      </c>
      <c r="I12" s="152" t="s">
        <v>662</v>
      </c>
      <c r="J12" s="154">
        <v>0.0206</v>
      </c>
      <c r="K12" s="154">
        <v>0.0</v>
      </c>
      <c r="L12" s="154">
        <v>0.0825</v>
      </c>
      <c r="M12" s="154">
        <v>0.0206</v>
      </c>
      <c r="N12" s="154">
        <v>0.0103</v>
      </c>
      <c r="O12" s="152" t="s">
        <v>405</v>
      </c>
      <c r="P12" s="155">
        <v>0.0825</v>
      </c>
    </row>
    <row r="13">
      <c r="A13" s="156" t="s">
        <v>611</v>
      </c>
      <c r="B13" s="157">
        <v>32.0</v>
      </c>
      <c r="C13" s="199">
        <v>0.36</v>
      </c>
      <c r="D13" s="158">
        <v>1.0</v>
      </c>
      <c r="E13" s="200"/>
      <c r="F13" s="157">
        <v>31.0</v>
      </c>
      <c r="G13" s="157">
        <v>6.0</v>
      </c>
      <c r="H13" s="158">
        <v>0.194</v>
      </c>
      <c r="I13" s="156" t="s">
        <v>662</v>
      </c>
      <c r="J13" s="158">
        <v>0.0909</v>
      </c>
      <c r="K13" s="158">
        <v>0.0303</v>
      </c>
      <c r="L13" s="158">
        <v>0.1212</v>
      </c>
      <c r="M13" s="158">
        <v>0.0606</v>
      </c>
      <c r="N13" s="158">
        <v>0.0303</v>
      </c>
      <c r="O13" s="156" t="s">
        <v>602</v>
      </c>
      <c r="P13" s="159">
        <v>0.1212</v>
      </c>
    </row>
    <row r="14">
      <c r="A14" s="152" t="s">
        <v>612</v>
      </c>
      <c r="B14" s="153">
        <v>82.0</v>
      </c>
      <c r="C14" s="197">
        <v>0.6</v>
      </c>
      <c r="D14" s="154">
        <v>1.0</v>
      </c>
      <c r="E14" s="198"/>
      <c r="F14" s="153">
        <v>76.0</v>
      </c>
      <c r="G14" s="153">
        <v>6.0</v>
      </c>
      <c r="H14" s="154">
        <v>0.079</v>
      </c>
      <c r="I14" s="152" t="s">
        <v>662</v>
      </c>
      <c r="J14" s="154">
        <v>0.0263</v>
      </c>
      <c r="K14" s="154">
        <v>0.0</v>
      </c>
      <c r="L14" s="154">
        <v>0.0526</v>
      </c>
      <c r="M14" s="154">
        <v>0.0526</v>
      </c>
      <c r="N14" s="154">
        <v>0.0</v>
      </c>
      <c r="O14" s="152" t="s">
        <v>409</v>
      </c>
      <c r="P14" s="155">
        <v>0.0526</v>
      </c>
    </row>
    <row r="15">
      <c r="A15" s="156" t="s">
        <v>265</v>
      </c>
      <c r="B15" s="157">
        <v>12.0</v>
      </c>
      <c r="C15" s="199">
        <v>0.16</v>
      </c>
      <c r="D15" s="158">
        <v>1.0</v>
      </c>
      <c r="E15" s="200"/>
      <c r="F15" s="157">
        <v>9.0</v>
      </c>
      <c r="G15" s="157">
        <v>9.0</v>
      </c>
      <c r="H15" s="158">
        <v>1.0</v>
      </c>
      <c r="I15" s="156" t="s">
        <v>662</v>
      </c>
      <c r="J15" s="158">
        <v>0.1</v>
      </c>
      <c r="K15" s="158">
        <v>0.7</v>
      </c>
      <c r="L15" s="158">
        <v>0.0</v>
      </c>
      <c r="M15" s="158">
        <v>0.0</v>
      </c>
      <c r="N15" s="158">
        <v>0.1</v>
      </c>
      <c r="O15" s="156" t="s">
        <v>19</v>
      </c>
      <c r="P15" s="159">
        <v>0.7</v>
      </c>
    </row>
    <row r="16">
      <c r="A16" s="152" t="s">
        <v>461</v>
      </c>
      <c r="B16" s="153">
        <v>6.0</v>
      </c>
      <c r="C16" s="197">
        <v>0.17</v>
      </c>
      <c r="D16" s="154">
        <v>1.0</v>
      </c>
      <c r="E16" s="198"/>
      <c r="F16" s="153">
        <v>6.0</v>
      </c>
      <c r="G16" s="153">
        <v>6.0</v>
      </c>
      <c r="H16" s="154">
        <v>1.0</v>
      </c>
      <c r="I16" s="152" t="s">
        <v>662</v>
      </c>
      <c r="J16" s="154">
        <v>0.0</v>
      </c>
      <c r="K16" s="154">
        <v>1.0</v>
      </c>
      <c r="L16" s="154">
        <v>0.0</v>
      </c>
      <c r="M16" s="154">
        <v>0.0</v>
      </c>
      <c r="N16" s="154">
        <v>0.0</v>
      </c>
      <c r="O16" s="152" t="s">
        <v>19</v>
      </c>
      <c r="P16" s="155">
        <v>1.0</v>
      </c>
    </row>
    <row r="17">
      <c r="A17" s="156" t="s">
        <v>545</v>
      </c>
      <c r="B17" s="157">
        <v>7.0</v>
      </c>
      <c r="C17" s="199">
        <v>0.47</v>
      </c>
      <c r="D17" s="158">
        <v>1.0</v>
      </c>
      <c r="E17" s="200"/>
      <c r="F17" s="157">
        <v>7.0</v>
      </c>
      <c r="G17" s="157">
        <v>6.0</v>
      </c>
      <c r="H17" s="158">
        <v>0.857</v>
      </c>
      <c r="I17" s="156" t="s">
        <v>662</v>
      </c>
      <c r="J17" s="158">
        <v>0.0909</v>
      </c>
      <c r="K17" s="158">
        <v>0.4545</v>
      </c>
      <c r="L17" s="158">
        <v>0.0909</v>
      </c>
      <c r="M17" s="158">
        <v>0.0</v>
      </c>
      <c r="N17" s="158">
        <v>0.0</v>
      </c>
      <c r="O17" s="156" t="s">
        <v>19</v>
      </c>
      <c r="P17" s="159">
        <v>0.4545</v>
      </c>
    </row>
    <row r="18">
      <c r="A18" s="177" t="s">
        <v>376</v>
      </c>
      <c r="B18" s="178">
        <v>13.0</v>
      </c>
      <c r="C18" s="201">
        <v>0.19</v>
      </c>
      <c r="D18" s="179">
        <v>1.0</v>
      </c>
      <c r="E18" s="202"/>
      <c r="F18" s="178">
        <v>11.0</v>
      </c>
      <c r="G18" s="178">
        <v>6.0</v>
      </c>
      <c r="H18" s="179">
        <v>0.545</v>
      </c>
      <c r="I18" s="177" t="s">
        <v>662</v>
      </c>
      <c r="J18" s="179">
        <v>0.125</v>
      </c>
      <c r="K18" s="179">
        <v>0.25</v>
      </c>
      <c r="L18" s="179">
        <v>0.0625</v>
      </c>
      <c r="M18" s="179">
        <v>0.1875</v>
      </c>
      <c r="N18" s="179">
        <v>0.0625</v>
      </c>
      <c r="O18" s="177" t="s">
        <v>19</v>
      </c>
      <c r="P18" s="180">
        <v>0.25</v>
      </c>
    </row>
    <row r="19">
      <c r="A19" s="156" t="s">
        <v>548</v>
      </c>
      <c r="B19" s="157">
        <v>154.0</v>
      </c>
      <c r="C19" s="199">
        <v>0.6</v>
      </c>
      <c r="D19" s="158">
        <v>1.0</v>
      </c>
      <c r="E19" s="200"/>
      <c r="F19" s="157">
        <v>125.0</v>
      </c>
      <c r="G19" s="157">
        <v>44.0</v>
      </c>
      <c r="H19" s="158">
        <v>0.352</v>
      </c>
      <c r="I19" s="156" t="s">
        <v>662</v>
      </c>
      <c r="J19" s="158">
        <v>0.0314</v>
      </c>
      <c r="K19" s="158">
        <v>0.3019</v>
      </c>
      <c r="L19" s="158">
        <v>0.0629</v>
      </c>
      <c r="M19" s="158">
        <v>0.0252</v>
      </c>
      <c r="N19" s="158">
        <v>0.0063</v>
      </c>
      <c r="O19" s="156" t="s">
        <v>19</v>
      </c>
      <c r="P19" s="159">
        <v>0.3019</v>
      </c>
    </row>
    <row r="20">
      <c r="A20" s="152" t="s">
        <v>342</v>
      </c>
      <c r="B20" s="153">
        <v>101.0</v>
      </c>
      <c r="C20" s="197">
        <v>0.59</v>
      </c>
      <c r="D20" s="154">
        <v>1.0</v>
      </c>
      <c r="E20" s="198"/>
      <c r="F20" s="153">
        <v>96.0</v>
      </c>
      <c r="G20" s="153">
        <v>26.0</v>
      </c>
      <c r="H20" s="154">
        <v>0.271</v>
      </c>
      <c r="I20" s="152" t="s">
        <v>662</v>
      </c>
      <c r="J20" s="154">
        <v>0.0388</v>
      </c>
      <c r="K20" s="154">
        <v>0.1553</v>
      </c>
      <c r="L20" s="154">
        <v>0.0388</v>
      </c>
      <c r="M20" s="154">
        <v>0.0777</v>
      </c>
      <c r="N20" s="154">
        <v>0.0194</v>
      </c>
      <c r="O20" s="152" t="s">
        <v>19</v>
      </c>
      <c r="P20" s="155">
        <v>0.1553</v>
      </c>
    </row>
    <row r="21">
      <c r="A21" s="156" t="s">
        <v>510</v>
      </c>
      <c r="B21" s="157">
        <v>49.0</v>
      </c>
      <c r="C21" s="199">
        <v>0.29</v>
      </c>
      <c r="D21" s="158">
        <v>1.0</v>
      </c>
      <c r="E21" s="200"/>
      <c r="F21" s="157">
        <v>42.0</v>
      </c>
      <c r="G21" s="157">
        <v>9.0</v>
      </c>
      <c r="H21" s="158">
        <v>0.214</v>
      </c>
      <c r="I21" s="156" t="s">
        <v>662</v>
      </c>
      <c r="J21" s="158">
        <v>0.0612</v>
      </c>
      <c r="K21" s="158">
        <v>0.1429</v>
      </c>
      <c r="L21" s="158">
        <v>0.0408</v>
      </c>
      <c r="M21" s="158">
        <v>0.0204</v>
      </c>
      <c r="N21" s="158">
        <v>0.0</v>
      </c>
      <c r="O21" s="156" t="s">
        <v>19</v>
      </c>
      <c r="P21" s="159">
        <v>0.1429</v>
      </c>
    </row>
    <row r="22">
      <c r="A22" s="152" t="s">
        <v>293</v>
      </c>
      <c r="B22" s="153">
        <v>61.0</v>
      </c>
      <c r="C22" s="197">
        <v>0.36</v>
      </c>
      <c r="D22" s="154">
        <v>1.0</v>
      </c>
      <c r="E22" s="198"/>
      <c r="F22" s="153">
        <v>61.0</v>
      </c>
      <c r="G22" s="153">
        <v>7.0</v>
      </c>
      <c r="H22" s="154">
        <v>0.115</v>
      </c>
      <c r="I22" s="152" t="s">
        <v>662</v>
      </c>
      <c r="J22" s="154">
        <v>0.0328</v>
      </c>
      <c r="K22" s="154">
        <v>0.0492</v>
      </c>
      <c r="L22" s="154">
        <v>0.0328</v>
      </c>
      <c r="M22" s="154">
        <v>0.0328</v>
      </c>
      <c r="N22" s="154">
        <v>0.0</v>
      </c>
      <c r="O22" s="152" t="s">
        <v>19</v>
      </c>
      <c r="P22" s="155">
        <v>0.0492</v>
      </c>
    </row>
    <row r="23">
      <c r="A23" s="156" t="s">
        <v>605</v>
      </c>
      <c r="B23" s="157">
        <v>8.0</v>
      </c>
      <c r="C23" s="199">
        <v>0.31</v>
      </c>
      <c r="D23" s="158">
        <v>1.0</v>
      </c>
      <c r="E23" s="200"/>
      <c r="F23" s="157">
        <v>7.0</v>
      </c>
      <c r="G23" s="157">
        <v>5.0</v>
      </c>
      <c r="H23" s="158">
        <v>0.714</v>
      </c>
      <c r="I23" s="156" t="s">
        <v>662</v>
      </c>
      <c r="J23" s="158">
        <v>0.1429</v>
      </c>
      <c r="K23" s="158">
        <v>0.0</v>
      </c>
      <c r="L23" s="158">
        <v>0.1429</v>
      </c>
      <c r="M23" s="158">
        <v>0.0</v>
      </c>
      <c r="N23" s="158">
        <v>0.5714</v>
      </c>
      <c r="O23" s="156" t="s">
        <v>415</v>
      </c>
      <c r="P23" s="159">
        <v>0.5714</v>
      </c>
    </row>
    <row r="24">
      <c r="A24" s="152" t="s">
        <v>614</v>
      </c>
      <c r="B24" s="153">
        <v>17.0</v>
      </c>
      <c r="C24" s="197">
        <v>0.21</v>
      </c>
      <c r="D24" s="154">
        <v>1.0</v>
      </c>
      <c r="E24" s="198"/>
      <c r="F24" s="153">
        <v>17.0</v>
      </c>
      <c r="G24" s="153">
        <v>4.0</v>
      </c>
      <c r="H24" s="154">
        <v>0.235</v>
      </c>
      <c r="I24" s="152" t="s">
        <v>662</v>
      </c>
      <c r="J24" s="154">
        <v>0.1053</v>
      </c>
      <c r="K24" s="154">
        <v>0.0526</v>
      </c>
      <c r="L24" s="154">
        <v>0.0</v>
      </c>
      <c r="M24" s="154">
        <v>0.0526</v>
      </c>
      <c r="N24" s="154">
        <v>0.0</v>
      </c>
      <c r="O24" s="152" t="s">
        <v>43</v>
      </c>
      <c r="P24" s="155">
        <v>0.1053</v>
      </c>
    </row>
    <row r="25">
      <c r="A25" s="181" t="s">
        <v>589</v>
      </c>
      <c r="B25" s="182">
        <v>74.0</v>
      </c>
      <c r="C25" s="203">
        <v>0.2</v>
      </c>
      <c r="D25" s="183">
        <v>1.0</v>
      </c>
      <c r="E25" s="204"/>
      <c r="F25" s="182">
        <v>73.0</v>
      </c>
      <c r="G25" s="182">
        <v>4.0</v>
      </c>
      <c r="H25" s="183">
        <v>0.055</v>
      </c>
      <c r="I25" s="181" t="s">
        <v>662</v>
      </c>
      <c r="J25" s="183">
        <v>0.0548</v>
      </c>
      <c r="K25" s="183">
        <v>0.0</v>
      </c>
      <c r="L25" s="183">
        <v>0.0411</v>
      </c>
      <c r="M25" s="183">
        <v>0.0</v>
      </c>
      <c r="N25" s="183">
        <v>0.0</v>
      </c>
      <c r="O25" s="181" t="s">
        <v>43</v>
      </c>
      <c r="P25" s="184">
        <v>0.0548</v>
      </c>
    </row>
    <row r="26">
      <c r="A26" s="185" t="s">
        <v>615</v>
      </c>
      <c r="B26" s="186">
        <v>55.0</v>
      </c>
      <c r="C26" s="205">
        <v>0.35</v>
      </c>
      <c r="D26" s="187">
        <v>1.0</v>
      </c>
      <c r="E26" s="206"/>
      <c r="F26" s="186">
        <v>47.0</v>
      </c>
      <c r="G26" s="186">
        <v>4.0</v>
      </c>
      <c r="H26" s="187">
        <v>0.085</v>
      </c>
      <c r="I26" s="185" t="s">
        <v>662</v>
      </c>
      <c r="J26" s="187">
        <v>0.0784</v>
      </c>
      <c r="K26" s="187">
        <v>0.0</v>
      </c>
      <c r="L26" s="187">
        <v>0.0588</v>
      </c>
      <c r="M26" s="187">
        <v>0.0</v>
      </c>
      <c r="N26" s="187">
        <v>0.0</v>
      </c>
      <c r="O26" s="185" t="s">
        <v>43</v>
      </c>
      <c r="P26" s="188">
        <v>0.0784</v>
      </c>
    </row>
    <row r="27">
      <c r="A27" s="185" t="s">
        <v>616</v>
      </c>
      <c r="B27" s="186">
        <v>40.0</v>
      </c>
      <c r="C27" s="205">
        <v>0.85</v>
      </c>
      <c r="D27" s="187">
        <v>1.0</v>
      </c>
      <c r="E27" s="206"/>
      <c r="F27" s="186">
        <v>38.0</v>
      </c>
      <c r="G27" s="186">
        <v>4.0</v>
      </c>
      <c r="H27" s="187">
        <v>0.105</v>
      </c>
      <c r="I27" s="185" t="s">
        <v>662</v>
      </c>
      <c r="J27" s="187">
        <v>0.1053</v>
      </c>
      <c r="K27" s="187">
        <v>0.0</v>
      </c>
      <c r="L27" s="187">
        <v>0.0</v>
      </c>
      <c r="M27" s="187">
        <v>0.0</v>
      </c>
      <c r="N27" s="187">
        <v>0.0</v>
      </c>
      <c r="O27" s="185" t="s">
        <v>43</v>
      </c>
      <c r="P27" s="188">
        <v>0.1053</v>
      </c>
    </row>
    <row r="28">
      <c r="A28" s="181" t="s">
        <v>617</v>
      </c>
      <c r="B28" s="182">
        <v>14.0</v>
      </c>
      <c r="C28" s="203">
        <v>1.0</v>
      </c>
      <c r="D28" s="183">
        <v>1.0</v>
      </c>
      <c r="E28" s="204"/>
      <c r="F28" s="182">
        <v>14.0</v>
      </c>
      <c r="G28" s="182">
        <v>4.0</v>
      </c>
      <c r="H28" s="183">
        <v>0.286</v>
      </c>
      <c r="I28" s="181" t="s">
        <v>662</v>
      </c>
      <c r="J28" s="183">
        <v>0.1429</v>
      </c>
      <c r="K28" s="183">
        <v>0.0</v>
      </c>
      <c r="L28" s="183">
        <v>0.0714</v>
      </c>
      <c r="M28" s="183">
        <v>0.1429</v>
      </c>
      <c r="N28" s="183">
        <v>0.0</v>
      </c>
      <c r="O28" s="181" t="s">
        <v>43</v>
      </c>
      <c r="P28" s="184">
        <v>0.1429</v>
      </c>
    </row>
    <row r="29">
      <c r="A29" s="185" t="s">
        <v>618</v>
      </c>
      <c r="B29" s="186">
        <v>8.0</v>
      </c>
      <c r="C29" s="205">
        <v>0.24</v>
      </c>
      <c r="D29" s="187">
        <v>1.0</v>
      </c>
      <c r="E29" s="206"/>
      <c r="F29" s="186">
        <v>7.0</v>
      </c>
      <c r="G29" s="186">
        <v>4.0</v>
      </c>
      <c r="H29" s="187">
        <v>0.571</v>
      </c>
      <c r="I29" s="185" t="s">
        <v>662</v>
      </c>
      <c r="J29" s="187">
        <v>0.3333</v>
      </c>
      <c r="K29" s="187">
        <v>0.0</v>
      </c>
      <c r="L29" s="187">
        <v>0.0</v>
      </c>
      <c r="M29" s="187">
        <v>0.1111</v>
      </c>
      <c r="N29" s="187">
        <v>0.0</v>
      </c>
      <c r="O29" s="185" t="s">
        <v>43</v>
      </c>
      <c r="P29" s="188">
        <v>0.3333</v>
      </c>
    </row>
    <row r="30">
      <c r="A30" s="185" t="s">
        <v>469</v>
      </c>
      <c r="B30" s="186">
        <v>18.0</v>
      </c>
      <c r="C30" s="205">
        <v>0.69</v>
      </c>
      <c r="D30" s="187">
        <v>1.0</v>
      </c>
      <c r="E30" s="206"/>
      <c r="F30" s="186">
        <v>17.0</v>
      </c>
      <c r="G30" s="186">
        <v>4.0</v>
      </c>
      <c r="H30" s="187">
        <v>0.235</v>
      </c>
      <c r="I30" s="185" t="s">
        <v>662</v>
      </c>
      <c r="J30" s="187">
        <v>0.1667</v>
      </c>
      <c r="K30" s="187">
        <v>0.0</v>
      </c>
      <c r="L30" s="187">
        <v>0.0556</v>
      </c>
      <c r="M30" s="187">
        <v>0.0556</v>
      </c>
      <c r="N30" s="187">
        <v>0.0556</v>
      </c>
      <c r="O30" s="185" t="s">
        <v>43</v>
      </c>
      <c r="P30" s="188">
        <v>0.1667</v>
      </c>
    </row>
    <row r="31">
      <c r="A31" s="189" t="s">
        <v>328</v>
      </c>
      <c r="B31" s="190">
        <v>9.0</v>
      </c>
      <c r="C31" s="207">
        <v>0.14</v>
      </c>
      <c r="D31" s="191">
        <v>1.0</v>
      </c>
      <c r="E31" s="208"/>
      <c r="F31" s="190">
        <v>6.0</v>
      </c>
      <c r="G31" s="190">
        <v>4.0</v>
      </c>
      <c r="H31" s="191">
        <v>0.667</v>
      </c>
      <c r="I31" s="189" t="s">
        <v>662</v>
      </c>
      <c r="J31" s="191">
        <v>0.0</v>
      </c>
      <c r="K31" s="191">
        <v>0.0</v>
      </c>
      <c r="L31" s="191">
        <v>0.3333</v>
      </c>
      <c r="M31" s="191">
        <v>0.5</v>
      </c>
      <c r="N31" s="191">
        <v>0.1667</v>
      </c>
      <c r="O31" s="189" t="s">
        <v>137</v>
      </c>
      <c r="P31" s="192">
        <v>0.5</v>
      </c>
    </row>
    <row r="32">
      <c r="A32" s="193" t="s">
        <v>440</v>
      </c>
      <c r="B32" s="194">
        <v>21.0</v>
      </c>
      <c r="C32" s="209">
        <v>0.33</v>
      </c>
      <c r="D32" s="195">
        <v>1.0</v>
      </c>
      <c r="E32" s="210"/>
      <c r="F32" s="194">
        <v>12.0</v>
      </c>
      <c r="G32" s="194">
        <v>4.0</v>
      </c>
      <c r="H32" s="195">
        <v>0.333</v>
      </c>
      <c r="I32" s="193" t="s">
        <v>662</v>
      </c>
      <c r="J32" s="195">
        <v>0.1</v>
      </c>
      <c r="K32" s="195">
        <v>0.1</v>
      </c>
      <c r="L32" s="195">
        <v>0.25</v>
      </c>
      <c r="M32" s="195">
        <v>0.25</v>
      </c>
      <c r="N32" s="195">
        <v>0.05</v>
      </c>
      <c r="O32" s="193" t="s">
        <v>405</v>
      </c>
      <c r="P32" s="196">
        <v>0.25</v>
      </c>
    </row>
    <row r="33">
      <c r="A33" s="181" t="s">
        <v>619</v>
      </c>
      <c r="B33" s="182">
        <v>7.0</v>
      </c>
      <c r="C33" s="203">
        <v>0.18</v>
      </c>
      <c r="D33" s="183">
        <v>1.0</v>
      </c>
      <c r="E33" s="204"/>
      <c r="F33" s="182">
        <v>5.0</v>
      </c>
      <c r="G33" s="182">
        <v>4.0</v>
      </c>
      <c r="H33" s="183">
        <v>0.8</v>
      </c>
      <c r="I33" s="181" t="s">
        <v>662</v>
      </c>
      <c r="J33" s="183">
        <v>0.0</v>
      </c>
      <c r="K33" s="183">
        <v>0.5</v>
      </c>
      <c r="L33" s="183">
        <v>0.0</v>
      </c>
      <c r="M33" s="183">
        <v>0.0</v>
      </c>
      <c r="N33" s="183">
        <v>0.1667</v>
      </c>
      <c r="O33" s="181" t="s">
        <v>19</v>
      </c>
      <c r="P33" s="184">
        <v>0.5</v>
      </c>
    </row>
    <row r="34">
      <c r="A34" s="181" t="s">
        <v>620</v>
      </c>
      <c r="B34" s="182">
        <v>10.0</v>
      </c>
      <c r="C34" s="203">
        <v>1.0</v>
      </c>
      <c r="D34" s="183">
        <v>1.0</v>
      </c>
      <c r="E34" s="204"/>
      <c r="F34" s="182">
        <v>10.0</v>
      </c>
      <c r="G34" s="182">
        <v>4.0</v>
      </c>
      <c r="H34" s="183">
        <v>0.4</v>
      </c>
      <c r="I34" s="181" t="s">
        <v>662</v>
      </c>
      <c r="J34" s="183">
        <v>0.0833</v>
      </c>
      <c r="K34" s="183">
        <v>0.25</v>
      </c>
      <c r="L34" s="183">
        <v>0.0833</v>
      </c>
      <c r="M34" s="183">
        <v>0.0</v>
      </c>
      <c r="N34" s="183">
        <v>0.0</v>
      </c>
      <c r="O34" s="181" t="s">
        <v>19</v>
      </c>
      <c r="P34" s="184">
        <v>0.25</v>
      </c>
    </row>
    <row r="35">
      <c r="A35" s="181" t="s">
        <v>514</v>
      </c>
      <c r="B35" s="182">
        <v>8.0</v>
      </c>
      <c r="C35" s="203">
        <v>0.14</v>
      </c>
      <c r="D35" s="183">
        <v>1.0</v>
      </c>
      <c r="E35" s="204"/>
      <c r="F35" s="182">
        <v>8.0</v>
      </c>
      <c r="G35" s="182">
        <v>4.0</v>
      </c>
      <c r="H35" s="183">
        <v>0.5</v>
      </c>
      <c r="I35" s="181" t="s">
        <v>662</v>
      </c>
      <c r="J35" s="183">
        <v>0.0</v>
      </c>
      <c r="K35" s="183">
        <v>0.5</v>
      </c>
      <c r="L35" s="183">
        <v>0.0</v>
      </c>
      <c r="M35" s="183">
        <v>0.0</v>
      </c>
      <c r="N35" s="183">
        <v>0.0</v>
      </c>
      <c r="O35" s="181" t="s">
        <v>19</v>
      </c>
      <c r="P35" s="184">
        <v>0.5</v>
      </c>
    </row>
    <row r="36">
      <c r="A36" s="185" t="s">
        <v>621</v>
      </c>
      <c r="B36" s="186">
        <v>76.0</v>
      </c>
      <c r="C36" s="205">
        <v>0.2</v>
      </c>
      <c r="D36" s="187">
        <v>1.0</v>
      </c>
      <c r="E36" s="206"/>
      <c r="F36" s="186">
        <v>76.0</v>
      </c>
      <c r="G36" s="186">
        <v>4.0</v>
      </c>
      <c r="H36" s="187">
        <v>0.053</v>
      </c>
      <c r="I36" s="185" t="s">
        <v>662</v>
      </c>
      <c r="J36" s="187">
        <v>0.0132</v>
      </c>
      <c r="K36" s="187">
        <v>0.0263</v>
      </c>
      <c r="L36" s="187">
        <v>0.0263</v>
      </c>
      <c r="M36" s="187">
        <v>0.0</v>
      </c>
      <c r="N36" s="187">
        <v>0.0132</v>
      </c>
      <c r="O36" s="185" t="s">
        <v>415</v>
      </c>
      <c r="P36" s="188">
        <v>0.0263</v>
      </c>
    </row>
  </sheetData>
  <autoFilter ref="$A$1:$P$36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1" t="s">
        <v>3</v>
      </c>
      <c r="B1" s="211" t="s">
        <v>657</v>
      </c>
      <c r="C1" s="211" t="s">
        <v>672</v>
      </c>
      <c r="D1" s="211" t="s">
        <v>673</v>
      </c>
      <c r="E1" s="211" t="s">
        <v>674</v>
      </c>
      <c r="F1" s="211" t="s">
        <v>658</v>
      </c>
      <c r="G1" s="211" t="s">
        <v>659</v>
      </c>
      <c r="H1" s="211" t="s">
        <v>660</v>
      </c>
      <c r="I1" s="211" t="s">
        <v>661</v>
      </c>
      <c r="J1" s="211" t="s">
        <v>133</v>
      </c>
      <c r="K1" s="211" t="s">
        <v>89</v>
      </c>
      <c r="L1" s="211" t="s">
        <v>387</v>
      </c>
      <c r="M1" s="211" t="s">
        <v>680</v>
      </c>
      <c r="N1" s="211" t="s">
        <v>462</v>
      </c>
      <c r="O1" s="211" t="s">
        <v>675</v>
      </c>
      <c r="P1" s="211" t="s">
        <v>676</v>
      </c>
      <c r="Q1" s="212" t="s">
        <v>681</v>
      </c>
    </row>
    <row r="2">
      <c r="A2" s="170" t="s">
        <v>517</v>
      </c>
      <c r="B2" s="171">
        <v>17.0</v>
      </c>
      <c r="C2" s="213">
        <v>1.0</v>
      </c>
      <c r="D2" s="172">
        <v>1.0</v>
      </c>
      <c r="E2" s="214"/>
      <c r="F2" s="171">
        <v>14.0</v>
      </c>
      <c r="G2" s="171">
        <v>5.0</v>
      </c>
      <c r="H2" s="172">
        <v>0.357</v>
      </c>
      <c r="I2" s="170" t="s">
        <v>662</v>
      </c>
      <c r="J2" s="172">
        <v>0.1667</v>
      </c>
      <c r="K2" s="172">
        <v>0.0</v>
      </c>
      <c r="L2" s="172">
        <v>0.0</v>
      </c>
      <c r="M2" s="172">
        <v>0.0556</v>
      </c>
      <c r="N2" s="172">
        <v>0.1111</v>
      </c>
      <c r="O2" s="170" t="s">
        <v>43</v>
      </c>
      <c r="P2" s="172">
        <v>0.1667</v>
      </c>
      <c r="Q2" s="215" t="e">
        <v>#N/A</v>
      </c>
    </row>
    <row r="3">
      <c r="A3" s="173" t="s">
        <v>123</v>
      </c>
      <c r="B3" s="174">
        <v>11.0</v>
      </c>
      <c r="C3" s="216">
        <v>0.06</v>
      </c>
      <c r="D3" s="175">
        <v>1.0</v>
      </c>
      <c r="E3" s="217"/>
      <c r="F3" s="174">
        <v>12.0</v>
      </c>
      <c r="G3" s="174">
        <v>3.0</v>
      </c>
      <c r="H3" s="175">
        <v>0.25</v>
      </c>
      <c r="I3" s="173" t="s">
        <v>662</v>
      </c>
      <c r="J3" s="175">
        <v>0.2308</v>
      </c>
      <c r="K3" s="175">
        <v>0.0</v>
      </c>
      <c r="L3" s="175">
        <v>0.0</v>
      </c>
      <c r="M3" s="175">
        <v>0.0769</v>
      </c>
      <c r="N3" s="175">
        <v>0.0</v>
      </c>
      <c r="O3" s="173" t="s">
        <v>43</v>
      </c>
      <c r="P3" s="175">
        <v>0.2308</v>
      </c>
      <c r="Q3" s="218" t="e">
        <v>#N/A</v>
      </c>
    </row>
    <row r="4">
      <c r="A4" s="170" t="s">
        <v>587</v>
      </c>
      <c r="B4" s="171">
        <v>19.0</v>
      </c>
      <c r="C4" s="213">
        <v>0.06</v>
      </c>
      <c r="D4" s="172">
        <v>1.0</v>
      </c>
      <c r="E4" s="214"/>
      <c r="F4" s="171">
        <v>19.0</v>
      </c>
      <c r="G4" s="171">
        <v>3.0</v>
      </c>
      <c r="H4" s="172">
        <v>0.158</v>
      </c>
      <c r="I4" s="170" t="s">
        <v>662</v>
      </c>
      <c r="J4" s="172">
        <v>0.12</v>
      </c>
      <c r="K4" s="172">
        <v>0.0</v>
      </c>
      <c r="L4" s="172">
        <v>0.0</v>
      </c>
      <c r="M4" s="172">
        <v>0.0</v>
      </c>
      <c r="N4" s="172">
        <v>0.0</v>
      </c>
      <c r="O4" s="170" t="s">
        <v>43</v>
      </c>
      <c r="P4" s="172">
        <v>0.12</v>
      </c>
      <c r="Q4" s="215" t="e">
        <v>#N/A</v>
      </c>
    </row>
    <row r="5">
      <c r="A5" s="173" t="s">
        <v>588</v>
      </c>
      <c r="B5" s="174">
        <v>38.0</v>
      </c>
      <c r="C5" s="216">
        <v>0.29</v>
      </c>
      <c r="D5" s="175">
        <v>1.0</v>
      </c>
      <c r="E5" s="217"/>
      <c r="F5" s="174">
        <v>33.0</v>
      </c>
      <c r="G5" s="174">
        <v>3.0</v>
      </c>
      <c r="H5" s="175">
        <v>0.091</v>
      </c>
      <c r="I5" s="173" t="s">
        <v>662</v>
      </c>
      <c r="J5" s="175">
        <v>0.0588</v>
      </c>
      <c r="K5" s="175">
        <v>0.0294</v>
      </c>
      <c r="L5" s="175">
        <v>0.0</v>
      </c>
      <c r="M5" s="175">
        <v>0.0294</v>
      </c>
      <c r="N5" s="175">
        <v>0.0</v>
      </c>
      <c r="O5" s="173" t="s">
        <v>43</v>
      </c>
      <c r="P5" s="175">
        <v>0.0588</v>
      </c>
      <c r="Q5" s="218" t="e">
        <v>#N/A</v>
      </c>
    </row>
    <row r="6">
      <c r="A6" s="170" t="s">
        <v>589</v>
      </c>
      <c r="B6" s="171">
        <v>150.0</v>
      </c>
      <c r="C6" s="213">
        <v>0.55</v>
      </c>
      <c r="D6" s="172">
        <v>1.0</v>
      </c>
      <c r="E6" s="214"/>
      <c r="F6" s="171">
        <v>145.0</v>
      </c>
      <c r="G6" s="171">
        <v>15.0</v>
      </c>
      <c r="H6" s="172">
        <v>0.103</v>
      </c>
      <c r="I6" s="170" t="s">
        <v>662</v>
      </c>
      <c r="J6" s="172">
        <v>0.0476</v>
      </c>
      <c r="K6" s="172">
        <v>0.0204</v>
      </c>
      <c r="L6" s="172">
        <v>0.034</v>
      </c>
      <c r="M6" s="172">
        <v>0.0544</v>
      </c>
      <c r="N6" s="172">
        <v>0.0</v>
      </c>
      <c r="O6" s="170" t="s">
        <v>395</v>
      </c>
      <c r="P6" s="172">
        <v>0.0544</v>
      </c>
      <c r="Q6" s="215" t="e">
        <v>#N/A</v>
      </c>
    </row>
    <row r="7">
      <c r="A7" s="173" t="s">
        <v>500</v>
      </c>
      <c r="B7" s="174">
        <v>101.0</v>
      </c>
      <c r="C7" s="216">
        <v>0.07</v>
      </c>
      <c r="D7" s="175">
        <v>1.0</v>
      </c>
      <c r="E7" s="217"/>
      <c r="F7" s="174">
        <v>97.0</v>
      </c>
      <c r="G7" s="174">
        <v>10.0</v>
      </c>
      <c r="H7" s="175">
        <v>0.103</v>
      </c>
      <c r="I7" s="173" t="s">
        <v>662</v>
      </c>
      <c r="J7" s="175">
        <v>0.0588</v>
      </c>
      <c r="K7" s="175">
        <v>0.0098</v>
      </c>
      <c r="L7" s="175">
        <v>0.0294</v>
      </c>
      <c r="M7" s="175">
        <v>0.0882</v>
      </c>
      <c r="N7" s="175">
        <v>0.0098</v>
      </c>
      <c r="O7" s="173" t="s">
        <v>395</v>
      </c>
      <c r="P7" s="175">
        <v>0.0882</v>
      </c>
      <c r="Q7" s="218" t="e">
        <v>#N/A</v>
      </c>
    </row>
    <row r="8">
      <c r="A8" s="170" t="s">
        <v>590</v>
      </c>
      <c r="B8" s="171">
        <v>26.0</v>
      </c>
      <c r="C8" s="213">
        <v>0.2</v>
      </c>
      <c r="D8" s="172">
        <v>1.0</v>
      </c>
      <c r="E8" s="214"/>
      <c r="F8" s="171">
        <v>26.0</v>
      </c>
      <c r="G8" s="171">
        <v>3.0</v>
      </c>
      <c r="H8" s="172">
        <v>0.115</v>
      </c>
      <c r="I8" s="170" t="s">
        <v>662</v>
      </c>
      <c r="J8" s="172">
        <v>0.0741</v>
      </c>
      <c r="K8" s="172">
        <v>0.0</v>
      </c>
      <c r="L8" s="172">
        <v>0.037</v>
      </c>
      <c r="M8" s="172">
        <v>0.1481</v>
      </c>
      <c r="N8" s="172">
        <v>0.0</v>
      </c>
      <c r="O8" s="170" t="s">
        <v>395</v>
      </c>
      <c r="P8" s="172">
        <v>0.1481</v>
      </c>
      <c r="Q8" s="215" t="e">
        <v>#N/A</v>
      </c>
    </row>
    <row r="9">
      <c r="A9" s="173" t="s">
        <v>455</v>
      </c>
      <c r="B9" s="174">
        <v>64.0</v>
      </c>
      <c r="C9" s="216">
        <v>0.43</v>
      </c>
      <c r="D9" s="175">
        <v>1.0</v>
      </c>
      <c r="E9" s="217"/>
      <c r="F9" s="174">
        <v>51.0</v>
      </c>
      <c r="G9" s="174">
        <v>29.0</v>
      </c>
      <c r="H9" s="175">
        <v>0.569</v>
      </c>
      <c r="I9" s="173" t="s">
        <v>662</v>
      </c>
      <c r="J9" s="175">
        <v>0.0133</v>
      </c>
      <c r="K9" s="175">
        <v>0.3467</v>
      </c>
      <c r="L9" s="175">
        <v>0.0</v>
      </c>
      <c r="M9" s="175">
        <v>0.0533</v>
      </c>
      <c r="N9" s="175">
        <v>0.04</v>
      </c>
      <c r="O9" s="173" t="s">
        <v>19</v>
      </c>
      <c r="P9" s="175">
        <v>0.3467</v>
      </c>
      <c r="Q9" s="218" t="e">
        <v>#N/A</v>
      </c>
    </row>
    <row r="10">
      <c r="A10" s="170" t="s">
        <v>591</v>
      </c>
      <c r="B10" s="171">
        <v>31.0</v>
      </c>
      <c r="C10" s="213">
        <v>0.69</v>
      </c>
      <c r="D10" s="172">
        <v>1.0</v>
      </c>
      <c r="E10" s="214"/>
      <c r="F10" s="171">
        <v>27.0</v>
      </c>
      <c r="G10" s="171">
        <v>9.0</v>
      </c>
      <c r="H10" s="172">
        <v>0.333</v>
      </c>
      <c r="I10" s="170" t="s">
        <v>662</v>
      </c>
      <c r="J10" s="172">
        <v>0.0323</v>
      </c>
      <c r="K10" s="172">
        <v>0.2581</v>
      </c>
      <c r="L10" s="172">
        <v>0.0</v>
      </c>
      <c r="M10" s="172">
        <v>0.0323</v>
      </c>
      <c r="N10" s="172">
        <v>0.0323</v>
      </c>
      <c r="O10" s="170" t="s">
        <v>19</v>
      </c>
      <c r="P10" s="172">
        <v>0.2581</v>
      </c>
      <c r="Q10" s="215" t="e">
        <v>#N/A</v>
      </c>
    </row>
    <row r="11">
      <c r="A11" s="173" t="s">
        <v>592</v>
      </c>
      <c r="B11" s="174">
        <v>45.0</v>
      </c>
      <c r="C11" s="216">
        <v>0.63</v>
      </c>
      <c r="D11" s="175">
        <v>1.0</v>
      </c>
      <c r="E11" s="217"/>
      <c r="F11" s="174">
        <v>41.0</v>
      </c>
      <c r="G11" s="174">
        <v>7.0</v>
      </c>
      <c r="H11" s="175">
        <v>0.171</v>
      </c>
      <c r="I11" s="173" t="s">
        <v>662</v>
      </c>
      <c r="J11" s="175">
        <v>0.0</v>
      </c>
      <c r="K11" s="175">
        <v>0.1273</v>
      </c>
      <c r="L11" s="175">
        <v>0.0</v>
      </c>
      <c r="M11" s="175">
        <v>0.0364</v>
      </c>
      <c r="N11" s="175">
        <v>0.0</v>
      </c>
      <c r="O11" s="173" t="s">
        <v>19</v>
      </c>
      <c r="P11" s="175">
        <v>0.1273</v>
      </c>
      <c r="Q11" s="218" t="e">
        <v>#N/A</v>
      </c>
    </row>
    <row r="12">
      <c r="A12" s="170" t="s">
        <v>440</v>
      </c>
      <c r="B12" s="171">
        <v>11.0</v>
      </c>
      <c r="C12" s="213">
        <v>0.16</v>
      </c>
      <c r="D12" s="172">
        <v>1.0</v>
      </c>
      <c r="E12" s="214"/>
      <c r="F12" s="171">
        <v>9.0</v>
      </c>
      <c r="G12" s="171">
        <v>5.0</v>
      </c>
      <c r="H12" s="172">
        <v>0.556</v>
      </c>
      <c r="I12" s="170" t="s">
        <v>662</v>
      </c>
      <c r="J12" s="172">
        <v>0.0</v>
      </c>
      <c r="K12" s="172">
        <v>0.3</v>
      </c>
      <c r="L12" s="172">
        <v>0.1</v>
      </c>
      <c r="M12" s="172">
        <v>0.1</v>
      </c>
      <c r="N12" s="172">
        <v>0.1</v>
      </c>
      <c r="O12" s="170" t="s">
        <v>19</v>
      </c>
      <c r="P12" s="172">
        <v>0.3</v>
      </c>
      <c r="Q12" s="215" t="e">
        <v>#N/A</v>
      </c>
    </row>
    <row r="13">
      <c r="A13" s="173" t="s">
        <v>593</v>
      </c>
      <c r="B13" s="174">
        <v>35.0</v>
      </c>
      <c r="C13" s="216">
        <v>0.2</v>
      </c>
      <c r="D13" s="175">
        <v>1.0</v>
      </c>
      <c r="E13" s="217"/>
      <c r="F13" s="174">
        <v>37.0</v>
      </c>
      <c r="G13" s="174">
        <v>5.0</v>
      </c>
      <c r="H13" s="175">
        <v>0.135</v>
      </c>
      <c r="I13" s="173" t="s">
        <v>662</v>
      </c>
      <c r="J13" s="175">
        <v>0.0465</v>
      </c>
      <c r="K13" s="175">
        <v>0.0698</v>
      </c>
      <c r="L13" s="175">
        <v>0.0</v>
      </c>
      <c r="M13" s="175">
        <v>0.0233</v>
      </c>
      <c r="N13" s="175">
        <v>0.0233</v>
      </c>
      <c r="O13" s="173" t="s">
        <v>19</v>
      </c>
      <c r="P13" s="175">
        <v>0.0698</v>
      </c>
      <c r="Q13" s="218" t="e">
        <v>#N/A</v>
      </c>
    </row>
    <row r="14">
      <c r="A14" s="170" t="s">
        <v>594</v>
      </c>
      <c r="B14" s="171">
        <v>6.0</v>
      </c>
      <c r="C14" s="213">
        <v>0.46</v>
      </c>
      <c r="D14" s="172">
        <v>1.0</v>
      </c>
      <c r="E14" s="214"/>
      <c r="F14" s="171">
        <v>4.0</v>
      </c>
      <c r="G14" s="171">
        <v>3.0</v>
      </c>
      <c r="H14" s="172">
        <v>0.75</v>
      </c>
      <c r="I14" s="170" t="s">
        <v>662</v>
      </c>
      <c r="J14" s="172">
        <v>0.0</v>
      </c>
      <c r="K14" s="172">
        <v>0.375</v>
      </c>
      <c r="L14" s="172">
        <v>0.0</v>
      </c>
      <c r="M14" s="172">
        <v>0.0</v>
      </c>
      <c r="N14" s="172">
        <v>0.0</v>
      </c>
      <c r="O14" s="170" t="s">
        <v>19</v>
      </c>
      <c r="P14" s="172">
        <v>0.375</v>
      </c>
      <c r="Q14" s="215" t="e">
        <v>#N/A</v>
      </c>
    </row>
    <row r="15">
      <c r="A15" s="173" t="s">
        <v>595</v>
      </c>
      <c r="B15" s="174">
        <v>16.0</v>
      </c>
      <c r="C15" s="216">
        <v>0.89</v>
      </c>
      <c r="D15" s="175">
        <v>1.0</v>
      </c>
      <c r="E15" s="217"/>
      <c r="F15" s="174">
        <v>16.0</v>
      </c>
      <c r="G15" s="174">
        <v>3.0</v>
      </c>
      <c r="H15" s="175">
        <v>0.188</v>
      </c>
      <c r="I15" s="173" t="s">
        <v>662</v>
      </c>
      <c r="J15" s="175">
        <v>0.0</v>
      </c>
      <c r="K15" s="175">
        <v>0.1176</v>
      </c>
      <c r="L15" s="175">
        <v>0.0</v>
      </c>
      <c r="M15" s="175">
        <v>0.0588</v>
      </c>
      <c r="N15" s="175">
        <v>0.0588</v>
      </c>
      <c r="O15" s="173" t="s">
        <v>19</v>
      </c>
      <c r="P15" s="175">
        <v>0.1176</v>
      </c>
      <c r="Q15" s="218" t="e">
        <v>#N/A</v>
      </c>
    </row>
    <row r="16">
      <c r="A16" s="170" t="s">
        <v>596</v>
      </c>
      <c r="B16" s="171">
        <v>12.0</v>
      </c>
      <c r="C16" s="213">
        <v>0.18</v>
      </c>
      <c r="D16" s="172">
        <v>1.0</v>
      </c>
      <c r="E16" s="214"/>
      <c r="F16" s="171">
        <v>9.0</v>
      </c>
      <c r="G16" s="171">
        <v>3.0</v>
      </c>
      <c r="H16" s="172">
        <v>0.333</v>
      </c>
      <c r="I16" s="170" t="s">
        <v>662</v>
      </c>
      <c r="J16" s="172">
        <v>0.0909</v>
      </c>
      <c r="K16" s="172">
        <v>0.0</v>
      </c>
      <c r="L16" s="172">
        <v>0.0909</v>
      </c>
      <c r="M16" s="172">
        <v>0.0909</v>
      </c>
      <c r="N16" s="172">
        <v>0.0909</v>
      </c>
      <c r="O16" s="170" t="s">
        <v>336</v>
      </c>
      <c r="P16" s="172">
        <v>0.0909</v>
      </c>
      <c r="Q16" s="215" t="e">
        <v>#N/A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0" t="s">
        <v>656</v>
      </c>
      <c r="B1" s="150" t="s">
        <v>657</v>
      </c>
      <c r="C1" s="150" t="s">
        <v>672</v>
      </c>
      <c r="D1" s="150" t="s">
        <v>673</v>
      </c>
      <c r="E1" s="150" t="s">
        <v>674</v>
      </c>
      <c r="F1" s="150" t="s">
        <v>658</v>
      </c>
      <c r="G1" s="150" t="s">
        <v>659</v>
      </c>
      <c r="H1" s="150" t="s">
        <v>660</v>
      </c>
      <c r="I1" s="150" t="s">
        <v>661</v>
      </c>
      <c r="J1" s="150" t="s">
        <v>43</v>
      </c>
      <c r="K1" s="150" t="s">
        <v>19</v>
      </c>
      <c r="L1" s="150" t="s">
        <v>137</v>
      </c>
      <c r="M1" s="150" t="s">
        <v>405</v>
      </c>
      <c r="N1" s="150" t="s">
        <v>336</v>
      </c>
      <c r="O1" s="150" t="s">
        <v>4</v>
      </c>
      <c r="P1" s="150" t="s">
        <v>5</v>
      </c>
    </row>
    <row r="2">
      <c r="A2" s="156" t="s">
        <v>576</v>
      </c>
      <c r="B2" s="157">
        <v>6.0</v>
      </c>
      <c r="C2" s="199">
        <v>0.01</v>
      </c>
      <c r="D2" s="158">
        <v>1.0</v>
      </c>
      <c r="E2" s="200"/>
      <c r="F2" s="157">
        <v>3.0</v>
      </c>
      <c r="G2" s="157">
        <v>3.0</v>
      </c>
      <c r="H2" s="158">
        <v>1.0</v>
      </c>
      <c r="I2" s="156" t="s">
        <v>662</v>
      </c>
      <c r="J2" s="158">
        <v>0.0</v>
      </c>
      <c r="K2" s="158">
        <v>0.6</v>
      </c>
      <c r="L2" s="158">
        <v>0.0</v>
      </c>
      <c r="M2" s="158">
        <v>0.2</v>
      </c>
      <c r="N2" s="158">
        <v>0.2</v>
      </c>
      <c r="O2" s="156" t="s">
        <v>19</v>
      </c>
      <c r="P2" s="158">
        <v>0.6</v>
      </c>
    </row>
    <row r="3">
      <c r="A3" s="156" t="s">
        <v>514</v>
      </c>
      <c r="B3" s="157">
        <v>10.0</v>
      </c>
      <c r="C3" s="199">
        <v>0.21</v>
      </c>
      <c r="D3" s="158">
        <v>1.0</v>
      </c>
      <c r="E3" s="200"/>
      <c r="F3" s="157">
        <v>9.0</v>
      </c>
      <c r="G3" s="157">
        <v>7.0</v>
      </c>
      <c r="H3" s="158">
        <v>0.778</v>
      </c>
      <c r="I3" s="156" t="s">
        <v>662</v>
      </c>
      <c r="J3" s="158">
        <v>0.0</v>
      </c>
      <c r="K3" s="158">
        <v>0.7</v>
      </c>
      <c r="L3" s="158">
        <v>0.0</v>
      </c>
      <c r="M3" s="158">
        <v>0.0</v>
      </c>
      <c r="N3" s="158">
        <v>0.0</v>
      </c>
      <c r="O3" s="156" t="s">
        <v>19</v>
      </c>
      <c r="P3" s="158">
        <v>0.7</v>
      </c>
    </row>
    <row r="4">
      <c r="A4" s="152" t="s">
        <v>573</v>
      </c>
      <c r="B4" s="153">
        <v>13.0</v>
      </c>
      <c r="C4" s="197">
        <v>0.26</v>
      </c>
      <c r="D4" s="154">
        <v>1.0</v>
      </c>
      <c r="E4" s="198"/>
      <c r="F4" s="153">
        <v>10.0</v>
      </c>
      <c r="G4" s="153">
        <v>6.0</v>
      </c>
      <c r="H4" s="154">
        <v>0.6</v>
      </c>
      <c r="I4" s="152" t="s">
        <v>662</v>
      </c>
      <c r="J4" s="154">
        <v>0.0833</v>
      </c>
      <c r="K4" s="154">
        <v>0.4167</v>
      </c>
      <c r="L4" s="154">
        <v>0.0</v>
      </c>
      <c r="M4" s="154">
        <v>0.0833</v>
      </c>
      <c r="N4" s="154">
        <v>0.0</v>
      </c>
      <c r="O4" s="152" t="s">
        <v>19</v>
      </c>
      <c r="P4" s="154">
        <v>0.4167</v>
      </c>
    </row>
    <row r="5" hidden="1">
      <c r="A5" s="219" t="s">
        <v>682</v>
      </c>
      <c r="B5" s="220">
        <v>5.0</v>
      </c>
      <c r="C5" s="221">
        <v>1.0</v>
      </c>
      <c r="D5" s="222">
        <v>1.0</v>
      </c>
      <c r="E5" s="223"/>
      <c r="F5" s="220">
        <v>5.0</v>
      </c>
      <c r="G5" s="220">
        <v>3.0</v>
      </c>
      <c r="H5" s="222">
        <v>0.6</v>
      </c>
      <c r="I5" s="219" t="s">
        <v>662</v>
      </c>
      <c r="J5" s="222">
        <v>0.1667</v>
      </c>
      <c r="K5" s="222">
        <v>0.0</v>
      </c>
      <c r="L5" s="222">
        <v>0.0</v>
      </c>
      <c r="M5" s="222">
        <v>0.0</v>
      </c>
      <c r="N5" s="222">
        <v>0.3333</v>
      </c>
      <c r="O5" s="219" t="s">
        <v>683</v>
      </c>
      <c r="P5" s="222">
        <v>0.3333</v>
      </c>
    </row>
    <row r="6" hidden="1">
      <c r="A6" s="219" t="s">
        <v>684</v>
      </c>
      <c r="B6" s="220">
        <v>6.0</v>
      </c>
      <c r="C6" s="221">
        <v>0.38</v>
      </c>
      <c r="D6" s="222">
        <v>1.0</v>
      </c>
      <c r="E6" s="223"/>
      <c r="F6" s="220">
        <v>6.0</v>
      </c>
      <c r="G6" s="220">
        <v>3.0</v>
      </c>
      <c r="H6" s="222">
        <v>0.5</v>
      </c>
      <c r="I6" s="219" t="s">
        <v>662</v>
      </c>
      <c r="J6" s="222">
        <v>0.0</v>
      </c>
      <c r="K6" s="222">
        <v>0.0</v>
      </c>
      <c r="L6" s="222">
        <v>0.0</v>
      </c>
      <c r="M6" s="222">
        <v>0.0</v>
      </c>
      <c r="N6" s="222">
        <v>0.5</v>
      </c>
      <c r="O6" s="219" t="s">
        <v>415</v>
      </c>
      <c r="P6" s="222">
        <v>0.5</v>
      </c>
    </row>
    <row r="7" hidden="1">
      <c r="A7" s="219" t="s">
        <v>685</v>
      </c>
      <c r="B7" s="220">
        <v>7.0</v>
      </c>
      <c r="C7" s="221">
        <v>0.24</v>
      </c>
      <c r="D7" s="222">
        <v>1.0</v>
      </c>
      <c r="E7" s="223"/>
      <c r="F7" s="220">
        <v>7.0</v>
      </c>
      <c r="G7" s="220">
        <v>3.0</v>
      </c>
      <c r="H7" s="222">
        <v>0.429</v>
      </c>
      <c r="I7" s="219" t="s">
        <v>662</v>
      </c>
      <c r="J7" s="222">
        <v>0.125</v>
      </c>
      <c r="K7" s="222">
        <v>0.125</v>
      </c>
      <c r="L7" s="222">
        <v>0.0</v>
      </c>
      <c r="M7" s="222">
        <v>0.0</v>
      </c>
      <c r="N7" s="222">
        <v>0.125</v>
      </c>
      <c r="O7" s="219" t="s">
        <v>415</v>
      </c>
      <c r="P7" s="222">
        <v>0.125</v>
      </c>
    </row>
    <row r="8" hidden="1">
      <c r="A8" s="219" t="s">
        <v>455</v>
      </c>
      <c r="B8" s="220">
        <v>30.0</v>
      </c>
      <c r="C8" s="221">
        <v>0.28</v>
      </c>
      <c r="D8" s="222">
        <v>1.0</v>
      </c>
      <c r="E8" s="223"/>
      <c r="F8" s="220">
        <v>26.0</v>
      </c>
      <c r="G8" s="220">
        <v>11.0</v>
      </c>
      <c r="H8" s="222">
        <v>0.423</v>
      </c>
      <c r="I8" s="219" t="s">
        <v>662</v>
      </c>
      <c r="J8" s="222">
        <v>0.1333</v>
      </c>
      <c r="K8" s="222">
        <v>0.2</v>
      </c>
      <c r="L8" s="222">
        <v>0.0</v>
      </c>
      <c r="M8" s="222">
        <v>0.2333</v>
      </c>
      <c r="N8" s="222">
        <v>0.0667</v>
      </c>
      <c r="O8" s="219" t="s">
        <v>405</v>
      </c>
      <c r="P8" s="222">
        <v>0.2333</v>
      </c>
    </row>
    <row r="9" hidden="1">
      <c r="A9" s="219" t="s">
        <v>376</v>
      </c>
      <c r="B9" s="220">
        <v>11.0</v>
      </c>
      <c r="C9" s="221">
        <v>0.14</v>
      </c>
      <c r="D9" s="222">
        <v>1.0</v>
      </c>
      <c r="E9" s="223"/>
      <c r="F9" s="220">
        <v>8.0</v>
      </c>
      <c r="G9" s="220">
        <v>3.0</v>
      </c>
      <c r="H9" s="222">
        <v>0.375</v>
      </c>
      <c r="I9" s="219" t="s">
        <v>662</v>
      </c>
      <c r="J9" s="222">
        <v>0.0</v>
      </c>
      <c r="K9" s="222">
        <v>0.125</v>
      </c>
      <c r="L9" s="222">
        <v>0.125</v>
      </c>
      <c r="M9" s="222">
        <v>0.0</v>
      </c>
      <c r="N9" s="222">
        <v>0.125</v>
      </c>
      <c r="O9" s="219" t="s">
        <v>686</v>
      </c>
      <c r="P9" s="222">
        <v>0.125</v>
      </c>
    </row>
    <row r="10">
      <c r="A10" s="156" t="s">
        <v>578</v>
      </c>
      <c r="B10" s="157">
        <v>9.0</v>
      </c>
      <c r="C10" s="199">
        <v>0.23</v>
      </c>
      <c r="D10" s="158">
        <v>1.0</v>
      </c>
      <c r="E10" s="200"/>
      <c r="F10" s="157">
        <v>8.0</v>
      </c>
      <c r="G10" s="157">
        <v>3.0</v>
      </c>
      <c r="H10" s="158">
        <v>0.375</v>
      </c>
      <c r="I10" s="156" t="s">
        <v>662</v>
      </c>
      <c r="J10" s="158">
        <v>0.0</v>
      </c>
      <c r="K10" s="158">
        <v>0.3333</v>
      </c>
      <c r="L10" s="158">
        <v>0.0</v>
      </c>
      <c r="M10" s="158">
        <v>0.0</v>
      </c>
      <c r="N10" s="158">
        <v>0.0</v>
      </c>
      <c r="O10" s="156" t="s">
        <v>19</v>
      </c>
      <c r="P10" s="158">
        <v>0.3333</v>
      </c>
    </row>
    <row r="11" hidden="1">
      <c r="A11" s="219" t="s">
        <v>517</v>
      </c>
      <c r="B11" s="220">
        <v>35.0</v>
      </c>
      <c r="C11" s="221">
        <v>1.0</v>
      </c>
      <c r="D11" s="222">
        <v>1.0</v>
      </c>
      <c r="E11" s="223"/>
      <c r="F11" s="220">
        <v>27.0</v>
      </c>
      <c r="G11" s="220">
        <v>9.0</v>
      </c>
      <c r="H11" s="222">
        <v>0.333</v>
      </c>
      <c r="I11" s="219" t="s">
        <v>662</v>
      </c>
      <c r="J11" s="222">
        <v>0.1892</v>
      </c>
      <c r="K11" s="222">
        <v>0.0541</v>
      </c>
      <c r="L11" s="222">
        <v>0.027</v>
      </c>
      <c r="M11" s="222">
        <v>0.2162</v>
      </c>
      <c r="N11" s="222">
        <v>0.027</v>
      </c>
      <c r="O11" s="219" t="s">
        <v>405</v>
      </c>
      <c r="P11" s="222">
        <v>0.2162</v>
      </c>
    </row>
    <row r="12">
      <c r="A12" s="152" t="s">
        <v>293</v>
      </c>
      <c r="B12" s="153">
        <v>31.0</v>
      </c>
      <c r="C12" s="197">
        <v>0.36</v>
      </c>
      <c r="D12" s="154">
        <v>1.0</v>
      </c>
      <c r="E12" s="198"/>
      <c r="F12" s="153">
        <v>24.0</v>
      </c>
      <c r="G12" s="153">
        <v>8.0</v>
      </c>
      <c r="H12" s="154">
        <v>0.333</v>
      </c>
      <c r="I12" s="152" t="s">
        <v>662</v>
      </c>
      <c r="J12" s="154">
        <v>0.0714</v>
      </c>
      <c r="K12" s="154">
        <v>0.2143</v>
      </c>
      <c r="L12" s="154">
        <v>0.0</v>
      </c>
      <c r="M12" s="154">
        <v>0.0</v>
      </c>
      <c r="N12" s="154">
        <v>0.0</v>
      </c>
      <c r="O12" s="152" t="s">
        <v>19</v>
      </c>
      <c r="P12" s="154">
        <v>0.2143</v>
      </c>
    </row>
    <row r="13" hidden="1">
      <c r="A13" s="219" t="s">
        <v>328</v>
      </c>
      <c r="B13" s="220">
        <v>21.0</v>
      </c>
      <c r="C13" s="221">
        <v>0.25</v>
      </c>
      <c r="D13" s="222">
        <v>1.0</v>
      </c>
      <c r="E13" s="223"/>
      <c r="F13" s="220">
        <v>15.0</v>
      </c>
      <c r="G13" s="220">
        <v>5.0</v>
      </c>
      <c r="H13" s="222">
        <v>0.333</v>
      </c>
      <c r="I13" s="219" t="s">
        <v>662</v>
      </c>
      <c r="J13" s="222">
        <v>0.0556</v>
      </c>
      <c r="K13" s="222">
        <v>0.0556</v>
      </c>
      <c r="L13" s="222">
        <v>0.1111</v>
      </c>
      <c r="M13" s="222">
        <v>0.0556</v>
      </c>
      <c r="N13" s="222">
        <v>0.0556</v>
      </c>
      <c r="O13" s="219" t="s">
        <v>137</v>
      </c>
      <c r="P13" s="222">
        <v>0.1111</v>
      </c>
    </row>
    <row r="14" hidden="1">
      <c r="A14" s="219" t="s">
        <v>502</v>
      </c>
      <c r="B14" s="220">
        <v>15.0</v>
      </c>
      <c r="C14" s="221">
        <v>0.19</v>
      </c>
      <c r="D14" s="222">
        <v>1.0</v>
      </c>
      <c r="E14" s="223"/>
      <c r="F14" s="220">
        <v>9.0</v>
      </c>
      <c r="G14" s="220">
        <v>3.0</v>
      </c>
      <c r="H14" s="222">
        <v>0.333</v>
      </c>
      <c r="I14" s="219" t="s">
        <v>662</v>
      </c>
      <c r="J14" s="222">
        <v>0.0</v>
      </c>
      <c r="K14" s="222">
        <v>0.0909</v>
      </c>
      <c r="L14" s="222">
        <v>0.1818</v>
      </c>
      <c r="M14" s="222">
        <v>0.0</v>
      </c>
      <c r="N14" s="222">
        <v>0.0</v>
      </c>
      <c r="O14" s="219" t="s">
        <v>137</v>
      </c>
      <c r="P14" s="222">
        <v>0.1818</v>
      </c>
    </row>
    <row r="15" hidden="1">
      <c r="A15" s="219" t="s">
        <v>370</v>
      </c>
      <c r="B15" s="220">
        <v>19.0</v>
      </c>
      <c r="C15" s="221">
        <v>0.22</v>
      </c>
      <c r="D15" s="222">
        <v>1.0</v>
      </c>
      <c r="E15" s="223"/>
      <c r="F15" s="220">
        <v>16.0</v>
      </c>
      <c r="G15" s="220">
        <v>5.0</v>
      </c>
      <c r="H15" s="222">
        <v>0.313</v>
      </c>
      <c r="I15" s="219" t="s">
        <v>662</v>
      </c>
      <c r="J15" s="222">
        <v>0.0</v>
      </c>
      <c r="K15" s="222">
        <v>0.0556</v>
      </c>
      <c r="L15" s="222">
        <v>0.2778</v>
      </c>
      <c r="M15" s="222">
        <v>0.1667</v>
      </c>
      <c r="N15" s="222">
        <v>0.0</v>
      </c>
      <c r="O15" s="219" t="s">
        <v>137</v>
      </c>
      <c r="P15" s="222">
        <v>0.2778</v>
      </c>
    </row>
    <row r="16" hidden="1">
      <c r="A16" s="219" t="s">
        <v>142</v>
      </c>
      <c r="B16" s="220">
        <v>22.0</v>
      </c>
      <c r="C16" s="221">
        <v>0.76</v>
      </c>
      <c r="D16" s="222">
        <v>1.0</v>
      </c>
      <c r="E16" s="223"/>
      <c r="F16" s="220">
        <v>16.0</v>
      </c>
      <c r="G16" s="220">
        <v>5.0</v>
      </c>
      <c r="H16" s="222">
        <v>0.313</v>
      </c>
      <c r="I16" s="219" t="s">
        <v>662</v>
      </c>
      <c r="J16" s="222">
        <v>0.1</v>
      </c>
      <c r="K16" s="222">
        <v>0.0</v>
      </c>
      <c r="L16" s="222">
        <v>0.0</v>
      </c>
      <c r="M16" s="222">
        <v>0.1</v>
      </c>
      <c r="N16" s="222">
        <v>0.15</v>
      </c>
      <c r="O16" s="219" t="s">
        <v>415</v>
      </c>
      <c r="P16" s="222">
        <v>0.15</v>
      </c>
    </row>
    <row r="17">
      <c r="A17" s="156" t="s">
        <v>567</v>
      </c>
      <c r="B17" s="157">
        <v>9.0</v>
      </c>
      <c r="C17" s="199">
        <v>0.6</v>
      </c>
      <c r="D17" s="158">
        <v>1.0</v>
      </c>
      <c r="E17" s="200"/>
      <c r="F17" s="157">
        <v>10.0</v>
      </c>
      <c r="G17" s="157">
        <v>3.0</v>
      </c>
      <c r="H17" s="158">
        <v>0.3</v>
      </c>
      <c r="I17" s="156" t="s">
        <v>662</v>
      </c>
      <c r="J17" s="158">
        <v>0.2</v>
      </c>
      <c r="K17" s="158">
        <v>0.0</v>
      </c>
      <c r="L17" s="158">
        <v>0.1</v>
      </c>
      <c r="M17" s="158">
        <v>0.2</v>
      </c>
      <c r="N17" s="158">
        <v>0.0</v>
      </c>
      <c r="O17" s="156" t="s">
        <v>43</v>
      </c>
      <c r="P17" s="158">
        <v>0.2</v>
      </c>
    </row>
    <row r="18">
      <c r="A18" s="152" t="s">
        <v>558</v>
      </c>
      <c r="B18" s="153">
        <v>29.0</v>
      </c>
      <c r="C18" s="197">
        <v>0.74</v>
      </c>
      <c r="D18" s="154">
        <v>1.0</v>
      </c>
      <c r="E18" s="198"/>
      <c r="F18" s="153">
        <v>24.0</v>
      </c>
      <c r="G18" s="153">
        <v>7.0</v>
      </c>
      <c r="H18" s="154">
        <v>0.292</v>
      </c>
      <c r="I18" s="152" t="s">
        <v>662</v>
      </c>
      <c r="J18" s="154">
        <v>0.3103</v>
      </c>
      <c r="K18" s="154">
        <v>0.0345</v>
      </c>
      <c r="L18" s="154">
        <v>0.0</v>
      </c>
      <c r="M18" s="154">
        <v>0.1379</v>
      </c>
      <c r="N18" s="154">
        <v>0.0</v>
      </c>
      <c r="O18" s="152" t="s">
        <v>43</v>
      </c>
      <c r="P18" s="154">
        <v>0.3103</v>
      </c>
    </row>
    <row r="19" hidden="1">
      <c r="A19" s="219" t="s">
        <v>687</v>
      </c>
      <c r="B19" s="220">
        <v>16.0</v>
      </c>
      <c r="C19" s="221">
        <v>0.46</v>
      </c>
      <c r="D19" s="222">
        <v>1.0</v>
      </c>
      <c r="E19" s="223"/>
      <c r="F19" s="220">
        <v>14.0</v>
      </c>
      <c r="G19" s="220">
        <v>4.0</v>
      </c>
      <c r="H19" s="222">
        <v>0.286</v>
      </c>
      <c r="I19" s="219" t="s">
        <v>662</v>
      </c>
      <c r="J19" s="222">
        <v>0.0667</v>
      </c>
      <c r="K19" s="222">
        <v>0.0</v>
      </c>
      <c r="L19" s="222">
        <v>0.0667</v>
      </c>
      <c r="M19" s="222">
        <v>0.1333</v>
      </c>
      <c r="N19" s="222">
        <v>0.1333</v>
      </c>
      <c r="O19" s="219" t="s">
        <v>688</v>
      </c>
      <c r="P19" s="222">
        <v>0.1333</v>
      </c>
    </row>
    <row r="20">
      <c r="A20" s="152" t="s">
        <v>492</v>
      </c>
      <c r="B20" s="153">
        <v>16.0</v>
      </c>
      <c r="C20" s="197">
        <v>0.11</v>
      </c>
      <c r="D20" s="154">
        <v>1.0</v>
      </c>
      <c r="E20" s="198"/>
      <c r="F20" s="153">
        <v>11.0</v>
      </c>
      <c r="G20" s="153">
        <v>3.0</v>
      </c>
      <c r="H20" s="154">
        <v>0.273</v>
      </c>
      <c r="I20" s="152" t="s">
        <v>662</v>
      </c>
      <c r="J20" s="154">
        <v>0.1667</v>
      </c>
      <c r="K20" s="154">
        <v>0.0833</v>
      </c>
      <c r="L20" s="154">
        <v>0.0</v>
      </c>
      <c r="M20" s="154">
        <v>0.0</v>
      </c>
      <c r="N20" s="154">
        <v>0.0</v>
      </c>
      <c r="O20" s="152" t="s">
        <v>43</v>
      </c>
      <c r="P20" s="154">
        <v>0.1667</v>
      </c>
    </row>
    <row r="21">
      <c r="A21" s="152" t="s">
        <v>569</v>
      </c>
      <c r="B21" s="153">
        <v>12.0</v>
      </c>
      <c r="C21" s="197">
        <v>0.2</v>
      </c>
      <c r="D21" s="154">
        <v>1.0</v>
      </c>
      <c r="E21" s="198"/>
      <c r="F21" s="153">
        <v>11.0</v>
      </c>
      <c r="G21" s="153">
        <v>3.0</v>
      </c>
      <c r="H21" s="154">
        <v>0.273</v>
      </c>
      <c r="I21" s="152" t="s">
        <v>662</v>
      </c>
      <c r="J21" s="154">
        <v>0.3077</v>
      </c>
      <c r="K21" s="154">
        <v>0.0</v>
      </c>
      <c r="L21" s="154">
        <v>0.0769</v>
      </c>
      <c r="M21" s="154">
        <v>0.0769</v>
      </c>
      <c r="N21" s="154">
        <v>0.0</v>
      </c>
      <c r="O21" s="152" t="s">
        <v>43</v>
      </c>
      <c r="P21" s="154">
        <v>0.3077</v>
      </c>
    </row>
    <row r="22">
      <c r="A22" s="152" t="s">
        <v>575</v>
      </c>
      <c r="B22" s="153">
        <v>11.0</v>
      </c>
      <c r="C22" s="197">
        <v>0.02</v>
      </c>
      <c r="D22" s="154">
        <v>1.0</v>
      </c>
      <c r="E22" s="198"/>
      <c r="F22" s="153">
        <v>11.0</v>
      </c>
      <c r="G22" s="153">
        <v>3.0</v>
      </c>
      <c r="H22" s="154">
        <v>0.273</v>
      </c>
      <c r="I22" s="152" t="s">
        <v>662</v>
      </c>
      <c r="J22" s="154">
        <v>0.0</v>
      </c>
      <c r="K22" s="154">
        <v>0.25</v>
      </c>
      <c r="L22" s="154">
        <v>0.0</v>
      </c>
      <c r="M22" s="154">
        <v>0.0</v>
      </c>
      <c r="N22" s="154">
        <v>0.0</v>
      </c>
      <c r="O22" s="152" t="s">
        <v>19</v>
      </c>
      <c r="P22" s="154">
        <v>0.25</v>
      </c>
    </row>
    <row r="23" hidden="1">
      <c r="A23" s="219" t="s">
        <v>400</v>
      </c>
      <c r="B23" s="220">
        <v>25.0</v>
      </c>
      <c r="C23" s="221">
        <v>0.32</v>
      </c>
      <c r="D23" s="222">
        <v>1.0</v>
      </c>
      <c r="E23" s="223"/>
      <c r="F23" s="220">
        <v>23.0</v>
      </c>
      <c r="G23" s="220">
        <v>5.0</v>
      </c>
      <c r="H23" s="222">
        <v>0.217</v>
      </c>
      <c r="I23" s="219" t="s">
        <v>662</v>
      </c>
      <c r="J23" s="222">
        <v>0.0</v>
      </c>
      <c r="K23" s="222">
        <v>0.0</v>
      </c>
      <c r="L23" s="222">
        <v>0.2308</v>
      </c>
      <c r="M23" s="222">
        <v>0.0385</v>
      </c>
      <c r="N23" s="222">
        <v>0.0</v>
      </c>
      <c r="O23" s="219" t="s">
        <v>137</v>
      </c>
      <c r="P23" s="222">
        <v>0.2308</v>
      </c>
    </row>
    <row r="24">
      <c r="A24" s="167" t="s">
        <v>498</v>
      </c>
      <c r="B24" s="168">
        <v>50.0</v>
      </c>
      <c r="C24" s="224">
        <v>0.48</v>
      </c>
      <c r="D24" s="169">
        <v>1.0</v>
      </c>
      <c r="E24" s="225"/>
      <c r="F24" s="168">
        <v>33.0</v>
      </c>
      <c r="G24" s="168">
        <v>7.0</v>
      </c>
      <c r="H24" s="169">
        <v>0.212</v>
      </c>
      <c r="I24" s="167" t="s">
        <v>662</v>
      </c>
      <c r="J24" s="169">
        <v>0.1463</v>
      </c>
      <c r="K24" s="169">
        <v>0.0244</v>
      </c>
      <c r="L24" s="169">
        <v>0.0488</v>
      </c>
      <c r="M24" s="169">
        <v>0.0976</v>
      </c>
      <c r="N24" s="169">
        <v>0.0</v>
      </c>
      <c r="O24" s="167" t="s">
        <v>43</v>
      </c>
      <c r="P24" s="169">
        <v>0.1463</v>
      </c>
    </row>
    <row r="25">
      <c r="A25" s="152" t="s">
        <v>562</v>
      </c>
      <c r="B25" s="153">
        <v>29.0</v>
      </c>
      <c r="C25" s="197">
        <v>0.88</v>
      </c>
      <c r="D25" s="154">
        <v>1.0</v>
      </c>
      <c r="E25" s="198"/>
      <c r="F25" s="153">
        <v>29.0</v>
      </c>
      <c r="G25" s="153">
        <v>6.0</v>
      </c>
      <c r="H25" s="154">
        <v>0.207</v>
      </c>
      <c r="I25" s="152" t="s">
        <v>662</v>
      </c>
      <c r="J25" s="154">
        <v>0.0968</v>
      </c>
      <c r="K25" s="154">
        <v>0.0645</v>
      </c>
      <c r="L25" s="154">
        <v>0.0</v>
      </c>
      <c r="M25" s="154">
        <v>0.0645</v>
      </c>
      <c r="N25" s="154">
        <v>0.0323</v>
      </c>
      <c r="O25" s="152" t="s">
        <v>43</v>
      </c>
      <c r="P25" s="154">
        <v>0.0968</v>
      </c>
    </row>
    <row r="26">
      <c r="A26" s="156" t="s">
        <v>563</v>
      </c>
      <c r="B26" s="157">
        <v>26.0</v>
      </c>
      <c r="C26" s="199">
        <v>0.33</v>
      </c>
      <c r="D26" s="158">
        <v>1.0</v>
      </c>
      <c r="E26" s="200"/>
      <c r="F26" s="157">
        <v>28.0</v>
      </c>
      <c r="G26" s="157">
        <v>5.0</v>
      </c>
      <c r="H26" s="158">
        <v>0.179</v>
      </c>
      <c r="I26" s="156" t="s">
        <v>662</v>
      </c>
      <c r="J26" s="158">
        <v>0.1</v>
      </c>
      <c r="K26" s="158">
        <v>0.0</v>
      </c>
      <c r="L26" s="158">
        <v>0.1</v>
      </c>
      <c r="M26" s="158">
        <v>0.0333</v>
      </c>
      <c r="N26" s="158">
        <v>0.0</v>
      </c>
      <c r="O26" s="156" t="s">
        <v>43</v>
      </c>
      <c r="P26" s="158">
        <v>0.1</v>
      </c>
    </row>
    <row r="27" hidden="1">
      <c r="A27" s="219" t="s">
        <v>614</v>
      </c>
      <c r="B27" s="220">
        <v>27.0</v>
      </c>
      <c r="C27" s="221">
        <v>0.34</v>
      </c>
      <c r="D27" s="222">
        <v>1.0</v>
      </c>
      <c r="E27" s="223"/>
      <c r="F27" s="220">
        <v>28.0</v>
      </c>
      <c r="G27" s="220">
        <v>5.0</v>
      </c>
      <c r="H27" s="222">
        <v>0.179</v>
      </c>
      <c r="I27" s="219" t="s">
        <v>662</v>
      </c>
      <c r="J27" s="222">
        <v>0.0345</v>
      </c>
      <c r="K27" s="222">
        <v>0.0</v>
      </c>
      <c r="L27" s="222">
        <v>0.1379</v>
      </c>
      <c r="M27" s="222">
        <v>0.1379</v>
      </c>
      <c r="N27" s="222">
        <v>0.0</v>
      </c>
      <c r="O27" s="219" t="s">
        <v>665</v>
      </c>
      <c r="P27" s="222">
        <v>0.1379</v>
      </c>
    </row>
    <row r="28">
      <c r="A28" s="156" t="s">
        <v>572</v>
      </c>
      <c r="B28" s="157">
        <v>49.0</v>
      </c>
      <c r="C28" s="199">
        <v>0.91</v>
      </c>
      <c r="D28" s="158">
        <v>1.0</v>
      </c>
      <c r="E28" s="200"/>
      <c r="F28" s="157">
        <v>47.0</v>
      </c>
      <c r="G28" s="157">
        <v>8.0</v>
      </c>
      <c r="H28" s="158">
        <v>0.17</v>
      </c>
      <c r="I28" s="156" t="s">
        <v>662</v>
      </c>
      <c r="J28" s="158">
        <v>0.0</v>
      </c>
      <c r="K28" s="158">
        <v>0.1176</v>
      </c>
      <c r="L28" s="158">
        <v>0.0196</v>
      </c>
      <c r="M28" s="158">
        <v>0.0</v>
      </c>
      <c r="N28" s="158">
        <v>0.0196</v>
      </c>
      <c r="O28" s="156" t="s">
        <v>19</v>
      </c>
      <c r="P28" s="158">
        <v>0.1176</v>
      </c>
    </row>
    <row r="29">
      <c r="A29" s="152" t="s">
        <v>570</v>
      </c>
      <c r="B29" s="153">
        <v>21.0</v>
      </c>
      <c r="C29" s="197">
        <v>1.0</v>
      </c>
      <c r="D29" s="154">
        <v>1.0</v>
      </c>
      <c r="E29" s="198"/>
      <c r="F29" s="153">
        <v>19.0</v>
      </c>
      <c r="G29" s="153">
        <v>3.0</v>
      </c>
      <c r="H29" s="154">
        <v>0.158</v>
      </c>
      <c r="I29" s="152" t="s">
        <v>662</v>
      </c>
      <c r="J29" s="154">
        <v>0.1579</v>
      </c>
      <c r="K29" s="154">
        <v>0.0</v>
      </c>
      <c r="L29" s="154">
        <v>0.0</v>
      </c>
      <c r="M29" s="154">
        <v>0.0526</v>
      </c>
      <c r="N29" s="154">
        <v>0.0</v>
      </c>
      <c r="O29" s="152" t="s">
        <v>43</v>
      </c>
      <c r="P29" s="154">
        <v>0.1579</v>
      </c>
    </row>
    <row r="30" hidden="1">
      <c r="A30" s="219" t="s">
        <v>689</v>
      </c>
      <c r="B30" s="220">
        <v>21.0</v>
      </c>
      <c r="C30" s="221">
        <v>0.25</v>
      </c>
      <c r="D30" s="222">
        <v>1.0</v>
      </c>
      <c r="E30" s="223"/>
      <c r="F30" s="220">
        <v>19.0</v>
      </c>
      <c r="G30" s="220">
        <v>3.0</v>
      </c>
      <c r="H30" s="222">
        <v>0.158</v>
      </c>
      <c r="I30" s="219" t="s">
        <v>662</v>
      </c>
      <c r="J30" s="222">
        <v>0.05</v>
      </c>
      <c r="K30" s="222">
        <v>0.0</v>
      </c>
      <c r="L30" s="222">
        <v>0.15</v>
      </c>
      <c r="M30" s="222">
        <v>0.0</v>
      </c>
      <c r="N30" s="222">
        <v>0.0</v>
      </c>
      <c r="O30" s="219" t="s">
        <v>137</v>
      </c>
      <c r="P30" s="222">
        <v>0.15</v>
      </c>
    </row>
    <row r="31">
      <c r="A31" s="152" t="s">
        <v>566</v>
      </c>
      <c r="B31" s="153">
        <v>29.0</v>
      </c>
      <c r="C31" s="197">
        <v>1.0</v>
      </c>
      <c r="D31" s="154">
        <v>1.0</v>
      </c>
      <c r="E31" s="198"/>
      <c r="F31" s="153">
        <v>27.0</v>
      </c>
      <c r="G31" s="153">
        <v>4.0</v>
      </c>
      <c r="H31" s="154">
        <v>0.148</v>
      </c>
      <c r="I31" s="152" t="s">
        <v>662</v>
      </c>
      <c r="J31" s="154">
        <v>0.1034</v>
      </c>
      <c r="K31" s="154">
        <v>0.0345</v>
      </c>
      <c r="L31" s="154">
        <v>0.0345</v>
      </c>
      <c r="M31" s="154">
        <v>0.0</v>
      </c>
      <c r="N31" s="154">
        <v>0.0345</v>
      </c>
      <c r="O31" s="152" t="s">
        <v>43</v>
      </c>
      <c r="P31" s="154">
        <v>0.1034</v>
      </c>
    </row>
    <row r="32">
      <c r="A32" s="156" t="s">
        <v>180</v>
      </c>
      <c r="B32" s="157">
        <v>44.0</v>
      </c>
      <c r="C32" s="199">
        <v>0.94</v>
      </c>
      <c r="D32" s="158">
        <v>1.0</v>
      </c>
      <c r="E32" s="200"/>
      <c r="F32" s="157">
        <v>41.0</v>
      </c>
      <c r="G32" s="157">
        <v>6.0</v>
      </c>
      <c r="H32" s="158">
        <v>0.146</v>
      </c>
      <c r="I32" s="156" t="s">
        <v>662</v>
      </c>
      <c r="J32" s="158">
        <v>0.0889</v>
      </c>
      <c r="K32" s="158">
        <v>0.0222</v>
      </c>
      <c r="L32" s="158">
        <v>0.0444</v>
      </c>
      <c r="M32" s="158">
        <v>0.0444</v>
      </c>
      <c r="N32" s="158">
        <v>0.0</v>
      </c>
      <c r="O32" s="156" t="s">
        <v>43</v>
      </c>
      <c r="P32" s="158">
        <v>0.0889</v>
      </c>
    </row>
    <row r="33">
      <c r="A33" s="152" t="s">
        <v>402</v>
      </c>
      <c r="B33" s="153">
        <v>22.0</v>
      </c>
      <c r="C33" s="197">
        <v>0.16</v>
      </c>
      <c r="D33" s="154">
        <v>1.0</v>
      </c>
      <c r="E33" s="198"/>
      <c r="F33" s="153">
        <v>21.0</v>
      </c>
      <c r="G33" s="153">
        <v>3.0</v>
      </c>
      <c r="H33" s="154">
        <v>0.143</v>
      </c>
      <c r="I33" s="152" t="s">
        <v>662</v>
      </c>
      <c r="J33" s="154">
        <v>0.0</v>
      </c>
      <c r="K33" s="154">
        <v>0.0909</v>
      </c>
      <c r="L33" s="154">
        <v>0.0455</v>
      </c>
      <c r="M33" s="154">
        <v>0.0455</v>
      </c>
      <c r="N33" s="154">
        <v>0.0</v>
      </c>
      <c r="O33" s="152" t="s">
        <v>19</v>
      </c>
      <c r="P33" s="154">
        <v>0.0909</v>
      </c>
    </row>
    <row r="34" hidden="1">
      <c r="A34" s="219" t="s">
        <v>690</v>
      </c>
      <c r="B34" s="220">
        <v>25.0</v>
      </c>
      <c r="C34" s="221">
        <v>0.78</v>
      </c>
      <c r="D34" s="222">
        <v>1.0</v>
      </c>
      <c r="E34" s="223"/>
      <c r="F34" s="220">
        <v>22.0</v>
      </c>
      <c r="G34" s="220">
        <v>3.0</v>
      </c>
      <c r="H34" s="222">
        <v>0.136</v>
      </c>
      <c r="I34" s="219" t="s">
        <v>691</v>
      </c>
      <c r="J34" s="222">
        <v>0.0</v>
      </c>
      <c r="K34" s="222">
        <v>0.0</v>
      </c>
      <c r="L34" s="222">
        <v>0.0909</v>
      </c>
      <c r="M34" s="222">
        <v>0.1364</v>
      </c>
      <c r="N34" s="222">
        <v>0.0455</v>
      </c>
      <c r="O34" s="219" t="s">
        <v>405</v>
      </c>
      <c r="P34" s="222">
        <v>0.1364</v>
      </c>
    </row>
    <row r="35">
      <c r="A35" s="156" t="s">
        <v>560</v>
      </c>
      <c r="B35" s="157">
        <v>45.0</v>
      </c>
      <c r="C35" s="199">
        <v>0.58</v>
      </c>
      <c r="D35" s="158">
        <v>1.0</v>
      </c>
      <c r="E35" s="200"/>
      <c r="F35" s="157">
        <v>45.0</v>
      </c>
      <c r="G35" s="157">
        <v>6.0</v>
      </c>
      <c r="H35" s="158">
        <v>0.133</v>
      </c>
      <c r="I35" s="156" t="s">
        <v>662</v>
      </c>
      <c r="J35" s="158">
        <v>0.087</v>
      </c>
      <c r="K35" s="158">
        <v>0.0</v>
      </c>
      <c r="L35" s="158">
        <v>0.0435</v>
      </c>
      <c r="M35" s="158">
        <v>0.0435</v>
      </c>
      <c r="N35" s="158">
        <v>0.0</v>
      </c>
      <c r="O35" s="156" t="s">
        <v>43</v>
      </c>
      <c r="P35" s="158">
        <v>0.087</v>
      </c>
    </row>
    <row r="36" hidden="1">
      <c r="A36" s="219" t="s">
        <v>692</v>
      </c>
      <c r="B36" s="220">
        <v>41.0</v>
      </c>
      <c r="C36" s="221">
        <v>0.39</v>
      </c>
      <c r="D36" s="222">
        <v>1.0</v>
      </c>
      <c r="E36" s="223"/>
      <c r="F36" s="220">
        <v>39.0</v>
      </c>
      <c r="G36" s="220">
        <v>5.0</v>
      </c>
      <c r="H36" s="222">
        <v>0.128</v>
      </c>
      <c r="I36" s="219" t="s">
        <v>662</v>
      </c>
      <c r="J36" s="222">
        <v>0.0465</v>
      </c>
      <c r="K36" s="222">
        <v>0.0233</v>
      </c>
      <c r="L36" s="222">
        <v>0.0698</v>
      </c>
      <c r="M36" s="222">
        <v>0.0465</v>
      </c>
      <c r="N36" s="222">
        <v>0.0</v>
      </c>
      <c r="O36" s="219" t="s">
        <v>137</v>
      </c>
      <c r="P36" s="222">
        <v>0.0698</v>
      </c>
    </row>
    <row r="37" hidden="1">
      <c r="A37" s="219" t="s">
        <v>636</v>
      </c>
      <c r="B37" s="220">
        <v>116.0</v>
      </c>
      <c r="C37" s="221">
        <v>0.82</v>
      </c>
      <c r="D37" s="222">
        <v>1.0</v>
      </c>
      <c r="E37" s="223"/>
      <c r="F37" s="220">
        <v>114.0</v>
      </c>
      <c r="G37" s="220">
        <v>14.0</v>
      </c>
      <c r="H37" s="222">
        <v>0.123</v>
      </c>
      <c r="I37" s="219" t="s">
        <v>662</v>
      </c>
      <c r="J37" s="222">
        <v>0.0547</v>
      </c>
      <c r="K37" s="222">
        <v>0.0625</v>
      </c>
      <c r="L37" s="222">
        <v>0.0234</v>
      </c>
      <c r="M37" s="222">
        <v>0.1563</v>
      </c>
      <c r="N37" s="222">
        <v>0.0</v>
      </c>
      <c r="O37" s="219" t="s">
        <v>405</v>
      </c>
      <c r="P37" s="222">
        <v>0.1563</v>
      </c>
    </row>
    <row r="38" hidden="1">
      <c r="A38" s="219" t="s">
        <v>311</v>
      </c>
      <c r="B38" s="220">
        <v>163.0</v>
      </c>
      <c r="C38" s="221">
        <v>0.99</v>
      </c>
      <c r="D38" s="222">
        <v>1.0</v>
      </c>
      <c r="E38" s="223"/>
      <c r="F38" s="220">
        <v>152.0</v>
      </c>
      <c r="G38" s="220">
        <v>18.0</v>
      </c>
      <c r="H38" s="222">
        <v>0.118</v>
      </c>
      <c r="I38" s="219" t="s">
        <v>662</v>
      </c>
      <c r="J38" s="222">
        <v>0.0382</v>
      </c>
      <c r="K38" s="222">
        <v>0.0064</v>
      </c>
      <c r="L38" s="222">
        <v>0.0764</v>
      </c>
      <c r="M38" s="222">
        <v>0.0382</v>
      </c>
      <c r="N38" s="222">
        <v>0.0064</v>
      </c>
      <c r="O38" s="219" t="s">
        <v>137</v>
      </c>
      <c r="P38" s="222">
        <v>0.0764</v>
      </c>
    </row>
    <row r="39">
      <c r="A39" s="156" t="s">
        <v>559</v>
      </c>
      <c r="B39" s="157">
        <v>64.0</v>
      </c>
      <c r="C39" s="199">
        <v>0.48</v>
      </c>
      <c r="D39" s="158">
        <v>1.0</v>
      </c>
      <c r="E39" s="200"/>
      <c r="F39" s="157">
        <v>61.0</v>
      </c>
      <c r="G39" s="157">
        <v>7.0</v>
      </c>
      <c r="H39" s="158">
        <v>0.115</v>
      </c>
      <c r="I39" s="156" t="s">
        <v>662</v>
      </c>
      <c r="J39" s="158">
        <v>0.0968</v>
      </c>
      <c r="K39" s="158">
        <v>0.0</v>
      </c>
      <c r="L39" s="158">
        <v>0.0161</v>
      </c>
      <c r="M39" s="158">
        <v>0.0806</v>
      </c>
      <c r="N39" s="158">
        <v>0.0</v>
      </c>
      <c r="O39" s="156" t="s">
        <v>43</v>
      </c>
      <c r="P39" s="158">
        <v>0.0968</v>
      </c>
    </row>
    <row r="40">
      <c r="A40" s="156" t="s">
        <v>469</v>
      </c>
      <c r="B40" s="157">
        <v>35.0</v>
      </c>
      <c r="C40" s="199">
        <v>0.95</v>
      </c>
      <c r="D40" s="158">
        <v>1.0</v>
      </c>
      <c r="E40" s="200"/>
      <c r="F40" s="157">
        <v>29.0</v>
      </c>
      <c r="G40" s="157">
        <v>3.0</v>
      </c>
      <c r="H40" s="158">
        <v>0.103</v>
      </c>
      <c r="I40" s="156" t="s">
        <v>662</v>
      </c>
      <c r="J40" s="158">
        <v>0.0588</v>
      </c>
      <c r="K40" s="158">
        <v>0.0</v>
      </c>
      <c r="L40" s="158">
        <v>0.0294</v>
      </c>
      <c r="M40" s="158">
        <v>0.0294</v>
      </c>
      <c r="N40" s="158">
        <v>0.0294</v>
      </c>
      <c r="O40" s="156" t="s">
        <v>43</v>
      </c>
      <c r="P40" s="158">
        <v>0.0588</v>
      </c>
    </row>
    <row r="41" hidden="1">
      <c r="A41" s="219" t="s">
        <v>639</v>
      </c>
      <c r="B41" s="220">
        <v>30.0</v>
      </c>
      <c r="C41" s="221">
        <v>0.28</v>
      </c>
      <c r="D41" s="222">
        <v>1.0</v>
      </c>
      <c r="E41" s="223"/>
      <c r="F41" s="220">
        <v>29.0</v>
      </c>
      <c r="G41" s="220">
        <v>3.0</v>
      </c>
      <c r="H41" s="222">
        <v>0.103</v>
      </c>
      <c r="I41" s="219" t="s">
        <v>662</v>
      </c>
      <c r="J41" s="222">
        <v>0.0667</v>
      </c>
      <c r="K41" s="222">
        <v>0.0</v>
      </c>
      <c r="L41" s="222">
        <v>0.0333</v>
      </c>
      <c r="M41" s="222">
        <v>0.0667</v>
      </c>
      <c r="N41" s="222">
        <v>0.0</v>
      </c>
      <c r="O41" s="219" t="s">
        <v>665</v>
      </c>
      <c r="P41" s="222">
        <v>0.0667</v>
      </c>
    </row>
    <row r="42">
      <c r="A42" s="152" t="s">
        <v>561</v>
      </c>
      <c r="B42" s="153">
        <v>61.0</v>
      </c>
      <c r="C42" s="197">
        <v>0.13</v>
      </c>
      <c r="D42" s="154">
        <v>1.0</v>
      </c>
      <c r="E42" s="198"/>
      <c r="F42" s="153">
        <v>63.0</v>
      </c>
      <c r="G42" s="153">
        <v>6.0</v>
      </c>
      <c r="H42" s="154">
        <v>0.095</v>
      </c>
      <c r="I42" s="152" t="s">
        <v>662</v>
      </c>
      <c r="J42" s="154">
        <v>0.0769</v>
      </c>
      <c r="K42" s="154">
        <v>0.0</v>
      </c>
      <c r="L42" s="154">
        <v>0.0154</v>
      </c>
      <c r="M42" s="154">
        <v>0.0154</v>
      </c>
      <c r="N42" s="154">
        <v>0.0154</v>
      </c>
      <c r="O42" s="152" t="s">
        <v>43</v>
      </c>
      <c r="P42" s="154">
        <v>0.0769</v>
      </c>
    </row>
    <row r="43" hidden="1">
      <c r="A43" s="219" t="s">
        <v>693</v>
      </c>
      <c r="B43" s="220">
        <v>34.0</v>
      </c>
      <c r="C43" s="221">
        <v>0.2</v>
      </c>
      <c r="D43" s="222">
        <v>1.0</v>
      </c>
      <c r="E43" s="223"/>
      <c r="F43" s="220">
        <v>32.0</v>
      </c>
      <c r="G43" s="220">
        <v>3.0</v>
      </c>
      <c r="H43" s="222">
        <v>0.094</v>
      </c>
      <c r="I43" s="219" t="s">
        <v>694</v>
      </c>
      <c r="J43" s="222">
        <v>0.0</v>
      </c>
      <c r="K43" s="222">
        <v>0.0313</v>
      </c>
      <c r="L43" s="222">
        <v>0.0313</v>
      </c>
      <c r="M43" s="222">
        <v>0.0625</v>
      </c>
      <c r="N43" s="222">
        <v>0.0313</v>
      </c>
      <c r="O43" s="219" t="s">
        <v>688</v>
      </c>
      <c r="P43" s="222">
        <v>0.0625</v>
      </c>
    </row>
    <row r="44" hidden="1">
      <c r="A44" s="219" t="s">
        <v>374</v>
      </c>
      <c r="B44" s="220">
        <v>112.0</v>
      </c>
      <c r="C44" s="221">
        <v>1.0</v>
      </c>
      <c r="D44" s="222">
        <v>1.0</v>
      </c>
      <c r="E44" s="223"/>
      <c r="F44" s="220">
        <v>107.0</v>
      </c>
      <c r="G44" s="220">
        <v>9.0</v>
      </c>
      <c r="H44" s="222">
        <v>0.084</v>
      </c>
      <c r="I44" s="219" t="s">
        <v>662</v>
      </c>
      <c r="J44" s="222">
        <v>0.0</v>
      </c>
      <c r="K44" s="222">
        <v>0.0</v>
      </c>
      <c r="L44" s="222">
        <v>0.0741</v>
      </c>
      <c r="M44" s="222">
        <v>0.037</v>
      </c>
      <c r="N44" s="222">
        <v>0.0093</v>
      </c>
      <c r="O44" s="219" t="s">
        <v>137</v>
      </c>
      <c r="P44" s="222">
        <v>0.0741</v>
      </c>
    </row>
    <row r="45">
      <c r="A45" s="156" t="s">
        <v>568</v>
      </c>
      <c r="B45" s="157">
        <v>36.0</v>
      </c>
      <c r="C45" s="199">
        <v>0.45</v>
      </c>
      <c r="D45" s="158">
        <v>1.0</v>
      </c>
      <c r="E45" s="200"/>
      <c r="F45" s="157">
        <v>36.0</v>
      </c>
      <c r="G45" s="157">
        <v>3.0</v>
      </c>
      <c r="H45" s="158">
        <v>0.083</v>
      </c>
      <c r="I45" s="156" t="s">
        <v>662</v>
      </c>
      <c r="J45" s="158">
        <v>0.0789</v>
      </c>
      <c r="K45" s="158">
        <v>0.0</v>
      </c>
      <c r="L45" s="158">
        <v>0.0</v>
      </c>
      <c r="M45" s="158">
        <v>0.0263</v>
      </c>
      <c r="N45" s="158">
        <v>0.0</v>
      </c>
      <c r="O45" s="156" t="s">
        <v>43</v>
      </c>
      <c r="P45" s="158">
        <v>0.0789</v>
      </c>
    </row>
    <row r="46" hidden="1">
      <c r="A46" s="219" t="s">
        <v>463</v>
      </c>
      <c r="B46" s="220">
        <v>52.0</v>
      </c>
      <c r="C46" s="221">
        <v>0.5</v>
      </c>
      <c r="D46" s="222">
        <v>1.0</v>
      </c>
      <c r="E46" s="223"/>
      <c r="F46" s="220">
        <v>51.0</v>
      </c>
      <c r="G46" s="220">
        <v>4.0</v>
      </c>
      <c r="H46" s="222">
        <v>0.078</v>
      </c>
      <c r="I46" s="219" t="s">
        <v>662</v>
      </c>
      <c r="J46" s="222">
        <v>0.0</v>
      </c>
      <c r="K46" s="222">
        <v>0.0</v>
      </c>
      <c r="L46" s="222">
        <v>0.0784</v>
      </c>
      <c r="M46" s="222">
        <v>0.0392</v>
      </c>
      <c r="N46" s="222">
        <v>0.0</v>
      </c>
      <c r="O46" s="219" t="s">
        <v>137</v>
      </c>
      <c r="P46" s="222">
        <v>0.0784</v>
      </c>
    </row>
    <row r="47" hidden="1">
      <c r="A47" s="219" t="s">
        <v>500</v>
      </c>
      <c r="B47" s="220">
        <v>215.0</v>
      </c>
      <c r="C47" s="221">
        <v>0.11</v>
      </c>
      <c r="D47" s="222">
        <v>1.0</v>
      </c>
      <c r="E47" s="223"/>
      <c r="F47" s="220">
        <v>212.0</v>
      </c>
      <c r="G47" s="220">
        <v>15.0</v>
      </c>
      <c r="H47" s="222">
        <v>0.071</v>
      </c>
      <c r="I47" s="219" t="s">
        <v>662</v>
      </c>
      <c r="J47" s="222">
        <v>0.0267</v>
      </c>
      <c r="K47" s="222">
        <v>0.0267</v>
      </c>
      <c r="L47" s="222">
        <v>0.0178</v>
      </c>
      <c r="M47" s="222">
        <v>0.0756</v>
      </c>
      <c r="N47" s="222">
        <v>0.0089</v>
      </c>
      <c r="O47" s="219" t="s">
        <v>405</v>
      </c>
      <c r="P47" s="222">
        <v>0.0756</v>
      </c>
    </row>
    <row r="48" hidden="1">
      <c r="A48" s="219" t="s">
        <v>695</v>
      </c>
      <c r="B48" s="220">
        <v>47.0</v>
      </c>
      <c r="C48" s="221">
        <v>0.11</v>
      </c>
      <c r="D48" s="222">
        <v>1.0</v>
      </c>
      <c r="E48" s="223"/>
      <c r="F48" s="220">
        <v>47.0</v>
      </c>
      <c r="G48" s="220">
        <v>3.0</v>
      </c>
      <c r="H48" s="222">
        <v>0.064</v>
      </c>
      <c r="I48" s="219" t="s">
        <v>662</v>
      </c>
      <c r="J48" s="222">
        <v>0.0213</v>
      </c>
      <c r="K48" s="222">
        <v>0.0</v>
      </c>
      <c r="L48" s="222">
        <v>0.0426</v>
      </c>
      <c r="M48" s="222">
        <v>0.0213</v>
      </c>
      <c r="N48" s="222">
        <v>0.0213</v>
      </c>
      <c r="O48" s="219" t="s">
        <v>686</v>
      </c>
      <c r="P48" s="222">
        <v>0.0426</v>
      </c>
    </row>
    <row r="49" hidden="1">
      <c r="A49" s="219" t="s">
        <v>696</v>
      </c>
      <c r="B49" s="220">
        <v>49.0</v>
      </c>
      <c r="C49" s="221">
        <v>0.6</v>
      </c>
      <c r="D49" s="222">
        <v>1.0</v>
      </c>
      <c r="E49" s="223"/>
      <c r="F49" s="220">
        <v>47.0</v>
      </c>
      <c r="G49" s="220">
        <v>3.0</v>
      </c>
      <c r="H49" s="222">
        <v>0.064</v>
      </c>
      <c r="I49" s="219" t="s">
        <v>662</v>
      </c>
      <c r="J49" s="222">
        <v>0.0213</v>
      </c>
      <c r="K49" s="222">
        <v>0.0426</v>
      </c>
      <c r="L49" s="222">
        <v>0.0</v>
      </c>
      <c r="M49" s="222">
        <v>0.0426</v>
      </c>
      <c r="N49" s="222">
        <v>0.0</v>
      </c>
      <c r="O49" s="219" t="s">
        <v>405</v>
      </c>
      <c r="P49" s="222">
        <v>0.0426</v>
      </c>
    </row>
    <row r="50" hidden="1">
      <c r="A50" s="219" t="s">
        <v>208</v>
      </c>
      <c r="B50" s="220">
        <v>103.0</v>
      </c>
      <c r="C50" s="221">
        <v>0.43</v>
      </c>
      <c r="D50" s="222">
        <v>1.0</v>
      </c>
      <c r="E50" s="223"/>
      <c r="F50" s="220">
        <v>100.0</v>
      </c>
      <c r="G50" s="220">
        <v>6.0</v>
      </c>
      <c r="H50" s="222">
        <v>0.06</v>
      </c>
      <c r="I50" s="219" t="s">
        <v>662</v>
      </c>
      <c r="J50" s="222">
        <v>0.0291</v>
      </c>
      <c r="K50" s="222">
        <v>0.0</v>
      </c>
      <c r="L50" s="222">
        <v>0.0485</v>
      </c>
      <c r="M50" s="222">
        <v>0.0388</v>
      </c>
      <c r="N50" s="222">
        <v>0.0</v>
      </c>
      <c r="O50" s="219" t="s">
        <v>137</v>
      </c>
      <c r="P50" s="222">
        <v>0.0485</v>
      </c>
    </row>
    <row r="51">
      <c r="A51" s="152" t="s">
        <v>571</v>
      </c>
      <c r="B51" s="153">
        <v>88.0</v>
      </c>
      <c r="C51" s="197">
        <v>0.58</v>
      </c>
      <c r="D51" s="154">
        <v>1.0</v>
      </c>
      <c r="E51" s="198"/>
      <c r="F51" s="153">
        <v>84.0</v>
      </c>
      <c r="G51" s="153">
        <v>5.0</v>
      </c>
      <c r="H51" s="154">
        <v>0.06</v>
      </c>
      <c r="I51" s="152" t="s">
        <v>662</v>
      </c>
      <c r="J51" s="154">
        <v>0.0357</v>
      </c>
      <c r="K51" s="154">
        <v>0.0</v>
      </c>
      <c r="L51" s="154">
        <v>0.0357</v>
      </c>
      <c r="M51" s="154">
        <v>0.0238</v>
      </c>
      <c r="N51" s="154">
        <v>0.0</v>
      </c>
      <c r="O51" s="152" t="s">
        <v>320</v>
      </c>
      <c r="P51" s="154">
        <v>0.0357</v>
      </c>
    </row>
    <row r="52">
      <c r="A52" s="156" t="s">
        <v>388</v>
      </c>
      <c r="B52" s="157">
        <v>52.0</v>
      </c>
      <c r="C52" s="199">
        <v>1.0</v>
      </c>
      <c r="D52" s="158">
        <v>1.0</v>
      </c>
      <c r="E52" s="200"/>
      <c r="F52" s="157">
        <v>50.0</v>
      </c>
      <c r="G52" s="157">
        <v>3.0</v>
      </c>
      <c r="H52" s="158">
        <v>0.06</v>
      </c>
      <c r="I52" s="156" t="s">
        <v>662</v>
      </c>
      <c r="J52" s="158">
        <v>0.0566</v>
      </c>
      <c r="K52" s="158">
        <v>0.0</v>
      </c>
      <c r="L52" s="158">
        <v>0.0</v>
      </c>
      <c r="M52" s="158">
        <v>0.0566</v>
      </c>
      <c r="N52" s="158">
        <v>0.0</v>
      </c>
      <c r="O52" s="156" t="s">
        <v>43</v>
      </c>
      <c r="P52" s="158">
        <v>0.0566</v>
      </c>
    </row>
    <row r="53" hidden="1">
      <c r="A53" s="219" t="s">
        <v>697</v>
      </c>
      <c r="B53" s="220">
        <v>50.0</v>
      </c>
      <c r="C53" s="221">
        <v>0.16</v>
      </c>
      <c r="D53" s="222">
        <v>1.0</v>
      </c>
      <c r="E53" s="223"/>
      <c r="F53" s="220">
        <v>50.0</v>
      </c>
      <c r="G53" s="220">
        <v>3.0</v>
      </c>
      <c r="H53" s="222">
        <v>0.06</v>
      </c>
      <c r="I53" s="219" t="s">
        <v>691</v>
      </c>
      <c r="J53" s="222">
        <v>0.0</v>
      </c>
      <c r="K53" s="222">
        <v>0.0</v>
      </c>
      <c r="L53" s="222">
        <v>0.06</v>
      </c>
      <c r="M53" s="222">
        <v>0.06</v>
      </c>
      <c r="N53" s="222">
        <v>0.0</v>
      </c>
      <c r="O53" s="219" t="s">
        <v>665</v>
      </c>
      <c r="P53" s="222">
        <v>0.06</v>
      </c>
    </row>
    <row r="54" hidden="1">
      <c r="A54" s="219" t="s">
        <v>698</v>
      </c>
      <c r="B54" s="220">
        <v>70.0</v>
      </c>
      <c r="C54" s="221">
        <v>1.0</v>
      </c>
      <c r="D54" s="222">
        <v>1.0</v>
      </c>
      <c r="E54" s="223"/>
      <c r="F54" s="220">
        <v>68.0</v>
      </c>
      <c r="G54" s="220">
        <v>4.0</v>
      </c>
      <c r="H54" s="222">
        <v>0.059</v>
      </c>
      <c r="I54" s="219" t="s">
        <v>662</v>
      </c>
      <c r="J54" s="222">
        <v>0.0</v>
      </c>
      <c r="K54" s="222">
        <v>0.0</v>
      </c>
      <c r="L54" s="222">
        <v>0.0294</v>
      </c>
      <c r="M54" s="222">
        <v>0.0</v>
      </c>
      <c r="N54" s="222">
        <v>0.0294</v>
      </c>
      <c r="O54" s="219" t="s">
        <v>686</v>
      </c>
      <c r="P54" s="222">
        <v>0.0294</v>
      </c>
    </row>
    <row r="55" hidden="1">
      <c r="A55" s="219" t="s">
        <v>172</v>
      </c>
      <c r="B55" s="220">
        <v>152.0</v>
      </c>
      <c r="C55" s="221">
        <v>0.58</v>
      </c>
      <c r="D55" s="222">
        <v>1.0</v>
      </c>
      <c r="E55" s="223"/>
      <c r="F55" s="220">
        <v>156.0</v>
      </c>
      <c r="G55" s="220">
        <v>9.0</v>
      </c>
      <c r="H55" s="222">
        <v>0.058</v>
      </c>
      <c r="I55" s="219" t="s">
        <v>662</v>
      </c>
      <c r="J55" s="222">
        <v>0.0313</v>
      </c>
      <c r="K55" s="222">
        <v>0.0313</v>
      </c>
      <c r="L55" s="222">
        <v>0.0</v>
      </c>
      <c r="M55" s="222">
        <v>0.1063</v>
      </c>
      <c r="N55" s="222">
        <v>0.0</v>
      </c>
      <c r="O55" s="219" t="s">
        <v>405</v>
      </c>
      <c r="P55" s="222">
        <v>0.1063</v>
      </c>
    </row>
    <row r="56">
      <c r="A56" s="156" t="s">
        <v>574</v>
      </c>
      <c r="B56" s="157">
        <v>88.0</v>
      </c>
      <c r="C56" s="199">
        <v>0.34</v>
      </c>
      <c r="D56" s="158">
        <v>1.0</v>
      </c>
      <c r="E56" s="200"/>
      <c r="F56" s="157">
        <v>91.0</v>
      </c>
      <c r="G56" s="157">
        <v>5.0</v>
      </c>
      <c r="H56" s="158">
        <v>0.055</v>
      </c>
      <c r="I56" s="156" t="s">
        <v>662</v>
      </c>
      <c r="J56" s="158">
        <v>0.0106</v>
      </c>
      <c r="K56" s="158">
        <v>0.0532</v>
      </c>
      <c r="L56" s="158">
        <v>0.0</v>
      </c>
      <c r="M56" s="158">
        <v>0.0426</v>
      </c>
      <c r="N56" s="158">
        <v>0.0</v>
      </c>
      <c r="O56" s="156" t="s">
        <v>19</v>
      </c>
      <c r="P56" s="158">
        <v>0.0532</v>
      </c>
    </row>
    <row r="57">
      <c r="A57" s="152" t="s">
        <v>564</v>
      </c>
      <c r="B57" s="153">
        <v>78.0</v>
      </c>
      <c r="C57" s="197">
        <v>0.95</v>
      </c>
      <c r="D57" s="154">
        <v>1.0</v>
      </c>
      <c r="E57" s="198"/>
      <c r="F57" s="153">
        <v>73.0</v>
      </c>
      <c r="G57" s="153">
        <v>4.0</v>
      </c>
      <c r="H57" s="154">
        <v>0.055</v>
      </c>
      <c r="I57" s="152" t="s">
        <v>662</v>
      </c>
      <c r="J57" s="154">
        <v>0.027</v>
      </c>
      <c r="K57" s="154">
        <v>0.0135</v>
      </c>
      <c r="L57" s="154">
        <v>0.0135</v>
      </c>
      <c r="M57" s="154">
        <v>0.0</v>
      </c>
      <c r="N57" s="154">
        <v>0.0</v>
      </c>
      <c r="O57" s="152" t="s">
        <v>43</v>
      </c>
      <c r="P57" s="154">
        <v>0.027</v>
      </c>
    </row>
    <row r="58" hidden="1">
      <c r="A58" s="219" t="s">
        <v>699</v>
      </c>
      <c r="B58" s="220">
        <v>191.0</v>
      </c>
      <c r="C58" s="221">
        <v>0.67</v>
      </c>
      <c r="D58" s="222">
        <v>1.0</v>
      </c>
      <c r="E58" s="223"/>
      <c r="F58" s="220">
        <v>187.0</v>
      </c>
      <c r="G58" s="220">
        <v>10.0</v>
      </c>
      <c r="H58" s="222">
        <v>0.053</v>
      </c>
      <c r="I58" s="219" t="s">
        <v>662</v>
      </c>
      <c r="J58" s="222">
        <v>0.0479</v>
      </c>
      <c r="K58" s="222">
        <v>0.0</v>
      </c>
      <c r="L58" s="222">
        <v>0.016</v>
      </c>
      <c r="M58" s="222">
        <v>0.0479</v>
      </c>
      <c r="N58" s="222">
        <v>0.0</v>
      </c>
      <c r="O58" s="219" t="s">
        <v>405</v>
      </c>
      <c r="P58" s="222">
        <v>0.0479</v>
      </c>
    </row>
    <row r="59">
      <c r="A59" s="156" t="s">
        <v>565</v>
      </c>
      <c r="B59" s="157">
        <v>73.0</v>
      </c>
      <c r="C59" s="199">
        <v>0.41</v>
      </c>
      <c r="D59" s="158">
        <v>1.0</v>
      </c>
      <c r="E59" s="200"/>
      <c r="F59" s="157">
        <v>75.0</v>
      </c>
      <c r="G59" s="157">
        <v>4.0</v>
      </c>
      <c r="H59" s="158">
        <v>0.053</v>
      </c>
      <c r="I59" s="156" t="s">
        <v>662</v>
      </c>
      <c r="J59" s="158">
        <v>0.0263</v>
      </c>
      <c r="K59" s="158">
        <v>0.0</v>
      </c>
      <c r="L59" s="158">
        <v>0.0263</v>
      </c>
      <c r="M59" s="158">
        <v>0.0263</v>
      </c>
      <c r="N59" s="158">
        <v>0.0</v>
      </c>
      <c r="O59" s="156" t="s">
        <v>43</v>
      </c>
      <c r="P59" s="158">
        <v>0.0263</v>
      </c>
    </row>
    <row r="60" hidden="1">
      <c r="A60" s="219" t="s">
        <v>544</v>
      </c>
      <c r="B60" s="220">
        <v>81.0</v>
      </c>
      <c r="C60" s="221">
        <v>0.99</v>
      </c>
      <c r="D60" s="222">
        <v>1.0</v>
      </c>
      <c r="E60" s="223"/>
      <c r="F60" s="220">
        <v>76.0</v>
      </c>
      <c r="G60" s="220">
        <v>4.0</v>
      </c>
      <c r="H60" s="222">
        <v>0.053</v>
      </c>
      <c r="I60" s="219" t="s">
        <v>662</v>
      </c>
      <c r="J60" s="222">
        <v>0.0125</v>
      </c>
      <c r="K60" s="222">
        <v>0.0</v>
      </c>
      <c r="L60" s="222">
        <v>0.0375</v>
      </c>
      <c r="M60" s="222">
        <v>0.1</v>
      </c>
      <c r="N60" s="222">
        <v>0.0</v>
      </c>
      <c r="O60" s="219" t="s">
        <v>405</v>
      </c>
      <c r="P60" s="222">
        <v>0.1</v>
      </c>
    </row>
    <row r="61" hidden="1">
      <c r="A61" s="219" t="s">
        <v>533</v>
      </c>
      <c r="B61" s="220">
        <v>103.0</v>
      </c>
      <c r="C61" s="221">
        <v>0.49</v>
      </c>
      <c r="D61" s="222">
        <v>1.0</v>
      </c>
      <c r="E61" s="223"/>
      <c r="F61" s="220">
        <v>96.0</v>
      </c>
      <c r="G61" s="220">
        <v>5.0</v>
      </c>
      <c r="H61" s="222">
        <v>0.052</v>
      </c>
      <c r="I61" s="219" t="s">
        <v>662</v>
      </c>
      <c r="J61" s="222">
        <v>0.03</v>
      </c>
      <c r="K61" s="222">
        <v>0.0</v>
      </c>
      <c r="L61" s="222">
        <v>0.01</v>
      </c>
      <c r="M61" s="222">
        <v>0.06</v>
      </c>
      <c r="N61" s="222">
        <v>0.01</v>
      </c>
      <c r="O61" s="219" t="s">
        <v>405</v>
      </c>
      <c r="P61" s="222">
        <v>0.06</v>
      </c>
    </row>
  </sheetData>
  <autoFilter ref="$A$1:$P$61">
    <filterColumn colId="14">
      <filters>
        <filter val="BIG"/>
        <filter val="SMALL"/>
        <filter val="BIG/CHIP"/>
      </filters>
    </filterColumn>
    <sortState ref="A1:P61">
      <sortCondition descending="1" ref="H1:H61"/>
      <sortCondition descending="1" ref="G1:G61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0" t="s">
        <v>700</v>
      </c>
      <c r="B1" s="150" t="s">
        <v>657</v>
      </c>
      <c r="C1" s="150" t="s">
        <v>672</v>
      </c>
      <c r="D1" s="150" t="s">
        <v>673</v>
      </c>
      <c r="E1" s="150" t="s">
        <v>674</v>
      </c>
      <c r="F1" s="150" t="s">
        <v>658</v>
      </c>
      <c r="G1" s="150" t="s">
        <v>659</v>
      </c>
      <c r="H1" s="150" t="s">
        <v>660</v>
      </c>
      <c r="I1" s="150" t="s">
        <v>133</v>
      </c>
      <c r="J1" s="150" t="s">
        <v>89</v>
      </c>
      <c r="K1" s="150" t="s">
        <v>387</v>
      </c>
      <c r="L1" s="150" t="s">
        <v>507</v>
      </c>
      <c r="M1" s="150" t="s">
        <v>462</v>
      </c>
      <c r="N1" s="150" t="s">
        <v>4</v>
      </c>
      <c r="O1" s="150" t="s">
        <v>5</v>
      </c>
      <c r="P1" s="150" t="s">
        <v>661</v>
      </c>
    </row>
    <row r="2">
      <c r="A2" s="152" t="s">
        <v>199</v>
      </c>
      <c r="B2" s="153">
        <v>21.0</v>
      </c>
      <c r="C2" s="197">
        <v>0.68</v>
      </c>
      <c r="D2" s="154">
        <v>1.0</v>
      </c>
      <c r="E2" s="198"/>
      <c r="F2" s="153">
        <v>18.0</v>
      </c>
      <c r="G2" s="153">
        <v>4.0</v>
      </c>
      <c r="H2" s="154">
        <v>0.222</v>
      </c>
      <c r="I2" s="154">
        <v>0.1905</v>
      </c>
      <c r="J2" s="154">
        <v>0.0</v>
      </c>
      <c r="K2" s="154">
        <v>0.0</v>
      </c>
      <c r="L2" s="154">
        <v>0.0476</v>
      </c>
      <c r="M2" s="154">
        <v>0.0</v>
      </c>
      <c r="N2" s="152" t="s">
        <v>43</v>
      </c>
      <c r="O2" s="154">
        <v>0.1905</v>
      </c>
      <c r="P2" s="152" t="s">
        <v>662</v>
      </c>
    </row>
    <row r="3">
      <c r="A3" s="156" t="s">
        <v>540</v>
      </c>
      <c r="B3" s="157">
        <v>114.0</v>
      </c>
      <c r="C3" s="199">
        <v>0.91</v>
      </c>
      <c r="D3" s="158">
        <v>1.0</v>
      </c>
      <c r="E3" s="200"/>
      <c r="F3" s="157">
        <v>109.0</v>
      </c>
      <c r="G3" s="157">
        <v>6.0</v>
      </c>
      <c r="H3" s="158">
        <v>0.055</v>
      </c>
      <c r="I3" s="158">
        <v>0.0364</v>
      </c>
      <c r="J3" s="158">
        <v>0.0091</v>
      </c>
      <c r="K3" s="158">
        <v>0.0091</v>
      </c>
      <c r="L3" s="158">
        <v>0.0273</v>
      </c>
      <c r="M3" s="158">
        <v>0.0091</v>
      </c>
      <c r="N3" s="156" t="s">
        <v>43</v>
      </c>
      <c r="O3" s="158">
        <v>0.0364</v>
      </c>
      <c r="P3" s="156" t="s">
        <v>662</v>
      </c>
    </row>
    <row r="4">
      <c r="A4" s="152" t="s">
        <v>541</v>
      </c>
      <c r="B4" s="153">
        <v>97.0</v>
      </c>
      <c r="C4" s="197">
        <v>0.78</v>
      </c>
      <c r="D4" s="154">
        <v>1.0</v>
      </c>
      <c r="E4" s="198"/>
      <c r="F4" s="153">
        <v>96.0</v>
      </c>
      <c r="G4" s="153">
        <v>5.0</v>
      </c>
      <c r="H4" s="154">
        <v>0.052</v>
      </c>
      <c r="I4" s="154">
        <v>0.051</v>
      </c>
      <c r="J4" s="154">
        <v>0.0102</v>
      </c>
      <c r="K4" s="154">
        <v>0.0102</v>
      </c>
      <c r="L4" s="154">
        <v>0.0408</v>
      </c>
      <c r="M4" s="154">
        <v>0.0</v>
      </c>
      <c r="N4" s="152" t="s">
        <v>43</v>
      </c>
      <c r="O4" s="154">
        <v>0.051</v>
      </c>
      <c r="P4" s="152" t="s">
        <v>662</v>
      </c>
    </row>
    <row r="5">
      <c r="A5" s="156" t="s">
        <v>543</v>
      </c>
      <c r="B5" s="157">
        <v>34.0</v>
      </c>
      <c r="C5" s="199">
        <v>0.27</v>
      </c>
      <c r="D5" s="158">
        <v>1.0</v>
      </c>
      <c r="E5" s="200"/>
      <c r="F5" s="157">
        <v>30.0</v>
      </c>
      <c r="G5" s="157">
        <v>4.0</v>
      </c>
      <c r="H5" s="158">
        <v>0.133</v>
      </c>
      <c r="I5" s="158">
        <v>0.0645</v>
      </c>
      <c r="J5" s="158">
        <v>0.0</v>
      </c>
      <c r="K5" s="158">
        <v>0.0645</v>
      </c>
      <c r="L5" s="158">
        <v>0.0</v>
      </c>
      <c r="M5" s="158">
        <v>0.0</v>
      </c>
      <c r="N5" s="156" t="s">
        <v>320</v>
      </c>
      <c r="O5" s="158">
        <v>0.0645</v>
      </c>
      <c r="P5" s="156" t="s">
        <v>662</v>
      </c>
    </row>
    <row r="6">
      <c r="A6" s="152" t="s">
        <v>433</v>
      </c>
      <c r="B6" s="153">
        <v>31.0</v>
      </c>
      <c r="C6" s="197">
        <v>0.24</v>
      </c>
      <c r="D6" s="154">
        <v>1.0</v>
      </c>
      <c r="E6" s="198"/>
      <c r="F6" s="153">
        <v>31.0</v>
      </c>
      <c r="G6" s="153">
        <v>4.0</v>
      </c>
      <c r="H6" s="154">
        <v>0.129</v>
      </c>
      <c r="I6" s="154">
        <v>0.0625</v>
      </c>
      <c r="J6" s="154">
        <v>0.0313</v>
      </c>
      <c r="K6" s="154">
        <v>0.0625</v>
      </c>
      <c r="L6" s="154">
        <v>0.0625</v>
      </c>
      <c r="M6" s="154">
        <v>0.0</v>
      </c>
      <c r="N6" s="152" t="s">
        <v>320</v>
      </c>
      <c r="O6" s="154">
        <v>0.0625</v>
      </c>
      <c r="P6" s="152" t="s">
        <v>662</v>
      </c>
    </row>
    <row r="7">
      <c r="A7" s="156" t="s">
        <v>544</v>
      </c>
      <c r="B7" s="157">
        <v>48.0</v>
      </c>
      <c r="C7" s="199">
        <v>0.91</v>
      </c>
      <c r="D7" s="158">
        <v>1.0</v>
      </c>
      <c r="E7" s="200"/>
      <c r="F7" s="157">
        <v>41.0</v>
      </c>
      <c r="G7" s="157">
        <v>5.0</v>
      </c>
      <c r="H7" s="158">
        <v>0.122</v>
      </c>
      <c r="I7" s="158">
        <v>0.0455</v>
      </c>
      <c r="J7" s="158">
        <v>0.0</v>
      </c>
      <c r="K7" s="158">
        <v>0.0455</v>
      </c>
      <c r="L7" s="158">
        <v>0.1136</v>
      </c>
      <c r="M7" s="158">
        <v>0.0227</v>
      </c>
      <c r="N7" s="156" t="s">
        <v>320</v>
      </c>
      <c r="O7" s="158">
        <v>0.1136</v>
      </c>
      <c r="P7" s="156" t="s">
        <v>662</v>
      </c>
    </row>
    <row r="8">
      <c r="A8" s="152" t="s">
        <v>669</v>
      </c>
      <c r="B8" s="153">
        <v>55.0</v>
      </c>
      <c r="C8" s="197">
        <v>0.24</v>
      </c>
      <c r="D8" s="154">
        <v>1.0</v>
      </c>
      <c r="E8" s="198"/>
      <c r="F8" s="153">
        <v>54.0</v>
      </c>
      <c r="G8" s="153">
        <v>4.0</v>
      </c>
      <c r="H8" s="154">
        <v>0.074</v>
      </c>
      <c r="I8" s="154">
        <v>0.0179</v>
      </c>
      <c r="J8" s="154">
        <v>0.0</v>
      </c>
      <c r="K8" s="154">
        <v>0.0536</v>
      </c>
      <c r="L8" s="154">
        <v>0.0</v>
      </c>
      <c r="M8" s="154">
        <v>0.0</v>
      </c>
      <c r="N8" s="152" t="s">
        <v>137</v>
      </c>
      <c r="O8" s="154">
        <v>0.0536</v>
      </c>
      <c r="P8" s="152" t="s">
        <v>662</v>
      </c>
    </row>
    <row r="9">
      <c r="A9" s="156" t="s">
        <v>670</v>
      </c>
      <c r="B9" s="157">
        <v>82.0</v>
      </c>
      <c r="C9" s="199">
        <v>0.68</v>
      </c>
      <c r="D9" s="158">
        <v>1.0</v>
      </c>
      <c r="E9" s="200"/>
      <c r="F9" s="157">
        <v>76.0</v>
      </c>
      <c r="G9" s="157">
        <v>4.0</v>
      </c>
      <c r="H9" s="158">
        <v>0.053</v>
      </c>
      <c r="I9" s="158">
        <v>0.013</v>
      </c>
      <c r="J9" s="158">
        <v>0.0</v>
      </c>
      <c r="K9" s="158">
        <v>0.026</v>
      </c>
      <c r="L9" s="158">
        <v>0.013</v>
      </c>
      <c r="M9" s="158">
        <v>0.013</v>
      </c>
      <c r="N9" s="156" t="s">
        <v>137</v>
      </c>
      <c r="O9" s="158">
        <v>0.026</v>
      </c>
      <c r="P9" s="156" t="s">
        <v>662</v>
      </c>
    </row>
    <row r="10">
      <c r="A10" s="152" t="s">
        <v>469</v>
      </c>
      <c r="B10" s="153">
        <v>29.0</v>
      </c>
      <c r="C10" s="197">
        <v>1.0</v>
      </c>
      <c r="D10" s="154">
        <v>1.0</v>
      </c>
      <c r="E10" s="198"/>
      <c r="F10" s="153">
        <v>24.0</v>
      </c>
      <c r="G10" s="153">
        <v>4.0</v>
      </c>
      <c r="H10" s="154">
        <v>0.167</v>
      </c>
      <c r="I10" s="154">
        <v>0.0769</v>
      </c>
      <c r="J10" s="154">
        <v>0.0</v>
      </c>
      <c r="K10" s="154">
        <v>0.0769</v>
      </c>
      <c r="L10" s="154">
        <v>0.0769</v>
      </c>
      <c r="M10" s="154">
        <v>0.0</v>
      </c>
      <c r="N10" s="152" t="s">
        <v>665</v>
      </c>
      <c r="O10" s="154">
        <v>0.0769</v>
      </c>
      <c r="P10" s="152" t="s">
        <v>662</v>
      </c>
    </row>
    <row r="11">
      <c r="A11" s="156" t="s">
        <v>397</v>
      </c>
      <c r="B11" s="157">
        <v>61.0</v>
      </c>
      <c r="C11" s="199">
        <v>0.3</v>
      </c>
      <c r="D11" s="158">
        <v>1.0</v>
      </c>
      <c r="E11" s="200"/>
      <c r="F11" s="157">
        <v>58.0</v>
      </c>
      <c r="G11" s="157">
        <v>4.0</v>
      </c>
      <c r="H11" s="158">
        <v>0.069</v>
      </c>
      <c r="I11" s="158">
        <v>0.0164</v>
      </c>
      <c r="J11" s="158">
        <v>0.0164</v>
      </c>
      <c r="K11" s="158">
        <v>0.0164</v>
      </c>
      <c r="L11" s="158">
        <v>0.0492</v>
      </c>
      <c r="M11" s="158">
        <v>0.0328</v>
      </c>
      <c r="N11" s="156" t="s">
        <v>405</v>
      </c>
      <c r="O11" s="158">
        <v>0.0492</v>
      </c>
      <c r="P11" s="156" t="s">
        <v>662</v>
      </c>
    </row>
    <row r="12">
      <c r="A12" s="162" t="s">
        <v>596</v>
      </c>
      <c r="B12" s="163">
        <v>15.0</v>
      </c>
      <c r="C12" s="226">
        <v>0.21</v>
      </c>
      <c r="D12" s="164">
        <v>1.0</v>
      </c>
      <c r="E12" s="227"/>
      <c r="F12" s="163">
        <v>14.0</v>
      </c>
      <c r="G12" s="163">
        <v>4.0</v>
      </c>
      <c r="H12" s="164">
        <v>0.286</v>
      </c>
      <c r="I12" s="164">
        <v>0.0588</v>
      </c>
      <c r="J12" s="164">
        <v>0.0588</v>
      </c>
      <c r="K12" s="164">
        <v>0.1176</v>
      </c>
      <c r="L12" s="164">
        <v>0.2353</v>
      </c>
      <c r="M12" s="164">
        <v>0.0588</v>
      </c>
      <c r="N12" s="162" t="s">
        <v>409</v>
      </c>
      <c r="O12" s="164">
        <v>0.2353</v>
      </c>
      <c r="P12" s="162" t="s">
        <v>662</v>
      </c>
    </row>
    <row r="13">
      <c r="A13" s="162" t="s">
        <v>328</v>
      </c>
      <c r="B13" s="165">
        <v>12.0</v>
      </c>
      <c r="C13" s="228">
        <v>0.17</v>
      </c>
      <c r="D13" s="166">
        <v>1.0</v>
      </c>
      <c r="E13" s="229"/>
      <c r="F13" s="165">
        <v>13.0</v>
      </c>
      <c r="G13" s="165">
        <v>4.0</v>
      </c>
      <c r="H13" s="166">
        <v>0.308</v>
      </c>
      <c r="I13" s="166">
        <v>0.0</v>
      </c>
      <c r="J13" s="166">
        <v>0.0769</v>
      </c>
      <c r="K13" s="166">
        <v>0.0769</v>
      </c>
      <c r="L13" s="166">
        <v>0.1538</v>
      </c>
      <c r="M13" s="166">
        <v>0.1538</v>
      </c>
      <c r="N13" s="160" t="s">
        <v>671</v>
      </c>
      <c r="O13" s="166">
        <v>0.1538</v>
      </c>
      <c r="P13" s="160" t="s">
        <v>662</v>
      </c>
    </row>
    <row r="14">
      <c r="A14" s="152" t="s">
        <v>545</v>
      </c>
      <c r="B14" s="153">
        <v>14.0</v>
      </c>
      <c r="C14" s="197">
        <v>0.74</v>
      </c>
      <c r="D14" s="154">
        <v>1.0</v>
      </c>
      <c r="E14" s="198"/>
      <c r="F14" s="153">
        <v>14.0</v>
      </c>
      <c r="G14" s="153">
        <v>10.0</v>
      </c>
      <c r="H14" s="154">
        <v>0.714</v>
      </c>
      <c r="I14" s="154">
        <v>0.1765</v>
      </c>
      <c r="J14" s="154">
        <v>0.4706</v>
      </c>
      <c r="K14" s="154">
        <v>0.0</v>
      </c>
      <c r="L14" s="154">
        <v>0.0588</v>
      </c>
      <c r="M14" s="154">
        <v>0.0</v>
      </c>
      <c r="N14" s="152" t="s">
        <v>19</v>
      </c>
      <c r="O14" s="154">
        <v>0.4706</v>
      </c>
      <c r="P14" s="152" t="s">
        <v>662</v>
      </c>
    </row>
    <row r="15">
      <c r="A15" s="156" t="s">
        <v>368</v>
      </c>
      <c r="B15" s="157">
        <v>16.0</v>
      </c>
      <c r="C15" s="199">
        <v>0.38</v>
      </c>
      <c r="D15" s="158">
        <v>1.0</v>
      </c>
      <c r="E15" s="200"/>
      <c r="F15" s="157">
        <v>15.0</v>
      </c>
      <c r="G15" s="157">
        <v>4.0</v>
      </c>
      <c r="H15" s="158">
        <v>0.267</v>
      </c>
      <c r="I15" s="158">
        <v>0.0667</v>
      </c>
      <c r="J15" s="158">
        <v>0.2</v>
      </c>
      <c r="K15" s="158">
        <v>0.0</v>
      </c>
      <c r="L15" s="158">
        <v>0.0</v>
      </c>
      <c r="M15" s="158">
        <v>0.0</v>
      </c>
      <c r="N15" s="156" t="s">
        <v>19</v>
      </c>
      <c r="O15" s="158">
        <v>0.2</v>
      </c>
      <c r="P15" s="156" t="s">
        <v>662</v>
      </c>
    </row>
    <row r="16">
      <c r="A16" s="152" t="s">
        <v>342</v>
      </c>
      <c r="B16" s="153">
        <v>33.0</v>
      </c>
      <c r="C16" s="197">
        <v>0.61</v>
      </c>
      <c r="D16" s="154">
        <v>1.0</v>
      </c>
      <c r="E16" s="198"/>
      <c r="F16" s="153">
        <v>32.0</v>
      </c>
      <c r="G16" s="153">
        <v>7.0</v>
      </c>
      <c r="H16" s="154">
        <v>0.219</v>
      </c>
      <c r="I16" s="154">
        <v>0.0625</v>
      </c>
      <c r="J16" s="154">
        <v>0.125</v>
      </c>
      <c r="K16" s="154">
        <v>0.0313</v>
      </c>
      <c r="L16" s="154">
        <v>0.0</v>
      </c>
      <c r="M16" s="154">
        <v>0.0</v>
      </c>
      <c r="N16" s="152" t="s">
        <v>19</v>
      </c>
      <c r="O16" s="154">
        <v>0.125</v>
      </c>
      <c r="P16" s="152" t="s">
        <v>662</v>
      </c>
    </row>
    <row r="17">
      <c r="A17" s="156" t="s">
        <v>546</v>
      </c>
      <c r="B17" s="157">
        <v>28.0</v>
      </c>
      <c r="C17" s="199">
        <v>0.61</v>
      </c>
      <c r="D17" s="158">
        <v>1.0</v>
      </c>
      <c r="E17" s="200"/>
      <c r="F17" s="157">
        <v>25.0</v>
      </c>
      <c r="G17" s="157">
        <v>5.0</v>
      </c>
      <c r="H17" s="158">
        <v>0.2</v>
      </c>
      <c r="I17" s="158">
        <v>0.0385</v>
      </c>
      <c r="J17" s="158">
        <v>0.1538</v>
      </c>
      <c r="K17" s="158">
        <v>0.0</v>
      </c>
      <c r="L17" s="158">
        <v>0.0</v>
      </c>
      <c r="M17" s="158">
        <v>0.0</v>
      </c>
      <c r="N17" s="156" t="s">
        <v>19</v>
      </c>
      <c r="O17" s="158">
        <v>0.1538</v>
      </c>
      <c r="P17" s="156" t="s">
        <v>662</v>
      </c>
    </row>
    <row r="18">
      <c r="A18" s="152" t="s">
        <v>489</v>
      </c>
      <c r="B18" s="153">
        <v>81.0</v>
      </c>
      <c r="C18" s="197">
        <v>0.58</v>
      </c>
      <c r="D18" s="154">
        <v>1.0</v>
      </c>
      <c r="E18" s="198"/>
      <c r="F18" s="153">
        <v>53.0</v>
      </c>
      <c r="G18" s="153">
        <v>8.0</v>
      </c>
      <c r="H18" s="154">
        <v>0.151</v>
      </c>
      <c r="I18" s="154">
        <v>0.0308</v>
      </c>
      <c r="J18" s="154">
        <v>0.1385</v>
      </c>
      <c r="K18" s="154">
        <v>0.0</v>
      </c>
      <c r="L18" s="154">
        <v>0.0615</v>
      </c>
      <c r="M18" s="154">
        <v>0.0462</v>
      </c>
      <c r="N18" s="152" t="s">
        <v>19</v>
      </c>
      <c r="O18" s="154">
        <v>0.1385</v>
      </c>
      <c r="P18" s="152" t="s">
        <v>662</v>
      </c>
    </row>
    <row r="19">
      <c r="A19" s="156" t="s">
        <v>172</v>
      </c>
      <c r="B19" s="157">
        <v>95.0</v>
      </c>
      <c r="C19" s="199">
        <v>0.45</v>
      </c>
      <c r="D19" s="158">
        <v>1.0</v>
      </c>
      <c r="E19" s="200"/>
      <c r="F19" s="157">
        <v>97.0</v>
      </c>
      <c r="G19" s="157">
        <v>8.0</v>
      </c>
      <c r="H19" s="158">
        <v>0.082</v>
      </c>
      <c r="I19" s="158">
        <v>0.0192</v>
      </c>
      <c r="J19" s="158">
        <v>0.0673</v>
      </c>
      <c r="K19" s="158">
        <v>0.0</v>
      </c>
      <c r="L19" s="158">
        <v>0.0577</v>
      </c>
      <c r="M19" s="158">
        <v>0.0</v>
      </c>
      <c r="N19" s="156" t="s">
        <v>19</v>
      </c>
      <c r="O19" s="158">
        <v>0.0673</v>
      </c>
      <c r="P19" s="156" t="s">
        <v>662</v>
      </c>
    </row>
    <row r="20">
      <c r="A20" s="152" t="s">
        <v>142</v>
      </c>
      <c r="B20" s="153">
        <v>9.0</v>
      </c>
      <c r="C20" s="197">
        <v>0.64</v>
      </c>
      <c r="D20" s="154">
        <v>1.0</v>
      </c>
      <c r="E20" s="198"/>
      <c r="F20" s="153">
        <v>9.0</v>
      </c>
      <c r="G20" s="153">
        <v>6.0</v>
      </c>
      <c r="H20" s="154">
        <v>0.667</v>
      </c>
      <c r="I20" s="154">
        <v>0.0</v>
      </c>
      <c r="J20" s="154">
        <v>0.0833</v>
      </c>
      <c r="K20" s="154">
        <v>0.0</v>
      </c>
      <c r="L20" s="154">
        <v>0.1667</v>
      </c>
      <c r="M20" s="154">
        <v>0.4167</v>
      </c>
      <c r="N20" s="152" t="s">
        <v>336</v>
      </c>
      <c r="O20" s="154">
        <v>0.4167</v>
      </c>
      <c r="P20" s="152" t="s">
        <v>662</v>
      </c>
    </row>
    <row r="21">
      <c r="A21" s="162" t="s">
        <v>440</v>
      </c>
      <c r="B21" s="163">
        <v>16.0</v>
      </c>
      <c r="C21" s="226">
        <v>0.23</v>
      </c>
      <c r="D21" s="164">
        <v>1.0</v>
      </c>
      <c r="E21" s="227"/>
      <c r="F21" s="163">
        <v>8.0</v>
      </c>
      <c r="G21" s="163">
        <v>5.0</v>
      </c>
      <c r="H21" s="164">
        <v>0.625</v>
      </c>
      <c r="I21" s="164">
        <v>0.1538</v>
      </c>
      <c r="J21" s="164">
        <v>0.1538</v>
      </c>
      <c r="K21" s="164">
        <v>0.1538</v>
      </c>
      <c r="L21" s="164">
        <v>0.1538</v>
      </c>
      <c r="M21" s="164">
        <v>0.0</v>
      </c>
      <c r="N21" s="162" t="s">
        <v>336</v>
      </c>
      <c r="O21" s="164">
        <v>0.1538</v>
      </c>
      <c r="P21" s="162" t="s">
        <v>662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0" t="s">
        <v>700</v>
      </c>
      <c r="B1" s="150" t="s">
        <v>657</v>
      </c>
      <c r="C1" s="150" t="s">
        <v>672</v>
      </c>
      <c r="D1" s="150" t="s">
        <v>673</v>
      </c>
      <c r="E1" s="150" t="s">
        <v>674</v>
      </c>
      <c r="F1" s="150" t="s">
        <v>658</v>
      </c>
      <c r="G1" s="150" t="s">
        <v>659</v>
      </c>
      <c r="H1" s="150" t="s">
        <v>660</v>
      </c>
      <c r="I1" s="150" t="s">
        <v>133</v>
      </c>
      <c r="J1" s="150" t="s">
        <v>89</v>
      </c>
      <c r="K1" s="150" t="s">
        <v>387</v>
      </c>
      <c r="L1" s="150" t="s">
        <v>507</v>
      </c>
      <c r="M1" s="150" t="s">
        <v>462</v>
      </c>
      <c r="N1" s="150" t="s">
        <v>661</v>
      </c>
      <c r="O1" s="150" t="s">
        <v>675</v>
      </c>
      <c r="P1" s="150" t="s">
        <v>676</v>
      </c>
    </row>
    <row r="2">
      <c r="A2" s="152" t="s">
        <v>489</v>
      </c>
      <c r="B2" s="153">
        <v>73.0</v>
      </c>
      <c r="C2" s="197">
        <v>0.48</v>
      </c>
      <c r="D2" s="154">
        <v>1.0</v>
      </c>
      <c r="E2" s="198"/>
      <c r="F2" s="153">
        <v>69.0</v>
      </c>
      <c r="G2" s="153">
        <v>28.0</v>
      </c>
      <c r="H2" s="154">
        <v>0.406</v>
      </c>
      <c r="I2" s="154">
        <v>0.0842</v>
      </c>
      <c r="J2" s="154">
        <v>0.0526</v>
      </c>
      <c r="K2" s="154">
        <v>0.0105</v>
      </c>
      <c r="L2" s="154">
        <v>0.1579</v>
      </c>
      <c r="M2" s="154">
        <v>0.2316</v>
      </c>
      <c r="N2" s="152" t="s">
        <v>662</v>
      </c>
      <c r="O2" s="152" t="s">
        <v>462</v>
      </c>
      <c r="P2" s="154">
        <v>0.2316</v>
      </c>
    </row>
    <row r="3">
      <c r="A3" s="156" t="s">
        <v>498</v>
      </c>
      <c r="B3" s="157">
        <v>101.0</v>
      </c>
      <c r="C3" s="199">
        <v>0.91</v>
      </c>
      <c r="D3" s="158">
        <v>1.0</v>
      </c>
      <c r="E3" s="200"/>
      <c r="F3" s="157">
        <v>97.0</v>
      </c>
      <c r="G3" s="157">
        <v>23.0</v>
      </c>
      <c r="H3" s="158">
        <v>0.237</v>
      </c>
      <c r="I3" s="158">
        <v>0.0882</v>
      </c>
      <c r="J3" s="158">
        <v>0.0588</v>
      </c>
      <c r="K3" s="158">
        <v>0.0686</v>
      </c>
      <c r="L3" s="158">
        <v>0.098</v>
      </c>
      <c r="M3" s="158">
        <v>0.0196</v>
      </c>
      <c r="N3" s="156" t="s">
        <v>662</v>
      </c>
      <c r="O3" s="156" t="s">
        <v>499</v>
      </c>
      <c r="P3" s="158">
        <v>0.098</v>
      </c>
    </row>
    <row r="4">
      <c r="A4" s="152" t="s">
        <v>311</v>
      </c>
      <c r="B4" s="153">
        <v>157.0</v>
      </c>
      <c r="C4" s="197">
        <v>1.0</v>
      </c>
      <c r="D4" s="154">
        <v>1.0</v>
      </c>
      <c r="E4" s="198"/>
      <c r="F4" s="153">
        <v>150.0</v>
      </c>
      <c r="G4" s="153">
        <v>20.0</v>
      </c>
      <c r="H4" s="154">
        <v>0.133</v>
      </c>
      <c r="I4" s="154">
        <v>0.0449</v>
      </c>
      <c r="J4" s="154">
        <v>0.0192</v>
      </c>
      <c r="K4" s="154">
        <v>0.0705</v>
      </c>
      <c r="L4" s="154">
        <v>0.0385</v>
      </c>
      <c r="M4" s="154">
        <v>0.0</v>
      </c>
      <c r="N4" s="152" t="s">
        <v>662</v>
      </c>
      <c r="O4" s="152" t="s">
        <v>497</v>
      </c>
      <c r="P4" s="154">
        <v>0.0705</v>
      </c>
    </row>
    <row r="5">
      <c r="A5" s="156" t="s">
        <v>438</v>
      </c>
      <c r="B5" s="157">
        <v>22.0</v>
      </c>
      <c r="C5" s="199">
        <v>0.51</v>
      </c>
      <c r="D5" s="158">
        <v>1.0</v>
      </c>
      <c r="E5" s="200"/>
      <c r="F5" s="157">
        <v>21.0</v>
      </c>
      <c r="G5" s="157">
        <v>15.0</v>
      </c>
      <c r="H5" s="158">
        <v>0.714</v>
      </c>
      <c r="I5" s="158">
        <v>0.0833</v>
      </c>
      <c r="J5" s="158">
        <v>0.5417</v>
      </c>
      <c r="K5" s="158">
        <v>0.0</v>
      </c>
      <c r="L5" s="158">
        <v>0.0417</v>
      </c>
      <c r="M5" s="158">
        <v>0.0</v>
      </c>
      <c r="N5" s="156" t="s">
        <v>662</v>
      </c>
      <c r="O5" s="156" t="s">
        <v>89</v>
      </c>
      <c r="P5" s="158">
        <v>0.5417</v>
      </c>
    </row>
    <row r="6">
      <c r="A6" s="152" t="s">
        <v>484</v>
      </c>
      <c r="B6" s="153">
        <v>53.0</v>
      </c>
      <c r="C6" s="197">
        <v>0.8</v>
      </c>
      <c r="D6" s="154">
        <v>1.0</v>
      </c>
      <c r="E6" s="198"/>
      <c r="F6" s="153">
        <v>51.0</v>
      </c>
      <c r="G6" s="153">
        <v>11.0</v>
      </c>
      <c r="H6" s="154">
        <v>0.216</v>
      </c>
      <c r="I6" s="154">
        <v>0.1091</v>
      </c>
      <c r="J6" s="154">
        <v>0.0909</v>
      </c>
      <c r="K6" s="154">
        <v>0.0</v>
      </c>
      <c r="L6" s="154">
        <v>0.1273</v>
      </c>
      <c r="M6" s="154">
        <v>0.0</v>
      </c>
      <c r="N6" s="152" t="s">
        <v>662</v>
      </c>
      <c r="O6" s="161" t="s">
        <v>499</v>
      </c>
      <c r="P6" s="154">
        <v>0.1273</v>
      </c>
    </row>
    <row r="7">
      <c r="A7" s="156" t="s">
        <v>491</v>
      </c>
      <c r="B7" s="157">
        <v>216.0</v>
      </c>
      <c r="C7" s="199">
        <v>1.0</v>
      </c>
      <c r="D7" s="158">
        <v>1.0</v>
      </c>
      <c r="E7" s="200"/>
      <c r="F7" s="157">
        <v>212.0</v>
      </c>
      <c r="G7" s="157">
        <v>11.0</v>
      </c>
      <c r="H7" s="158">
        <v>0.052</v>
      </c>
      <c r="I7" s="158">
        <v>0.0423</v>
      </c>
      <c r="J7" s="158">
        <v>0.0047</v>
      </c>
      <c r="K7" s="158">
        <v>0.0047</v>
      </c>
      <c r="L7" s="158">
        <v>0.0376</v>
      </c>
      <c r="M7" s="158">
        <v>0.0047</v>
      </c>
      <c r="N7" s="156" t="s">
        <v>662</v>
      </c>
      <c r="O7" s="156" t="s">
        <v>133</v>
      </c>
      <c r="P7" s="158">
        <v>0.0423</v>
      </c>
    </row>
    <row r="8">
      <c r="A8" s="152" t="s">
        <v>513</v>
      </c>
      <c r="B8" s="153">
        <v>35.0</v>
      </c>
      <c r="C8" s="197">
        <v>0.53</v>
      </c>
      <c r="D8" s="154">
        <v>1.0</v>
      </c>
      <c r="E8" s="198"/>
      <c r="F8" s="153">
        <v>34.0</v>
      </c>
      <c r="G8" s="153">
        <v>11.0</v>
      </c>
      <c r="H8" s="154">
        <v>0.324</v>
      </c>
      <c r="I8" s="154">
        <v>0.0488</v>
      </c>
      <c r="J8" s="154">
        <v>0.0732</v>
      </c>
      <c r="K8" s="154">
        <v>0.0732</v>
      </c>
      <c r="L8" s="154">
        <v>0.0488</v>
      </c>
      <c r="M8" s="154">
        <v>0.0488</v>
      </c>
      <c r="N8" s="152" t="s">
        <v>662</v>
      </c>
      <c r="O8" s="152" t="s">
        <v>89</v>
      </c>
      <c r="P8" s="154">
        <v>0.0732</v>
      </c>
    </row>
    <row r="9">
      <c r="A9" s="156" t="s">
        <v>510</v>
      </c>
      <c r="B9" s="157">
        <v>89.0</v>
      </c>
      <c r="C9" s="199">
        <v>0.95</v>
      </c>
      <c r="D9" s="158">
        <v>1.0</v>
      </c>
      <c r="E9" s="200"/>
      <c r="F9" s="157">
        <v>78.0</v>
      </c>
      <c r="G9" s="157">
        <v>10.0</v>
      </c>
      <c r="H9" s="158">
        <v>0.128</v>
      </c>
      <c r="I9" s="158">
        <v>0.0341</v>
      </c>
      <c r="J9" s="158">
        <v>0.0227</v>
      </c>
      <c r="K9" s="158">
        <v>0.0455</v>
      </c>
      <c r="L9" s="158">
        <v>0.1364</v>
      </c>
      <c r="M9" s="158">
        <v>0.0114</v>
      </c>
      <c r="N9" s="156" t="s">
        <v>662</v>
      </c>
      <c r="O9" s="156" t="s">
        <v>511</v>
      </c>
      <c r="P9" s="158">
        <v>0.1364</v>
      </c>
    </row>
    <row r="10">
      <c r="A10" s="152" t="s">
        <v>514</v>
      </c>
      <c r="B10" s="153">
        <v>14.0</v>
      </c>
      <c r="C10" s="197">
        <v>0.33</v>
      </c>
      <c r="D10" s="154">
        <v>1.0</v>
      </c>
      <c r="E10" s="198"/>
      <c r="F10" s="153">
        <v>15.0</v>
      </c>
      <c r="G10" s="153">
        <v>10.0</v>
      </c>
      <c r="H10" s="154">
        <v>0.667</v>
      </c>
      <c r="I10" s="154">
        <v>0.0</v>
      </c>
      <c r="J10" s="154">
        <v>0.5</v>
      </c>
      <c r="K10" s="154">
        <v>0.0</v>
      </c>
      <c r="L10" s="154">
        <v>0.1111</v>
      </c>
      <c r="M10" s="154">
        <v>0.0556</v>
      </c>
      <c r="N10" s="152" t="s">
        <v>662</v>
      </c>
      <c r="O10" s="152" t="s">
        <v>89</v>
      </c>
      <c r="P10" s="154">
        <v>0.5</v>
      </c>
    </row>
    <row r="11">
      <c r="A11" s="156" t="s">
        <v>500</v>
      </c>
      <c r="B11" s="157">
        <v>83.0</v>
      </c>
      <c r="C11" s="199">
        <v>0.04</v>
      </c>
      <c r="D11" s="158">
        <v>1.0</v>
      </c>
      <c r="E11" s="200"/>
      <c r="F11" s="157">
        <v>85.0</v>
      </c>
      <c r="G11" s="157">
        <v>9.0</v>
      </c>
      <c r="H11" s="158">
        <v>0.106</v>
      </c>
      <c r="I11" s="158">
        <v>0.069</v>
      </c>
      <c r="J11" s="158">
        <v>0.023</v>
      </c>
      <c r="K11" s="158">
        <v>0.023</v>
      </c>
      <c r="L11" s="158">
        <v>0.092</v>
      </c>
      <c r="M11" s="158">
        <v>0.0</v>
      </c>
      <c r="N11" s="156" t="s">
        <v>662</v>
      </c>
      <c r="O11" s="156" t="s">
        <v>499</v>
      </c>
      <c r="P11" s="158">
        <v>0.092</v>
      </c>
    </row>
    <row r="12">
      <c r="A12" s="152" t="s">
        <v>213</v>
      </c>
      <c r="B12" s="153">
        <v>26.0</v>
      </c>
      <c r="C12" s="197">
        <v>0.6</v>
      </c>
      <c r="D12" s="154">
        <v>1.0</v>
      </c>
      <c r="E12" s="198"/>
      <c r="F12" s="153">
        <v>20.0</v>
      </c>
      <c r="G12" s="153">
        <v>9.0</v>
      </c>
      <c r="H12" s="154">
        <v>0.45</v>
      </c>
      <c r="I12" s="154">
        <v>0.0</v>
      </c>
      <c r="J12" s="154">
        <v>0.2963</v>
      </c>
      <c r="K12" s="154">
        <v>0.037</v>
      </c>
      <c r="L12" s="154">
        <v>0.037</v>
      </c>
      <c r="M12" s="154">
        <v>0.037</v>
      </c>
      <c r="N12" s="152" t="s">
        <v>662</v>
      </c>
      <c r="O12" s="152" t="s">
        <v>89</v>
      </c>
      <c r="P12" s="154">
        <v>0.2963</v>
      </c>
    </row>
    <row r="13">
      <c r="A13" s="156" t="s">
        <v>501</v>
      </c>
      <c r="B13" s="157">
        <v>133.0</v>
      </c>
      <c r="C13" s="199">
        <v>0.96</v>
      </c>
      <c r="D13" s="158">
        <v>1.0</v>
      </c>
      <c r="E13" s="200"/>
      <c r="F13" s="157">
        <v>131.0</v>
      </c>
      <c r="G13" s="157">
        <v>8.0</v>
      </c>
      <c r="H13" s="158">
        <v>0.061</v>
      </c>
      <c r="I13" s="158">
        <v>0.035</v>
      </c>
      <c r="J13" s="158">
        <v>0.007</v>
      </c>
      <c r="K13" s="158">
        <v>0.014</v>
      </c>
      <c r="L13" s="158">
        <v>0.035</v>
      </c>
      <c r="M13" s="158">
        <v>0.0</v>
      </c>
      <c r="N13" s="156" t="s">
        <v>662</v>
      </c>
      <c r="O13" s="156" t="s">
        <v>499</v>
      </c>
      <c r="P13" s="158">
        <v>0.035</v>
      </c>
    </row>
    <row r="14">
      <c r="A14" s="152" t="s">
        <v>502</v>
      </c>
      <c r="B14" s="153">
        <v>20.0</v>
      </c>
      <c r="C14" s="197">
        <v>0.18</v>
      </c>
      <c r="D14" s="154">
        <v>1.0</v>
      </c>
      <c r="E14" s="198"/>
      <c r="F14" s="153">
        <v>17.0</v>
      </c>
      <c r="G14" s="153">
        <v>8.0</v>
      </c>
      <c r="H14" s="154">
        <v>0.471</v>
      </c>
      <c r="I14" s="154">
        <v>0.0</v>
      </c>
      <c r="J14" s="154">
        <v>0.0476</v>
      </c>
      <c r="K14" s="154">
        <v>0.381</v>
      </c>
      <c r="L14" s="154">
        <v>0.0476</v>
      </c>
      <c r="M14" s="154">
        <v>0.0</v>
      </c>
      <c r="N14" s="152" t="s">
        <v>662</v>
      </c>
      <c r="O14" s="152" t="s">
        <v>387</v>
      </c>
      <c r="P14" s="154">
        <v>0.381</v>
      </c>
    </row>
    <row r="15">
      <c r="A15" s="156" t="s">
        <v>515</v>
      </c>
      <c r="B15" s="157">
        <v>14.0</v>
      </c>
      <c r="C15" s="199">
        <v>0.36</v>
      </c>
      <c r="D15" s="158">
        <v>1.0</v>
      </c>
      <c r="E15" s="200"/>
      <c r="F15" s="157">
        <v>11.0</v>
      </c>
      <c r="G15" s="157">
        <v>8.0</v>
      </c>
      <c r="H15" s="158">
        <v>0.727</v>
      </c>
      <c r="I15" s="158">
        <v>0.0</v>
      </c>
      <c r="J15" s="158">
        <v>0.0</v>
      </c>
      <c r="K15" s="158">
        <v>0.0</v>
      </c>
      <c r="L15" s="158">
        <v>0.0625</v>
      </c>
      <c r="M15" s="158">
        <v>0.5</v>
      </c>
      <c r="N15" s="156" t="s">
        <v>662</v>
      </c>
      <c r="O15" s="156" t="s">
        <v>462</v>
      </c>
      <c r="P15" s="158">
        <v>0.5</v>
      </c>
    </row>
    <row r="16">
      <c r="A16" s="152" t="s">
        <v>367</v>
      </c>
      <c r="B16" s="153">
        <v>25.0</v>
      </c>
      <c r="C16" s="197">
        <v>0.23</v>
      </c>
      <c r="D16" s="154">
        <v>1.0</v>
      </c>
      <c r="E16" s="198"/>
      <c r="F16" s="153">
        <v>16.0</v>
      </c>
      <c r="G16" s="153">
        <v>7.0</v>
      </c>
      <c r="H16" s="154">
        <v>0.438</v>
      </c>
      <c r="I16" s="154">
        <v>0.0952</v>
      </c>
      <c r="J16" s="154">
        <v>0.0476</v>
      </c>
      <c r="K16" s="154">
        <v>0.2381</v>
      </c>
      <c r="L16" s="154">
        <v>0.0952</v>
      </c>
      <c r="M16" s="154">
        <v>0.0</v>
      </c>
      <c r="N16" s="152" t="s">
        <v>662</v>
      </c>
      <c r="O16" s="152" t="s">
        <v>387</v>
      </c>
      <c r="P16" s="154">
        <v>0.2381</v>
      </c>
    </row>
    <row r="17">
      <c r="A17" s="156" t="s">
        <v>509</v>
      </c>
      <c r="B17" s="157">
        <v>66.0</v>
      </c>
      <c r="C17" s="199">
        <v>0.47</v>
      </c>
      <c r="D17" s="158">
        <v>1.0</v>
      </c>
      <c r="E17" s="200"/>
      <c r="F17" s="157">
        <v>66.0</v>
      </c>
      <c r="G17" s="157">
        <v>7.0</v>
      </c>
      <c r="H17" s="158">
        <v>0.106</v>
      </c>
      <c r="I17" s="158">
        <v>0.0758</v>
      </c>
      <c r="J17" s="158">
        <v>0.0152</v>
      </c>
      <c r="K17" s="158">
        <v>0.0152</v>
      </c>
      <c r="L17" s="158">
        <v>0.0758</v>
      </c>
      <c r="M17" s="158">
        <v>0.0</v>
      </c>
      <c r="N17" s="156" t="s">
        <v>662</v>
      </c>
      <c r="O17" s="156" t="s">
        <v>507</v>
      </c>
      <c r="P17" s="158">
        <v>0.0758</v>
      </c>
    </row>
    <row r="18">
      <c r="A18" s="152" t="s">
        <v>374</v>
      </c>
      <c r="B18" s="153">
        <v>120.0</v>
      </c>
      <c r="C18" s="197">
        <v>0.94</v>
      </c>
      <c r="D18" s="154">
        <v>1.0</v>
      </c>
      <c r="E18" s="198"/>
      <c r="F18" s="153">
        <v>115.0</v>
      </c>
      <c r="G18" s="153">
        <v>7.0</v>
      </c>
      <c r="H18" s="154">
        <v>0.061</v>
      </c>
      <c r="I18" s="154">
        <v>0.0252</v>
      </c>
      <c r="J18" s="154">
        <v>0.0084</v>
      </c>
      <c r="K18" s="154">
        <v>0.0336</v>
      </c>
      <c r="L18" s="154">
        <v>0.0588</v>
      </c>
      <c r="M18" s="154">
        <v>0.0084</v>
      </c>
      <c r="N18" s="152" t="s">
        <v>662</v>
      </c>
      <c r="O18" s="161" t="s">
        <v>507</v>
      </c>
      <c r="P18" s="154">
        <v>0.0588</v>
      </c>
    </row>
    <row r="19">
      <c r="A19" s="156" t="s">
        <v>516</v>
      </c>
      <c r="B19" s="157">
        <v>69.0</v>
      </c>
      <c r="C19" s="199">
        <v>0.28</v>
      </c>
      <c r="D19" s="158">
        <v>1.0</v>
      </c>
      <c r="E19" s="200"/>
      <c r="F19" s="157">
        <v>67.0</v>
      </c>
      <c r="G19" s="157">
        <v>6.0</v>
      </c>
      <c r="H19" s="158">
        <v>0.09</v>
      </c>
      <c r="I19" s="158">
        <v>0.0299</v>
      </c>
      <c r="J19" s="158">
        <v>0.0149</v>
      </c>
      <c r="K19" s="158">
        <v>0.0149</v>
      </c>
      <c r="L19" s="158">
        <v>0.0149</v>
      </c>
      <c r="M19" s="158">
        <v>0.0299</v>
      </c>
      <c r="N19" s="156" t="s">
        <v>662</v>
      </c>
      <c r="O19" s="156" t="s">
        <v>462</v>
      </c>
      <c r="P19" s="158">
        <v>0.0299</v>
      </c>
    </row>
    <row r="20">
      <c r="A20" s="152" t="s">
        <v>492</v>
      </c>
      <c r="B20" s="153">
        <v>104.0</v>
      </c>
      <c r="C20" s="197">
        <v>0.52</v>
      </c>
      <c r="D20" s="154">
        <v>1.0</v>
      </c>
      <c r="E20" s="198"/>
      <c r="F20" s="153">
        <v>107.0</v>
      </c>
      <c r="G20" s="153">
        <v>6.0</v>
      </c>
      <c r="H20" s="154">
        <v>0.056</v>
      </c>
      <c r="I20" s="154">
        <v>0.0561</v>
      </c>
      <c r="J20" s="154">
        <v>0.0</v>
      </c>
      <c r="K20" s="154">
        <v>0.0</v>
      </c>
      <c r="L20" s="154">
        <v>0.0187</v>
      </c>
      <c r="M20" s="154">
        <v>0.0</v>
      </c>
      <c r="N20" s="152" t="s">
        <v>662</v>
      </c>
      <c r="O20" s="152" t="s">
        <v>133</v>
      </c>
      <c r="P20" s="154">
        <v>0.0561</v>
      </c>
    </row>
    <row r="21">
      <c r="A21" s="156" t="s">
        <v>523</v>
      </c>
      <c r="B21" s="157">
        <v>32.0</v>
      </c>
      <c r="C21" s="199">
        <v>0.53</v>
      </c>
      <c r="D21" s="158">
        <v>1.0</v>
      </c>
      <c r="E21" s="200"/>
      <c r="F21" s="157">
        <v>31.0</v>
      </c>
      <c r="G21" s="157">
        <v>6.0</v>
      </c>
      <c r="H21" s="158">
        <v>0.194</v>
      </c>
      <c r="I21" s="158">
        <v>0.0</v>
      </c>
      <c r="J21" s="158">
        <v>0.1818</v>
      </c>
      <c r="K21" s="158">
        <v>0.0</v>
      </c>
      <c r="L21" s="158">
        <v>0.0303</v>
      </c>
      <c r="M21" s="158">
        <v>0.0</v>
      </c>
      <c r="N21" s="156" t="s">
        <v>662</v>
      </c>
      <c r="O21" s="156" t="s">
        <v>89</v>
      </c>
      <c r="P21" s="158">
        <v>0.1818</v>
      </c>
    </row>
    <row r="22">
      <c r="A22" s="152" t="s">
        <v>504</v>
      </c>
      <c r="B22" s="153">
        <v>121.0</v>
      </c>
      <c r="C22" s="197">
        <v>0.42</v>
      </c>
      <c r="D22" s="154">
        <v>1.0</v>
      </c>
      <c r="E22" s="198"/>
      <c r="F22" s="153">
        <v>113.0</v>
      </c>
      <c r="G22" s="153">
        <v>6.0</v>
      </c>
      <c r="H22" s="154">
        <v>0.053</v>
      </c>
      <c r="I22" s="154">
        <v>0.0169</v>
      </c>
      <c r="J22" s="154">
        <v>0.0085</v>
      </c>
      <c r="K22" s="154">
        <v>0.0254</v>
      </c>
      <c r="L22" s="154">
        <v>0.0254</v>
      </c>
      <c r="M22" s="154">
        <v>0.0085</v>
      </c>
      <c r="N22" s="152" t="s">
        <v>662</v>
      </c>
      <c r="O22" s="152" t="s">
        <v>505</v>
      </c>
      <c r="P22" s="154">
        <v>0.0254</v>
      </c>
    </row>
    <row r="23">
      <c r="A23" s="156" t="s">
        <v>476</v>
      </c>
      <c r="B23" s="157">
        <v>118.0</v>
      </c>
      <c r="C23" s="199">
        <v>0.68</v>
      </c>
      <c r="D23" s="158">
        <v>1.0</v>
      </c>
      <c r="E23" s="200"/>
      <c r="F23" s="157">
        <v>116.0</v>
      </c>
      <c r="G23" s="157">
        <v>6.0</v>
      </c>
      <c r="H23" s="158">
        <v>0.052</v>
      </c>
      <c r="I23" s="158">
        <v>0.0168</v>
      </c>
      <c r="J23" s="158">
        <v>0.0084</v>
      </c>
      <c r="K23" s="158">
        <v>0.0</v>
      </c>
      <c r="L23" s="158">
        <v>0.0252</v>
      </c>
      <c r="M23" s="158">
        <v>0.0168</v>
      </c>
      <c r="N23" s="156" t="s">
        <v>662</v>
      </c>
      <c r="O23" s="156" t="s">
        <v>507</v>
      </c>
      <c r="P23" s="158">
        <v>0.0252</v>
      </c>
    </row>
    <row r="24">
      <c r="A24" s="152" t="s">
        <v>353</v>
      </c>
      <c r="B24" s="153">
        <v>44.0</v>
      </c>
      <c r="C24" s="197">
        <v>0.08</v>
      </c>
      <c r="D24" s="154">
        <v>1.0</v>
      </c>
      <c r="E24" s="198"/>
      <c r="F24" s="153">
        <v>38.0</v>
      </c>
      <c r="G24" s="153">
        <v>6.0</v>
      </c>
      <c r="H24" s="154">
        <v>0.158</v>
      </c>
      <c r="I24" s="154">
        <v>0.0652</v>
      </c>
      <c r="J24" s="154">
        <v>0.0217</v>
      </c>
      <c r="K24" s="154">
        <v>0.0435</v>
      </c>
      <c r="L24" s="154">
        <v>0.1087</v>
      </c>
      <c r="M24" s="154">
        <v>0.0217</v>
      </c>
      <c r="N24" s="152" t="s">
        <v>662</v>
      </c>
      <c r="O24" s="152" t="s">
        <v>507</v>
      </c>
      <c r="P24" s="154">
        <v>0.1087</v>
      </c>
    </row>
    <row r="25">
      <c r="A25" s="156" t="s">
        <v>517</v>
      </c>
      <c r="B25" s="157">
        <v>19.0</v>
      </c>
      <c r="C25" s="199">
        <v>1.0</v>
      </c>
      <c r="D25" s="158">
        <v>1.0</v>
      </c>
      <c r="E25" s="200"/>
      <c r="F25" s="157">
        <v>17.0</v>
      </c>
      <c r="G25" s="157">
        <v>6.0</v>
      </c>
      <c r="H25" s="158">
        <v>0.353</v>
      </c>
      <c r="I25" s="158">
        <v>0.15</v>
      </c>
      <c r="J25" s="158">
        <v>0.05</v>
      </c>
      <c r="K25" s="158">
        <v>0.05</v>
      </c>
      <c r="L25" s="158">
        <v>0.05</v>
      </c>
      <c r="M25" s="158">
        <v>0.15</v>
      </c>
      <c r="N25" s="156" t="s">
        <v>662</v>
      </c>
      <c r="O25" s="156" t="s">
        <v>462</v>
      </c>
      <c r="P25" s="158">
        <v>0.15</v>
      </c>
    </row>
    <row r="26">
      <c r="A26" s="152" t="s">
        <v>506</v>
      </c>
      <c r="B26" s="153">
        <v>113.0</v>
      </c>
      <c r="C26" s="197">
        <v>0.93</v>
      </c>
      <c r="D26" s="154">
        <v>1.0</v>
      </c>
      <c r="E26" s="198"/>
      <c r="F26" s="153">
        <v>110.0</v>
      </c>
      <c r="G26" s="153">
        <v>6.0</v>
      </c>
      <c r="H26" s="154">
        <v>0.055</v>
      </c>
      <c r="I26" s="154">
        <v>0.027</v>
      </c>
      <c r="J26" s="154">
        <v>0.009</v>
      </c>
      <c r="K26" s="154">
        <v>0.0</v>
      </c>
      <c r="L26" s="154">
        <v>0.045</v>
      </c>
      <c r="M26" s="154">
        <v>0.009</v>
      </c>
      <c r="N26" s="152" t="s">
        <v>662</v>
      </c>
      <c r="O26" s="152" t="s">
        <v>507</v>
      </c>
      <c r="P26" s="154">
        <v>0.045</v>
      </c>
    </row>
    <row r="27">
      <c r="A27" s="156" t="s">
        <v>480</v>
      </c>
      <c r="B27" s="157">
        <v>41.0</v>
      </c>
      <c r="C27" s="199">
        <v>0.25</v>
      </c>
      <c r="D27" s="158">
        <v>1.0</v>
      </c>
      <c r="E27" s="200"/>
      <c r="F27" s="157">
        <v>36.0</v>
      </c>
      <c r="G27" s="157">
        <v>6.0</v>
      </c>
      <c r="H27" s="158">
        <v>0.167</v>
      </c>
      <c r="I27" s="158">
        <v>0.0889</v>
      </c>
      <c r="J27" s="158">
        <v>0.0</v>
      </c>
      <c r="K27" s="158">
        <v>0.1111</v>
      </c>
      <c r="L27" s="158">
        <v>0.0444</v>
      </c>
      <c r="M27" s="158">
        <v>0.0</v>
      </c>
      <c r="N27" s="156" t="s">
        <v>662</v>
      </c>
      <c r="O27" s="161" t="s">
        <v>503</v>
      </c>
      <c r="P27" s="158">
        <v>0.1111</v>
      </c>
    </row>
    <row r="28">
      <c r="A28" s="152" t="s">
        <v>508</v>
      </c>
      <c r="B28" s="153">
        <v>72.0</v>
      </c>
      <c r="C28" s="197">
        <v>0.45</v>
      </c>
      <c r="D28" s="154">
        <v>1.0</v>
      </c>
      <c r="E28" s="198"/>
      <c r="F28" s="153">
        <v>69.0</v>
      </c>
      <c r="G28" s="153">
        <v>5.0</v>
      </c>
      <c r="H28" s="154">
        <v>0.072</v>
      </c>
      <c r="I28" s="154">
        <v>0.0286</v>
      </c>
      <c r="J28" s="154">
        <v>0.0143</v>
      </c>
      <c r="K28" s="154">
        <v>0.0143</v>
      </c>
      <c r="L28" s="154">
        <v>0.0571</v>
      </c>
      <c r="M28" s="154">
        <v>0.0143</v>
      </c>
      <c r="N28" s="152" t="s">
        <v>662</v>
      </c>
      <c r="O28" s="152" t="s">
        <v>507</v>
      </c>
      <c r="P28" s="154">
        <v>0.0571</v>
      </c>
    </row>
    <row r="29">
      <c r="A29" s="156" t="s">
        <v>464</v>
      </c>
      <c r="B29" s="157">
        <v>88.0</v>
      </c>
      <c r="C29" s="199">
        <v>0.87</v>
      </c>
      <c r="D29" s="158">
        <v>1.0</v>
      </c>
      <c r="E29" s="200"/>
      <c r="F29" s="157">
        <v>85.0</v>
      </c>
      <c r="G29" s="157">
        <v>5.0</v>
      </c>
      <c r="H29" s="158">
        <v>0.059</v>
      </c>
      <c r="I29" s="158">
        <v>0.0337</v>
      </c>
      <c r="J29" s="158">
        <v>0.0225</v>
      </c>
      <c r="K29" s="158">
        <v>0.0</v>
      </c>
      <c r="L29" s="158">
        <v>0.0449</v>
      </c>
      <c r="M29" s="158">
        <v>0.0</v>
      </c>
      <c r="N29" s="156" t="s">
        <v>662</v>
      </c>
      <c r="O29" s="156" t="s">
        <v>507</v>
      </c>
      <c r="P29" s="158">
        <v>0.0449</v>
      </c>
    </row>
    <row r="30">
      <c r="A30" s="152" t="s">
        <v>463</v>
      </c>
      <c r="B30" s="153">
        <v>84.0</v>
      </c>
      <c r="C30" s="197">
        <v>0.6</v>
      </c>
      <c r="D30" s="154">
        <v>1.0</v>
      </c>
      <c r="E30" s="198"/>
      <c r="F30" s="153">
        <v>78.0</v>
      </c>
      <c r="G30" s="153">
        <v>5.0</v>
      </c>
      <c r="H30" s="154">
        <v>0.064</v>
      </c>
      <c r="I30" s="154">
        <v>0.0247</v>
      </c>
      <c r="J30" s="154">
        <v>0.0123</v>
      </c>
      <c r="K30" s="154">
        <v>0.0247</v>
      </c>
      <c r="L30" s="154">
        <v>0.0494</v>
      </c>
      <c r="M30" s="154">
        <v>0.0</v>
      </c>
      <c r="N30" s="152" t="s">
        <v>662</v>
      </c>
      <c r="O30" s="152" t="s">
        <v>507</v>
      </c>
      <c r="P30" s="154">
        <v>0.0494</v>
      </c>
    </row>
    <row r="31">
      <c r="A31" s="156" t="s">
        <v>493</v>
      </c>
      <c r="B31" s="157">
        <v>86.0</v>
      </c>
      <c r="C31" s="199">
        <v>0.2</v>
      </c>
      <c r="D31" s="158">
        <v>1.0</v>
      </c>
      <c r="E31" s="200"/>
      <c r="F31" s="157">
        <v>78.0</v>
      </c>
      <c r="G31" s="157">
        <v>5.0</v>
      </c>
      <c r="H31" s="158">
        <v>0.064</v>
      </c>
      <c r="I31" s="158">
        <v>0.0494</v>
      </c>
      <c r="J31" s="158">
        <v>0.0123</v>
      </c>
      <c r="K31" s="158">
        <v>0.0123</v>
      </c>
      <c r="L31" s="158">
        <v>0.0123</v>
      </c>
      <c r="M31" s="158">
        <v>0.0</v>
      </c>
      <c r="N31" s="156" t="s">
        <v>662</v>
      </c>
      <c r="O31" s="156" t="s">
        <v>133</v>
      </c>
      <c r="P31" s="158">
        <v>0.0494</v>
      </c>
    </row>
    <row r="32">
      <c r="A32" s="152" t="s">
        <v>518</v>
      </c>
      <c r="B32" s="153">
        <v>26.0</v>
      </c>
      <c r="C32" s="197">
        <v>0.21</v>
      </c>
      <c r="D32" s="154">
        <v>1.0</v>
      </c>
      <c r="E32" s="198"/>
      <c r="F32" s="153">
        <v>23.0</v>
      </c>
      <c r="G32" s="153">
        <v>5.0</v>
      </c>
      <c r="H32" s="154">
        <v>0.217</v>
      </c>
      <c r="I32" s="154">
        <v>0.0</v>
      </c>
      <c r="J32" s="154">
        <v>0.0417</v>
      </c>
      <c r="K32" s="154">
        <v>0.0</v>
      </c>
      <c r="L32" s="154">
        <v>0.0</v>
      </c>
      <c r="M32" s="154">
        <v>0.2083</v>
      </c>
      <c r="N32" s="152" t="s">
        <v>662</v>
      </c>
      <c r="O32" s="152" t="s">
        <v>462</v>
      </c>
      <c r="P32" s="154">
        <v>0.2083</v>
      </c>
    </row>
    <row r="33">
      <c r="A33" s="156" t="s">
        <v>494</v>
      </c>
      <c r="B33" s="157">
        <v>21.0</v>
      </c>
      <c r="C33" s="199">
        <v>0.62</v>
      </c>
      <c r="D33" s="158">
        <v>1.0</v>
      </c>
      <c r="E33" s="200"/>
      <c r="F33" s="157">
        <v>13.0</v>
      </c>
      <c r="G33" s="157">
        <v>5.0</v>
      </c>
      <c r="H33" s="158">
        <v>0.385</v>
      </c>
      <c r="I33" s="158">
        <v>0.2632</v>
      </c>
      <c r="J33" s="158">
        <v>0.1053</v>
      </c>
      <c r="K33" s="158">
        <v>0.0</v>
      </c>
      <c r="L33" s="158">
        <v>0.1053</v>
      </c>
      <c r="M33" s="158">
        <v>0.0</v>
      </c>
      <c r="N33" s="156" t="s">
        <v>662</v>
      </c>
      <c r="O33" s="156" t="s">
        <v>133</v>
      </c>
      <c r="P33" s="158">
        <v>0.2632</v>
      </c>
    </row>
    <row r="34">
      <c r="A34" s="152" t="s">
        <v>495</v>
      </c>
      <c r="B34" s="153">
        <v>45.0</v>
      </c>
      <c r="C34" s="197">
        <v>0.79</v>
      </c>
      <c r="D34" s="154">
        <v>1.0</v>
      </c>
      <c r="E34" s="198"/>
      <c r="F34" s="153">
        <v>43.0</v>
      </c>
      <c r="G34" s="153">
        <v>5.0</v>
      </c>
      <c r="H34" s="154">
        <v>0.116</v>
      </c>
      <c r="I34" s="154">
        <v>0.1087</v>
      </c>
      <c r="J34" s="154">
        <v>0.0</v>
      </c>
      <c r="K34" s="154">
        <v>0.0</v>
      </c>
      <c r="L34" s="154">
        <v>0.1087</v>
      </c>
      <c r="M34" s="154">
        <v>0.0217</v>
      </c>
      <c r="N34" s="152" t="s">
        <v>662</v>
      </c>
      <c r="O34" s="152" t="s">
        <v>133</v>
      </c>
      <c r="P34" s="154">
        <v>0.1087</v>
      </c>
    </row>
    <row r="35">
      <c r="A35" s="156" t="s">
        <v>475</v>
      </c>
      <c r="B35" s="157">
        <v>42.0</v>
      </c>
      <c r="C35" s="199">
        <v>0.45</v>
      </c>
      <c r="D35" s="158">
        <v>1.0</v>
      </c>
      <c r="E35" s="200"/>
      <c r="F35" s="157">
        <v>39.0</v>
      </c>
      <c r="G35" s="157">
        <v>5.0</v>
      </c>
      <c r="H35" s="158">
        <v>0.128</v>
      </c>
      <c r="I35" s="158">
        <v>0.0488</v>
      </c>
      <c r="J35" s="158">
        <v>0.0</v>
      </c>
      <c r="K35" s="158">
        <v>0.0732</v>
      </c>
      <c r="L35" s="158">
        <v>0.0244</v>
      </c>
      <c r="M35" s="158">
        <v>0.0</v>
      </c>
      <c r="N35" s="156" t="s">
        <v>662</v>
      </c>
      <c r="O35" s="156" t="s">
        <v>497</v>
      </c>
      <c r="P35" s="158">
        <v>0.0732</v>
      </c>
    </row>
    <row r="36">
      <c r="A36" s="152" t="s">
        <v>496</v>
      </c>
      <c r="B36" s="153">
        <v>15.0</v>
      </c>
      <c r="C36" s="197">
        <v>0.25</v>
      </c>
      <c r="D36" s="154">
        <v>1.0</v>
      </c>
      <c r="E36" s="198"/>
      <c r="F36" s="153">
        <v>12.0</v>
      </c>
      <c r="G36" s="153">
        <v>5.0</v>
      </c>
      <c r="H36" s="154">
        <v>0.417</v>
      </c>
      <c r="I36" s="154">
        <v>0.3077</v>
      </c>
      <c r="J36" s="154">
        <v>0.0</v>
      </c>
      <c r="K36" s="154">
        <v>0.0769</v>
      </c>
      <c r="L36" s="154">
        <v>0.0769</v>
      </c>
      <c r="M36" s="154">
        <v>0.0</v>
      </c>
      <c r="N36" s="152" t="s">
        <v>662</v>
      </c>
      <c r="O36" s="152" t="s">
        <v>133</v>
      </c>
      <c r="P36" s="154">
        <v>0.3077</v>
      </c>
    </row>
    <row r="37">
      <c r="A37" s="156" t="s">
        <v>512</v>
      </c>
      <c r="B37" s="157">
        <v>40.0</v>
      </c>
      <c r="C37" s="199">
        <v>0.29</v>
      </c>
      <c r="D37" s="158">
        <v>1.0</v>
      </c>
      <c r="E37" s="200"/>
      <c r="F37" s="157">
        <v>45.0</v>
      </c>
      <c r="G37" s="157">
        <v>5.0</v>
      </c>
      <c r="H37" s="158">
        <v>0.111</v>
      </c>
      <c r="I37" s="158">
        <v>0.0444</v>
      </c>
      <c r="J37" s="158">
        <v>0.0444</v>
      </c>
      <c r="K37" s="158">
        <v>0.0444</v>
      </c>
      <c r="L37" s="158">
        <v>0.0889</v>
      </c>
      <c r="M37" s="158">
        <v>0.0</v>
      </c>
      <c r="N37" s="156" t="s">
        <v>662</v>
      </c>
      <c r="O37" s="156" t="s">
        <v>511</v>
      </c>
      <c r="P37" s="158">
        <v>0.0889</v>
      </c>
    </row>
    <row r="38">
      <c r="A38" s="152" t="s">
        <v>351</v>
      </c>
      <c r="B38" s="153">
        <v>69.0</v>
      </c>
      <c r="C38" s="197">
        <v>1.0</v>
      </c>
      <c r="D38" s="154">
        <v>1.0</v>
      </c>
      <c r="E38" s="198"/>
      <c r="F38" s="153">
        <v>69.0</v>
      </c>
      <c r="G38" s="153">
        <v>5.0</v>
      </c>
      <c r="H38" s="154">
        <v>0.072</v>
      </c>
      <c r="I38" s="154">
        <v>0.0694</v>
      </c>
      <c r="J38" s="154">
        <v>0.0</v>
      </c>
      <c r="K38" s="154">
        <v>0.0</v>
      </c>
      <c r="L38" s="154">
        <v>0.0417</v>
      </c>
      <c r="M38" s="154">
        <v>0.0</v>
      </c>
      <c r="N38" s="152" t="s">
        <v>662</v>
      </c>
      <c r="O38" s="152" t="s">
        <v>507</v>
      </c>
      <c r="P38" s="154">
        <v>0.0694</v>
      </c>
    </row>
    <row r="39">
      <c r="A39" s="156" t="s">
        <v>469</v>
      </c>
      <c r="B39" s="157">
        <v>23.0</v>
      </c>
      <c r="C39" s="199">
        <v>0.85</v>
      </c>
      <c r="D39" s="158">
        <v>1.0</v>
      </c>
      <c r="E39" s="200"/>
      <c r="F39" s="157">
        <v>22.0</v>
      </c>
      <c r="G39" s="157">
        <v>5.0</v>
      </c>
      <c r="H39" s="158">
        <v>0.227</v>
      </c>
      <c r="I39" s="158">
        <v>0.1304</v>
      </c>
      <c r="J39" s="158">
        <v>0.0</v>
      </c>
      <c r="K39" s="158">
        <v>0.087</v>
      </c>
      <c r="L39" s="158">
        <v>0.087</v>
      </c>
      <c r="M39" s="158">
        <v>0.0</v>
      </c>
      <c r="N39" s="156" t="s">
        <v>662</v>
      </c>
      <c r="O39" s="156" t="s">
        <v>133</v>
      </c>
      <c r="P39" s="158">
        <v>0.1304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9.5"/>
  </cols>
  <sheetData>
    <row r="1">
      <c r="A1" s="230" t="s">
        <v>701</v>
      </c>
      <c r="B1" s="230" t="s">
        <v>702</v>
      </c>
      <c r="C1" s="7" t="s">
        <v>7</v>
      </c>
      <c r="D1" s="8" t="s">
        <v>8</v>
      </c>
      <c r="E1" s="8" t="s">
        <v>9</v>
      </c>
      <c r="F1" s="8" t="s">
        <v>10</v>
      </c>
      <c r="G1" s="8" t="s">
        <v>11</v>
      </c>
      <c r="H1" s="8" t="s">
        <v>12</v>
      </c>
      <c r="I1" s="7" t="s">
        <v>13</v>
      </c>
      <c r="J1" s="8" t="s">
        <v>14</v>
      </c>
      <c r="K1" s="8" t="s">
        <v>15</v>
      </c>
      <c r="L1" s="21" t="s">
        <v>703</v>
      </c>
    </row>
    <row r="2">
      <c r="A2" s="231" t="s">
        <v>704</v>
      </c>
      <c r="B2" s="232">
        <v>990.0</v>
      </c>
      <c r="C2" s="21">
        <v>55.35</v>
      </c>
      <c r="D2" s="21">
        <v>41.09</v>
      </c>
      <c r="E2" s="21">
        <v>163.89</v>
      </c>
      <c r="F2" s="21">
        <v>163.89</v>
      </c>
      <c r="G2" s="21" t="s">
        <v>119</v>
      </c>
      <c r="H2" s="21">
        <v>55.42</v>
      </c>
      <c r="I2" s="21">
        <v>41.57</v>
      </c>
      <c r="J2" s="21">
        <v>164.29</v>
      </c>
      <c r="K2" s="21">
        <v>164.16</v>
      </c>
      <c r="L2" s="21" t="s">
        <v>102</v>
      </c>
    </row>
    <row r="3">
      <c r="A3" s="231" t="s">
        <v>705</v>
      </c>
      <c r="B3" s="232">
        <v>600.0</v>
      </c>
      <c r="C3" s="21">
        <v>55.3</v>
      </c>
      <c r="D3" s="21">
        <v>40.58</v>
      </c>
      <c r="E3" s="21">
        <v>163.37</v>
      </c>
      <c r="F3" s="21">
        <v>163.59</v>
      </c>
      <c r="G3" s="21" t="s">
        <v>119</v>
      </c>
      <c r="H3" s="21">
        <v>55.47</v>
      </c>
      <c r="I3" s="21">
        <v>41.32</v>
      </c>
      <c r="J3" s="21">
        <v>164.58</v>
      </c>
      <c r="K3" s="21">
        <v>163.59</v>
      </c>
      <c r="L3" s="21" t="s">
        <v>102</v>
      </c>
    </row>
    <row r="4">
      <c r="A4" s="231" t="s">
        <v>706</v>
      </c>
      <c r="B4" s="232">
        <v>442.0</v>
      </c>
      <c r="C4" s="21">
        <v>55.36</v>
      </c>
      <c r="D4" s="21">
        <v>40.39</v>
      </c>
      <c r="E4" s="21">
        <v>164.3</v>
      </c>
      <c r="F4" s="21">
        <v>163.3</v>
      </c>
      <c r="G4" s="21" t="s">
        <v>119</v>
      </c>
      <c r="H4" s="21">
        <v>55.61</v>
      </c>
      <c r="I4" s="21">
        <v>41.1</v>
      </c>
      <c r="J4" s="21">
        <v>164.62</v>
      </c>
      <c r="K4" s="21">
        <v>164.03</v>
      </c>
      <c r="L4" s="21" t="s">
        <v>102</v>
      </c>
    </row>
    <row r="5">
      <c r="A5" s="231" t="s">
        <v>707</v>
      </c>
      <c r="B5" s="232">
        <v>311.0</v>
      </c>
      <c r="C5" s="21">
        <v>55.41</v>
      </c>
      <c r="D5" s="21">
        <v>40.64</v>
      </c>
      <c r="E5" s="21">
        <v>163.76</v>
      </c>
      <c r="F5" s="21">
        <v>164.09</v>
      </c>
      <c r="G5" s="21" t="s">
        <v>119</v>
      </c>
      <c r="H5" s="21">
        <v>55.51</v>
      </c>
      <c r="I5" s="21">
        <v>41.31</v>
      </c>
      <c r="J5" s="21">
        <v>164.71</v>
      </c>
      <c r="K5" s="21">
        <v>163.98</v>
      </c>
      <c r="L5" s="21" t="s">
        <v>102</v>
      </c>
    </row>
    <row r="6">
      <c r="A6" s="231" t="s">
        <v>708</v>
      </c>
      <c r="B6" s="232">
        <v>145.0</v>
      </c>
      <c r="C6" s="21">
        <v>55.6</v>
      </c>
      <c r="D6" s="21">
        <v>40.85</v>
      </c>
      <c r="E6" s="21">
        <v>165.19</v>
      </c>
      <c r="F6" s="21">
        <v>164.79</v>
      </c>
      <c r="G6" s="21" t="s">
        <v>119</v>
      </c>
      <c r="H6" s="21">
        <v>55.67</v>
      </c>
      <c r="I6" s="21">
        <v>41.19</v>
      </c>
      <c r="J6" s="21">
        <v>165.69</v>
      </c>
      <c r="K6" s="21">
        <v>164.82</v>
      </c>
      <c r="L6" s="21" t="s">
        <v>102</v>
      </c>
    </row>
    <row r="7">
      <c r="A7" s="231" t="s">
        <v>709</v>
      </c>
      <c r="B7" s="232">
        <v>123.0</v>
      </c>
      <c r="C7" s="21">
        <v>55.39</v>
      </c>
      <c r="D7" s="21">
        <v>40.76</v>
      </c>
      <c r="E7" s="21">
        <v>163.62</v>
      </c>
      <c r="F7" s="21">
        <v>163.62</v>
      </c>
      <c r="G7" s="21" t="s">
        <v>119</v>
      </c>
      <c r="H7" s="21">
        <v>55.5</v>
      </c>
      <c r="I7" s="21">
        <v>40.86</v>
      </c>
      <c r="J7" s="21">
        <v>163.69</v>
      </c>
      <c r="K7" s="21">
        <v>163.69</v>
      </c>
      <c r="L7" s="21" t="s">
        <v>102</v>
      </c>
    </row>
    <row r="8">
      <c r="A8" s="233">
        <v>150581.0</v>
      </c>
      <c r="B8" s="233">
        <v>108.0</v>
      </c>
      <c r="C8" s="234" t="s">
        <v>710</v>
      </c>
      <c r="L8" s="235" t="s">
        <v>102</v>
      </c>
    </row>
    <row r="9">
      <c r="A9" s="231" t="s">
        <v>711</v>
      </c>
      <c r="B9" s="232">
        <v>105.0</v>
      </c>
      <c r="C9" s="21">
        <v>55.19</v>
      </c>
      <c r="D9" s="21">
        <v>40.58</v>
      </c>
      <c r="E9" s="21">
        <v>163.27</v>
      </c>
      <c r="F9" s="21">
        <v>163.27</v>
      </c>
      <c r="G9" s="21" t="s">
        <v>119</v>
      </c>
      <c r="H9" s="21">
        <v>55.29</v>
      </c>
      <c r="I9" s="21">
        <v>40.68</v>
      </c>
      <c r="J9" s="21">
        <v>163.34</v>
      </c>
      <c r="K9" s="21">
        <v>163.95</v>
      </c>
      <c r="L9" s="21" t="s">
        <v>102</v>
      </c>
    </row>
    <row r="10">
      <c r="A10" s="231" t="s">
        <v>712</v>
      </c>
      <c r="B10" s="232">
        <v>2002.0</v>
      </c>
      <c r="C10" s="21">
        <v>50.82</v>
      </c>
      <c r="D10" s="21">
        <v>43.38</v>
      </c>
      <c r="E10" s="21">
        <v>153.7</v>
      </c>
      <c r="F10" s="21">
        <v>153.7</v>
      </c>
      <c r="G10" s="21" t="s">
        <v>119</v>
      </c>
      <c r="H10" s="21">
        <v>50.92</v>
      </c>
      <c r="I10" s="21">
        <v>43.48</v>
      </c>
      <c r="J10" s="21">
        <v>153.95</v>
      </c>
      <c r="K10" s="21">
        <v>153.86</v>
      </c>
      <c r="L10" s="21" t="s">
        <v>102</v>
      </c>
    </row>
    <row r="11">
      <c r="A11" s="231" t="s">
        <v>713</v>
      </c>
      <c r="B11" s="232">
        <v>1210.0</v>
      </c>
      <c r="C11" s="21">
        <v>50.62</v>
      </c>
      <c r="D11" s="21">
        <v>43.3</v>
      </c>
      <c r="E11" s="21">
        <v>153.3</v>
      </c>
      <c r="F11" s="21">
        <v>153.3</v>
      </c>
      <c r="G11" s="21" t="s">
        <v>119</v>
      </c>
      <c r="H11" s="21">
        <v>50.74</v>
      </c>
      <c r="I11" s="21">
        <v>43.41</v>
      </c>
      <c r="J11" s="21">
        <v>153.59</v>
      </c>
      <c r="K11" s="21">
        <v>153.63</v>
      </c>
      <c r="L11" s="21" t="s">
        <v>102</v>
      </c>
    </row>
    <row r="12">
      <c r="A12" s="231" t="s">
        <v>714</v>
      </c>
      <c r="B12" s="232">
        <v>761.0</v>
      </c>
      <c r="C12" s="21">
        <v>50.42</v>
      </c>
      <c r="D12" s="21">
        <v>43.2</v>
      </c>
      <c r="E12" s="21">
        <v>154.07</v>
      </c>
      <c r="F12" s="21">
        <v>153.79</v>
      </c>
      <c r="G12" s="21" t="s">
        <v>119</v>
      </c>
      <c r="H12" s="21">
        <v>50.88</v>
      </c>
      <c r="I12" s="21">
        <v>43.5</v>
      </c>
      <c r="J12" s="21">
        <v>154.1</v>
      </c>
      <c r="K12" s="21">
        <v>155.09</v>
      </c>
      <c r="L12" s="21" t="s">
        <v>102</v>
      </c>
    </row>
    <row r="13">
      <c r="A13" s="231" t="s">
        <v>715</v>
      </c>
      <c r="B13" s="232">
        <v>410.0</v>
      </c>
      <c r="C13" s="21">
        <v>50.86</v>
      </c>
      <c r="D13" s="21">
        <v>43.26</v>
      </c>
      <c r="E13" s="21">
        <v>153.97</v>
      </c>
      <c r="F13" s="21">
        <v>153.92</v>
      </c>
      <c r="G13" s="21" t="s">
        <v>119</v>
      </c>
      <c r="H13" s="21">
        <v>51.0</v>
      </c>
      <c r="I13" s="21">
        <v>43.46</v>
      </c>
      <c r="J13" s="21">
        <v>154.2</v>
      </c>
      <c r="K13" s="21">
        <v>154.07</v>
      </c>
      <c r="L13" s="21" t="s">
        <v>102</v>
      </c>
    </row>
    <row r="14">
      <c r="A14" s="231" t="s">
        <v>716</v>
      </c>
      <c r="B14" s="232">
        <v>220.0</v>
      </c>
      <c r="C14" s="21">
        <v>50.95</v>
      </c>
      <c r="D14" s="21">
        <v>43.26</v>
      </c>
      <c r="E14" s="21">
        <v>154.54</v>
      </c>
      <c r="F14" s="21">
        <v>154.29</v>
      </c>
      <c r="G14" s="21" t="s">
        <v>119</v>
      </c>
      <c r="H14" s="21">
        <v>51.07</v>
      </c>
      <c r="I14" s="21">
        <v>43.63</v>
      </c>
      <c r="J14" s="21">
        <v>154.77</v>
      </c>
      <c r="K14" s="21">
        <v>155.1</v>
      </c>
      <c r="L14" s="21" t="s">
        <v>102</v>
      </c>
    </row>
    <row r="15">
      <c r="A15" s="231" t="s">
        <v>717</v>
      </c>
      <c r="B15" s="232">
        <v>204.0</v>
      </c>
      <c r="C15" s="21">
        <v>50.61</v>
      </c>
      <c r="D15" s="21">
        <v>43.54</v>
      </c>
      <c r="E15" s="21">
        <v>154.09</v>
      </c>
      <c r="F15" s="21">
        <v>154.0</v>
      </c>
      <c r="G15" s="21" t="s">
        <v>119</v>
      </c>
      <c r="H15" s="21">
        <v>50.75</v>
      </c>
      <c r="I15" s="21">
        <v>43.64</v>
      </c>
      <c r="J15" s="21">
        <v>154.16</v>
      </c>
      <c r="K15" s="21">
        <v>154.16</v>
      </c>
      <c r="L15" s="21" t="s">
        <v>102</v>
      </c>
    </row>
    <row r="16">
      <c r="A16" s="231" t="s">
        <v>718</v>
      </c>
      <c r="B16" s="232">
        <v>200.0</v>
      </c>
      <c r="C16" s="21">
        <v>50.6</v>
      </c>
      <c r="D16" s="21">
        <v>43.44</v>
      </c>
      <c r="E16" s="21">
        <v>153.98</v>
      </c>
      <c r="F16" s="21">
        <v>153.87</v>
      </c>
      <c r="G16" s="21" t="s">
        <v>119</v>
      </c>
      <c r="H16" s="236">
        <v>50.79</v>
      </c>
      <c r="I16" s="21">
        <v>43.54</v>
      </c>
      <c r="J16" s="21">
        <v>154.12</v>
      </c>
      <c r="K16" s="21">
        <v>154.27</v>
      </c>
      <c r="L16" s="21" t="s">
        <v>102</v>
      </c>
    </row>
    <row r="17">
      <c r="A17" s="231" t="s">
        <v>719</v>
      </c>
      <c r="B17" s="232">
        <v>197.0</v>
      </c>
      <c r="C17" s="21">
        <v>50.66</v>
      </c>
      <c r="D17" s="21">
        <v>43.13</v>
      </c>
      <c r="E17" s="21">
        <v>153.53</v>
      </c>
      <c r="F17" s="21">
        <v>153.55</v>
      </c>
      <c r="G17" s="21" t="s">
        <v>119</v>
      </c>
      <c r="H17" s="21">
        <v>50.7</v>
      </c>
      <c r="I17" s="21">
        <v>43.45</v>
      </c>
      <c r="J17" s="21">
        <v>154.1</v>
      </c>
      <c r="K17" s="21">
        <v>153.47</v>
      </c>
      <c r="L17" s="21" t="s">
        <v>102</v>
      </c>
    </row>
    <row r="18">
      <c r="A18" s="231" t="s">
        <v>720</v>
      </c>
      <c r="B18" s="232">
        <v>1356.0</v>
      </c>
      <c r="C18" s="21">
        <v>44.38</v>
      </c>
      <c r="D18" s="21">
        <v>37.13</v>
      </c>
      <c r="E18" s="21">
        <v>131.41</v>
      </c>
      <c r="F18" s="21">
        <v>131.09</v>
      </c>
      <c r="G18" s="21" t="s">
        <v>119</v>
      </c>
      <c r="H18" s="21">
        <v>44.43</v>
      </c>
      <c r="I18" s="21">
        <v>37.17</v>
      </c>
      <c r="J18" s="21">
        <v>131.42</v>
      </c>
      <c r="K18" s="21">
        <v>131.14</v>
      </c>
      <c r="L18" s="21" t="s">
        <v>102</v>
      </c>
    </row>
    <row r="19">
      <c r="A19" s="231" t="s">
        <v>721</v>
      </c>
      <c r="B19" s="232">
        <v>352.0</v>
      </c>
      <c r="C19" s="21">
        <v>44.61</v>
      </c>
      <c r="D19" s="21">
        <v>37.16</v>
      </c>
      <c r="E19" s="21">
        <v>131.74</v>
      </c>
      <c r="F19" s="21">
        <v>132.11</v>
      </c>
      <c r="G19" s="21" t="s">
        <v>119</v>
      </c>
      <c r="H19" s="21">
        <v>44.62</v>
      </c>
      <c r="I19" s="21">
        <v>37.34</v>
      </c>
      <c r="J19" s="21">
        <v>132.08</v>
      </c>
      <c r="K19" s="21">
        <v>132.21</v>
      </c>
      <c r="L19" s="21" t="s">
        <v>102</v>
      </c>
    </row>
    <row r="20">
      <c r="A20" s="231" t="s">
        <v>722</v>
      </c>
      <c r="B20" s="232">
        <v>1440.0</v>
      </c>
      <c r="C20" s="21">
        <v>46.6</v>
      </c>
      <c r="D20" s="21">
        <v>35.67</v>
      </c>
      <c r="E20" s="21">
        <v>136.79</v>
      </c>
      <c r="F20" s="21">
        <v>136.87</v>
      </c>
      <c r="G20" s="21" t="s">
        <v>119</v>
      </c>
      <c r="H20" s="21">
        <v>46.65</v>
      </c>
      <c r="I20" s="21">
        <v>35.74</v>
      </c>
      <c r="J20" s="21">
        <v>136.84</v>
      </c>
      <c r="K20" s="21">
        <v>137.12</v>
      </c>
      <c r="L20" s="21" t="s">
        <v>102</v>
      </c>
    </row>
    <row r="21">
      <c r="A21" s="231" t="s">
        <v>723</v>
      </c>
      <c r="B21" s="232">
        <v>1163.0</v>
      </c>
      <c r="C21" s="21">
        <v>46.45</v>
      </c>
      <c r="D21" s="21">
        <v>35.65</v>
      </c>
      <c r="E21" s="21">
        <v>136.28</v>
      </c>
      <c r="F21" s="21">
        <v>136.84</v>
      </c>
      <c r="G21" s="21" t="s">
        <v>119</v>
      </c>
      <c r="H21" s="21">
        <v>46.53</v>
      </c>
      <c r="I21" s="21">
        <v>35.96</v>
      </c>
      <c r="J21" s="21">
        <v>136.77</v>
      </c>
      <c r="K21" s="21">
        <v>136.73</v>
      </c>
      <c r="L21" s="21" t="s">
        <v>102</v>
      </c>
    </row>
    <row r="22">
      <c r="A22" s="231" t="s">
        <v>724</v>
      </c>
      <c r="B22" s="232">
        <v>15105.0</v>
      </c>
      <c r="C22" s="21">
        <v>50.62</v>
      </c>
      <c r="D22" s="21">
        <v>43.0</v>
      </c>
      <c r="E22" s="21">
        <v>153.9</v>
      </c>
      <c r="F22" s="21">
        <v>153.73</v>
      </c>
      <c r="G22" s="21" t="s">
        <v>119</v>
      </c>
      <c r="H22" s="21">
        <v>50.87</v>
      </c>
      <c r="I22" s="21">
        <v>43.25</v>
      </c>
      <c r="J22" s="21">
        <v>154.16</v>
      </c>
      <c r="K22" s="21">
        <v>154.16</v>
      </c>
      <c r="L22" s="21" t="s">
        <v>102</v>
      </c>
    </row>
    <row r="23">
      <c r="A23" s="231" t="s">
        <v>725</v>
      </c>
      <c r="B23" s="232">
        <v>15093.0</v>
      </c>
      <c r="C23" s="21">
        <v>50.64</v>
      </c>
      <c r="D23" s="21">
        <v>42.67</v>
      </c>
      <c r="E23" s="21">
        <v>153.38</v>
      </c>
      <c r="F23" s="21">
        <v>154.03</v>
      </c>
      <c r="G23" s="21" t="s">
        <v>119</v>
      </c>
      <c r="H23" s="21">
        <v>50.75</v>
      </c>
      <c r="I23" s="21">
        <v>43.35</v>
      </c>
      <c r="J23" s="21">
        <v>154.6</v>
      </c>
      <c r="K23" s="21">
        <v>153.99</v>
      </c>
      <c r="L23" s="21" t="s">
        <v>102</v>
      </c>
    </row>
    <row r="24">
      <c r="A24" s="231" t="s">
        <v>726</v>
      </c>
      <c r="B24" s="232">
        <v>9751.0</v>
      </c>
      <c r="C24" s="21">
        <v>50.56</v>
      </c>
      <c r="D24" s="21">
        <v>42.92</v>
      </c>
      <c r="E24" s="21">
        <v>153.78</v>
      </c>
      <c r="F24" s="21">
        <v>153.69</v>
      </c>
      <c r="G24" s="21" t="s">
        <v>119</v>
      </c>
      <c r="H24" s="21">
        <v>50.87</v>
      </c>
      <c r="I24" s="21">
        <v>43.25</v>
      </c>
      <c r="J24" s="21">
        <v>154.15</v>
      </c>
      <c r="K24" s="21">
        <v>154.09</v>
      </c>
      <c r="L24" s="21" t="s">
        <v>102</v>
      </c>
    </row>
    <row r="25">
      <c r="A25" s="231" t="s">
        <v>727</v>
      </c>
      <c r="B25" s="232">
        <v>3713.0</v>
      </c>
      <c r="C25" s="21">
        <v>50.76</v>
      </c>
      <c r="D25" s="21">
        <v>43.04</v>
      </c>
      <c r="E25" s="21">
        <v>153.98</v>
      </c>
      <c r="F25" s="21">
        <v>153.95</v>
      </c>
      <c r="G25" s="21" t="s">
        <v>119</v>
      </c>
      <c r="H25" s="21">
        <v>50.86</v>
      </c>
      <c r="I25" s="21">
        <v>43.38</v>
      </c>
      <c r="J25" s="21">
        <v>154.38</v>
      </c>
      <c r="K25" s="21">
        <v>154.11</v>
      </c>
      <c r="L25" s="21" t="s">
        <v>102</v>
      </c>
    </row>
    <row r="26">
      <c r="A26" s="231" t="s">
        <v>728</v>
      </c>
      <c r="B26" s="232">
        <v>2616.0</v>
      </c>
      <c r="C26" s="21">
        <v>50.7</v>
      </c>
      <c r="D26" s="21">
        <v>43.02</v>
      </c>
      <c r="E26" s="21">
        <v>153.73</v>
      </c>
      <c r="F26" s="21">
        <v>153.67</v>
      </c>
      <c r="G26" s="21" t="s">
        <v>119</v>
      </c>
      <c r="H26" s="21">
        <v>50.79</v>
      </c>
      <c r="I26" s="21">
        <v>43.07</v>
      </c>
      <c r="J26" s="21">
        <v>153.94</v>
      </c>
      <c r="K26" s="21">
        <v>153.75</v>
      </c>
      <c r="L26" s="21" t="s">
        <v>102</v>
      </c>
    </row>
    <row r="27">
      <c r="A27" s="237" t="s">
        <v>729</v>
      </c>
      <c r="B27" s="233">
        <v>603.0</v>
      </c>
      <c r="C27" s="234" t="s">
        <v>710</v>
      </c>
      <c r="L27" s="235" t="s">
        <v>102</v>
      </c>
    </row>
    <row r="28">
      <c r="A28" s="231" t="s">
        <v>730</v>
      </c>
      <c r="B28" s="232">
        <v>326.0</v>
      </c>
      <c r="C28" s="21">
        <v>51.14</v>
      </c>
      <c r="D28" s="21">
        <v>43.41</v>
      </c>
      <c r="E28" s="21">
        <v>155.0</v>
      </c>
      <c r="F28" s="21">
        <v>154.63</v>
      </c>
      <c r="G28" s="21" t="s">
        <v>119</v>
      </c>
      <c r="H28" s="21">
        <v>51.26</v>
      </c>
      <c r="I28" s="21">
        <v>43.52</v>
      </c>
      <c r="J28" s="21">
        <v>155.32</v>
      </c>
      <c r="K28" s="21">
        <v>154.99</v>
      </c>
      <c r="L28" s="21" t="s">
        <v>102</v>
      </c>
    </row>
    <row r="29">
      <c r="A29" s="231" t="s">
        <v>731</v>
      </c>
      <c r="B29" s="232">
        <v>317.0</v>
      </c>
      <c r="C29" s="21">
        <v>51.14</v>
      </c>
      <c r="D29" s="21">
        <v>43.4</v>
      </c>
      <c r="E29" s="21">
        <v>155.0</v>
      </c>
      <c r="F29" s="21">
        <v>154.71</v>
      </c>
      <c r="G29" s="21" t="s">
        <v>119</v>
      </c>
      <c r="H29" s="21">
        <v>51.25</v>
      </c>
      <c r="I29" s="21">
        <v>43.51</v>
      </c>
      <c r="J29" s="21">
        <v>155.33</v>
      </c>
      <c r="K29" s="21">
        <v>155.33</v>
      </c>
      <c r="L29" s="21" t="s">
        <v>102</v>
      </c>
    </row>
    <row r="30">
      <c r="A30" s="231" t="s">
        <v>732</v>
      </c>
      <c r="B30" s="232">
        <v>305.0</v>
      </c>
      <c r="C30" s="21">
        <v>50.91</v>
      </c>
      <c r="D30" s="21">
        <v>42.79</v>
      </c>
      <c r="E30" s="21">
        <v>154.0</v>
      </c>
      <c r="F30" s="21">
        <v>153.72</v>
      </c>
      <c r="G30" s="21" t="s">
        <v>119</v>
      </c>
      <c r="H30" s="21">
        <v>51.03</v>
      </c>
      <c r="I30" s="21">
        <v>42.9</v>
      </c>
      <c r="J30" s="21">
        <v>154.29</v>
      </c>
      <c r="K30" s="21">
        <v>154.29</v>
      </c>
      <c r="L30" s="21" t="s">
        <v>102</v>
      </c>
    </row>
    <row r="31">
      <c r="A31" s="237" t="s">
        <v>733</v>
      </c>
      <c r="B31" s="233">
        <v>300.0</v>
      </c>
      <c r="C31" s="234" t="s">
        <v>710</v>
      </c>
      <c r="L31" s="235" t="s">
        <v>102</v>
      </c>
    </row>
    <row r="32">
      <c r="A32" s="237" t="s">
        <v>734</v>
      </c>
      <c r="B32" s="233">
        <v>270.0</v>
      </c>
      <c r="C32" s="234" t="s">
        <v>710</v>
      </c>
      <c r="L32" s="235" t="s">
        <v>102</v>
      </c>
    </row>
    <row r="33">
      <c r="A33" s="231" t="s">
        <v>735</v>
      </c>
      <c r="B33" s="232">
        <v>268.0</v>
      </c>
      <c r="C33" s="21">
        <v>51.82</v>
      </c>
      <c r="D33" s="21">
        <v>43.69</v>
      </c>
      <c r="E33" s="21">
        <v>156.61</v>
      </c>
      <c r="F33" s="21">
        <v>156.07</v>
      </c>
      <c r="G33" s="21" t="s">
        <v>119</v>
      </c>
      <c r="H33" s="21">
        <v>51.93</v>
      </c>
      <c r="I33" s="21">
        <v>43.81</v>
      </c>
      <c r="J33" s="21">
        <v>156.93</v>
      </c>
      <c r="K33" s="21">
        <v>156.93</v>
      </c>
      <c r="L33" s="21" t="s">
        <v>102</v>
      </c>
    </row>
    <row r="34">
      <c r="A34" s="237" t="s">
        <v>736</v>
      </c>
      <c r="B34" s="233">
        <v>240.0</v>
      </c>
      <c r="C34" s="234" t="s">
        <v>710</v>
      </c>
      <c r="L34" s="235" t="s">
        <v>102</v>
      </c>
    </row>
    <row r="35">
      <c r="A35" s="231" t="s">
        <v>55</v>
      </c>
      <c r="B35" s="232">
        <v>217.0</v>
      </c>
      <c r="C35" s="21">
        <v>50.59</v>
      </c>
      <c r="D35" s="21">
        <v>43.07</v>
      </c>
      <c r="E35" s="21">
        <v>153.87</v>
      </c>
      <c r="F35" s="21">
        <v>153.75</v>
      </c>
      <c r="G35" s="21" t="s">
        <v>119</v>
      </c>
      <c r="H35" s="21">
        <v>50.79</v>
      </c>
      <c r="I35" s="21">
        <v>43.41</v>
      </c>
      <c r="J35" s="21">
        <v>154.27</v>
      </c>
      <c r="K35" s="21">
        <v>153.99</v>
      </c>
      <c r="L35" s="21" t="s">
        <v>102</v>
      </c>
    </row>
    <row r="36">
      <c r="A36" s="231" t="s">
        <v>737</v>
      </c>
      <c r="B36" s="232">
        <v>153.0</v>
      </c>
      <c r="C36" s="21">
        <v>50.78</v>
      </c>
      <c r="D36" s="21">
        <v>42.85</v>
      </c>
      <c r="E36" s="21">
        <v>153.86</v>
      </c>
      <c r="F36" s="21">
        <v>153.82</v>
      </c>
      <c r="G36" s="21" t="s">
        <v>119</v>
      </c>
      <c r="H36" s="21">
        <v>50.89</v>
      </c>
      <c r="I36" s="21">
        <v>42.96</v>
      </c>
      <c r="J36" s="21">
        <v>154.1</v>
      </c>
      <c r="K36" s="21">
        <v>154.1</v>
      </c>
      <c r="L36" s="21" t="s">
        <v>102</v>
      </c>
    </row>
    <row r="37">
      <c r="A37" s="237" t="s">
        <v>738</v>
      </c>
      <c r="B37" s="233">
        <v>141.0</v>
      </c>
      <c r="C37" s="234" t="s">
        <v>710</v>
      </c>
      <c r="L37" s="235" t="s">
        <v>102</v>
      </c>
    </row>
    <row r="38">
      <c r="A38" s="231" t="s">
        <v>739</v>
      </c>
      <c r="B38" s="232">
        <v>126.0</v>
      </c>
      <c r="C38" s="21">
        <v>50.61</v>
      </c>
      <c r="D38" s="21">
        <v>42.89</v>
      </c>
      <c r="E38" s="21">
        <v>153.59</v>
      </c>
      <c r="F38" s="21">
        <v>153.93</v>
      </c>
      <c r="G38" s="21" t="s">
        <v>119</v>
      </c>
      <c r="H38" s="21">
        <v>50.62</v>
      </c>
      <c r="I38" s="21">
        <v>42.89</v>
      </c>
      <c r="J38" s="21">
        <v>153.46</v>
      </c>
      <c r="K38" s="21">
        <v>155.07</v>
      </c>
      <c r="L38" s="21" t="s">
        <v>102</v>
      </c>
    </row>
    <row r="39">
      <c r="A39" s="231">
        <v>207481.0</v>
      </c>
      <c r="B39" s="232">
        <v>121.0</v>
      </c>
      <c r="C39" s="21">
        <v>51.26</v>
      </c>
      <c r="D39" s="21">
        <v>43.45</v>
      </c>
      <c r="E39" s="21">
        <v>155.51</v>
      </c>
      <c r="F39" s="21">
        <v>155.29</v>
      </c>
      <c r="G39" s="21" t="s">
        <v>119</v>
      </c>
      <c r="H39" s="21">
        <v>51.31</v>
      </c>
      <c r="I39" s="21">
        <v>43.51</v>
      </c>
      <c r="J39" s="21">
        <v>155.64</v>
      </c>
      <c r="K39" s="21">
        <v>155.45</v>
      </c>
      <c r="L39" s="21" t="s">
        <v>102</v>
      </c>
    </row>
    <row r="40">
      <c r="A40" s="231" t="s">
        <v>85</v>
      </c>
      <c r="B40" s="232">
        <v>98.0</v>
      </c>
      <c r="C40" s="21">
        <v>51.15</v>
      </c>
      <c r="D40" s="21">
        <v>43.01</v>
      </c>
      <c r="E40" s="21">
        <v>154.61</v>
      </c>
      <c r="F40" s="21">
        <v>154.61</v>
      </c>
      <c r="G40" s="21" t="s">
        <v>119</v>
      </c>
      <c r="H40" s="21">
        <v>51.25</v>
      </c>
      <c r="I40" s="21">
        <v>43.12</v>
      </c>
      <c r="J40" s="21">
        <v>154.96</v>
      </c>
      <c r="K40" s="21">
        <v>154.93</v>
      </c>
      <c r="L40" s="21" t="s">
        <v>102</v>
      </c>
    </row>
    <row r="41">
      <c r="A41" s="231" t="s">
        <v>740</v>
      </c>
      <c r="B41" s="232">
        <v>88.0</v>
      </c>
      <c r="C41" s="21">
        <v>50.64</v>
      </c>
      <c r="D41" s="21">
        <v>42.67</v>
      </c>
      <c r="E41" s="21">
        <v>153.38</v>
      </c>
      <c r="F41" s="21">
        <v>153.38</v>
      </c>
      <c r="G41" s="21" t="s">
        <v>119</v>
      </c>
      <c r="H41" s="21">
        <v>50.74</v>
      </c>
      <c r="I41" s="21">
        <v>42.77</v>
      </c>
      <c r="J41" s="21">
        <v>153.65</v>
      </c>
      <c r="K41" s="21">
        <v>153.65</v>
      </c>
      <c r="L41" s="21" t="s">
        <v>102</v>
      </c>
    </row>
    <row r="42">
      <c r="A42" s="237" t="s">
        <v>741</v>
      </c>
      <c r="B42" s="233">
        <v>85.0</v>
      </c>
      <c r="C42" s="234" t="s">
        <v>710</v>
      </c>
      <c r="L42" s="235" t="s">
        <v>102</v>
      </c>
    </row>
    <row r="43">
      <c r="A43" s="231" t="s">
        <v>742</v>
      </c>
      <c r="B43" s="232">
        <v>2540.0</v>
      </c>
      <c r="C43" s="21">
        <v>52.2</v>
      </c>
      <c r="D43" s="21">
        <v>38.92</v>
      </c>
      <c r="E43" s="21">
        <v>152.0</v>
      </c>
      <c r="F43" s="21">
        <v>151.88</v>
      </c>
      <c r="G43" s="21" t="s">
        <v>119</v>
      </c>
      <c r="H43" s="21">
        <v>52.3</v>
      </c>
      <c r="I43" s="21">
        <v>38.92</v>
      </c>
      <c r="J43" s="21">
        <v>152.18</v>
      </c>
      <c r="K43" s="21">
        <v>152.18</v>
      </c>
      <c r="L43" s="21" t="s">
        <v>102</v>
      </c>
    </row>
    <row r="44">
      <c r="A44" s="237" t="s">
        <v>743</v>
      </c>
      <c r="B44" s="233">
        <v>1598.0</v>
      </c>
      <c r="C44" s="234" t="s">
        <v>710</v>
      </c>
      <c r="L44" s="235" t="s">
        <v>102</v>
      </c>
    </row>
    <row r="45">
      <c r="A45" s="231" t="s">
        <v>744</v>
      </c>
      <c r="B45" s="232">
        <v>819.0</v>
      </c>
      <c r="C45" s="21">
        <v>51.97</v>
      </c>
      <c r="D45" s="21">
        <v>38.71</v>
      </c>
      <c r="E45" s="21">
        <v>151.67</v>
      </c>
      <c r="F45" s="21">
        <v>151.58</v>
      </c>
      <c r="G45" s="21" t="s">
        <v>119</v>
      </c>
      <c r="H45" s="21">
        <v>52.05</v>
      </c>
      <c r="I45" s="21">
        <v>38.73</v>
      </c>
      <c r="J45" s="21">
        <v>151.73</v>
      </c>
      <c r="K45" s="21">
        <v>151.4</v>
      </c>
      <c r="L45" s="21" t="s">
        <v>102</v>
      </c>
    </row>
    <row r="46">
      <c r="A46" s="231" t="s">
        <v>745</v>
      </c>
      <c r="B46" s="232">
        <v>811.0</v>
      </c>
      <c r="C46" s="21">
        <v>52.01</v>
      </c>
      <c r="D46" s="21">
        <v>38.58</v>
      </c>
      <c r="E46" s="21">
        <v>151.82</v>
      </c>
      <c r="F46" s="21">
        <v>151.74</v>
      </c>
      <c r="G46" s="21" t="s">
        <v>119</v>
      </c>
      <c r="H46" s="21">
        <v>52.11</v>
      </c>
      <c r="I46" s="21">
        <v>38.83</v>
      </c>
      <c r="J46" s="21">
        <v>152.25</v>
      </c>
      <c r="K46" s="21">
        <v>151.57</v>
      </c>
      <c r="L46" s="21" t="s">
        <v>102</v>
      </c>
    </row>
    <row r="47">
      <c r="A47" s="231" t="s">
        <v>746</v>
      </c>
      <c r="B47" s="232">
        <v>770.0</v>
      </c>
      <c r="C47" s="21">
        <v>52.16</v>
      </c>
      <c r="D47" s="21">
        <v>38.41</v>
      </c>
      <c r="E47" s="21">
        <v>151.52</v>
      </c>
      <c r="F47" s="21">
        <v>151.93</v>
      </c>
      <c r="G47" s="21" t="s">
        <v>119</v>
      </c>
      <c r="H47" s="21">
        <v>52.16</v>
      </c>
      <c r="I47" s="21">
        <v>38.89</v>
      </c>
      <c r="J47" s="21">
        <v>152.18</v>
      </c>
      <c r="K47" s="21">
        <v>151.98</v>
      </c>
      <c r="L47" s="21" t="s">
        <v>102</v>
      </c>
    </row>
    <row r="48">
      <c r="A48" s="231" t="s">
        <v>747</v>
      </c>
      <c r="B48" s="232">
        <v>425.0</v>
      </c>
      <c r="C48" s="21">
        <v>51.93</v>
      </c>
      <c r="D48" s="21">
        <v>38.51</v>
      </c>
      <c r="E48" s="21">
        <v>151.56</v>
      </c>
      <c r="F48" s="21">
        <v>151.71</v>
      </c>
      <c r="G48" s="21" t="s">
        <v>119</v>
      </c>
      <c r="H48" s="21">
        <v>52.11</v>
      </c>
      <c r="I48" s="21">
        <v>38.64</v>
      </c>
      <c r="J48" s="21">
        <v>151.91</v>
      </c>
      <c r="K48" s="21">
        <v>151.51</v>
      </c>
      <c r="L48" s="21" t="s">
        <v>102</v>
      </c>
    </row>
    <row r="49">
      <c r="A49" s="231" t="s">
        <v>748</v>
      </c>
      <c r="B49" s="232">
        <v>404.0</v>
      </c>
      <c r="C49" s="21">
        <v>52.18</v>
      </c>
      <c r="D49" s="21">
        <v>38.19</v>
      </c>
      <c r="E49" s="21">
        <v>151.64</v>
      </c>
      <c r="F49" s="21">
        <v>151.64</v>
      </c>
      <c r="G49" s="21" t="s">
        <v>119</v>
      </c>
      <c r="H49" s="21">
        <v>52.18</v>
      </c>
      <c r="I49" s="21">
        <v>52.18</v>
      </c>
      <c r="J49" s="21">
        <v>152.34</v>
      </c>
      <c r="K49" s="21">
        <v>151.57</v>
      </c>
      <c r="L49" s="21" t="s">
        <v>102</v>
      </c>
    </row>
    <row r="50">
      <c r="A50" s="231" t="s">
        <v>749</v>
      </c>
      <c r="B50" s="232">
        <v>293.0</v>
      </c>
      <c r="C50" s="21">
        <v>52.08</v>
      </c>
      <c r="D50" s="21">
        <v>38.66</v>
      </c>
      <c r="E50" s="21">
        <v>151.78</v>
      </c>
      <c r="F50" s="21">
        <v>151.83</v>
      </c>
      <c r="G50" s="21" t="s">
        <v>119</v>
      </c>
      <c r="H50" s="21">
        <v>52.14</v>
      </c>
      <c r="I50" s="21">
        <v>38.79</v>
      </c>
      <c r="J50" s="21">
        <v>151.95</v>
      </c>
      <c r="K50" s="21">
        <v>151.69</v>
      </c>
      <c r="L50" s="21" t="s">
        <v>102</v>
      </c>
    </row>
    <row r="51">
      <c r="A51" s="231" t="s">
        <v>750</v>
      </c>
      <c r="B51" s="232">
        <v>211.0</v>
      </c>
      <c r="C51" s="21">
        <v>52.06</v>
      </c>
      <c r="D51" s="21">
        <v>38.64</v>
      </c>
      <c r="E51" s="21">
        <v>151.81</v>
      </c>
      <c r="F51" s="21">
        <v>151.59</v>
      </c>
      <c r="G51" s="21" t="s">
        <v>119</v>
      </c>
      <c r="H51" s="21">
        <v>52.07</v>
      </c>
      <c r="I51" s="21">
        <v>38.82</v>
      </c>
      <c r="J51" s="21">
        <v>151.97</v>
      </c>
      <c r="K51" s="21">
        <v>151.47</v>
      </c>
      <c r="L51" s="21" t="s">
        <v>102</v>
      </c>
    </row>
    <row r="52">
      <c r="A52" s="231" t="s">
        <v>751</v>
      </c>
      <c r="B52" s="232">
        <v>205.0</v>
      </c>
      <c r="C52" s="21">
        <v>52.38</v>
      </c>
      <c r="D52" s="21">
        <v>39.02</v>
      </c>
      <c r="E52" s="21">
        <v>152.65</v>
      </c>
      <c r="F52" s="21">
        <v>152.65</v>
      </c>
      <c r="G52" s="21" t="s">
        <v>119</v>
      </c>
      <c r="H52" s="21">
        <v>52.39</v>
      </c>
      <c r="I52" s="21">
        <v>39.07</v>
      </c>
      <c r="J52" s="21">
        <v>152.77</v>
      </c>
      <c r="K52" s="21">
        <v>152.77</v>
      </c>
      <c r="L52" s="21" t="s">
        <v>102</v>
      </c>
    </row>
    <row r="53">
      <c r="A53" s="231" t="s">
        <v>752</v>
      </c>
      <c r="B53" s="232">
        <v>191.0</v>
      </c>
      <c r="C53" s="21">
        <v>52.29</v>
      </c>
      <c r="D53" s="21">
        <v>38.82</v>
      </c>
      <c r="E53" s="21">
        <v>152.39</v>
      </c>
      <c r="F53" s="21">
        <v>152.34</v>
      </c>
      <c r="G53" s="21" t="s">
        <v>119</v>
      </c>
      <c r="H53" s="21">
        <v>52.31</v>
      </c>
      <c r="I53" s="21">
        <v>38.89</v>
      </c>
      <c r="J53" s="21">
        <v>152.56</v>
      </c>
      <c r="K53" s="21">
        <v>152.37</v>
      </c>
      <c r="L53" s="21" t="s">
        <v>102</v>
      </c>
    </row>
    <row r="54">
      <c r="A54" s="231" t="s">
        <v>753</v>
      </c>
      <c r="B54" s="232">
        <v>1770.0</v>
      </c>
      <c r="C54" s="21">
        <v>54.12</v>
      </c>
      <c r="D54" s="21">
        <v>42.61</v>
      </c>
      <c r="E54" s="21">
        <v>162.63</v>
      </c>
      <c r="F54" s="21">
        <v>162.73</v>
      </c>
      <c r="G54" s="21" t="s">
        <v>119</v>
      </c>
      <c r="H54" s="21">
        <v>54.22</v>
      </c>
      <c r="I54" s="21">
        <v>42.74</v>
      </c>
      <c r="J54" s="21">
        <v>162.72</v>
      </c>
      <c r="K54" s="21">
        <v>162.78</v>
      </c>
      <c r="L54" s="21" t="s">
        <v>102</v>
      </c>
    </row>
    <row r="55">
      <c r="A55" s="231" t="s">
        <v>754</v>
      </c>
      <c r="B55" s="232">
        <v>1627.0</v>
      </c>
      <c r="C55" s="21">
        <v>54.28</v>
      </c>
      <c r="D55" s="21">
        <v>42.83</v>
      </c>
      <c r="E55" s="21">
        <v>163.04</v>
      </c>
      <c r="F55" s="21">
        <v>163.24</v>
      </c>
      <c r="G55" s="21" t="s">
        <v>119</v>
      </c>
      <c r="H55" s="21">
        <v>54.32</v>
      </c>
      <c r="I55" s="21">
        <v>42.85</v>
      </c>
      <c r="J55" s="21">
        <v>163.14</v>
      </c>
      <c r="K55" s="21">
        <v>163.29</v>
      </c>
      <c r="L55" s="21" t="s">
        <v>102</v>
      </c>
    </row>
    <row r="56">
      <c r="A56" s="231" t="s">
        <v>755</v>
      </c>
      <c r="B56" s="232">
        <v>1002.0</v>
      </c>
      <c r="C56" s="21">
        <v>54.13</v>
      </c>
      <c r="D56" s="21">
        <v>42.7</v>
      </c>
      <c r="E56" s="21">
        <v>162.67</v>
      </c>
      <c r="F56" s="21">
        <v>162.53</v>
      </c>
      <c r="G56" s="21" t="s">
        <v>119</v>
      </c>
      <c r="H56" s="21">
        <v>54.24</v>
      </c>
      <c r="I56" s="21">
        <v>42.72</v>
      </c>
      <c r="J56" s="21">
        <v>162.57</v>
      </c>
      <c r="K56" s="21">
        <v>162.62</v>
      </c>
      <c r="L56" s="21" t="s">
        <v>102</v>
      </c>
    </row>
    <row r="57">
      <c r="A57" s="231" t="s">
        <v>756</v>
      </c>
      <c r="B57" s="232">
        <v>880.0</v>
      </c>
      <c r="C57" s="21">
        <v>54.31</v>
      </c>
      <c r="D57" s="21">
        <v>42.76</v>
      </c>
      <c r="E57" s="21">
        <v>163.22</v>
      </c>
      <c r="F57" s="21">
        <v>163.22</v>
      </c>
      <c r="G57" s="21" t="s">
        <v>119</v>
      </c>
      <c r="H57" s="21">
        <v>54.43</v>
      </c>
      <c r="I57" s="21">
        <v>42.95</v>
      </c>
      <c r="J57" s="21">
        <v>163.38</v>
      </c>
      <c r="K57" s="21">
        <v>163.4</v>
      </c>
      <c r="L57" s="21" t="s">
        <v>102</v>
      </c>
    </row>
    <row r="58">
      <c r="A58" s="231" t="s">
        <v>757</v>
      </c>
      <c r="B58" s="232">
        <v>779.0</v>
      </c>
      <c r="C58" s="21">
        <v>54.28</v>
      </c>
      <c r="D58" s="21">
        <v>42.81</v>
      </c>
      <c r="E58" s="21">
        <v>162.98</v>
      </c>
      <c r="F58" s="21">
        <v>162.79</v>
      </c>
      <c r="G58" s="21" t="s">
        <v>119</v>
      </c>
      <c r="H58" s="21">
        <v>54.28</v>
      </c>
      <c r="I58" s="21">
        <v>42.91</v>
      </c>
      <c r="J58" s="21">
        <v>163.15</v>
      </c>
      <c r="K58" s="21">
        <v>163.11</v>
      </c>
      <c r="L58" s="21" t="s">
        <v>102</v>
      </c>
    </row>
    <row r="59">
      <c r="A59" s="231" t="s">
        <v>758</v>
      </c>
      <c r="B59" s="232">
        <v>500.0</v>
      </c>
      <c r="C59" s="21">
        <v>54.24</v>
      </c>
      <c r="D59" s="21">
        <v>42.67</v>
      </c>
      <c r="E59" s="21">
        <v>162.96</v>
      </c>
      <c r="F59" s="21">
        <v>163.03</v>
      </c>
      <c r="G59" s="21" t="s">
        <v>119</v>
      </c>
      <c r="H59" s="21">
        <v>54.36</v>
      </c>
      <c r="I59" s="21">
        <v>42.87</v>
      </c>
      <c r="J59" s="21">
        <v>163.16</v>
      </c>
      <c r="K59" s="21">
        <v>163.14</v>
      </c>
      <c r="L59" s="21" t="s">
        <v>102</v>
      </c>
    </row>
    <row r="60">
      <c r="A60" s="231" t="s">
        <v>759</v>
      </c>
      <c r="B60" s="232">
        <v>459.0</v>
      </c>
      <c r="C60" s="21">
        <v>54.21</v>
      </c>
      <c r="D60" s="21">
        <v>42.65</v>
      </c>
      <c r="E60" s="21">
        <v>162.78</v>
      </c>
      <c r="F60" s="21">
        <v>162.87</v>
      </c>
      <c r="G60" s="21" t="s">
        <v>119</v>
      </c>
      <c r="H60" s="21">
        <v>54.31</v>
      </c>
      <c r="I60" s="21">
        <v>42.8</v>
      </c>
      <c r="J60" s="21">
        <v>162.86</v>
      </c>
      <c r="K60" s="21">
        <v>162.93</v>
      </c>
      <c r="L60" s="21" t="s">
        <v>102</v>
      </c>
    </row>
    <row r="61">
      <c r="A61" s="231" t="s">
        <v>760</v>
      </c>
      <c r="B61" s="232">
        <v>264.0</v>
      </c>
      <c r="C61" s="21">
        <v>54.29</v>
      </c>
      <c r="D61" s="21">
        <v>42.75</v>
      </c>
      <c r="E61" s="21">
        <v>162.9</v>
      </c>
      <c r="F61" s="21">
        <v>163.05</v>
      </c>
      <c r="G61" s="21" t="s">
        <v>119</v>
      </c>
      <c r="H61" s="21">
        <v>54.29</v>
      </c>
      <c r="I61" s="21">
        <v>42.94</v>
      </c>
      <c r="J61" s="21">
        <v>163.08</v>
      </c>
      <c r="K61" s="21">
        <v>163.09</v>
      </c>
      <c r="L61" s="21" t="s">
        <v>761</v>
      </c>
    </row>
    <row r="62">
      <c r="A62" s="231" t="s">
        <v>762</v>
      </c>
      <c r="B62" s="232">
        <v>103.0</v>
      </c>
      <c r="C62" s="21">
        <v>54.22</v>
      </c>
      <c r="D62" s="21">
        <v>42.64</v>
      </c>
      <c r="E62" s="21">
        <v>162.84</v>
      </c>
      <c r="F62" s="21">
        <v>162.89</v>
      </c>
      <c r="G62" s="21" t="s">
        <v>119</v>
      </c>
      <c r="H62" s="21">
        <v>54.35</v>
      </c>
      <c r="I62" s="21">
        <v>42.86</v>
      </c>
      <c r="J62" s="21">
        <v>163.03</v>
      </c>
      <c r="K62" s="21">
        <v>163.01</v>
      </c>
      <c r="L62" s="21" t="s">
        <v>761</v>
      </c>
    </row>
    <row r="63">
      <c r="A63" s="231" t="s">
        <v>763</v>
      </c>
      <c r="B63" s="232">
        <v>2362.0</v>
      </c>
      <c r="C63" s="21">
        <v>54.27</v>
      </c>
      <c r="D63" s="21">
        <v>42.63</v>
      </c>
      <c r="E63" s="21">
        <v>162.86</v>
      </c>
      <c r="F63" s="21">
        <v>162.8</v>
      </c>
      <c r="G63" s="21" t="s">
        <v>119</v>
      </c>
      <c r="H63" s="21">
        <v>54.3</v>
      </c>
      <c r="I63" s="21">
        <v>42.7</v>
      </c>
      <c r="J63" s="21">
        <v>162.92</v>
      </c>
      <c r="K63" s="21">
        <v>162.91</v>
      </c>
      <c r="L63" s="21" t="s">
        <v>761</v>
      </c>
    </row>
    <row r="64">
      <c r="A64" s="231" t="s">
        <v>764</v>
      </c>
      <c r="B64" s="232">
        <v>1654.0</v>
      </c>
      <c r="C64" s="21">
        <v>54.31</v>
      </c>
      <c r="D64" s="21">
        <v>42.91</v>
      </c>
      <c r="E64" s="21">
        <v>163.31</v>
      </c>
      <c r="F64" s="21">
        <v>163.15</v>
      </c>
      <c r="G64" s="21" t="s">
        <v>119</v>
      </c>
      <c r="H64" s="21">
        <v>54.34</v>
      </c>
      <c r="I64" s="21">
        <v>42.94</v>
      </c>
      <c r="J64" s="21">
        <v>163.32</v>
      </c>
      <c r="K64" s="21">
        <v>163.27</v>
      </c>
      <c r="L64" s="21" t="s">
        <v>761</v>
      </c>
    </row>
    <row r="65">
      <c r="A65" s="231" t="s">
        <v>765</v>
      </c>
      <c r="B65" s="232">
        <v>1033.0</v>
      </c>
      <c r="C65" s="21">
        <v>54.13</v>
      </c>
      <c r="D65" s="21">
        <v>42.53</v>
      </c>
      <c r="E65" s="21">
        <v>162.42</v>
      </c>
      <c r="F65" s="21">
        <v>162.53</v>
      </c>
      <c r="G65" s="21" t="s">
        <v>119</v>
      </c>
      <c r="H65" s="21">
        <v>54.16</v>
      </c>
      <c r="I65" s="21">
        <v>42.64</v>
      </c>
      <c r="J65" s="21">
        <v>162.52</v>
      </c>
      <c r="K65" s="21">
        <v>162.42</v>
      </c>
      <c r="L65" s="21" t="s">
        <v>761</v>
      </c>
    </row>
    <row r="66">
      <c r="A66" s="231" t="s">
        <v>766</v>
      </c>
      <c r="B66" s="232">
        <v>625.0</v>
      </c>
      <c r="C66" s="21">
        <v>54.16</v>
      </c>
      <c r="D66" s="21">
        <v>42.62</v>
      </c>
      <c r="E66" s="21">
        <v>162.73</v>
      </c>
      <c r="F66" s="21">
        <v>162.72</v>
      </c>
      <c r="G66" s="21" t="s">
        <v>119</v>
      </c>
      <c r="H66" s="21">
        <v>54.29</v>
      </c>
      <c r="I66" s="21">
        <v>42.75</v>
      </c>
      <c r="J66" s="21">
        <v>162.8</v>
      </c>
      <c r="K66" s="21">
        <v>162.84</v>
      </c>
      <c r="L66" s="21" t="s">
        <v>761</v>
      </c>
    </row>
    <row r="67">
      <c r="A67" s="231" t="s">
        <v>767</v>
      </c>
      <c r="B67" s="232">
        <v>456.0</v>
      </c>
      <c r="C67" s="21">
        <v>54.31</v>
      </c>
      <c r="D67" s="21">
        <v>42.91</v>
      </c>
      <c r="E67" s="21">
        <v>163.31</v>
      </c>
      <c r="F67" s="21">
        <v>163.15</v>
      </c>
      <c r="G67" s="21" t="s">
        <v>119</v>
      </c>
      <c r="H67" s="21">
        <v>54.34</v>
      </c>
      <c r="I67" s="21">
        <v>42.94</v>
      </c>
      <c r="J67" s="21">
        <v>163.32</v>
      </c>
      <c r="K67" s="21">
        <v>163.24</v>
      </c>
      <c r="L67" s="21" t="s">
        <v>761</v>
      </c>
    </row>
    <row r="68">
      <c r="A68" s="231" t="s">
        <v>612</v>
      </c>
      <c r="B68" s="232">
        <v>1318.0</v>
      </c>
      <c r="C68" s="21">
        <v>48.06</v>
      </c>
      <c r="D68" s="21">
        <v>41.7</v>
      </c>
      <c r="E68" s="21">
        <v>144.82</v>
      </c>
      <c r="F68" s="21">
        <v>144.89</v>
      </c>
      <c r="G68" s="21" t="s">
        <v>119</v>
      </c>
      <c r="H68" s="21">
        <v>48.1</v>
      </c>
      <c r="I68" s="21">
        <v>41.8</v>
      </c>
      <c r="J68" s="21">
        <v>144.97</v>
      </c>
      <c r="K68" s="21">
        <v>144.96</v>
      </c>
      <c r="L68" s="21" t="s">
        <v>761</v>
      </c>
    </row>
    <row r="69">
      <c r="A69" s="231" t="s">
        <v>768</v>
      </c>
      <c r="B69" s="232">
        <v>319.0</v>
      </c>
      <c r="C69" s="21">
        <v>48.08</v>
      </c>
      <c r="D69" s="21">
        <v>41.96</v>
      </c>
      <c r="E69" s="21">
        <v>145.02</v>
      </c>
      <c r="F69" s="21">
        <v>144.82</v>
      </c>
      <c r="G69" s="21" t="s">
        <v>119</v>
      </c>
      <c r="H69" s="21">
        <v>48.09</v>
      </c>
      <c r="I69" s="21">
        <v>41.96</v>
      </c>
      <c r="J69" s="21">
        <v>145.02</v>
      </c>
      <c r="K69" s="21">
        <v>144.84</v>
      </c>
      <c r="L69" s="21" t="s">
        <v>761</v>
      </c>
    </row>
    <row r="70">
      <c r="A70" s="231" t="s">
        <v>769</v>
      </c>
      <c r="B70" s="232">
        <v>244.0</v>
      </c>
      <c r="C70" s="21">
        <v>47.67</v>
      </c>
      <c r="D70" s="21">
        <v>41.62</v>
      </c>
      <c r="E70" s="21">
        <v>144.29</v>
      </c>
      <c r="F70" s="21">
        <v>144.37</v>
      </c>
      <c r="G70" s="21" t="s">
        <v>119</v>
      </c>
      <c r="H70" s="21">
        <v>48.02</v>
      </c>
      <c r="I70" s="21">
        <v>41.8</v>
      </c>
      <c r="J70" s="21">
        <v>144.86</v>
      </c>
      <c r="K70" s="21">
        <v>144.66</v>
      </c>
      <c r="L70" s="21" t="s">
        <v>761</v>
      </c>
    </row>
    <row r="71">
      <c r="A71" s="231" t="s">
        <v>770</v>
      </c>
      <c r="B71" s="232">
        <v>196.0</v>
      </c>
      <c r="C71" s="21">
        <v>48.2</v>
      </c>
      <c r="D71" s="21">
        <v>41.95</v>
      </c>
      <c r="E71" s="21">
        <v>145.46</v>
      </c>
      <c r="F71" s="21">
        <v>145.13</v>
      </c>
      <c r="G71" s="21" t="s">
        <v>119</v>
      </c>
      <c r="H71" s="21">
        <v>48.31</v>
      </c>
      <c r="I71" s="21">
        <v>42.05</v>
      </c>
      <c r="J71" s="21">
        <v>145.64</v>
      </c>
      <c r="K71" s="21">
        <v>145.29</v>
      </c>
      <c r="L71" s="21" t="s">
        <v>761</v>
      </c>
    </row>
    <row r="72">
      <c r="A72" s="231" t="s">
        <v>771</v>
      </c>
      <c r="B72" s="232">
        <v>165.0</v>
      </c>
      <c r="C72" s="21">
        <v>47.95</v>
      </c>
      <c r="D72" s="21">
        <v>41.95</v>
      </c>
      <c r="E72" s="21">
        <v>145.07</v>
      </c>
      <c r="F72" s="21">
        <v>145.08</v>
      </c>
      <c r="G72" s="21" t="s">
        <v>119</v>
      </c>
      <c r="H72" s="21">
        <v>48.05</v>
      </c>
      <c r="I72" s="21">
        <v>42.0</v>
      </c>
      <c r="J72" s="21">
        <v>145.31</v>
      </c>
      <c r="K72" s="21">
        <v>145.09</v>
      </c>
      <c r="L72" s="21" t="s">
        <v>761</v>
      </c>
    </row>
    <row r="73">
      <c r="A73" s="231" t="s">
        <v>772</v>
      </c>
      <c r="B73" s="232">
        <v>107.0</v>
      </c>
      <c r="C73" s="21">
        <v>48.07</v>
      </c>
      <c r="D73" s="21">
        <v>41.9</v>
      </c>
      <c r="E73" s="21">
        <v>145.31</v>
      </c>
      <c r="F73" s="21">
        <v>145.07</v>
      </c>
      <c r="G73" s="21" t="s">
        <v>119</v>
      </c>
      <c r="H73" s="21">
        <v>48.21</v>
      </c>
      <c r="I73" s="21">
        <v>42.14</v>
      </c>
      <c r="J73" s="21">
        <v>145.53</v>
      </c>
      <c r="K73" s="21">
        <v>145.44</v>
      </c>
      <c r="L73" s="21" t="s">
        <v>761</v>
      </c>
    </row>
    <row r="74">
      <c r="A74" s="231" t="s">
        <v>773</v>
      </c>
      <c r="B74" s="232">
        <v>592.0</v>
      </c>
      <c r="C74" s="21">
        <v>49.61</v>
      </c>
      <c r="D74" s="21">
        <v>45.9</v>
      </c>
      <c r="E74" s="21">
        <v>154.0</v>
      </c>
      <c r="F74" s="21">
        <v>153.76</v>
      </c>
      <c r="G74" s="21" t="s">
        <v>119</v>
      </c>
      <c r="H74" s="21">
        <v>49.71</v>
      </c>
      <c r="I74" s="21">
        <v>45.95</v>
      </c>
      <c r="J74" s="21">
        <v>154.01</v>
      </c>
      <c r="K74" s="21">
        <v>154.01</v>
      </c>
      <c r="L74" s="21" t="s">
        <v>761</v>
      </c>
    </row>
    <row r="75">
      <c r="A75" s="231" t="s">
        <v>774</v>
      </c>
      <c r="B75" s="232">
        <v>1312.0</v>
      </c>
      <c r="C75" s="21">
        <v>52.31</v>
      </c>
      <c r="D75" s="21">
        <v>42.99</v>
      </c>
      <c r="E75" s="21">
        <v>155.41</v>
      </c>
      <c r="F75" s="21">
        <v>155.53</v>
      </c>
      <c r="G75" s="21" t="s">
        <v>119</v>
      </c>
      <c r="H75" s="21">
        <v>52.32</v>
      </c>
      <c r="I75" s="21">
        <v>43.14</v>
      </c>
      <c r="J75" s="21">
        <v>155.64</v>
      </c>
      <c r="K75" s="21">
        <v>155.48</v>
      </c>
      <c r="L75" s="21" t="s">
        <v>761</v>
      </c>
    </row>
    <row r="76">
      <c r="A76" s="231" t="s">
        <v>775</v>
      </c>
      <c r="B76" s="232">
        <v>2277.0</v>
      </c>
      <c r="C76" s="21">
        <v>50.7</v>
      </c>
      <c r="D76" s="21">
        <v>41.02</v>
      </c>
      <c r="E76" s="21">
        <v>153.29</v>
      </c>
      <c r="F76" s="21">
        <v>153.15</v>
      </c>
      <c r="G76" s="21" t="s">
        <v>119</v>
      </c>
      <c r="H76" s="21">
        <v>50.71</v>
      </c>
      <c r="I76" s="21">
        <v>41.08</v>
      </c>
      <c r="J76" s="21">
        <v>153.1</v>
      </c>
      <c r="K76" s="21">
        <v>153.1</v>
      </c>
      <c r="L76" s="21" t="s">
        <v>761</v>
      </c>
    </row>
    <row r="77">
      <c r="A77" s="231" t="s">
        <v>776</v>
      </c>
      <c r="B77" s="232">
        <v>988.0</v>
      </c>
      <c r="C77" s="21">
        <v>50.77</v>
      </c>
      <c r="D77" s="21">
        <v>41.04</v>
      </c>
      <c r="E77" s="21">
        <v>153.52</v>
      </c>
      <c r="F77" s="21">
        <v>153.49</v>
      </c>
      <c r="G77" s="21" t="s">
        <v>119</v>
      </c>
      <c r="H77" s="21">
        <v>50.79</v>
      </c>
      <c r="I77" s="21">
        <v>41.11</v>
      </c>
      <c r="J77" s="21">
        <v>153.39</v>
      </c>
      <c r="K77" s="21">
        <v>153.52</v>
      </c>
      <c r="L77" s="21" t="s">
        <v>761</v>
      </c>
    </row>
    <row r="78">
      <c r="A78" s="231" t="s">
        <v>777</v>
      </c>
      <c r="B78" s="232">
        <v>583.0</v>
      </c>
      <c r="C78" s="21">
        <v>50.71</v>
      </c>
      <c r="D78" s="21">
        <v>40.99</v>
      </c>
      <c r="E78" s="21">
        <v>153.34</v>
      </c>
      <c r="F78" s="21">
        <v>153.18</v>
      </c>
      <c r="G78" s="21" t="s">
        <v>119</v>
      </c>
      <c r="H78" s="21">
        <v>50.78</v>
      </c>
      <c r="I78" s="21">
        <v>41.11</v>
      </c>
      <c r="J78" s="21">
        <v>153.38</v>
      </c>
      <c r="K78" s="21">
        <v>153.56</v>
      </c>
      <c r="L78" s="21" t="s">
        <v>761</v>
      </c>
    </row>
    <row r="79">
      <c r="A79" s="231" t="s">
        <v>778</v>
      </c>
      <c r="B79" s="232">
        <v>2899.0</v>
      </c>
      <c r="C79" s="21">
        <v>53.75</v>
      </c>
      <c r="D79" s="21">
        <v>39.74</v>
      </c>
      <c r="E79" s="21">
        <v>155.81</v>
      </c>
      <c r="F79" s="21">
        <v>155.88</v>
      </c>
      <c r="G79" s="21" t="s">
        <v>119</v>
      </c>
      <c r="H79" s="21">
        <v>53.84</v>
      </c>
      <c r="I79" s="21">
        <v>39.79</v>
      </c>
      <c r="J79" s="21">
        <v>155.77</v>
      </c>
      <c r="K79" s="21">
        <v>155.81</v>
      </c>
      <c r="L79" s="21" t="s">
        <v>761</v>
      </c>
    </row>
    <row r="80">
      <c r="A80" s="231" t="s">
        <v>779</v>
      </c>
      <c r="B80" s="232">
        <v>1760.0</v>
      </c>
      <c r="C80" s="21">
        <v>53.71</v>
      </c>
      <c r="D80" s="21">
        <v>39.8</v>
      </c>
      <c r="E80" s="21">
        <v>155.63</v>
      </c>
      <c r="F80" s="21">
        <v>155.62</v>
      </c>
      <c r="G80" s="21" t="s">
        <v>119</v>
      </c>
      <c r="H80" s="21">
        <v>53.72</v>
      </c>
      <c r="I80" s="21">
        <v>39.81</v>
      </c>
      <c r="J80" s="21">
        <v>155.68</v>
      </c>
      <c r="K80" s="21">
        <v>155.66</v>
      </c>
      <c r="L80" s="21" t="s">
        <v>761</v>
      </c>
    </row>
    <row r="81">
      <c r="A81" s="231" t="s">
        <v>780</v>
      </c>
      <c r="B81" s="232">
        <v>1216.0</v>
      </c>
      <c r="C81" s="21">
        <v>53.8</v>
      </c>
      <c r="D81" s="21">
        <v>39.73</v>
      </c>
      <c r="E81" s="21">
        <v>155.83</v>
      </c>
      <c r="F81" s="21">
        <v>155.77</v>
      </c>
      <c r="G81" s="21" t="s">
        <v>119</v>
      </c>
      <c r="H81" s="21">
        <v>53.84</v>
      </c>
      <c r="I81" s="21">
        <v>39.87</v>
      </c>
      <c r="J81" s="21">
        <v>155.96</v>
      </c>
      <c r="K81" s="21">
        <v>156.05</v>
      </c>
      <c r="L81" s="21" t="s">
        <v>761</v>
      </c>
    </row>
    <row r="82">
      <c r="A82" s="231" t="s">
        <v>781</v>
      </c>
      <c r="B82" s="232">
        <v>1120.0</v>
      </c>
      <c r="C82" s="21">
        <v>53.72</v>
      </c>
      <c r="D82" s="21">
        <v>39.74</v>
      </c>
      <c r="E82" s="21">
        <v>155.87</v>
      </c>
      <c r="F82" s="21">
        <v>155.77</v>
      </c>
      <c r="G82" s="21" t="s">
        <v>119</v>
      </c>
      <c r="H82" s="21">
        <v>53.87</v>
      </c>
      <c r="I82" s="21">
        <v>39.74</v>
      </c>
      <c r="J82" s="21">
        <v>155.88</v>
      </c>
      <c r="K82" s="21">
        <v>155.6</v>
      </c>
      <c r="L82" s="21" t="s">
        <v>761</v>
      </c>
    </row>
    <row r="83">
      <c r="A83" s="231" t="s">
        <v>782</v>
      </c>
      <c r="B83" s="232">
        <v>299.0</v>
      </c>
      <c r="C83" s="21">
        <v>53.75</v>
      </c>
      <c r="D83" s="21">
        <v>39.72</v>
      </c>
      <c r="E83" s="21">
        <v>155.73</v>
      </c>
      <c r="F83" s="21">
        <v>155.81</v>
      </c>
      <c r="G83" s="21" t="s">
        <v>119</v>
      </c>
      <c r="H83" s="21">
        <v>53.83</v>
      </c>
      <c r="I83" s="21">
        <v>39.79</v>
      </c>
      <c r="J83" s="21">
        <v>155.67</v>
      </c>
      <c r="K83" s="21">
        <v>155.77</v>
      </c>
      <c r="L83" s="21" t="s">
        <v>761</v>
      </c>
    </row>
    <row r="84">
      <c r="A84" s="231" t="s">
        <v>783</v>
      </c>
      <c r="B84" s="232">
        <v>1029.0</v>
      </c>
      <c r="C84" s="21">
        <v>52.91</v>
      </c>
      <c r="D84" s="21">
        <v>39.59</v>
      </c>
      <c r="E84" s="21">
        <v>154.23</v>
      </c>
      <c r="F84" s="21">
        <v>154.11</v>
      </c>
      <c r="G84" s="21" t="s">
        <v>119</v>
      </c>
      <c r="H84" s="21">
        <v>53.12</v>
      </c>
      <c r="I84" s="21">
        <v>39.88</v>
      </c>
      <c r="J84" s="21">
        <v>154.7</v>
      </c>
      <c r="K84" s="21">
        <v>154.47</v>
      </c>
      <c r="L84" s="21" t="s">
        <v>761</v>
      </c>
    </row>
    <row r="85">
      <c r="A85" s="231" t="s">
        <v>784</v>
      </c>
      <c r="B85" s="232">
        <v>830.0</v>
      </c>
      <c r="C85" s="21">
        <v>52.83</v>
      </c>
      <c r="D85" s="21">
        <v>39.58</v>
      </c>
      <c r="E85" s="21">
        <v>154.5</v>
      </c>
      <c r="F85" s="21">
        <v>154.66</v>
      </c>
      <c r="G85" s="21" t="s">
        <v>119</v>
      </c>
      <c r="H85" s="21">
        <v>52.97</v>
      </c>
      <c r="I85" s="21">
        <v>39.84</v>
      </c>
      <c r="J85" s="21">
        <v>154.72</v>
      </c>
      <c r="K85" s="21">
        <v>154.68</v>
      </c>
      <c r="L85" s="21" t="s">
        <v>761</v>
      </c>
    </row>
    <row r="86">
      <c r="A86" s="231" t="s">
        <v>785</v>
      </c>
      <c r="B86" s="232">
        <v>607.0</v>
      </c>
      <c r="C86" s="21">
        <v>53.17</v>
      </c>
      <c r="D86" s="21">
        <v>39.95</v>
      </c>
      <c r="E86" s="21">
        <v>154.95</v>
      </c>
      <c r="F86" s="21">
        <v>154.82</v>
      </c>
      <c r="G86" s="21" t="s">
        <v>119</v>
      </c>
      <c r="H86" s="21">
        <v>53.22</v>
      </c>
      <c r="I86" s="21">
        <v>40.0</v>
      </c>
      <c r="J86" s="21">
        <v>154.87</v>
      </c>
      <c r="K86" s="21">
        <v>154.68</v>
      </c>
      <c r="L86" s="21" t="s">
        <v>761</v>
      </c>
    </row>
    <row r="87">
      <c r="A87" s="231" t="s">
        <v>408</v>
      </c>
      <c r="B87" s="232">
        <v>398.0</v>
      </c>
      <c r="C87" s="21">
        <v>53.01</v>
      </c>
      <c r="D87" s="21">
        <v>39.86</v>
      </c>
      <c r="E87" s="21">
        <v>154.94</v>
      </c>
      <c r="F87" s="21">
        <v>155.01</v>
      </c>
      <c r="G87" s="21" t="s">
        <v>119</v>
      </c>
      <c r="H87" s="21">
        <v>53.36</v>
      </c>
      <c r="I87" s="21">
        <v>39.86</v>
      </c>
      <c r="J87" s="21">
        <v>155.33</v>
      </c>
      <c r="K87" s="21">
        <v>154.93</v>
      </c>
      <c r="L87" s="21" t="s">
        <v>761</v>
      </c>
    </row>
    <row r="88">
      <c r="A88" s="237" t="s">
        <v>786</v>
      </c>
      <c r="B88" s="233">
        <v>249.0</v>
      </c>
      <c r="C88" s="234" t="s">
        <v>710</v>
      </c>
      <c r="L88" s="235" t="s">
        <v>761</v>
      </c>
    </row>
    <row r="89">
      <c r="A89" s="231" t="s">
        <v>787</v>
      </c>
      <c r="B89" s="232">
        <v>223.0</v>
      </c>
      <c r="C89" s="21">
        <v>53.07</v>
      </c>
      <c r="D89" s="21">
        <v>39.76</v>
      </c>
      <c r="E89" s="21">
        <v>154.85</v>
      </c>
      <c r="F89" s="21">
        <v>154.77</v>
      </c>
      <c r="G89" s="21" t="s">
        <v>119</v>
      </c>
      <c r="H89" s="21">
        <v>53.31</v>
      </c>
      <c r="I89" s="21">
        <v>39.93</v>
      </c>
      <c r="J89" s="21">
        <v>155.09</v>
      </c>
      <c r="K89" s="21">
        <v>154.83</v>
      </c>
      <c r="L89" s="21" t="s">
        <v>761</v>
      </c>
    </row>
    <row r="90">
      <c r="A90" s="237" t="s">
        <v>788</v>
      </c>
      <c r="B90" s="233">
        <v>817.0</v>
      </c>
      <c r="C90" s="234" t="s">
        <v>710</v>
      </c>
      <c r="L90" s="235" t="s">
        <v>761</v>
      </c>
    </row>
    <row r="91">
      <c r="A91" s="231" t="s">
        <v>789</v>
      </c>
      <c r="B91" s="232">
        <v>877.0</v>
      </c>
      <c r="C91" s="21">
        <v>52.75</v>
      </c>
      <c r="D91" s="21">
        <v>41.86</v>
      </c>
      <c r="E91" s="21">
        <v>157.28</v>
      </c>
      <c r="F91" s="21">
        <v>157.38</v>
      </c>
      <c r="G91" s="21" t="s">
        <v>119</v>
      </c>
      <c r="H91" s="21">
        <v>52.81</v>
      </c>
      <c r="I91" s="21">
        <v>42.08</v>
      </c>
      <c r="J91" s="21">
        <v>157.55</v>
      </c>
      <c r="K91" s="21">
        <v>157.21</v>
      </c>
      <c r="L91" s="21" t="s">
        <v>761</v>
      </c>
    </row>
    <row r="92">
      <c r="A92" s="231" t="s">
        <v>790</v>
      </c>
      <c r="B92" s="232">
        <v>513.0</v>
      </c>
      <c r="C92" s="21">
        <v>52.65</v>
      </c>
      <c r="D92" s="21">
        <v>41.98</v>
      </c>
      <c r="E92" s="21">
        <v>157.02</v>
      </c>
      <c r="F92" s="21">
        <v>157.15</v>
      </c>
      <c r="G92" s="21" t="s">
        <v>119</v>
      </c>
      <c r="H92" s="21">
        <v>52.77</v>
      </c>
      <c r="I92" s="21">
        <v>42.06</v>
      </c>
      <c r="J92" s="21">
        <v>157.39</v>
      </c>
      <c r="K92" s="21">
        <v>157.22</v>
      </c>
      <c r="L92" s="21" t="s">
        <v>761</v>
      </c>
    </row>
    <row r="93">
      <c r="A93" s="231" t="s">
        <v>791</v>
      </c>
      <c r="B93" s="232">
        <v>330.0</v>
      </c>
      <c r="C93" s="21">
        <v>52.71</v>
      </c>
      <c r="D93" s="21">
        <v>41.93</v>
      </c>
      <c r="E93" s="21">
        <v>157.02</v>
      </c>
      <c r="F93" s="21">
        <v>157.17</v>
      </c>
      <c r="G93" s="21" t="s">
        <v>119</v>
      </c>
      <c r="H93" s="21">
        <v>52.76</v>
      </c>
      <c r="I93" s="21">
        <v>42.04</v>
      </c>
      <c r="J93" s="21">
        <v>157.31</v>
      </c>
      <c r="K93" s="21">
        <v>157.21</v>
      </c>
      <c r="L93" s="21" t="s">
        <v>761</v>
      </c>
    </row>
    <row r="94">
      <c r="A94" s="231" t="s">
        <v>510</v>
      </c>
      <c r="B94" s="232">
        <v>1633.0</v>
      </c>
      <c r="C94" s="21">
        <v>53.86</v>
      </c>
      <c r="D94" s="21">
        <v>39.09</v>
      </c>
      <c r="E94" s="21">
        <v>156.01</v>
      </c>
      <c r="F94" s="21">
        <v>155.66</v>
      </c>
      <c r="G94" s="21" t="s">
        <v>119</v>
      </c>
      <c r="H94" s="21">
        <v>54.28</v>
      </c>
      <c r="I94" s="21">
        <v>39.17</v>
      </c>
      <c r="J94" s="21">
        <v>156.08</v>
      </c>
      <c r="K94" s="21">
        <v>156.1</v>
      </c>
      <c r="L94" s="21" t="s">
        <v>761</v>
      </c>
    </row>
    <row r="95">
      <c r="A95" s="231" t="s">
        <v>636</v>
      </c>
      <c r="B95" s="232">
        <v>684.0</v>
      </c>
      <c r="C95" s="21">
        <v>53.84</v>
      </c>
      <c r="D95" s="21">
        <v>39.05</v>
      </c>
      <c r="E95" s="21">
        <v>155.89</v>
      </c>
      <c r="F95" s="21">
        <v>155.97</v>
      </c>
      <c r="G95" s="21" t="s">
        <v>119</v>
      </c>
      <c r="H95" s="21">
        <v>54.3</v>
      </c>
      <c r="I95" s="21">
        <v>39.24</v>
      </c>
      <c r="J95" s="21">
        <v>156.17</v>
      </c>
      <c r="K95" s="21">
        <v>155.91</v>
      </c>
      <c r="L95" s="21" t="s">
        <v>761</v>
      </c>
    </row>
    <row r="96">
      <c r="A96" s="231" t="s">
        <v>225</v>
      </c>
      <c r="B96" s="232">
        <v>84.0</v>
      </c>
      <c r="C96" s="21">
        <v>51.15</v>
      </c>
      <c r="D96" s="21">
        <v>41.09</v>
      </c>
      <c r="E96" s="21">
        <v>155.43</v>
      </c>
      <c r="F96" s="21">
        <v>155.6</v>
      </c>
      <c r="G96" s="21" t="s">
        <v>119</v>
      </c>
      <c r="H96" s="21">
        <v>51.2</v>
      </c>
      <c r="I96" s="21">
        <v>41.1</v>
      </c>
      <c r="J96" s="21">
        <v>155.52</v>
      </c>
      <c r="K96" s="21">
        <v>155.7</v>
      </c>
      <c r="L96" s="21" t="s">
        <v>761</v>
      </c>
    </row>
    <row r="97">
      <c r="A97" s="231" t="s">
        <v>792</v>
      </c>
      <c r="B97" s="232">
        <v>900.0</v>
      </c>
      <c r="C97" s="21">
        <v>49.88</v>
      </c>
      <c r="D97" s="21">
        <v>39.02</v>
      </c>
      <c r="E97" s="21">
        <v>148.32</v>
      </c>
      <c r="F97" s="21">
        <v>148.34</v>
      </c>
      <c r="G97" s="21" t="s">
        <v>119</v>
      </c>
      <c r="H97" s="21">
        <v>49.92</v>
      </c>
      <c r="I97" s="21">
        <v>39.3</v>
      </c>
      <c r="J97" s="21">
        <v>148.72</v>
      </c>
      <c r="K97" s="21">
        <v>148.27</v>
      </c>
      <c r="L97" s="21" t="s">
        <v>761</v>
      </c>
    </row>
    <row r="98">
      <c r="A98" s="231" t="s">
        <v>793</v>
      </c>
      <c r="B98" s="232">
        <v>639.0</v>
      </c>
      <c r="C98" s="21">
        <v>49.99</v>
      </c>
      <c r="D98" s="21">
        <v>39.09</v>
      </c>
      <c r="E98" s="21">
        <v>148.52</v>
      </c>
      <c r="F98" s="21">
        <v>148.6</v>
      </c>
      <c r="G98" s="21" t="s">
        <v>119</v>
      </c>
      <c r="H98" s="21">
        <v>50.0</v>
      </c>
      <c r="I98" s="21">
        <v>39.36</v>
      </c>
      <c r="J98" s="21">
        <v>148.88</v>
      </c>
      <c r="K98" s="21">
        <v>148.54</v>
      </c>
      <c r="L98" s="21" t="s">
        <v>761</v>
      </c>
    </row>
    <row r="99">
      <c r="A99" s="231" t="s">
        <v>794</v>
      </c>
      <c r="B99" s="232">
        <v>309.0</v>
      </c>
      <c r="C99" s="21">
        <v>50.01</v>
      </c>
      <c r="D99" s="21">
        <v>39.21</v>
      </c>
      <c r="E99" s="21">
        <v>148.69</v>
      </c>
      <c r="F99" s="21">
        <v>148.61</v>
      </c>
      <c r="G99" s="21" t="s">
        <v>119</v>
      </c>
      <c r="H99" s="21">
        <v>50.04</v>
      </c>
      <c r="I99" s="21">
        <v>39.55</v>
      </c>
      <c r="J99" s="21">
        <v>149.11</v>
      </c>
      <c r="K99" s="21">
        <v>148.59</v>
      </c>
      <c r="L99" s="21" t="s">
        <v>761</v>
      </c>
    </row>
    <row r="100">
      <c r="A100" s="231" t="s">
        <v>152</v>
      </c>
      <c r="B100" s="232">
        <v>304.0</v>
      </c>
      <c r="C100" s="21">
        <v>49.98</v>
      </c>
      <c r="D100" s="21">
        <v>39.17</v>
      </c>
      <c r="E100" s="21">
        <v>148.31</v>
      </c>
      <c r="F100" s="21">
        <v>148.31</v>
      </c>
      <c r="G100" s="21" t="s">
        <v>119</v>
      </c>
      <c r="H100" s="21">
        <v>49.99</v>
      </c>
      <c r="I100" s="21">
        <v>49.99</v>
      </c>
      <c r="J100" s="21">
        <v>148.36</v>
      </c>
      <c r="K100" s="21">
        <v>148.36</v>
      </c>
      <c r="L100" s="21" t="s">
        <v>761</v>
      </c>
    </row>
    <row r="101">
      <c r="A101" s="231" t="s">
        <v>795</v>
      </c>
      <c r="B101" s="232">
        <v>300.0</v>
      </c>
      <c r="C101" s="21">
        <v>50.11</v>
      </c>
      <c r="D101" s="21">
        <v>39.3</v>
      </c>
      <c r="E101" s="21">
        <v>148.9</v>
      </c>
      <c r="F101" s="21">
        <v>148.92</v>
      </c>
      <c r="G101" s="21" t="s">
        <v>119</v>
      </c>
      <c r="H101" s="21">
        <v>50.19</v>
      </c>
      <c r="I101" s="21">
        <v>39.58</v>
      </c>
      <c r="J101" s="21">
        <v>149.39</v>
      </c>
      <c r="K101" s="21">
        <v>149.1</v>
      </c>
      <c r="L101" s="21" t="s">
        <v>761</v>
      </c>
    </row>
    <row r="102">
      <c r="A102" s="231" t="s">
        <v>796</v>
      </c>
      <c r="B102" s="232">
        <v>900.0</v>
      </c>
      <c r="C102" s="21">
        <v>49.71</v>
      </c>
      <c r="D102" s="21">
        <v>39.13</v>
      </c>
      <c r="E102" s="21">
        <v>148.59</v>
      </c>
      <c r="F102" s="21">
        <v>148.59</v>
      </c>
      <c r="G102" s="21" t="s">
        <v>119</v>
      </c>
      <c r="H102" s="21">
        <v>49.85</v>
      </c>
      <c r="I102" s="21">
        <v>39.33</v>
      </c>
      <c r="J102" s="21">
        <v>148.94</v>
      </c>
      <c r="K102" s="21">
        <v>148.88</v>
      </c>
      <c r="L102" s="21" t="s">
        <v>761</v>
      </c>
    </row>
    <row r="103">
      <c r="A103" s="231" t="s">
        <v>797</v>
      </c>
      <c r="B103" s="232">
        <v>500.0</v>
      </c>
      <c r="C103" s="21">
        <v>50.16</v>
      </c>
      <c r="D103" s="21">
        <v>39.37</v>
      </c>
      <c r="E103" s="21">
        <v>149.35</v>
      </c>
      <c r="F103" s="21">
        <v>149.32</v>
      </c>
      <c r="G103" s="21" t="s">
        <v>119</v>
      </c>
      <c r="H103" s="21">
        <v>50.17</v>
      </c>
      <c r="I103" s="21">
        <v>39.39</v>
      </c>
      <c r="J103" s="21">
        <v>149.23</v>
      </c>
      <c r="K103" s="21">
        <v>149.27</v>
      </c>
      <c r="L103" s="21" t="s">
        <v>761</v>
      </c>
    </row>
    <row r="104">
      <c r="A104" s="231" t="s">
        <v>798</v>
      </c>
      <c r="B104" s="232">
        <v>308.0</v>
      </c>
      <c r="C104" s="21">
        <v>50.22</v>
      </c>
      <c r="D104" s="21">
        <v>39.58</v>
      </c>
      <c r="E104" s="21">
        <v>149.54</v>
      </c>
      <c r="F104" s="21">
        <v>149.38</v>
      </c>
      <c r="G104" s="21" t="s">
        <v>119</v>
      </c>
      <c r="H104" s="21">
        <v>50.29</v>
      </c>
      <c r="I104" s="21">
        <v>39.66</v>
      </c>
      <c r="J104" s="21">
        <v>149.71</v>
      </c>
      <c r="K104" s="21">
        <v>149.56</v>
      </c>
      <c r="L104" s="21" t="s">
        <v>761</v>
      </c>
    </row>
    <row r="105">
      <c r="A105" s="231" t="s">
        <v>799</v>
      </c>
      <c r="B105" s="232">
        <v>302.0</v>
      </c>
      <c r="C105" s="21">
        <v>50.09</v>
      </c>
      <c r="D105" s="21">
        <v>39.3</v>
      </c>
      <c r="E105" s="21">
        <v>148.93</v>
      </c>
      <c r="F105" s="21">
        <v>148.91</v>
      </c>
      <c r="G105" s="21" t="s">
        <v>119</v>
      </c>
      <c r="H105" s="21">
        <v>50.12</v>
      </c>
      <c r="I105" s="21">
        <v>39.52</v>
      </c>
      <c r="J105" s="21">
        <v>149.25</v>
      </c>
      <c r="K105" s="21">
        <v>148.93</v>
      </c>
      <c r="L105" s="21" t="s">
        <v>761</v>
      </c>
    </row>
    <row r="106">
      <c r="A106" s="231" t="s">
        <v>800</v>
      </c>
      <c r="B106" s="232">
        <v>72.0</v>
      </c>
      <c r="C106" s="21">
        <v>49.93</v>
      </c>
      <c r="D106" s="21">
        <v>39.3</v>
      </c>
      <c r="E106" s="21">
        <v>148.15</v>
      </c>
      <c r="F106" s="21">
        <v>148.49</v>
      </c>
      <c r="G106" s="21" t="s">
        <v>119</v>
      </c>
      <c r="H106" s="21">
        <v>49.97</v>
      </c>
      <c r="I106" s="21">
        <v>39.41</v>
      </c>
      <c r="J106" s="21">
        <v>148.38</v>
      </c>
      <c r="K106" s="21">
        <v>148.49</v>
      </c>
      <c r="L106" s="21" t="s">
        <v>761</v>
      </c>
    </row>
    <row r="107">
      <c r="A107" s="231" t="s">
        <v>443</v>
      </c>
      <c r="B107" s="232">
        <v>54.0</v>
      </c>
      <c r="C107" s="21">
        <v>50.1</v>
      </c>
      <c r="D107" s="21">
        <v>39.28</v>
      </c>
      <c r="E107" s="21">
        <v>149.13</v>
      </c>
      <c r="F107" s="21">
        <v>148.93</v>
      </c>
      <c r="G107" s="21" t="s">
        <v>119</v>
      </c>
      <c r="H107" s="21">
        <v>50.11</v>
      </c>
      <c r="I107" s="21">
        <v>39.29</v>
      </c>
      <c r="J107" s="21">
        <v>149.16</v>
      </c>
      <c r="K107" s="21">
        <v>148.98</v>
      </c>
      <c r="L107" s="21" t="s">
        <v>761</v>
      </c>
    </row>
    <row r="108">
      <c r="A108" s="231" t="s">
        <v>291</v>
      </c>
      <c r="B108" s="232">
        <v>1704.0</v>
      </c>
      <c r="C108" s="21">
        <v>49.99</v>
      </c>
      <c r="D108" s="21">
        <v>39.3</v>
      </c>
      <c r="E108" s="21">
        <v>148.96</v>
      </c>
      <c r="F108" s="21">
        <v>149.0</v>
      </c>
      <c r="G108" s="21" t="s">
        <v>119</v>
      </c>
      <c r="H108" s="21">
        <v>50.0</v>
      </c>
      <c r="I108" s="21">
        <v>39.3</v>
      </c>
      <c r="J108" s="21">
        <v>148.96</v>
      </c>
      <c r="K108" s="21">
        <v>149.01</v>
      </c>
      <c r="L108" s="21" t="s">
        <v>761</v>
      </c>
    </row>
    <row r="109">
      <c r="A109" s="231" t="s">
        <v>801</v>
      </c>
      <c r="B109" s="232">
        <v>912.0</v>
      </c>
      <c r="C109" s="21">
        <v>50.07</v>
      </c>
      <c r="D109" s="21">
        <v>39.27</v>
      </c>
      <c r="E109" s="21">
        <v>149.19</v>
      </c>
      <c r="F109" s="21">
        <v>149.07</v>
      </c>
      <c r="G109" s="21" t="s">
        <v>119</v>
      </c>
      <c r="H109" s="21">
        <v>50.09</v>
      </c>
      <c r="I109" s="21">
        <v>39.29</v>
      </c>
      <c r="J109" s="21">
        <v>149.23</v>
      </c>
      <c r="K109" s="21">
        <v>149.17</v>
      </c>
      <c r="L109" s="21" t="s">
        <v>761</v>
      </c>
    </row>
    <row r="110">
      <c r="A110" s="231" t="s">
        <v>260</v>
      </c>
      <c r="B110" s="232">
        <v>701.0</v>
      </c>
      <c r="C110" s="21">
        <v>49.97</v>
      </c>
      <c r="D110" s="21">
        <v>39.35</v>
      </c>
      <c r="E110" s="21">
        <v>149.07</v>
      </c>
      <c r="F110" s="21">
        <v>149.08</v>
      </c>
      <c r="G110" s="21" t="s">
        <v>119</v>
      </c>
      <c r="H110" s="21">
        <v>49.98</v>
      </c>
      <c r="I110" s="21">
        <v>39.35</v>
      </c>
      <c r="J110" s="21">
        <v>149.04</v>
      </c>
      <c r="K110" s="21">
        <v>149.09</v>
      </c>
      <c r="L110" s="21" t="s">
        <v>761</v>
      </c>
    </row>
    <row r="111">
      <c r="A111" s="231" t="s">
        <v>802</v>
      </c>
      <c r="B111" s="232">
        <v>519.0</v>
      </c>
      <c r="C111" s="21">
        <v>50.04</v>
      </c>
      <c r="D111" s="21">
        <v>39.12</v>
      </c>
      <c r="E111" s="21">
        <v>148.62</v>
      </c>
      <c r="F111" s="21">
        <v>148.64</v>
      </c>
      <c r="G111" s="21" t="s">
        <v>119</v>
      </c>
      <c r="H111" s="21">
        <v>50.06</v>
      </c>
      <c r="I111" s="21">
        <v>39.45</v>
      </c>
      <c r="J111" s="21">
        <v>149.07</v>
      </c>
      <c r="K111" s="21">
        <v>148.55</v>
      </c>
      <c r="L111" s="21" t="s">
        <v>761</v>
      </c>
    </row>
    <row r="112">
      <c r="A112" s="231" t="s">
        <v>803</v>
      </c>
      <c r="B112" s="232">
        <v>501.0</v>
      </c>
      <c r="C112" s="21">
        <v>50.12</v>
      </c>
      <c r="D112" s="21">
        <v>39.26</v>
      </c>
      <c r="E112" s="21">
        <v>148.81</v>
      </c>
      <c r="F112" s="21">
        <v>148.86</v>
      </c>
      <c r="G112" s="21" t="s">
        <v>119</v>
      </c>
      <c r="H112" s="21">
        <v>50.2</v>
      </c>
      <c r="I112" s="21">
        <v>39.45</v>
      </c>
      <c r="J112" s="21">
        <v>149.3</v>
      </c>
      <c r="K112" s="21">
        <v>148.91</v>
      </c>
      <c r="L112" s="21" t="s">
        <v>761</v>
      </c>
    </row>
    <row r="113">
      <c r="A113" s="231" t="s">
        <v>804</v>
      </c>
      <c r="B113" s="232">
        <v>404.0</v>
      </c>
      <c r="C113" s="21">
        <v>50.19</v>
      </c>
      <c r="D113" s="21">
        <v>39.44</v>
      </c>
      <c r="E113" s="21">
        <v>149.3</v>
      </c>
      <c r="F113" s="21">
        <v>148.91</v>
      </c>
      <c r="G113" s="21" t="s">
        <v>119</v>
      </c>
      <c r="H113" s="21">
        <v>50.2</v>
      </c>
      <c r="I113" s="21">
        <v>39.45</v>
      </c>
      <c r="J113" s="21">
        <v>149.15</v>
      </c>
      <c r="K113" s="21">
        <v>148.9</v>
      </c>
      <c r="L113" s="21" t="s">
        <v>761</v>
      </c>
    </row>
    <row r="114">
      <c r="A114" s="231" t="s">
        <v>805</v>
      </c>
      <c r="B114" s="232">
        <v>304.0</v>
      </c>
      <c r="C114" s="21">
        <v>50.31</v>
      </c>
      <c r="D114" s="21">
        <v>39.5</v>
      </c>
      <c r="E114" s="21">
        <v>149.57</v>
      </c>
      <c r="F114" s="21">
        <v>149.6</v>
      </c>
      <c r="G114" s="21" t="s">
        <v>119</v>
      </c>
      <c r="H114" s="21">
        <v>50.35</v>
      </c>
      <c r="I114" s="21">
        <v>39.74</v>
      </c>
      <c r="J114" s="21">
        <v>149.97</v>
      </c>
      <c r="K114" s="21">
        <v>149.7</v>
      </c>
      <c r="L114" s="21" t="s">
        <v>761</v>
      </c>
    </row>
    <row r="115">
      <c r="A115" s="231" t="s">
        <v>806</v>
      </c>
      <c r="B115" s="232">
        <v>256.0</v>
      </c>
      <c r="C115" s="21">
        <v>50.02</v>
      </c>
      <c r="D115" s="21">
        <v>39.22</v>
      </c>
      <c r="E115" s="21">
        <v>149.09</v>
      </c>
      <c r="F115" s="21">
        <v>149.07</v>
      </c>
      <c r="G115" s="21" t="s">
        <v>119</v>
      </c>
      <c r="H115" s="21">
        <v>50.08</v>
      </c>
      <c r="I115" s="21">
        <v>39.36</v>
      </c>
      <c r="J115" s="21">
        <v>149.18</v>
      </c>
      <c r="K115" s="21">
        <v>149.06</v>
      </c>
      <c r="L115" s="21" t="s">
        <v>761</v>
      </c>
    </row>
    <row r="116">
      <c r="A116" s="231" t="s">
        <v>807</v>
      </c>
      <c r="B116" s="232">
        <v>1255.0</v>
      </c>
      <c r="C116" s="21">
        <v>50.09</v>
      </c>
      <c r="D116" s="21">
        <v>39.38</v>
      </c>
      <c r="E116" s="21">
        <v>149.45</v>
      </c>
      <c r="F116" s="21">
        <v>149.31</v>
      </c>
      <c r="G116" s="21" t="s">
        <v>119</v>
      </c>
      <c r="H116" s="21">
        <v>50.13</v>
      </c>
      <c r="I116" s="21">
        <v>39.4</v>
      </c>
      <c r="J116" s="21">
        <v>149.5</v>
      </c>
      <c r="K116" s="21">
        <v>149.47</v>
      </c>
      <c r="L116" s="21" t="s">
        <v>761</v>
      </c>
    </row>
    <row r="117">
      <c r="A117" s="231" t="s">
        <v>808</v>
      </c>
      <c r="B117" s="232">
        <v>1203.0</v>
      </c>
      <c r="C117" s="21">
        <v>50.09</v>
      </c>
      <c r="D117" s="21">
        <v>39.4</v>
      </c>
      <c r="E117" s="21">
        <v>148.95</v>
      </c>
      <c r="F117" s="21">
        <v>148.76</v>
      </c>
      <c r="G117" s="21" t="s">
        <v>119</v>
      </c>
      <c r="H117" s="21">
        <v>50.13</v>
      </c>
      <c r="I117" s="21">
        <v>39.45</v>
      </c>
      <c r="J117" s="21">
        <v>149.15</v>
      </c>
      <c r="K117" s="21">
        <v>148.8</v>
      </c>
      <c r="L117" s="21" t="s">
        <v>761</v>
      </c>
    </row>
    <row r="118">
      <c r="A118" s="231" t="s">
        <v>809</v>
      </c>
      <c r="B118" s="232">
        <v>1057.0</v>
      </c>
      <c r="C118" s="21">
        <v>49.82</v>
      </c>
      <c r="D118" s="21">
        <v>39.13</v>
      </c>
      <c r="E118" s="21">
        <v>149.13</v>
      </c>
      <c r="F118" s="21">
        <v>148.82</v>
      </c>
      <c r="G118" s="21" t="s">
        <v>119</v>
      </c>
      <c r="H118" s="21">
        <v>50.12</v>
      </c>
      <c r="I118" s="21">
        <v>39.2</v>
      </c>
      <c r="J118" s="21">
        <v>149.12</v>
      </c>
      <c r="K118" s="21">
        <v>149.26</v>
      </c>
      <c r="L118" s="21" t="s">
        <v>761</v>
      </c>
    </row>
    <row r="119">
      <c r="A119" s="231" t="s">
        <v>810</v>
      </c>
      <c r="B119" s="232">
        <v>1026.0</v>
      </c>
      <c r="C119" s="21">
        <v>50.03</v>
      </c>
      <c r="D119" s="21">
        <v>39.34</v>
      </c>
      <c r="E119" s="21">
        <v>149.04</v>
      </c>
      <c r="F119" s="21">
        <v>148.84</v>
      </c>
      <c r="G119" s="21" t="s">
        <v>119</v>
      </c>
      <c r="H119" s="21">
        <v>50.16</v>
      </c>
      <c r="I119" s="21">
        <v>39.53</v>
      </c>
      <c r="J119" s="21">
        <v>149.37</v>
      </c>
      <c r="K119" s="21">
        <v>149.1</v>
      </c>
      <c r="L119" s="21" t="s">
        <v>761</v>
      </c>
    </row>
    <row r="120">
      <c r="A120" s="231" t="s">
        <v>811</v>
      </c>
      <c r="B120" s="232">
        <v>899.0</v>
      </c>
      <c r="C120" s="21">
        <v>50.0</v>
      </c>
      <c r="D120" s="21">
        <v>39.12</v>
      </c>
      <c r="E120" s="21">
        <v>148.7</v>
      </c>
      <c r="F120" s="21">
        <v>148.73</v>
      </c>
      <c r="G120" s="21" t="s">
        <v>119</v>
      </c>
      <c r="H120" s="21">
        <v>50.09</v>
      </c>
      <c r="I120" s="21">
        <v>39.24</v>
      </c>
      <c r="J120" s="21">
        <v>148.96</v>
      </c>
      <c r="K120" s="21">
        <v>148.75</v>
      </c>
      <c r="L120" s="21" t="s">
        <v>761</v>
      </c>
    </row>
    <row r="121">
      <c r="A121" s="231" t="s">
        <v>812</v>
      </c>
      <c r="B121" s="232">
        <v>743.0</v>
      </c>
      <c r="C121" s="21">
        <v>50.12</v>
      </c>
      <c r="D121" s="21">
        <v>39.48</v>
      </c>
      <c r="E121" s="21">
        <v>149.55</v>
      </c>
      <c r="F121" s="21">
        <v>149.45</v>
      </c>
      <c r="G121" s="21" t="s">
        <v>119</v>
      </c>
      <c r="H121" s="21">
        <v>50.16</v>
      </c>
      <c r="I121" s="21">
        <v>39.5</v>
      </c>
      <c r="J121" s="21">
        <v>149.44</v>
      </c>
      <c r="K121" s="21">
        <v>149.5</v>
      </c>
      <c r="L121" s="21" t="s">
        <v>761</v>
      </c>
    </row>
    <row r="122">
      <c r="A122" s="231" t="s">
        <v>813</v>
      </c>
      <c r="B122" s="232">
        <v>600.0</v>
      </c>
      <c r="C122" s="21">
        <v>50.0</v>
      </c>
      <c r="D122" s="21">
        <v>39.22</v>
      </c>
      <c r="E122" s="21">
        <v>148.75</v>
      </c>
      <c r="F122" s="21">
        <v>148.74</v>
      </c>
      <c r="G122" s="21" t="s">
        <v>119</v>
      </c>
      <c r="H122" s="21">
        <v>50.08</v>
      </c>
      <c r="I122" s="21">
        <v>39.36</v>
      </c>
      <c r="J122" s="21">
        <v>148.97</v>
      </c>
      <c r="K122" s="21">
        <v>148.65</v>
      </c>
      <c r="L122" s="21" t="s">
        <v>761</v>
      </c>
    </row>
    <row r="123">
      <c r="A123" s="231" t="s">
        <v>814</v>
      </c>
      <c r="B123" s="232">
        <v>300.0</v>
      </c>
      <c r="C123" s="21">
        <v>50.11</v>
      </c>
      <c r="D123" s="21">
        <v>39.3</v>
      </c>
      <c r="E123" s="21">
        <v>148.83</v>
      </c>
      <c r="F123" s="21">
        <v>148.84</v>
      </c>
      <c r="G123" s="21" t="s">
        <v>119</v>
      </c>
      <c r="H123" s="21">
        <v>50.14</v>
      </c>
      <c r="I123" s="21">
        <v>39.54</v>
      </c>
      <c r="J123" s="21">
        <v>149.1</v>
      </c>
      <c r="K123" s="21">
        <v>148.8</v>
      </c>
      <c r="L123" s="21" t="s">
        <v>761</v>
      </c>
    </row>
    <row r="124">
      <c r="A124" s="231" t="s">
        <v>815</v>
      </c>
      <c r="B124" s="232">
        <v>131.0</v>
      </c>
      <c r="C124" s="21">
        <v>49.94</v>
      </c>
      <c r="D124" s="21">
        <v>39.29</v>
      </c>
      <c r="E124" s="21">
        <v>149.13</v>
      </c>
      <c r="F124" s="21">
        <v>149.01</v>
      </c>
      <c r="G124" s="21" t="s">
        <v>119</v>
      </c>
      <c r="H124" s="21">
        <v>50.06</v>
      </c>
      <c r="I124" s="21">
        <v>39.31</v>
      </c>
      <c r="J124" s="21">
        <v>149.22</v>
      </c>
      <c r="K124" s="21">
        <v>149.24</v>
      </c>
      <c r="L124" s="21" t="s">
        <v>761</v>
      </c>
    </row>
    <row r="125">
      <c r="A125" s="231" t="s">
        <v>816</v>
      </c>
      <c r="B125" s="232">
        <v>543.0</v>
      </c>
      <c r="C125" s="21">
        <v>54.63</v>
      </c>
      <c r="D125" s="21">
        <v>43.41</v>
      </c>
      <c r="E125" s="21">
        <v>161.77</v>
      </c>
      <c r="F125" s="21">
        <v>161.78</v>
      </c>
      <c r="G125" s="21" t="s">
        <v>119</v>
      </c>
      <c r="H125" s="21">
        <v>54.79</v>
      </c>
      <c r="I125" s="21">
        <v>43.51</v>
      </c>
      <c r="J125" s="21">
        <v>161.81</v>
      </c>
      <c r="K125" s="21">
        <v>161.86</v>
      </c>
      <c r="L125" s="21" t="s">
        <v>761</v>
      </c>
    </row>
    <row r="126">
      <c r="A126" s="231" t="s">
        <v>817</v>
      </c>
      <c r="B126" s="232">
        <v>249.0</v>
      </c>
      <c r="C126" s="21">
        <v>54.85</v>
      </c>
      <c r="D126" s="21">
        <v>43.42</v>
      </c>
      <c r="E126" s="21">
        <v>161.95</v>
      </c>
      <c r="F126" s="21">
        <v>161.88</v>
      </c>
      <c r="G126" s="21" t="s">
        <v>119</v>
      </c>
      <c r="H126" s="21">
        <v>54.86</v>
      </c>
      <c r="I126" s="21">
        <v>43.66</v>
      </c>
      <c r="J126" s="21">
        <v>162.2</v>
      </c>
      <c r="K126" s="21">
        <v>161.75</v>
      </c>
      <c r="L126" s="21" t="s">
        <v>761</v>
      </c>
    </row>
    <row r="127">
      <c r="A127" s="231" t="s">
        <v>818</v>
      </c>
      <c r="B127" s="232">
        <v>595.0</v>
      </c>
      <c r="C127" s="21">
        <v>50.62</v>
      </c>
      <c r="D127" s="21">
        <v>40.05</v>
      </c>
      <c r="E127" s="21">
        <v>152.64</v>
      </c>
      <c r="F127" s="21">
        <v>153.7</v>
      </c>
      <c r="G127" s="21" t="s">
        <v>119</v>
      </c>
      <c r="H127" s="21">
        <v>50.85</v>
      </c>
      <c r="I127" s="21">
        <v>40.15</v>
      </c>
      <c r="J127" s="21">
        <v>153.03</v>
      </c>
      <c r="K127" s="21">
        <v>153.55</v>
      </c>
      <c r="L127" s="21" t="s">
        <v>761</v>
      </c>
    </row>
    <row r="128">
      <c r="A128" s="231" t="s">
        <v>819</v>
      </c>
      <c r="B128" s="232">
        <v>373.0</v>
      </c>
      <c r="C128" s="21">
        <v>50.89</v>
      </c>
      <c r="D128" s="21">
        <v>40.21</v>
      </c>
      <c r="E128" s="21">
        <v>153.42</v>
      </c>
      <c r="F128" s="21">
        <v>154.2</v>
      </c>
      <c r="G128" s="21" t="s">
        <v>119</v>
      </c>
      <c r="H128" s="21">
        <v>51.03</v>
      </c>
      <c r="I128" s="21">
        <v>40.28</v>
      </c>
      <c r="J128" s="21">
        <v>153.72</v>
      </c>
      <c r="K128" s="21">
        <v>154.23</v>
      </c>
      <c r="L128" s="21" t="s">
        <v>761</v>
      </c>
    </row>
    <row r="129">
      <c r="A129" s="237" t="s">
        <v>820</v>
      </c>
      <c r="B129" s="233">
        <v>81.0</v>
      </c>
      <c r="C129" s="234" t="s">
        <v>710</v>
      </c>
      <c r="L129" s="235" t="s">
        <v>761</v>
      </c>
    </row>
    <row r="130">
      <c r="A130" s="231" t="s">
        <v>821</v>
      </c>
      <c r="B130" s="232">
        <v>34.0</v>
      </c>
      <c r="C130" s="21">
        <v>52.49</v>
      </c>
      <c r="D130" s="21">
        <v>42.01</v>
      </c>
      <c r="E130" s="21">
        <v>155.46</v>
      </c>
      <c r="F130" s="21">
        <v>155.46</v>
      </c>
      <c r="G130" s="21" t="s">
        <v>119</v>
      </c>
      <c r="H130" s="21">
        <v>52.53</v>
      </c>
      <c r="I130" s="21">
        <v>42.05</v>
      </c>
      <c r="J130" s="21">
        <v>155.63</v>
      </c>
      <c r="K130" s="21">
        <v>155.63</v>
      </c>
      <c r="L130" s="21" t="s">
        <v>761</v>
      </c>
    </row>
  </sheetData>
  <autoFilter ref="$A$1:$A$1000"/>
  <mergeCells count="11">
    <mergeCell ref="C44:K44"/>
    <mergeCell ref="C88:K88"/>
    <mergeCell ref="C90:K90"/>
    <mergeCell ref="C129:K129"/>
    <mergeCell ref="C8:K8"/>
    <mergeCell ref="C27:K27"/>
    <mergeCell ref="C31:K31"/>
    <mergeCell ref="C32:K32"/>
    <mergeCell ref="C34:K34"/>
    <mergeCell ref="C37:K37"/>
    <mergeCell ref="C42:K42"/>
  </mergeCells>
  <dataValidations>
    <dataValidation type="list" allowBlank="1" showErrorMessage="1" sqref="L2:L130">
      <formula1>"DHANENDRA,ADITI"</formula1>
    </dataValidation>
    <dataValidation type="list" allowBlank="1" showErrorMessage="1" sqref="G2:G7 G9:G26 G28:G30 G33 G35:G36 G38:G41 G43 G45:G87 G89 G91:G128 G130">
      <formula1>"MANUAL,TRACING"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38"/>
  </cols>
  <sheetData>
    <row r="1">
      <c r="A1" s="238" t="s">
        <v>822</v>
      </c>
      <c r="B1" s="150" t="s">
        <v>823</v>
      </c>
      <c r="C1" s="150" t="s">
        <v>656</v>
      </c>
      <c r="D1" s="150" t="s">
        <v>657</v>
      </c>
      <c r="E1" s="150" t="s">
        <v>658</v>
      </c>
      <c r="F1" s="150" t="s">
        <v>659</v>
      </c>
      <c r="G1" s="150" t="s">
        <v>660</v>
      </c>
      <c r="H1" s="150" t="s">
        <v>661</v>
      </c>
      <c r="I1" s="150" t="s">
        <v>43</v>
      </c>
      <c r="J1" s="150" t="s">
        <v>19</v>
      </c>
      <c r="K1" s="150" t="s">
        <v>137</v>
      </c>
      <c r="L1" s="150" t="s">
        <v>405</v>
      </c>
      <c r="M1" s="150" t="s">
        <v>336</v>
      </c>
      <c r="N1" s="150" t="s">
        <v>4</v>
      </c>
      <c r="O1" s="151" t="s">
        <v>5</v>
      </c>
      <c r="P1" s="21" t="s">
        <v>824</v>
      </c>
    </row>
    <row r="2">
      <c r="A2" s="239">
        <v>241074.0</v>
      </c>
      <c r="B2" s="152" t="s">
        <v>825</v>
      </c>
      <c r="C2" s="156" t="s">
        <v>468</v>
      </c>
      <c r="D2" s="153">
        <v>11.0</v>
      </c>
      <c r="E2" s="153">
        <v>11.0</v>
      </c>
      <c r="F2" s="153">
        <v>6.0</v>
      </c>
      <c r="G2" s="154">
        <v>0.545</v>
      </c>
      <c r="H2" s="152" t="s">
        <v>662</v>
      </c>
      <c r="I2" s="154">
        <v>0.3077</v>
      </c>
      <c r="J2" s="154">
        <v>0.0769</v>
      </c>
      <c r="K2" s="154">
        <v>0.0769</v>
      </c>
      <c r="L2" s="154">
        <v>0.1538</v>
      </c>
      <c r="M2" s="154">
        <v>0.0</v>
      </c>
      <c r="N2" s="152" t="s">
        <v>43</v>
      </c>
      <c r="O2" s="155">
        <v>0.3077</v>
      </c>
      <c r="P2" s="240" t="str">
        <f>VLOOKUP(C:C,'Loose Fitting'!A:A,1,0)</f>
        <v>#N/A</v>
      </c>
    </row>
    <row r="3">
      <c r="A3" s="241">
        <v>234791.0</v>
      </c>
      <c r="B3" s="156" t="s">
        <v>826</v>
      </c>
      <c r="C3" s="160" t="s">
        <v>494</v>
      </c>
      <c r="D3" s="157">
        <v>121.0</v>
      </c>
      <c r="E3" s="157">
        <v>111.0</v>
      </c>
      <c r="F3" s="157">
        <v>33.0</v>
      </c>
      <c r="G3" s="158">
        <v>0.297</v>
      </c>
      <c r="H3" s="156" t="s">
        <v>662</v>
      </c>
      <c r="I3" s="158">
        <v>0.1812</v>
      </c>
      <c r="J3" s="158">
        <v>0.0671</v>
      </c>
      <c r="K3" s="158">
        <v>0.0</v>
      </c>
      <c r="L3" s="158">
        <v>0.0403</v>
      </c>
      <c r="M3" s="158">
        <v>0.0403</v>
      </c>
      <c r="N3" s="156" t="s">
        <v>43</v>
      </c>
      <c r="O3" s="159">
        <v>0.1812</v>
      </c>
      <c r="P3" s="240" t="str">
        <f>VLOOKUP(C:C,'Loose Fitting'!A:A,1,0)</f>
        <v>#N/A</v>
      </c>
    </row>
    <row r="4">
      <c r="A4" s="241">
        <v>247078.0</v>
      </c>
      <c r="B4" s="156" t="s">
        <v>827</v>
      </c>
      <c r="C4" s="156" t="s">
        <v>469</v>
      </c>
      <c r="D4" s="157">
        <v>25.0</v>
      </c>
      <c r="E4" s="157">
        <v>25.0</v>
      </c>
      <c r="F4" s="157">
        <v>7.0</v>
      </c>
      <c r="G4" s="158">
        <v>0.28</v>
      </c>
      <c r="H4" s="156" t="s">
        <v>662</v>
      </c>
      <c r="I4" s="158">
        <v>0.1667</v>
      </c>
      <c r="J4" s="158">
        <v>0.0333</v>
      </c>
      <c r="K4" s="158">
        <v>0.0333</v>
      </c>
      <c r="L4" s="158">
        <v>0.0667</v>
      </c>
      <c r="M4" s="158">
        <v>0.0</v>
      </c>
      <c r="N4" s="156" t="s">
        <v>43</v>
      </c>
      <c r="O4" s="159">
        <v>0.1667</v>
      </c>
      <c r="P4" s="240" t="str">
        <f>VLOOKUP(C:C,'Loose Fitting'!A:A,1,0)</f>
        <v>#N/A</v>
      </c>
    </row>
    <row r="5">
      <c r="A5" s="241">
        <v>236092.0</v>
      </c>
      <c r="B5" s="156" t="s">
        <v>828</v>
      </c>
      <c r="C5" s="156" t="s">
        <v>470</v>
      </c>
      <c r="D5" s="157">
        <v>40.0</v>
      </c>
      <c r="E5" s="157">
        <v>40.0</v>
      </c>
      <c r="F5" s="157">
        <v>6.0</v>
      </c>
      <c r="G5" s="158">
        <v>0.15</v>
      </c>
      <c r="H5" s="156" t="s">
        <v>662</v>
      </c>
      <c r="I5" s="158">
        <v>0.0976</v>
      </c>
      <c r="J5" s="158">
        <v>0.0488</v>
      </c>
      <c r="K5" s="158">
        <v>0.0</v>
      </c>
      <c r="L5" s="158">
        <v>0.0244</v>
      </c>
      <c r="M5" s="158">
        <v>0.0</v>
      </c>
      <c r="N5" s="156" t="s">
        <v>43</v>
      </c>
      <c r="O5" s="159">
        <v>0.0976</v>
      </c>
      <c r="P5" s="240" t="str">
        <f>VLOOKUP(C:C,'Loose Fitting'!A:A,1,0)</f>
        <v>#N/A</v>
      </c>
    </row>
    <row r="6">
      <c r="A6" s="241">
        <v>234791.0</v>
      </c>
      <c r="B6" s="156" t="s">
        <v>829</v>
      </c>
      <c r="C6" s="160" t="s">
        <v>663</v>
      </c>
      <c r="D6" s="157">
        <v>39.0</v>
      </c>
      <c r="E6" s="157">
        <v>41.0</v>
      </c>
      <c r="F6" s="157">
        <v>5.0</v>
      </c>
      <c r="G6" s="158">
        <v>0.122</v>
      </c>
      <c r="H6" s="156" t="s">
        <v>662</v>
      </c>
      <c r="I6" s="158">
        <v>0.0909</v>
      </c>
      <c r="J6" s="158">
        <v>0.0</v>
      </c>
      <c r="K6" s="158">
        <v>0.0227</v>
      </c>
      <c r="L6" s="158">
        <v>0.0</v>
      </c>
      <c r="M6" s="158">
        <v>0.0227</v>
      </c>
      <c r="N6" s="156" t="s">
        <v>43</v>
      </c>
      <c r="O6" s="159">
        <v>0.0909</v>
      </c>
      <c r="P6" s="240" t="str">
        <f>VLOOKUP(C:C,'Loose Fitting'!A:A,1,0)</f>
        <v>#N/A</v>
      </c>
    </row>
    <row r="7">
      <c r="A7" s="239">
        <v>241117.0</v>
      </c>
      <c r="B7" s="152" t="s">
        <v>830</v>
      </c>
      <c r="C7" s="156" t="s">
        <v>471</v>
      </c>
      <c r="D7" s="153">
        <v>61.0</v>
      </c>
      <c r="E7" s="153">
        <v>57.0</v>
      </c>
      <c r="F7" s="153">
        <v>7.0</v>
      </c>
      <c r="G7" s="154">
        <v>0.123</v>
      </c>
      <c r="H7" s="152" t="s">
        <v>662</v>
      </c>
      <c r="I7" s="154">
        <v>0.0678</v>
      </c>
      <c r="J7" s="154">
        <v>0.0169</v>
      </c>
      <c r="K7" s="154">
        <v>0.0169</v>
      </c>
      <c r="L7" s="154">
        <v>0.0508</v>
      </c>
      <c r="M7" s="154">
        <v>0.0169</v>
      </c>
      <c r="N7" s="152" t="s">
        <v>43</v>
      </c>
      <c r="O7" s="155">
        <v>0.0678</v>
      </c>
      <c r="P7" s="240" t="str">
        <f>VLOOKUP(C:C,'Loose Fitting'!A:A,1,0)</f>
        <v>#N/A</v>
      </c>
    </row>
    <row r="8">
      <c r="A8" s="241">
        <v>217079.0</v>
      </c>
      <c r="B8" s="156" t="s">
        <v>831</v>
      </c>
      <c r="C8" s="156" t="s">
        <v>472</v>
      </c>
      <c r="D8" s="157">
        <v>149.0</v>
      </c>
      <c r="E8" s="157">
        <v>144.0</v>
      </c>
      <c r="F8" s="157">
        <v>8.0</v>
      </c>
      <c r="G8" s="158">
        <v>0.056</v>
      </c>
      <c r="H8" s="156" t="s">
        <v>662</v>
      </c>
      <c r="I8" s="158">
        <v>0.0411</v>
      </c>
      <c r="J8" s="158">
        <v>0.0</v>
      </c>
      <c r="K8" s="158">
        <v>0.0068</v>
      </c>
      <c r="L8" s="158">
        <v>0.0342</v>
      </c>
      <c r="M8" s="158">
        <v>0.0068</v>
      </c>
      <c r="N8" s="156" t="s">
        <v>43</v>
      </c>
      <c r="O8" s="159">
        <v>0.0411</v>
      </c>
      <c r="P8" s="240" t="str">
        <f>VLOOKUP(C:C,'Loose Fitting'!A:A,1,0)</f>
        <v>#N/A</v>
      </c>
    </row>
    <row r="9">
      <c r="A9" s="239">
        <v>222280.0</v>
      </c>
      <c r="B9" s="152" t="s">
        <v>832</v>
      </c>
      <c r="C9" s="156" t="s">
        <v>473</v>
      </c>
      <c r="D9" s="153">
        <v>76.0</v>
      </c>
      <c r="E9" s="153">
        <v>81.0</v>
      </c>
      <c r="F9" s="153">
        <v>5.0</v>
      </c>
      <c r="G9" s="154">
        <v>0.062</v>
      </c>
      <c r="H9" s="152" t="s">
        <v>662</v>
      </c>
      <c r="I9" s="154">
        <v>0.0361</v>
      </c>
      <c r="J9" s="154">
        <v>0.0</v>
      </c>
      <c r="K9" s="154">
        <v>0.0</v>
      </c>
      <c r="L9" s="154">
        <v>0.012</v>
      </c>
      <c r="M9" s="154">
        <v>0.0241</v>
      </c>
      <c r="N9" s="152" t="s">
        <v>43</v>
      </c>
      <c r="O9" s="155">
        <v>0.0361</v>
      </c>
      <c r="P9" s="240" t="str">
        <f>VLOOKUP(C:C,'Loose Fitting'!A:A,1,0)</f>
        <v>#N/A</v>
      </c>
    </row>
    <row r="10">
      <c r="A10" s="241">
        <v>137971.0</v>
      </c>
      <c r="B10" s="156" t="s">
        <v>833</v>
      </c>
      <c r="C10" s="156" t="s">
        <v>172</v>
      </c>
      <c r="D10" s="157">
        <v>119.0</v>
      </c>
      <c r="E10" s="157">
        <v>122.0</v>
      </c>
      <c r="F10" s="157">
        <v>9.0</v>
      </c>
      <c r="G10" s="158">
        <v>0.074</v>
      </c>
      <c r="H10" s="156" t="s">
        <v>662</v>
      </c>
      <c r="I10" s="158">
        <v>0.0391</v>
      </c>
      <c r="J10" s="158">
        <v>0.0313</v>
      </c>
      <c r="K10" s="158">
        <v>0.0156</v>
      </c>
      <c r="L10" s="158">
        <v>0.0469</v>
      </c>
      <c r="M10" s="158">
        <v>0.0</v>
      </c>
      <c r="N10" s="156" t="s">
        <v>474</v>
      </c>
      <c r="O10" s="159">
        <v>0.0469</v>
      </c>
      <c r="P10" s="240" t="str">
        <f>VLOOKUP(C:C,'Loose Fitting'!A:A,1,0)</f>
        <v>#N/A</v>
      </c>
    </row>
    <row r="11">
      <c r="A11" s="239">
        <v>222280.0</v>
      </c>
      <c r="B11" s="152" t="s">
        <v>834</v>
      </c>
      <c r="C11" s="156" t="s">
        <v>353</v>
      </c>
      <c r="D11" s="153">
        <v>65.0</v>
      </c>
      <c r="E11" s="153">
        <v>67.0</v>
      </c>
      <c r="F11" s="153">
        <v>8.0</v>
      </c>
      <c r="G11" s="154">
        <v>0.119</v>
      </c>
      <c r="H11" s="152" t="s">
        <v>662</v>
      </c>
      <c r="I11" s="154">
        <v>0.0857</v>
      </c>
      <c r="J11" s="154">
        <v>0.0</v>
      </c>
      <c r="K11" s="154">
        <v>0.0143</v>
      </c>
      <c r="L11" s="154">
        <v>0.0857</v>
      </c>
      <c r="M11" s="154">
        <v>0.0143</v>
      </c>
      <c r="N11" s="152" t="s">
        <v>395</v>
      </c>
      <c r="O11" s="155">
        <v>0.0857</v>
      </c>
      <c r="P11" s="240" t="str">
        <f>VLOOKUP(C:C,'Loose Fitting'!A:A,1,0)</f>
        <v>#N/A</v>
      </c>
    </row>
    <row r="12">
      <c r="A12" s="241">
        <v>241089.0</v>
      </c>
      <c r="B12" s="156" t="s">
        <v>835</v>
      </c>
      <c r="C12" s="156" t="s">
        <v>475</v>
      </c>
      <c r="D12" s="157">
        <v>114.0</v>
      </c>
      <c r="E12" s="157">
        <v>106.0</v>
      </c>
      <c r="F12" s="157">
        <v>15.0</v>
      </c>
      <c r="G12" s="158">
        <v>0.142</v>
      </c>
      <c r="H12" s="156" t="s">
        <v>662</v>
      </c>
      <c r="I12" s="158">
        <v>0.0796</v>
      </c>
      <c r="J12" s="158">
        <v>0.0</v>
      </c>
      <c r="K12" s="158">
        <v>0.0708</v>
      </c>
      <c r="L12" s="158">
        <v>0.0973</v>
      </c>
      <c r="M12" s="158">
        <v>0.0</v>
      </c>
      <c r="N12" s="156" t="s">
        <v>395</v>
      </c>
      <c r="O12" s="159">
        <v>0.0973</v>
      </c>
      <c r="P12" s="240" t="str">
        <f>VLOOKUP(C:C,'Loose Fitting'!A:A,1,0)</f>
        <v>#N/A</v>
      </c>
    </row>
    <row r="13">
      <c r="A13" s="239">
        <v>222135.0</v>
      </c>
      <c r="B13" s="152" t="s">
        <v>836</v>
      </c>
      <c r="C13" s="156" t="s">
        <v>476</v>
      </c>
      <c r="D13" s="153">
        <v>91.0</v>
      </c>
      <c r="E13" s="153">
        <v>90.0</v>
      </c>
      <c r="F13" s="153">
        <v>5.0</v>
      </c>
      <c r="G13" s="154">
        <v>0.056</v>
      </c>
      <c r="H13" s="152" t="s">
        <v>662</v>
      </c>
      <c r="I13" s="154">
        <v>0.0222</v>
      </c>
      <c r="J13" s="154">
        <v>0.0111</v>
      </c>
      <c r="K13" s="154">
        <v>0.0111</v>
      </c>
      <c r="L13" s="154">
        <v>0.0222</v>
      </c>
      <c r="M13" s="154">
        <v>0.0111</v>
      </c>
      <c r="N13" s="152" t="s">
        <v>395</v>
      </c>
      <c r="O13" s="155">
        <v>0.0222</v>
      </c>
      <c r="P13" s="240" t="str">
        <f>VLOOKUP(C:C,'Loose Fitting'!A:A,1,0)</f>
        <v>#N/A</v>
      </c>
    </row>
    <row r="14">
      <c r="A14" s="241">
        <v>236398.0</v>
      </c>
      <c r="B14" s="156" t="s">
        <v>837</v>
      </c>
      <c r="C14" s="156" t="s">
        <v>477</v>
      </c>
      <c r="D14" s="157">
        <v>40.0</v>
      </c>
      <c r="E14" s="157">
        <v>37.0</v>
      </c>
      <c r="F14" s="157">
        <v>6.0</v>
      </c>
      <c r="G14" s="158">
        <v>0.162</v>
      </c>
      <c r="H14" s="156" t="s">
        <v>662</v>
      </c>
      <c r="I14" s="158">
        <v>0.0769</v>
      </c>
      <c r="J14" s="158">
        <v>0.0</v>
      </c>
      <c r="K14" s="158">
        <v>0.1026</v>
      </c>
      <c r="L14" s="158">
        <v>0.1026</v>
      </c>
      <c r="M14" s="158">
        <v>0.0</v>
      </c>
      <c r="N14" s="156" t="s">
        <v>137</v>
      </c>
      <c r="O14" s="159">
        <v>0.1026</v>
      </c>
      <c r="P14" s="240" t="str">
        <f>VLOOKUP(C:C,'Loose Fitting'!A:A,1,0)</f>
        <v>#N/A</v>
      </c>
    </row>
    <row r="15">
      <c r="A15" s="239">
        <v>243170.0</v>
      </c>
      <c r="B15" s="152" t="s">
        <v>838</v>
      </c>
      <c r="C15" s="156" t="s">
        <v>478</v>
      </c>
      <c r="D15" s="153">
        <v>178.0</v>
      </c>
      <c r="E15" s="153">
        <v>173.0</v>
      </c>
      <c r="F15" s="153">
        <v>11.0</v>
      </c>
      <c r="G15" s="154">
        <v>0.064</v>
      </c>
      <c r="H15" s="152" t="s">
        <v>662</v>
      </c>
      <c r="I15" s="154">
        <v>0.0284</v>
      </c>
      <c r="J15" s="154">
        <v>0.0</v>
      </c>
      <c r="K15" s="154">
        <v>0.0341</v>
      </c>
      <c r="L15" s="154">
        <v>0.0398</v>
      </c>
      <c r="M15" s="154">
        <v>0.0114</v>
      </c>
      <c r="N15" s="152" t="s">
        <v>479</v>
      </c>
      <c r="O15" s="155">
        <v>0.0398</v>
      </c>
      <c r="P15" s="240" t="str">
        <f>VLOOKUP(C:C,'Loose Fitting'!A:A,1,0)</f>
        <v>#N/A</v>
      </c>
    </row>
    <row r="16">
      <c r="A16" s="239">
        <v>239999.0</v>
      </c>
      <c r="B16" s="152" t="s">
        <v>839</v>
      </c>
      <c r="C16" s="160" t="s">
        <v>664</v>
      </c>
      <c r="D16" s="153">
        <v>12.0</v>
      </c>
      <c r="E16" s="153">
        <v>11.0</v>
      </c>
      <c r="F16" s="153">
        <v>5.0</v>
      </c>
      <c r="G16" s="154">
        <v>0.455</v>
      </c>
      <c r="H16" s="152" t="s">
        <v>662</v>
      </c>
      <c r="I16" s="154">
        <v>0.0</v>
      </c>
      <c r="J16" s="154">
        <v>0.0</v>
      </c>
      <c r="K16" s="154">
        <v>0.3571</v>
      </c>
      <c r="L16" s="154">
        <v>0.3571</v>
      </c>
      <c r="M16" s="154">
        <v>0.0</v>
      </c>
      <c r="N16" s="152" t="s">
        <v>665</v>
      </c>
      <c r="O16" s="155">
        <v>0.3571</v>
      </c>
      <c r="P16" s="240" t="str">
        <f>VLOOKUP(C:C,'Loose Fitting'!A:A,1,0)</f>
        <v>#N/A</v>
      </c>
    </row>
    <row r="17">
      <c r="A17" s="241">
        <v>240000.0</v>
      </c>
      <c r="B17" s="156" t="s">
        <v>840</v>
      </c>
      <c r="C17" s="160" t="s">
        <v>367</v>
      </c>
      <c r="D17" s="157">
        <v>28.0</v>
      </c>
      <c r="E17" s="157">
        <v>18.0</v>
      </c>
      <c r="F17" s="157">
        <v>9.0</v>
      </c>
      <c r="G17" s="158">
        <v>0.5</v>
      </c>
      <c r="H17" s="156" t="s">
        <v>662</v>
      </c>
      <c r="I17" s="158">
        <v>0.0417</v>
      </c>
      <c r="J17" s="158">
        <v>0.0833</v>
      </c>
      <c r="K17" s="158">
        <v>0.2083</v>
      </c>
      <c r="L17" s="158">
        <v>0.0417</v>
      </c>
      <c r="M17" s="158">
        <v>0.0833</v>
      </c>
      <c r="N17" s="156" t="s">
        <v>666</v>
      </c>
      <c r="O17" s="159">
        <v>0.2083</v>
      </c>
      <c r="P17" s="240" t="str">
        <f>VLOOKUP(C:C,'Loose Fitting'!A:A,1,0)</f>
        <v>#N/A</v>
      </c>
    </row>
    <row r="18">
      <c r="A18" s="239">
        <v>240000.0</v>
      </c>
      <c r="B18" s="152" t="s">
        <v>841</v>
      </c>
      <c r="C18" s="160" t="s">
        <v>376</v>
      </c>
      <c r="D18" s="153">
        <v>24.0</v>
      </c>
      <c r="E18" s="153">
        <v>23.0</v>
      </c>
      <c r="F18" s="153">
        <v>8.0</v>
      </c>
      <c r="G18" s="154">
        <v>0.348</v>
      </c>
      <c r="H18" s="152" t="s">
        <v>662</v>
      </c>
      <c r="I18" s="154">
        <v>0.0303</v>
      </c>
      <c r="J18" s="154">
        <v>0.0606</v>
      </c>
      <c r="K18" s="154">
        <v>0.2424</v>
      </c>
      <c r="L18" s="154">
        <v>0.0303</v>
      </c>
      <c r="M18" s="154">
        <v>0.0</v>
      </c>
      <c r="N18" s="152" t="s">
        <v>666</v>
      </c>
      <c r="O18" s="155">
        <v>0.2424</v>
      </c>
      <c r="P18" s="240" t="str">
        <f>VLOOKUP(C:C,'Loose Fitting'!A:A,1,0)</f>
        <v>#N/A</v>
      </c>
    </row>
    <row r="19">
      <c r="A19" s="241">
        <v>241100.0</v>
      </c>
      <c r="B19" s="156" t="s">
        <v>842</v>
      </c>
      <c r="C19" s="156" t="s">
        <v>480</v>
      </c>
      <c r="D19" s="157">
        <v>39.0</v>
      </c>
      <c r="E19" s="157">
        <v>39.0</v>
      </c>
      <c r="F19" s="157">
        <v>6.0</v>
      </c>
      <c r="G19" s="158">
        <v>0.154</v>
      </c>
      <c r="H19" s="156" t="s">
        <v>662</v>
      </c>
      <c r="I19" s="158">
        <v>0.093</v>
      </c>
      <c r="J19" s="158">
        <v>0.0</v>
      </c>
      <c r="K19" s="158">
        <v>0.1163</v>
      </c>
      <c r="L19" s="158">
        <v>0.1395</v>
      </c>
      <c r="M19" s="158">
        <v>0.0</v>
      </c>
      <c r="N19" s="156" t="s">
        <v>405</v>
      </c>
      <c r="O19" s="159">
        <v>0.1395</v>
      </c>
      <c r="P19" s="240" t="str">
        <f>VLOOKUP(C:C,'Loose Fitting'!A:A,1,0)</f>
        <v>#N/A</v>
      </c>
    </row>
    <row r="20">
      <c r="A20" s="239">
        <v>241124.0</v>
      </c>
      <c r="B20" s="152" t="s">
        <v>843</v>
      </c>
      <c r="C20" s="156" t="s">
        <v>481</v>
      </c>
      <c r="D20" s="153">
        <v>54.0</v>
      </c>
      <c r="E20" s="153">
        <v>55.0</v>
      </c>
      <c r="F20" s="153">
        <v>6.0</v>
      </c>
      <c r="G20" s="154">
        <v>0.109</v>
      </c>
      <c r="H20" s="152" t="s">
        <v>662</v>
      </c>
      <c r="I20" s="154">
        <v>0.0862</v>
      </c>
      <c r="J20" s="154">
        <v>0.0</v>
      </c>
      <c r="K20" s="154">
        <v>0.0172</v>
      </c>
      <c r="L20" s="154">
        <v>0.1034</v>
      </c>
      <c r="M20" s="154">
        <v>0.0</v>
      </c>
      <c r="N20" s="152" t="s">
        <v>405</v>
      </c>
      <c r="O20" s="155">
        <v>0.1034</v>
      </c>
      <c r="P20" s="240" t="str">
        <f>VLOOKUP(C:C,'Loose Fitting'!A:A,1,0)</f>
        <v>#N/A</v>
      </c>
    </row>
    <row r="21">
      <c r="A21" s="241">
        <v>221282.0</v>
      </c>
      <c r="B21" s="156" t="s">
        <v>844</v>
      </c>
      <c r="C21" s="156" t="s">
        <v>287</v>
      </c>
      <c r="D21" s="157">
        <v>89.0</v>
      </c>
      <c r="E21" s="157">
        <v>76.0</v>
      </c>
      <c r="F21" s="157">
        <v>6.0</v>
      </c>
      <c r="G21" s="158">
        <v>0.079</v>
      </c>
      <c r="H21" s="156" t="s">
        <v>662</v>
      </c>
      <c r="I21" s="158">
        <v>0.0471</v>
      </c>
      <c r="J21" s="158">
        <v>0.0118</v>
      </c>
      <c r="K21" s="158">
        <v>0.0118</v>
      </c>
      <c r="L21" s="158">
        <v>0.1294</v>
      </c>
      <c r="M21" s="158">
        <v>0.0</v>
      </c>
      <c r="N21" s="156" t="s">
        <v>405</v>
      </c>
      <c r="O21" s="159">
        <v>0.1294</v>
      </c>
      <c r="P21" s="240" t="str">
        <f>VLOOKUP(C:C,'Loose Fitting'!A:A,1,0)</f>
        <v>#N/A</v>
      </c>
    </row>
    <row r="22">
      <c r="A22" s="239">
        <v>236141.0</v>
      </c>
      <c r="B22" s="152" t="s">
        <v>845</v>
      </c>
      <c r="C22" s="156" t="s">
        <v>482</v>
      </c>
      <c r="D22" s="153">
        <v>116.0</v>
      </c>
      <c r="E22" s="153">
        <v>114.0</v>
      </c>
      <c r="F22" s="153">
        <v>7.0</v>
      </c>
      <c r="G22" s="154">
        <v>0.061</v>
      </c>
      <c r="H22" s="152" t="s">
        <v>662</v>
      </c>
      <c r="I22" s="154">
        <v>0.0424</v>
      </c>
      <c r="J22" s="154">
        <v>0.0</v>
      </c>
      <c r="K22" s="154">
        <v>0.0339</v>
      </c>
      <c r="L22" s="154">
        <v>0.0678</v>
      </c>
      <c r="M22" s="154">
        <v>0.0085</v>
      </c>
      <c r="N22" s="152" t="s">
        <v>405</v>
      </c>
      <c r="O22" s="155">
        <v>0.0678</v>
      </c>
      <c r="P22" s="240" t="str">
        <f>VLOOKUP(C:C,'Loose Fitting'!A:A,1,0)</f>
        <v>#N/A</v>
      </c>
    </row>
    <row r="23">
      <c r="A23" s="241">
        <v>221928.0</v>
      </c>
      <c r="B23" s="156" t="s">
        <v>846</v>
      </c>
      <c r="C23" s="156" t="s">
        <v>256</v>
      </c>
      <c r="D23" s="157">
        <v>68.0</v>
      </c>
      <c r="E23" s="157">
        <v>66.0</v>
      </c>
      <c r="F23" s="157">
        <v>5.0</v>
      </c>
      <c r="G23" s="158">
        <v>0.076</v>
      </c>
      <c r="H23" s="156" t="s">
        <v>662</v>
      </c>
      <c r="I23" s="158">
        <v>0.0423</v>
      </c>
      <c r="J23" s="158">
        <v>0.0423</v>
      </c>
      <c r="K23" s="158">
        <v>0.0</v>
      </c>
      <c r="L23" s="158">
        <v>0.0704</v>
      </c>
      <c r="M23" s="158">
        <v>0.0</v>
      </c>
      <c r="N23" s="156" t="s">
        <v>405</v>
      </c>
      <c r="O23" s="159">
        <v>0.0704</v>
      </c>
      <c r="P23" s="240" t="str">
        <f>VLOOKUP(C:C,'Loose Fitting'!A:A,1,0)</f>
        <v>#N/A</v>
      </c>
    </row>
    <row r="24">
      <c r="A24" s="241">
        <v>152984.0</v>
      </c>
      <c r="B24" s="156" t="s">
        <v>847</v>
      </c>
      <c r="C24" s="156" t="s">
        <v>483</v>
      </c>
      <c r="D24" s="157">
        <v>102.0</v>
      </c>
      <c r="E24" s="157">
        <v>99.0</v>
      </c>
      <c r="F24" s="157">
        <v>6.0</v>
      </c>
      <c r="G24" s="158">
        <v>0.061</v>
      </c>
      <c r="H24" s="156" t="s">
        <v>662</v>
      </c>
      <c r="I24" s="158">
        <v>0.0297</v>
      </c>
      <c r="J24" s="158">
        <v>0.0</v>
      </c>
      <c r="K24" s="158">
        <v>0.0297</v>
      </c>
      <c r="L24" s="158">
        <v>0.0594</v>
      </c>
      <c r="M24" s="158">
        <v>0.0</v>
      </c>
      <c r="N24" s="156" t="s">
        <v>405</v>
      </c>
      <c r="O24" s="159">
        <v>0.0594</v>
      </c>
      <c r="P24" s="240" t="str">
        <f>VLOOKUP(C:C,'Loose Fitting'!A:A,1,0)</f>
        <v>#N/A</v>
      </c>
    </row>
    <row r="25">
      <c r="A25" s="241">
        <v>234768.0</v>
      </c>
      <c r="B25" s="156" t="s">
        <v>848</v>
      </c>
      <c r="C25" s="160" t="s">
        <v>213</v>
      </c>
      <c r="D25" s="157">
        <v>26.0</v>
      </c>
      <c r="E25" s="157">
        <v>26.0</v>
      </c>
      <c r="F25" s="157">
        <v>13.0</v>
      </c>
      <c r="G25" s="158">
        <v>0.5</v>
      </c>
      <c r="H25" s="156" t="s">
        <v>662</v>
      </c>
      <c r="I25" s="158">
        <v>0.0968</v>
      </c>
      <c r="J25" s="158">
        <v>0.2903</v>
      </c>
      <c r="K25" s="158">
        <v>0.0</v>
      </c>
      <c r="L25" s="158">
        <v>0.0323</v>
      </c>
      <c r="M25" s="158">
        <v>0.0323</v>
      </c>
      <c r="N25" s="156" t="s">
        <v>19</v>
      </c>
      <c r="O25" s="159">
        <v>0.2903</v>
      </c>
      <c r="P25" s="240" t="str">
        <f>VLOOKUP(C:C,'Loose Fitting'!A:A,1,0)</f>
        <v>#N/A</v>
      </c>
    </row>
    <row r="26">
      <c r="A26" s="239">
        <v>236095.0</v>
      </c>
      <c r="B26" s="152" t="s">
        <v>849</v>
      </c>
      <c r="C26" s="156" t="s">
        <v>484</v>
      </c>
      <c r="D26" s="153">
        <v>40.0</v>
      </c>
      <c r="E26" s="153">
        <v>37.0</v>
      </c>
      <c r="F26" s="153">
        <v>7.0</v>
      </c>
      <c r="G26" s="154">
        <v>0.189</v>
      </c>
      <c r="H26" s="152" t="s">
        <v>662</v>
      </c>
      <c r="I26" s="154">
        <v>0.0732</v>
      </c>
      <c r="J26" s="154">
        <v>0.122</v>
      </c>
      <c r="K26" s="154">
        <v>0.0</v>
      </c>
      <c r="L26" s="154">
        <v>0.0732</v>
      </c>
      <c r="M26" s="154">
        <v>0.0</v>
      </c>
      <c r="N26" s="152" t="s">
        <v>19</v>
      </c>
      <c r="O26" s="155">
        <v>0.122</v>
      </c>
      <c r="P26" s="240" t="str">
        <f>VLOOKUP(C:C,'Loose Fitting'!A:A,1,0)</f>
        <v>#N/A</v>
      </c>
    </row>
    <row r="27">
      <c r="A27" s="241">
        <v>208956.0</v>
      </c>
      <c r="B27" s="156" t="s">
        <v>850</v>
      </c>
      <c r="C27" s="156" t="s">
        <v>485</v>
      </c>
      <c r="D27" s="157">
        <v>12.0</v>
      </c>
      <c r="E27" s="157">
        <v>12.0</v>
      </c>
      <c r="F27" s="157">
        <v>5.0</v>
      </c>
      <c r="G27" s="158">
        <v>0.417</v>
      </c>
      <c r="H27" s="156" t="s">
        <v>662</v>
      </c>
      <c r="I27" s="158">
        <v>0.0714</v>
      </c>
      <c r="J27" s="158">
        <v>0.2857</v>
      </c>
      <c r="K27" s="158">
        <v>0.0</v>
      </c>
      <c r="L27" s="158">
        <v>0.0</v>
      </c>
      <c r="M27" s="158">
        <v>0.0</v>
      </c>
      <c r="N27" s="156" t="s">
        <v>19</v>
      </c>
      <c r="O27" s="159">
        <v>0.2857</v>
      </c>
      <c r="P27" s="240" t="str">
        <f>VLOOKUP(C:C,'Loose Fitting'!A:A,1,0)</f>
        <v>#N/A</v>
      </c>
    </row>
    <row r="28">
      <c r="A28" s="239">
        <v>234791.0</v>
      </c>
      <c r="B28" s="152" t="s">
        <v>851</v>
      </c>
      <c r="C28" s="160" t="s">
        <v>82</v>
      </c>
      <c r="D28" s="153">
        <v>16.0</v>
      </c>
      <c r="E28" s="153">
        <v>19.0</v>
      </c>
      <c r="F28" s="153">
        <v>9.0</v>
      </c>
      <c r="G28" s="154">
        <v>0.474</v>
      </c>
      <c r="H28" s="152" t="s">
        <v>662</v>
      </c>
      <c r="I28" s="154">
        <v>0.0294</v>
      </c>
      <c r="J28" s="154">
        <v>0.3824</v>
      </c>
      <c r="K28" s="154">
        <v>0.0294</v>
      </c>
      <c r="L28" s="154">
        <v>0.0294</v>
      </c>
      <c r="M28" s="154">
        <v>0.0294</v>
      </c>
      <c r="N28" s="152" t="s">
        <v>19</v>
      </c>
      <c r="O28" s="155">
        <v>0.3824</v>
      </c>
      <c r="P28" s="240" t="str">
        <f>VLOOKUP(C:C,'Loose Fitting'!A:A,1,0)</f>
        <v>#N/A</v>
      </c>
    </row>
    <row r="29">
      <c r="A29" s="241">
        <v>242175.0</v>
      </c>
      <c r="B29" s="156" t="s">
        <v>852</v>
      </c>
      <c r="C29" s="156" t="s">
        <v>486</v>
      </c>
      <c r="D29" s="157">
        <v>39.0</v>
      </c>
      <c r="E29" s="157">
        <v>40.0</v>
      </c>
      <c r="F29" s="157">
        <v>5.0</v>
      </c>
      <c r="G29" s="158">
        <v>0.125</v>
      </c>
      <c r="H29" s="156" t="s">
        <v>662</v>
      </c>
      <c r="I29" s="158">
        <v>0.025</v>
      </c>
      <c r="J29" s="158">
        <v>0.05</v>
      </c>
      <c r="K29" s="158">
        <v>0.025</v>
      </c>
      <c r="L29" s="158">
        <v>0.025</v>
      </c>
      <c r="M29" s="158">
        <v>0.025</v>
      </c>
      <c r="N29" s="156" t="s">
        <v>19</v>
      </c>
      <c r="O29" s="159">
        <v>0.05</v>
      </c>
      <c r="P29" s="240" t="str">
        <f>VLOOKUP(C:C,'Loose Fitting'!A:A,1,0)</f>
        <v>#N/A</v>
      </c>
    </row>
    <row r="30">
      <c r="A30" s="239">
        <v>137971.0</v>
      </c>
      <c r="B30" s="152" t="s">
        <v>853</v>
      </c>
      <c r="C30" s="156" t="s">
        <v>487</v>
      </c>
      <c r="D30" s="153">
        <v>112.0</v>
      </c>
      <c r="E30" s="153">
        <v>121.0</v>
      </c>
      <c r="F30" s="153">
        <v>7.0</v>
      </c>
      <c r="G30" s="154">
        <v>0.058</v>
      </c>
      <c r="H30" s="152" t="s">
        <v>662</v>
      </c>
      <c r="I30" s="154">
        <v>0.0242</v>
      </c>
      <c r="J30" s="154">
        <v>0.0323</v>
      </c>
      <c r="K30" s="154">
        <v>0.0161</v>
      </c>
      <c r="L30" s="154">
        <v>0.0242</v>
      </c>
      <c r="M30" s="154">
        <v>0.0</v>
      </c>
      <c r="N30" s="152" t="s">
        <v>19</v>
      </c>
      <c r="O30" s="155">
        <v>0.0323</v>
      </c>
      <c r="P30" s="240" t="str">
        <f>VLOOKUP(C:C,'Loose Fitting'!A:A,1,0)</f>
        <v>#N/A</v>
      </c>
    </row>
    <row r="31">
      <c r="A31" s="241">
        <v>240000.0</v>
      </c>
      <c r="B31" s="156" t="s">
        <v>854</v>
      </c>
      <c r="C31" s="160" t="s">
        <v>400</v>
      </c>
      <c r="D31" s="157">
        <v>50.0</v>
      </c>
      <c r="E31" s="157">
        <v>41.0</v>
      </c>
      <c r="F31" s="157">
        <v>9.0</v>
      </c>
      <c r="G31" s="158">
        <v>0.22</v>
      </c>
      <c r="H31" s="156" t="s">
        <v>662</v>
      </c>
      <c r="I31" s="158">
        <v>0.02</v>
      </c>
      <c r="J31" s="158">
        <v>0.14</v>
      </c>
      <c r="K31" s="158">
        <v>0.08</v>
      </c>
      <c r="L31" s="158">
        <v>0.08</v>
      </c>
      <c r="M31" s="158">
        <v>0.02</v>
      </c>
      <c r="N31" s="156" t="s">
        <v>19</v>
      </c>
      <c r="O31" s="159">
        <v>0.14</v>
      </c>
      <c r="P31" s="240" t="str">
        <f>VLOOKUP(C:C,'Loose Fitting'!A:A,1,0)</f>
        <v>#N/A</v>
      </c>
    </row>
    <row r="32">
      <c r="A32" s="239">
        <v>242143.0</v>
      </c>
      <c r="B32" s="152" t="s">
        <v>855</v>
      </c>
      <c r="C32" s="156" t="s">
        <v>488</v>
      </c>
      <c r="D32" s="153">
        <v>56.0</v>
      </c>
      <c r="E32" s="153">
        <v>51.0</v>
      </c>
      <c r="F32" s="153">
        <v>9.0</v>
      </c>
      <c r="G32" s="154">
        <v>0.176</v>
      </c>
      <c r="H32" s="152" t="s">
        <v>662</v>
      </c>
      <c r="I32" s="154">
        <v>0.0175</v>
      </c>
      <c r="J32" s="154">
        <v>0.1053</v>
      </c>
      <c r="K32" s="154">
        <v>0.0351</v>
      </c>
      <c r="L32" s="154">
        <v>0.0702</v>
      </c>
      <c r="M32" s="154">
        <v>0.0</v>
      </c>
      <c r="N32" s="152" t="s">
        <v>19</v>
      </c>
      <c r="O32" s="155">
        <v>0.1053</v>
      </c>
      <c r="P32" s="240" t="str">
        <f>VLOOKUP(C:C,'Loose Fitting'!A:A,1,0)</f>
        <v>#N/A</v>
      </c>
    </row>
    <row r="33">
      <c r="A33" s="241">
        <v>242138.0</v>
      </c>
      <c r="B33" s="156" t="s">
        <v>856</v>
      </c>
      <c r="C33" s="156" t="s">
        <v>374</v>
      </c>
      <c r="D33" s="157">
        <v>163.0</v>
      </c>
      <c r="E33" s="157">
        <v>156.0</v>
      </c>
      <c r="F33" s="157">
        <v>11.0</v>
      </c>
      <c r="G33" s="158">
        <v>0.071</v>
      </c>
      <c r="H33" s="156" t="s">
        <v>662</v>
      </c>
      <c r="I33" s="158">
        <v>0.0122</v>
      </c>
      <c r="J33" s="158">
        <v>0.0427</v>
      </c>
      <c r="K33" s="158">
        <v>0.0122</v>
      </c>
      <c r="L33" s="158">
        <v>0.0305</v>
      </c>
      <c r="M33" s="158">
        <v>0.0061</v>
      </c>
      <c r="N33" s="156" t="s">
        <v>19</v>
      </c>
      <c r="O33" s="159">
        <v>0.0427</v>
      </c>
      <c r="P33" s="240" t="str">
        <f>VLOOKUP(C:C,'Loose Fitting'!A:A,1,0)</f>
        <v>#N/A</v>
      </c>
    </row>
    <row r="34">
      <c r="A34" s="239">
        <v>234793.0</v>
      </c>
      <c r="B34" s="152" t="s">
        <v>857</v>
      </c>
      <c r="C34" s="160" t="s">
        <v>265</v>
      </c>
      <c r="D34" s="153">
        <v>26.0</v>
      </c>
      <c r="E34" s="153">
        <v>26.0</v>
      </c>
      <c r="F34" s="153">
        <v>18.0</v>
      </c>
      <c r="G34" s="154">
        <v>0.692</v>
      </c>
      <c r="H34" s="152" t="s">
        <v>662</v>
      </c>
      <c r="I34" s="154">
        <v>0.0</v>
      </c>
      <c r="J34" s="154">
        <v>0.6</v>
      </c>
      <c r="K34" s="154">
        <v>0.0</v>
      </c>
      <c r="L34" s="154">
        <v>0.0</v>
      </c>
      <c r="M34" s="154">
        <v>0.0</v>
      </c>
      <c r="N34" s="152" t="s">
        <v>19</v>
      </c>
      <c r="O34" s="155">
        <v>0.6</v>
      </c>
      <c r="P34" s="240" t="str">
        <f>VLOOKUP(C:C,'Loose Fitting'!A:A,1,0)</f>
        <v>#N/A</v>
      </c>
    </row>
    <row r="35">
      <c r="A35" s="241">
        <v>234791.0</v>
      </c>
      <c r="B35" s="156" t="s">
        <v>858</v>
      </c>
      <c r="C35" s="160" t="s">
        <v>667</v>
      </c>
      <c r="D35" s="157">
        <v>15.0</v>
      </c>
      <c r="E35" s="157">
        <v>8.0</v>
      </c>
      <c r="F35" s="157">
        <v>8.0</v>
      </c>
      <c r="G35" s="158">
        <v>1.0</v>
      </c>
      <c r="H35" s="156" t="s">
        <v>662</v>
      </c>
      <c r="I35" s="158">
        <v>0.0</v>
      </c>
      <c r="J35" s="158">
        <v>0.7143</v>
      </c>
      <c r="K35" s="158">
        <v>0.0</v>
      </c>
      <c r="L35" s="158">
        <v>0.0571</v>
      </c>
      <c r="M35" s="158">
        <v>0.0286</v>
      </c>
      <c r="N35" s="156" t="s">
        <v>19</v>
      </c>
      <c r="O35" s="159">
        <v>0.7143</v>
      </c>
      <c r="P35" s="240" t="str">
        <f>VLOOKUP(C:C,'Loose Fitting'!A:A,1,0)</f>
        <v>#N/A</v>
      </c>
    </row>
    <row r="36">
      <c r="A36" s="239">
        <v>239999.0</v>
      </c>
      <c r="B36" s="152" t="s">
        <v>859</v>
      </c>
      <c r="C36" s="160" t="s">
        <v>440</v>
      </c>
      <c r="D36" s="153">
        <v>21.0</v>
      </c>
      <c r="E36" s="153">
        <v>13.0</v>
      </c>
      <c r="F36" s="153">
        <v>6.0</v>
      </c>
      <c r="G36" s="154">
        <v>0.462</v>
      </c>
      <c r="H36" s="152" t="s">
        <v>662</v>
      </c>
      <c r="I36" s="154">
        <v>0.1053</v>
      </c>
      <c r="J36" s="154">
        <v>0.1579</v>
      </c>
      <c r="K36" s="154">
        <v>0.0526</v>
      </c>
      <c r="L36" s="154">
        <v>0.1579</v>
      </c>
      <c r="M36" s="154">
        <v>0.0</v>
      </c>
      <c r="N36" s="152" t="s">
        <v>668</v>
      </c>
      <c r="O36" s="155">
        <v>0.1579</v>
      </c>
      <c r="P36" s="240" t="str">
        <f>VLOOKUP(C:C,'Loose Fitting'!A:A,1,0)</f>
        <v>#N/A</v>
      </c>
    </row>
    <row r="37">
      <c r="A37" s="241">
        <v>244798.0</v>
      </c>
      <c r="B37" s="156" t="s">
        <v>860</v>
      </c>
      <c r="C37" s="156" t="s">
        <v>142</v>
      </c>
      <c r="D37" s="157">
        <v>14.0</v>
      </c>
      <c r="E37" s="157">
        <v>13.0</v>
      </c>
      <c r="F37" s="157">
        <v>10.0</v>
      </c>
      <c r="G37" s="158">
        <v>0.769</v>
      </c>
      <c r="H37" s="156" t="s">
        <v>662</v>
      </c>
      <c r="I37" s="158">
        <v>0.1111</v>
      </c>
      <c r="J37" s="158">
        <v>0.0556</v>
      </c>
      <c r="K37" s="158">
        <v>0.0556</v>
      </c>
      <c r="L37" s="158">
        <v>0.1111</v>
      </c>
      <c r="M37" s="158">
        <v>0.3889</v>
      </c>
      <c r="N37" s="156" t="s">
        <v>336</v>
      </c>
      <c r="O37" s="159">
        <v>0.3889</v>
      </c>
      <c r="P37" s="240" t="str">
        <f>VLOOKUP(C:C,'Loose Fitting'!A:A,1,0)</f>
        <v>#N/A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0" t="s">
        <v>656</v>
      </c>
      <c r="B1" s="150" t="s">
        <v>657</v>
      </c>
      <c r="C1" s="150" t="s">
        <v>658</v>
      </c>
      <c r="D1" s="150" t="s">
        <v>659</v>
      </c>
      <c r="E1" s="150" t="s">
        <v>660</v>
      </c>
      <c r="F1" s="150" t="s">
        <v>661</v>
      </c>
      <c r="G1" s="150" t="s">
        <v>43</v>
      </c>
      <c r="H1" s="150" t="s">
        <v>19</v>
      </c>
      <c r="I1" s="150" t="s">
        <v>137</v>
      </c>
      <c r="J1" s="150" t="s">
        <v>336</v>
      </c>
      <c r="K1" s="150" t="s">
        <v>405</v>
      </c>
      <c r="L1" s="150" t="s">
        <v>4</v>
      </c>
      <c r="M1" s="151" t="s">
        <v>5</v>
      </c>
    </row>
    <row r="2">
      <c r="A2" s="152" t="s">
        <v>443</v>
      </c>
      <c r="B2" s="153">
        <v>19.0</v>
      </c>
      <c r="C2" s="153">
        <v>16.0</v>
      </c>
      <c r="D2" s="153">
        <v>3.0</v>
      </c>
      <c r="E2" s="154">
        <v>0.188</v>
      </c>
      <c r="F2" s="152" t="s">
        <v>662</v>
      </c>
      <c r="G2" s="154">
        <v>0.1875</v>
      </c>
      <c r="H2" s="154">
        <v>0.0</v>
      </c>
      <c r="I2" s="154">
        <v>0.0</v>
      </c>
      <c r="J2" s="154">
        <v>0.0</v>
      </c>
      <c r="K2" s="154">
        <v>0.0625</v>
      </c>
      <c r="L2" s="152" t="s">
        <v>43</v>
      </c>
      <c r="M2" s="155">
        <v>0.1875</v>
      </c>
    </row>
    <row r="3">
      <c r="A3" s="156" t="s">
        <v>434</v>
      </c>
      <c r="B3" s="157">
        <v>43.0</v>
      </c>
      <c r="C3" s="157">
        <v>41.0</v>
      </c>
      <c r="D3" s="157">
        <v>6.0</v>
      </c>
      <c r="E3" s="158">
        <v>0.146</v>
      </c>
      <c r="F3" s="156" t="s">
        <v>662</v>
      </c>
      <c r="G3" s="158">
        <v>0.119</v>
      </c>
      <c r="H3" s="158">
        <v>0.0</v>
      </c>
      <c r="I3" s="158">
        <v>0.0238</v>
      </c>
      <c r="J3" s="158">
        <v>0.0</v>
      </c>
      <c r="K3" s="158">
        <v>0.0952</v>
      </c>
      <c r="L3" s="156" t="s">
        <v>43</v>
      </c>
      <c r="M3" s="159">
        <v>0.119</v>
      </c>
    </row>
    <row r="4">
      <c r="A4" s="152" t="s">
        <v>444</v>
      </c>
      <c r="B4" s="153">
        <v>54.0</v>
      </c>
      <c r="C4" s="153">
        <v>52.0</v>
      </c>
      <c r="D4" s="153">
        <v>5.0</v>
      </c>
      <c r="E4" s="154">
        <v>0.096</v>
      </c>
      <c r="F4" s="152" t="s">
        <v>662</v>
      </c>
      <c r="G4" s="154">
        <v>0.0962</v>
      </c>
      <c r="H4" s="154">
        <v>0.0</v>
      </c>
      <c r="I4" s="154">
        <v>0.0</v>
      </c>
      <c r="J4" s="154">
        <v>0.0</v>
      </c>
      <c r="K4" s="154">
        <v>0.0385</v>
      </c>
      <c r="L4" s="152" t="s">
        <v>43</v>
      </c>
      <c r="M4" s="155">
        <v>0.0962</v>
      </c>
    </row>
    <row r="5">
      <c r="A5" s="156" t="s">
        <v>445</v>
      </c>
      <c r="B5" s="157">
        <v>53.0</v>
      </c>
      <c r="C5" s="157">
        <v>52.0</v>
      </c>
      <c r="D5" s="157">
        <v>5.0</v>
      </c>
      <c r="E5" s="158">
        <v>0.096</v>
      </c>
      <c r="F5" s="156" t="s">
        <v>662</v>
      </c>
      <c r="G5" s="158">
        <v>0.0943</v>
      </c>
      <c r="H5" s="158">
        <v>0.0</v>
      </c>
      <c r="I5" s="158">
        <v>0.0</v>
      </c>
      <c r="J5" s="158">
        <v>0.0</v>
      </c>
      <c r="K5" s="158">
        <v>0.0189</v>
      </c>
      <c r="L5" s="156" t="s">
        <v>43</v>
      </c>
      <c r="M5" s="159">
        <v>0.0943</v>
      </c>
    </row>
    <row r="6">
      <c r="A6" s="152" t="s">
        <v>392</v>
      </c>
      <c r="B6" s="153">
        <v>32.0</v>
      </c>
      <c r="C6" s="153">
        <v>31.0</v>
      </c>
      <c r="D6" s="153">
        <v>3.0</v>
      </c>
      <c r="E6" s="154">
        <v>0.097</v>
      </c>
      <c r="F6" s="152" t="s">
        <v>662</v>
      </c>
      <c r="G6" s="154">
        <v>0.0909</v>
      </c>
      <c r="H6" s="154">
        <v>0.0</v>
      </c>
      <c r="I6" s="154">
        <v>0.0</v>
      </c>
      <c r="J6" s="154">
        <v>0.0</v>
      </c>
      <c r="K6" s="154">
        <v>0.0606</v>
      </c>
      <c r="L6" s="152" t="s">
        <v>43</v>
      </c>
      <c r="M6" s="155">
        <v>0.0909</v>
      </c>
    </row>
    <row r="7">
      <c r="A7" s="156" t="s">
        <v>446</v>
      </c>
      <c r="B7" s="157">
        <v>52.0</v>
      </c>
      <c r="C7" s="157">
        <v>53.0</v>
      </c>
      <c r="D7" s="157">
        <v>3.0</v>
      </c>
      <c r="E7" s="158">
        <v>0.057</v>
      </c>
      <c r="F7" s="156" t="s">
        <v>662</v>
      </c>
      <c r="G7" s="158">
        <v>0.0566</v>
      </c>
      <c r="H7" s="158">
        <v>0.0</v>
      </c>
      <c r="I7" s="158">
        <v>0.0</v>
      </c>
      <c r="J7" s="158">
        <v>0.0</v>
      </c>
      <c r="K7" s="158">
        <v>0.0377</v>
      </c>
      <c r="L7" s="156" t="s">
        <v>43</v>
      </c>
      <c r="M7" s="159">
        <v>0.0566</v>
      </c>
    </row>
    <row r="8">
      <c r="A8" s="152" t="s">
        <v>426</v>
      </c>
      <c r="B8" s="153">
        <v>38.0</v>
      </c>
      <c r="C8" s="153">
        <v>37.0</v>
      </c>
      <c r="D8" s="153">
        <v>4.0</v>
      </c>
      <c r="E8" s="154">
        <v>0.108</v>
      </c>
      <c r="F8" s="152" t="s">
        <v>662</v>
      </c>
      <c r="G8" s="154">
        <v>0.0541</v>
      </c>
      <c r="H8" s="154">
        <v>0.027</v>
      </c>
      <c r="I8" s="154">
        <v>0.027</v>
      </c>
      <c r="J8" s="154">
        <v>0.0</v>
      </c>
      <c r="K8" s="154">
        <v>0.0</v>
      </c>
      <c r="L8" s="152" t="s">
        <v>43</v>
      </c>
      <c r="M8" s="155">
        <v>0.0541</v>
      </c>
    </row>
    <row r="9">
      <c r="A9" s="156" t="s">
        <v>447</v>
      </c>
      <c r="B9" s="157">
        <v>79.0</v>
      </c>
      <c r="C9" s="157">
        <v>79.0</v>
      </c>
      <c r="D9" s="157">
        <v>4.0</v>
      </c>
      <c r="E9" s="158">
        <v>0.051</v>
      </c>
      <c r="F9" s="156" t="s">
        <v>662</v>
      </c>
      <c r="G9" s="158">
        <v>0.038</v>
      </c>
      <c r="H9" s="158">
        <v>0.0</v>
      </c>
      <c r="I9" s="158">
        <v>0.0127</v>
      </c>
      <c r="J9" s="158">
        <v>0.0</v>
      </c>
      <c r="K9" s="158">
        <v>0.0253</v>
      </c>
      <c r="L9" s="156" t="s">
        <v>43</v>
      </c>
      <c r="M9" s="159">
        <v>0.038</v>
      </c>
    </row>
    <row r="10">
      <c r="A10" s="152" t="s">
        <v>448</v>
      </c>
      <c r="B10" s="153">
        <v>55.0</v>
      </c>
      <c r="C10" s="153">
        <v>52.0</v>
      </c>
      <c r="D10" s="153">
        <v>3.0</v>
      </c>
      <c r="E10" s="154">
        <v>0.058</v>
      </c>
      <c r="F10" s="152" t="s">
        <v>662</v>
      </c>
      <c r="G10" s="154">
        <v>0.037</v>
      </c>
      <c r="H10" s="154">
        <v>0.0</v>
      </c>
      <c r="I10" s="154">
        <v>0.0185</v>
      </c>
      <c r="J10" s="154">
        <v>0.0</v>
      </c>
      <c r="K10" s="154">
        <v>0.0</v>
      </c>
      <c r="L10" s="152" t="s">
        <v>43</v>
      </c>
      <c r="M10" s="155">
        <v>0.037</v>
      </c>
    </row>
    <row r="11">
      <c r="A11" s="156" t="s">
        <v>449</v>
      </c>
      <c r="B11" s="157">
        <v>28.0</v>
      </c>
      <c r="C11" s="157">
        <v>28.0</v>
      </c>
      <c r="D11" s="157">
        <v>3.0</v>
      </c>
      <c r="E11" s="158">
        <v>0.107</v>
      </c>
      <c r="F11" s="156" t="s">
        <v>662</v>
      </c>
      <c r="G11" s="158">
        <v>0.0714</v>
      </c>
      <c r="H11" s="158">
        <v>0.0</v>
      </c>
      <c r="I11" s="158">
        <v>0.0714</v>
      </c>
      <c r="J11" s="158">
        <v>0.0</v>
      </c>
      <c r="K11" s="158">
        <v>0.0</v>
      </c>
      <c r="L11" s="156" t="s">
        <v>320</v>
      </c>
      <c r="M11" s="159">
        <v>0.0714</v>
      </c>
    </row>
    <row r="12">
      <c r="A12" s="152" t="s">
        <v>450</v>
      </c>
      <c r="B12" s="153">
        <v>64.0</v>
      </c>
      <c r="C12" s="153">
        <v>61.0</v>
      </c>
      <c r="D12" s="153">
        <v>4.0</v>
      </c>
      <c r="E12" s="154">
        <v>0.066</v>
      </c>
      <c r="F12" s="152" t="s">
        <v>662</v>
      </c>
      <c r="G12" s="154">
        <v>0.0625</v>
      </c>
      <c r="H12" s="154">
        <v>0.0</v>
      </c>
      <c r="I12" s="154">
        <v>0.0313</v>
      </c>
      <c r="J12" s="154">
        <v>0.0</v>
      </c>
      <c r="K12" s="154">
        <v>0.0625</v>
      </c>
      <c r="L12" s="152" t="s">
        <v>395</v>
      </c>
      <c r="M12" s="155">
        <v>0.0625</v>
      </c>
    </row>
    <row r="13">
      <c r="A13" s="156" t="s">
        <v>451</v>
      </c>
      <c r="B13" s="157">
        <v>49.0</v>
      </c>
      <c r="C13" s="157">
        <v>47.0</v>
      </c>
      <c r="D13" s="157">
        <v>3.0</v>
      </c>
      <c r="E13" s="158">
        <v>0.064</v>
      </c>
      <c r="F13" s="156" t="s">
        <v>662</v>
      </c>
      <c r="G13" s="158">
        <v>0.0417</v>
      </c>
      <c r="H13" s="158">
        <v>0.0</v>
      </c>
      <c r="I13" s="158">
        <v>0.0</v>
      </c>
      <c r="J13" s="158">
        <v>0.0208</v>
      </c>
      <c r="K13" s="158">
        <v>0.0417</v>
      </c>
      <c r="L13" s="156" t="s">
        <v>395</v>
      </c>
      <c r="M13" s="159">
        <v>0.0417</v>
      </c>
    </row>
    <row r="14">
      <c r="A14" s="152" t="s">
        <v>452</v>
      </c>
      <c r="B14" s="153">
        <v>23.0</v>
      </c>
      <c r="C14" s="153">
        <v>23.0</v>
      </c>
      <c r="D14" s="153">
        <v>3.0</v>
      </c>
      <c r="E14" s="154">
        <v>0.13</v>
      </c>
      <c r="F14" s="152" t="s">
        <v>662</v>
      </c>
      <c r="G14" s="154">
        <v>0.0435</v>
      </c>
      <c r="H14" s="154">
        <v>0.0</v>
      </c>
      <c r="I14" s="154">
        <v>0.1304</v>
      </c>
      <c r="J14" s="154">
        <v>0.0</v>
      </c>
      <c r="K14" s="154">
        <v>0.0</v>
      </c>
      <c r="L14" s="152" t="s">
        <v>453</v>
      </c>
      <c r="M14" s="155">
        <v>0.1304</v>
      </c>
    </row>
    <row r="15">
      <c r="A15" s="156" t="s">
        <v>311</v>
      </c>
      <c r="B15" s="157">
        <v>80.0</v>
      </c>
      <c r="C15" s="157">
        <v>66.0</v>
      </c>
      <c r="D15" s="157">
        <v>14.0</v>
      </c>
      <c r="E15" s="158">
        <v>0.212</v>
      </c>
      <c r="F15" s="156" t="s">
        <v>662</v>
      </c>
      <c r="G15" s="158">
        <v>0.0519</v>
      </c>
      <c r="H15" s="158">
        <v>0.013</v>
      </c>
      <c r="I15" s="158">
        <v>0.1299</v>
      </c>
      <c r="J15" s="158">
        <v>0.0</v>
      </c>
      <c r="K15" s="158">
        <v>0.0779</v>
      </c>
      <c r="L15" s="156" t="s">
        <v>453</v>
      </c>
      <c r="M15" s="159">
        <v>0.1299</v>
      </c>
    </row>
    <row r="16">
      <c r="A16" s="152" t="s">
        <v>213</v>
      </c>
      <c r="B16" s="153">
        <v>8.0</v>
      </c>
      <c r="C16" s="153">
        <v>7.0</v>
      </c>
      <c r="D16" s="153">
        <v>6.0</v>
      </c>
      <c r="E16" s="154">
        <v>0.857</v>
      </c>
      <c r="F16" s="152" t="s">
        <v>662</v>
      </c>
      <c r="G16" s="154">
        <v>0.0</v>
      </c>
      <c r="H16" s="154">
        <v>0.6364</v>
      </c>
      <c r="I16" s="154">
        <v>0.0</v>
      </c>
      <c r="J16" s="154">
        <v>0.0</v>
      </c>
      <c r="K16" s="154">
        <v>0.0</v>
      </c>
      <c r="L16" s="152" t="s">
        <v>19</v>
      </c>
      <c r="M16" s="155">
        <v>0.6364</v>
      </c>
    </row>
    <row r="17">
      <c r="A17" s="156" t="s">
        <v>438</v>
      </c>
      <c r="B17" s="157">
        <v>10.0</v>
      </c>
      <c r="C17" s="157">
        <v>5.0</v>
      </c>
      <c r="D17" s="157">
        <v>4.0</v>
      </c>
      <c r="E17" s="158">
        <v>0.8</v>
      </c>
      <c r="F17" s="156" t="s">
        <v>662</v>
      </c>
      <c r="G17" s="158">
        <v>0.1429</v>
      </c>
      <c r="H17" s="158">
        <v>0.4286</v>
      </c>
      <c r="I17" s="158">
        <v>0.0</v>
      </c>
      <c r="J17" s="158">
        <v>0.0</v>
      </c>
      <c r="K17" s="158">
        <v>0.0</v>
      </c>
      <c r="L17" s="156" t="s">
        <v>19</v>
      </c>
      <c r="M17" s="159">
        <v>0.4286</v>
      </c>
    </row>
    <row r="18">
      <c r="A18" s="152" t="s">
        <v>454</v>
      </c>
      <c r="B18" s="153">
        <v>16.0</v>
      </c>
      <c r="C18" s="153">
        <v>15.0</v>
      </c>
      <c r="D18" s="153">
        <v>3.0</v>
      </c>
      <c r="E18" s="154">
        <v>0.2</v>
      </c>
      <c r="F18" s="152" t="s">
        <v>662</v>
      </c>
      <c r="G18" s="154">
        <v>0.0</v>
      </c>
      <c r="H18" s="154">
        <v>0.381</v>
      </c>
      <c r="I18" s="154">
        <v>0.0</v>
      </c>
      <c r="J18" s="154">
        <v>0.0</v>
      </c>
      <c r="K18" s="154">
        <v>0.0</v>
      </c>
      <c r="L18" s="152" t="s">
        <v>19</v>
      </c>
      <c r="M18" s="155">
        <v>0.381</v>
      </c>
    </row>
    <row r="19">
      <c r="A19" s="156" t="s">
        <v>455</v>
      </c>
      <c r="B19" s="157">
        <v>5.0</v>
      </c>
      <c r="C19" s="157">
        <v>10.0</v>
      </c>
      <c r="D19" s="157">
        <v>8.0</v>
      </c>
      <c r="E19" s="158">
        <v>0.8</v>
      </c>
      <c r="F19" s="156" t="s">
        <v>662</v>
      </c>
      <c r="G19" s="158">
        <v>0.0</v>
      </c>
      <c r="H19" s="158">
        <v>0.2414</v>
      </c>
      <c r="I19" s="158">
        <v>0.0</v>
      </c>
      <c r="J19" s="158">
        <v>0.0345</v>
      </c>
      <c r="K19" s="158">
        <v>0.0</v>
      </c>
      <c r="L19" s="156" t="s">
        <v>19</v>
      </c>
      <c r="M19" s="159">
        <v>0.2414</v>
      </c>
    </row>
    <row r="20">
      <c r="A20" s="152" t="s">
        <v>383</v>
      </c>
      <c r="B20" s="153">
        <v>17.0</v>
      </c>
      <c r="C20" s="153">
        <v>15.0</v>
      </c>
      <c r="D20" s="153">
        <v>5.0</v>
      </c>
      <c r="E20" s="154">
        <v>0.333</v>
      </c>
      <c r="F20" s="152" t="s">
        <v>662</v>
      </c>
      <c r="G20" s="154">
        <v>0.0</v>
      </c>
      <c r="H20" s="154">
        <v>0.2</v>
      </c>
      <c r="I20" s="154">
        <v>0.0667</v>
      </c>
      <c r="J20" s="154">
        <v>0.0667</v>
      </c>
      <c r="K20" s="154">
        <v>0.0</v>
      </c>
      <c r="L20" s="152" t="s">
        <v>19</v>
      </c>
      <c r="M20" s="155">
        <v>0.2</v>
      </c>
    </row>
    <row r="21">
      <c r="A21" s="156" t="s">
        <v>342</v>
      </c>
      <c r="B21" s="157">
        <v>24.0</v>
      </c>
      <c r="C21" s="157">
        <v>20.0</v>
      </c>
      <c r="D21" s="157">
        <v>3.0</v>
      </c>
      <c r="E21" s="158">
        <v>0.15</v>
      </c>
      <c r="F21" s="156" t="s">
        <v>662</v>
      </c>
      <c r="G21" s="158">
        <v>0.0</v>
      </c>
      <c r="H21" s="158">
        <v>0.15</v>
      </c>
      <c r="I21" s="158">
        <v>0.0</v>
      </c>
      <c r="J21" s="158">
        <v>0.0</v>
      </c>
      <c r="K21" s="158">
        <v>0.0</v>
      </c>
      <c r="L21" s="156" t="s">
        <v>19</v>
      </c>
      <c r="M21" s="159">
        <v>0.15</v>
      </c>
    </row>
    <row r="22">
      <c r="A22" s="152" t="s">
        <v>456</v>
      </c>
      <c r="B22" s="153">
        <v>22.0</v>
      </c>
      <c r="C22" s="153">
        <v>23.0</v>
      </c>
      <c r="D22" s="153">
        <v>3.0</v>
      </c>
      <c r="E22" s="154">
        <v>0.13</v>
      </c>
      <c r="F22" s="152" t="s">
        <v>662</v>
      </c>
      <c r="G22" s="154">
        <v>0.0</v>
      </c>
      <c r="H22" s="154">
        <v>0.1304</v>
      </c>
      <c r="I22" s="154">
        <v>0.0</v>
      </c>
      <c r="J22" s="154">
        <v>0.0</v>
      </c>
      <c r="K22" s="154">
        <v>0.0435</v>
      </c>
      <c r="L22" s="152" t="s">
        <v>19</v>
      </c>
      <c r="M22" s="155">
        <v>0.1304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9.38"/>
  </cols>
  <sheetData>
    <row r="1">
      <c r="A1" s="150" t="s">
        <v>656</v>
      </c>
      <c r="B1" s="150" t="s">
        <v>657</v>
      </c>
      <c r="C1" s="150" t="s">
        <v>658</v>
      </c>
      <c r="D1" s="150" t="s">
        <v>659</v>
      </c>
      <c r="E1" s="150" t="s">
        <v>660</v>
      </c>
      <c r="F1" s="150" t="s">
        <v>661</v>
      </c>
      <c r="G1" s="150" t="s">
        <v>4</v>
      </c>
      <c r="H1" s="151" t="s">
        <v>5</v>
      </c>
    </row>
    <row r="2">
      <c r="A2" s="152" t="s">
        <v>311</v>
      </c>
      <c r="B2" s="153">
        <v>7.0</v>
      </c>
      <c r="C2" s="153">
        <v>9.0</v>
      </c>
      <c r="D2" s="153">
        <v>4.0</v>
      </c>
      <c r="E2" s="154">
        <v>0.444</v>
      </c>
      <c r="F2" s="152" t="s">
        <v>662</v>
      </c>
      <c r="G2" s="152" t="s">
        <v>43</v>
      </c>
      <c r="H2" s="155">
        <v>0.0972</v>
      </c>
    </row>
    <row r="3">
      <c r="A3" s="156" t="s">
        <v>427</v>
      </c>
      <c r="B3" s="157">
        <v>26.0</v>
      </c>
      <c r="C3" s="157">
        <v>23.0</v>
      </c>
      <c r="D3" s="157">
        <v>6.0</v>
      </c>
      <c r="E3" s="158">
        <v>0.261</v>
      </c>
      <c r="F3" s="156" t="s">
        <v>662</v>
      </c>
      <c r="G3" s="156" t="s">
        <v>43</v>
      </c>
      <c r="H3" s="159">
        <v>0.16</v>
      </c>
    </row>
    <row r="4">
      <c r="A4" s="152" t="s">
        <v>275</v>
      </c>
      <c r="B4" s="153">
        <v>42.0</v>
      </c>
      <c r="C4" s="153">
        <v>38.0</v>
      </c>
      <c r="D4" s="153">
        <v>9.0</v>
      </c>
      <c r="E4" s="154">
        <v>0.237</v>
      </c>
      <c r="F4" s="152" t="s">
        <v>662</v>
      </c>
      <c r="G4" s="152" t="s">
        <v>43</v>
      </c>
      <c r="H4" s="155">
        <v>0.1333</v>
      </c>
    </row>
    <row r="5">
      <c r="A5" s="156" t="s">
        <v>263</v>
      </c>
      <c r="B5" s="157">
        <v>56.0</v>
      </c>
      <c r="C5" s="157">
        <v>54.0</v>
      </c>
      <c r="D5" s="157">
        <v>5.0</v>
      </c>
      <c r="E5" s="158">
        <v>0.093</v>
      </c>
      <c r="F5" s="156" t="s">
        <v>662</v>
      </c>
      <c r="G5" s="156" t="s">
        <v>43</v>
      </c>
      <c r="H5" s="159">
        <v>0.0556</v>
      </c>
    </row>
    <row r="6">
      <c r="A6" s="152" t="s">
        <v>429</v>
      </c>
      <c r="B6" s="153">
        <v>66.0</v>
      </c>
      <c r="C6" s="153">
        <v>62.0</v>
      </c>
      <c r="D6" s="153">
        <v>4.0</v>
      </c>
      <c r="E6" s="154">
        <v>0.065</v>
      </c>
      <c r="F6" s="152" t="s">
        <v>662</v>
      </c>
      <c r="G6" s="152" t="s">
        <v>43</v>
      </c>
      <c r="H6" s="155">
        <v>0.0476</v>
      </c>
    </row>
    <row r="7">
      <c r="A7" s="156" t="s">
        <v>397</v>
      </c>
      <c r="B7" s="157">
        <v>71.0</v>
      </c>
      <c r="C7" s="157">
        <v>65.0</v>
      </c>
      <c r="D7" s="157">
        <v>4.0</v>
      </c>
      <c r="E7" s="158">
        <v>0.062</v>
      </c>
      <c r="F7" s="156" t="s">
        <v>662</v>
      </c>
      <c r="G7" s="156" t="s">
        <v>43</v>
      </c>
      <c r="H7" s="159">
        <v>0.0448</v>
      </c>
    </row>
    <row r="8">
      <c r="A8" s="152" t="s">
        <v>430</v>
      </c>
      <c r="B8" s="153">
        <v>65.0</v>
      </c>
      <c r="C8" s="153">
        <v>65.0</v>
      </c>
      <c r="D8" s="153">
        <v>4.0</v>
      </c>
      <c r="E8" s="154">
        <v>0.062</v>
      </c>
      <c r="F8" s="152" t="s">
        <v>662</v>
      </c>
      <c r="G8" s="152" t="s">
        <v>43</v>
      </c>
      <c r="H8" s="155">
        <v>0.0615</v>
      </c>
    </row>
    <row r="9">
      <c r="A9" s="156" t="s">
        <v>431</v>
      </c>
      <c r="B9" s="157">
        <v>106.0</v>
      </c>
      <c r="C9" s="157">
        <v>102.0</v>
      </c>
      <c r="D9" s="157">
        <v>6.0</v>
      </c>
      <c r="E9" s="158">
        <v>0.059</v>
      </c>
      <c r="F9" s="156" t="s">
        <v>662</v>
      </c>
      <c r="G9" s="156" t="s">
        <v>43</v>
      </c>
      <c r="H9" s="159">
        <v>0.049</v>
      </c>
    </row>
    <row r="10">
      <c r="A10" s="152" t="s">
        <v>367</v>
      </c>
      <c r="B10" s="153">
        <v>9.0</v>
      </c>
      <c r="C10" s="153">
        <v>8.0</v>
      </c>
      <c r="D10" s="153">
        <v>6.0</v>
      </c>
      <c r="E10" s="154">
        <v>0.75</v>
      </c>
      <c r="F10" s="152" t="s">
        <v>662</v>
      </c>
      <c r="G10" s="152" t="s">
        <v>320</v>
      </c>
      <c r="H10" s="155">
        <v>0.3333</v>
      </c>
    </row>
    <row r="11">
      <c r="A11" s="156" t="s">
        <v>311</v>
      </c>
      <c r="B11" s="157">
        <v>72.0</v>
      </c>
      <c r="C11" s="157">
        <v>71.0</v>
      </c>
      <c r="D11" s="157">
        <v>14.0</v>
      </c>
      <c r="E11" s="158">
        <v>0.197</v>
      </c>
      <c r="F11" s="156" t="s">
        <v>662</v>
      </c>
      <c r="G11" s="156" t="s">
        <v>320</v>
      </c>
      <c r="H11" s="159">
        <v>0.0972</v>
      </c>
    </row>
    <row r="12">
      <c r="A12" s="152" t="s">
        <v>432</v>
      </c>
      <c r="B12" s="153">
        <v>27.0</v>
      </c>
      <c r="C12" s="153">
        <v>28.0</v>
      </c>
      <c r="D12" s="153">
        <v>4.0</v>
      </c>
      <c r="E12" s="154">
        <v>0.143</v>
      </c>
      <c r="F12" s="152" t="s">
        <v>662</v>
      </c>
      <c r="G12" s="152" t="s">
        <v>395</v>
      </c>
      <c r="H12" s="155">
        <v>0.129</v>
      </c>
    </row>
    <row r="13">
      <c r="A13" s="156" t="s">
        <v>338</v>
      </c>
      <c r="B13" s="157">
        <v>93.0</v>
      </c>
      <c r="C13" s="157">
        <v>88.0</v>
      </c>
      <c r="D13" s="157">
        <v>5.0</v>
      </c>
      <c r="E13" s="158">
        <v>0.057</v>
      </c>
      <c r="F13" s="156" t="s">
        <v>662</v>
      </c>
      <c r="G13" s="156" t="s">
        <v>395</v>
      </c>
      <c r="H13" s="159">
        <v>0.0444</v>
      </c>
    </row>
    <row r="14">
      <c r="A14" s="152" t="s">
        <v>433</v>
      </c>
      <c r="B14" s="153">
        <v>54.0</v>
      </c>
      <c r="C14" s="153">
        <v>51.0</v>
      </c>
      <c r="D14" s="153">
        <v>5.0</v>
      </c>
      <c r="E14" s="154">
        <v>0.098</v>
      </c>
      <c r="F14" s="152" t="s">
        <v>662</v>
      </c>
      <c r="G14" s="152" t="s">
        <v>137</v>
      </c>
      <c r="H14" s="155">
        <v>0.0588</v>
      </c>
    </row>
    <row r="15">
      <c r="A15" s="156" t="s">
        <v>434</v>
      </c>
      <c r="B15" s="157">
        <v>48.0</v>
      </c>
      <c r="C15" s="157">
        <v>43.0</v>
      </c>
      <c r="D15" s="157">
        <v>4.0</v>
      </c>
      <c r="E15" s="158">
        <v>0.093</v>
      </c>
      <c r="F15" s="156" t="s">
        <v>662</v>
      </c>
      <c r="G15" s="156" t="s">
        <v>405</v>
      </c>
      <c r="H15" s="159">
        <v>0.0638</v>
      </c>
    </row>
    <row r="16">
      <c r="A16" s="152" t="s">
        <v>435</v>
      </c>
      <c r="B16" s="153">
        <v>56.0</v>
      </c>
      <c r="C16" s="153">
        <v>56.0</v>
      </c>
      <c r="D16" s="153">
        <v>4.0</v>
      </c>
      <c r="E16" s="154">
        <v>0.071</v>
      </c>
      <c r="F16" s="152" t="s">
        <v>662</v>
      </c>
      <c r="G16" s="152" t="s">
        <v>405</v>
      </c>
      <c r="H16" s="155">
        <v>0.0714</v>
      </c>
    </row>
    <row r="17">
      <c r="A17" s="156" t="s">
        <v>436</v>
      </c>
      <c r="B17" s="157">
        <v>62.0</v>
      </c>
      <c r="C17" s="157">
        <v>61.0</v>
      </c>
      <c r="D17" s="157">
        <v>4.0</v>
      </c>
      <c r="E17" s="158">
        <v>0.066</v>
      </c>
      <c r="F17" s="156" t="s">
        <v>662</v>
      </c>
      <c r="G17" s="156" t="s">
        <v>405</v>
      </c>
      <c r="H17" s="159">
        <v>0.0968</v>
      </c>
    </row>
    <row r="18">
      <c r="A18" s="152" t="s">
        <v>437</v>
      </c>
      <c r="B18" s="153">
        <v>102.0</v>
      </c>
      <c r="C18" s="153">
        <v>100.0</v>
      </c>
      <c r="D18" s="153">
        <v>6.0</v>
      </c>
      <c r="E18" s="154">
        <v>0.06</v>
      </c>
      <c r="F18" s="152" t="s">
        <v>662</v>
      </c>
      <c r="G18" s="152" t="s">
        <v>405</v>
      </c>
      <c r="H18" s="155">
        <v>0.0594</v>
      </c>
    </row>
    <row r="19">
      <c r="A19" s="156" t="s">
        <v>438</v>
      </c>
      <c r="B19" s="157">
        <v>8.0</v>
      </c>
      <c r="C19" s="157">
        <v>7.0</v>
      </c>
      <c r="D19" s="157">
        <v>4.0</v>
      </c>
      <c r="E19" s="158">
        <v>0.571</v>
      </c>
      <c r="F19" s="156" t="s">
        <v>662</v>
      </c>
      <c r="G19" s="156" t="s">
        <v>19</v>
      </c>
      <c r="H19" s="159">
        <v>0.375</v>
      </c>
    </row>
    <row r="20">
      <c r="A20" s="152" t="s">
        <v>213</v>
      </c>
      <c r="B20" s="153">
        <v>20.0</v>
      </c>
      <c r="C20" s="153">
        <v>16.0</v>
      </c>
      <c r="D20" s="153">
        <v>8.0</v>
      </c>
      <c r="E20" s="154">
        <v>0.5</v>
      </c>
      <c r="F20" s="152" t="s">
        <v>662</v>
      </c>
      <c r="G20" s="152" t="s">
        <v>19</v>
      </c>
      <c r="H20" s="155">
        <v>0.4211</v>
      </c>
    </row>
    <row r="21">
      <c r="A21" s="156" t="s">
        <v>345</v>
      </c>
      <c r="B21" s="157">
        <v>12.0</v>
      </c>
      <c r="C21" s="157">
        <v>11.0</v>
      </c>
      <c r="D21" s="157">
        <v>5.0</v>
      </c>
      <c r="E21" s="158">
        <v>0.455</v>
      </c>
      <c r="F21" s="156" t="s">
        <v>662</v>
      </c>
      <c r="G21" s="156" t="s">
        <v>19</v>
      </c>
      <c r="H21" s="159">
        <v>0.3846</v>
      </c>
    </row>
    <row r="22">
      <c r="A22" s="152" t="s">
        <v>439</v>
      </c>
      <c r="B22" s="153">
        <v>130.0</v>
      </c>
      <c r="C22" s="153">
        <v>129.0</v>
      </c>
      <c r="D22" s="153">
        <v>9.0</v>
      </c>
      <c r="E22" s="154">
        <v>0.07</v>
      </c>
      <c r="F22" s="152" t="s">
        <v>662</v>
      </c>
      <c r="G22" s="152" t="s">
        <v>19</v>
      </c>
      <c r="H22" s="155">
        <v>0.0458</v>
      </c>
    </row>
    <row r="23">
      <c r="A23" s="156" t="s">
        <v>223</v>
      </c>
      <c r="B23" s="157">
        <v>83.0</v>
      </c>
      <c r="C23" s="157">
        <v>77.0</v>
      </c>
      <c r="D23" s="157">
        <v>5.0</v>
      </c>
      <c r="E23" s="158">
        <v>0.065</v>
      </c>
      <c r="F23" s="156" t="s">
        <v>662</v>
      </c>
      <c r="G23" s="156" t="s">
        <v>19</v>
      </c>
      <c r="H23" s="159">
        <v>0.0488</v>
      </c>
    </row>
    <row r="24">
      <c r="A24" s="152" t="s">
        <v>440</v>
      </c>
      <c r="B24" s="153">
        <v>9.0</v>
      </c>
      <c r="C24" s="153">
        <v>7.0</v>
      </c>
      <c r="D24" s="153">
        <v>6.0</v>
      </c>
      <c r="E24" s="154">
        <v>0.857</v>
      </c>
      <c r="F24" s="152" t="s">
        <v>662</v>
      </c>
      <c r="G24" s="152" t="s">
        <v>384</v>
      </c>
      <c r="H24" s="155">
        <v>0.2667</v>
      </c>
    </row>
    <row r="25">
      <c r="A25" s="156" t="s">
        <v>275</v>
      </c>
      <c r="B25" s="157">
        <v>6.0</v>
      </c>
      <c r="C25" s="157">
        <v>8.0</v>
      </c>
      <c r="D25" s="157">
        <v>4.0</v>
      </c>
      <c r="E25" s="158">
        <v>0.5</v>
      </c>
      <c r="F25" s="156" t="s">
        <v>662</v>
      </c>
      <c r="G25" s="156" t="s">
        <v>336</v>
      </c>
      <c r="H25" s="159">
        <v>0.1333</v>
      </c>
    </row>
    <row r="26">
      <c r="A26" s="152" t="s">
        <v>441</v>
      </c>
      <c r="B26" s="153">
        <v>37.0</v>
      </c>
      <c r="C26" s="153">
        <v>36.0</v>
      </c>
      <c r="D26" s="153">
        <v>4.0</v>
      </c>
      <c r="E26" s="154">
        <v>0.111</v>
      </c>
      <c r="F26" s="152" t="s">
        <v>662</v>
      </c>
      <c r="G26" s="152" t="s">
        <v>336</v>
      </c>
      <c r="H26" s="155">
        <v>0.0541</v>
      </c>
    </row>
    <row r="27">
      <c r="A27" s="242"/>
      <c r="B27" s="242"/>
      <c r="C27" s="242"/>
      <c r="D27" s="242"/>
      <c r="E27" s="242"/>
      <c r="F27" s="242"/>
      <c r="G27" s="242"/>
      <c r="H27" s="242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21.75"/>
  </cols>
  <sheetData>
    <row r="1">
      <c r="A1" s="243" t="s">
        <v>656</v>
      </c>
      <c r="B1" s="244"/>
    </row>
    <row r="2">
      <c r="A2" s="24" t="s">
        <v>132</v>
      </c>
      <c r="B2" s="24" t="s">
        <v>211</v>
      </c>
    </row>
    <row r="3">
      <c r="A3" s="24" t="s">
        <v>197</v>
      </c>
      <c r="B3" s="24" t="s">
        <v>309</v>
      </c>
    </row>
    <row r="4">
      <c r="A4" s="24" t="s">
        <v>151</v>
      </c>
      <c r="B4" s="24" t="s">
        <v>861</v>
      </c>
    </row>
    <row r="5">
      <c r="A5" s="24" t="s">
        <v>596</v>
      </c>
      <c r="B5" s="24" t="s">
        <v>862</v>
      </c>
    </row>
    <row r="6">
      <c r="A6" s="24" t="s">
        <v>224</v>
      </c>
      <c r="B6" s="24" t="s">
        <v>287</v>
      </c>
    </row>
    <row r="7">
      <c r="A7" s="24" t="s">
        <v>103</v>
      </c>
      <c r="B7" s="24" t="s">
        <v>863</v>
      </c>
    </row>
    <row r="8">
      <c r="A8" s="24" t="s">
        <v>165</v>
      </c>
      <c r="B8" s="24" t="s">
        <v>431</v>
      </c>
    </row>
    <row r="9">
      <c r="A9" s="24" t="s">
        <v>95</v>
      </c>
      <c r="B9" s="24" t="s">
        <v>864</v>
      </c>
    </row>
    <row r="10">
      <c r="A10" s="24" t="s">
        <v>96</v>
      </c>
      <c r="B10" s="24" t="s">
        <v>865</v>
      </c>
    </row>
    <row r="11">
      <c r="A11" s="24" t="s">
        <v>866</v>
      </c>
      <c r="B11" s="24" t="s">
        <v>867</v>
      </c>
    </row>
    <row r="12">
      <c r="A12" s="24" t="s">
        <v>99</v>
      </c>
      <c r="B12" s="24" t="s">
        <v>868</v>
      </c>
    </row>
    <row r="13">
      <c r="A13" s="24" t="s">
        <v>869</v>
      </c>
      <c r="B13" s="24" t="s">
        <v>870</v>
      </c>
    </row>
    <row r="14">
      <c r="A14" s="24" t="s">
        <v>871</v>
      </c>
      <c r="B14" s="24" t="s">
        <v>872</v>
      </c>
    </row>
    <row r="15">
      <c r="A15" s="24" t="s">
        <v>873</v>
      </c>
      <c r="B15" s="24" t="s">
        <v>874</v>
      </c>
    </row>
    <row r="16">
      <c r="A16" s="24" t="s">
        <v>182</v>
      </c>
      <c r="B16" s="24" t="s">
        <v>875</v>
      </c>
    </row>
    <row r="17">
      <c r="A17" s="245" t="s">
        <v>101</v>
      </c>
      <c r="B17" s="24" t="s">
        <v>876</v>
      </c>
    </row>
    <row r="18">
      <c r="A18" s="245" t="s">
        <v>103</v>
      </c>
      <c r="B18" s="24" t="s">
        <v>877</v>
      </c>
    </row>
    <row r="19">
      <c r="A19" s="245">
        <v>234791.0</v>
      </c>
      <c r="B19" s="245" t="s">
        <v>100</v>
      </c>
    </row>
    <row r="20">
      <c r="A20" s="245" t="s">
        <v>104</v>
      </c>
      <c r="B20" s="245" t="s">
        <v>105</v>
      </c>
    </row>
  </sheetData>
  <mergeCells count="1">
    <mergeCell ref="A1:B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3" max="3" width="32.5"/>
    <col customWidth="1" min="4" max="4" width="19.88"/>
    <col customWidth="1" min="5" max="5" width="22.75"/>
  </cols>
  <sheetData>
    <row r="1">
      <c r="A1" s="21"/>
    </row>
    <row r="2">
      <c r="A2" s="40" t="s">
        <v>878</v>
      </c>
      <c r="B2" s="40" t="s">
        <v>879</v>
      </c>
      <c r="C2" s="40" t="s">
        <v>656</v>
      </c>
      <c r="D2" s="246" t="s">
        <v>880</v>
      </c>
      <c r="E2" s="12" t="s">
        <v>881</v>
      </c>
    </row>
    <row r="3">
      <c r="A3" s="21" t="s">
        <v>184</v>
      </c>
      <c r="B3" s="21">
        <v>228743.0</v>
      </c>
      <c r="C3" s="21" t="s">
        <v>882</v>
      </c>
      <c r="D3" s="247">
        <v>92.0</v>
      </c>
      <c r="E3" s="240" t="str">
        <f>VLOOKUP(C3,'14-18 JULY'!C:C,1,0)</f>
        <v>#N/A</v>
      </c>
    </row>
    <row r="4">
      <c r="A4" s="21" t="s">
        <v>184</v>
      </c>
      <c r="B4" s="21">
        <v>228743.0</v>
      </c>
      <c r="C4" s="21" t="s">
        <v>883</v>
      </c>
      <c r="D4" s="247">
        <v>76.0</v>
      </c>
      <c r="E4" s="240" t="str">
        <f>VLOOKUP(C4,'14-18 JULY'!C:C,1,0)</f>
        <v>#N/A</v>
      </c>
    </row>
    <row r="5">
      <c r="A5" s="21" t="s">
        <v>184</v>
      </c>
      <c r="B5" s="21">
        <v>228743.0</v>
      </c>
      <c r="C5" s="21" t="s">
        <v>884</v>
      </c>
      <c r="D5" s="247">
        <v>50.0</v>
      </c>
      <c r="E5" s="21" t="s">
        <v>885</v>
      </c>
    </row>
    <row r="6">
      <c r="A6" s="21" t="s">
        <v>184</v>
      </c>
      <c r="B6" s="21">
        <v>228743.0</v>
      </c>
      <c r="C6" s="21" t="s">
        <v>886</v>
      </c>
      <c r="D6" s="247">
        <v>31.0</v>
      </c>
      <c r="E6" s="240" t="str">
        <f>VLOOKUP(C6,'14-18 JULY'!C:C,1,0)</f>
        <v>#N/A</v>
      </c>
    </row>
    <row r="7">
      <c r="A7" s="21" t="s">
        <v>184</v>
      </c>
      <c r="B7" s="21">
        <v>234796.0</v>
      </c>
      <c r="C7" s="21" t="s">
        <v>65</v>
      </c>
      <c r="D7" s="247">
        <v>193.0</v>
      </c>
      <c r="E7" s="21" t="s">
        <v>885</v>
      </c>
    </row>
    <row r="8">
      <c r="A8" s="21" t="s">
        <v>184</v>
      </c>
      <c r="B8" s="21">
        <v>234796.0</v>
      </c>
      <c r="C8" s="21" t="s">
        <v>887</v>
      </c>
      <c r="D8" s="247">
        <v>106.0</v>
      </c>
      <c r="E8" s="21" t="s">
        <v>885</v>
      </c>
    </row>
    <row r="9">
      <c r="A9" s="21" t="s">
        <v>184</v>
      </c>
      <c r="B9" s="21">
        <v>234796.0</v>
      </c>
      <c r="C9" s="21" t="s">
        <v>59</v>
      </c>
      <c r="D9" s="247">
        <v>80.0</v>
      </c>
      <c r="E9" s="21" t="s">
        <v>885</v>
      </c>
    </row>
    <row r="10">
      <c r="A10" s="21" t="s">
        <v>184</v>
      </c>
      <c r="B10" s="21">
        <v>220126.0</v>
      </c>
      <c r="C10" s="21" t="s">
        <v>24</v>
      </c>
      <c r="D10" s="247">
        <v>106.0</v>
      </c>
      <c r="E10" s="21" t="s">
        <v>885</v>
      </c>
    </row>
    <row r="11">
      <c r="A11" s="21" t="s">
        <v>184</v>
      </c>
      <c r="B11" s="21">
        <v>220126.0</v>
      </c>
      <c r="C11" s="21" t="s">
        <v>888</v>
      </c>
      <c r="D11" s="247">
        <v>54.0</v>
      </c>
      <c r="E11" s="240" t="str">
        <f>VLOOKUP(C11,'14-18 JULY'!C:C,1,0)</f>
        <v>#N/A</v>
      </c>
    </row>
    <row r="12">
      <c r="A12" s="21" t="s">
        <v>184</v>
      </c>
      <c r="B12" s="21">
        <v>225336.0</v>
      </c>
      <c r="C12" s="21" t="s">
        <v>151</v>
      </c>
      <c r="D12" s="247">
        <v>127.0</v>
      </c>
      <c r="E12" s="240" t="str">
        <f>VLOOKUP(C12,'14-18 JULY'!C:C,1,0)</f>
        <v>#N/A</v>
      </c>
    </row>
    <row r="13">
      <c r="A13" s="21" t="s">
        <v>184</v>
      </c>
      <c r="B13" s="21">
        <v>225336.0</v>
      </c>
      <c r="C13" s="21" t="s">
        <v>889</v>
      </c>
      <c r="D13" s="247">
        <v>44.0</v>
      </c>
      <c r="E13" s="240" t="str">
        <f>VLOOKUP(C13,'14-18 JULY'!C:C,1,0)</f>
        <v>#N/A</v>
      </c>
    </row>
    <row r="14">
      <c r="A14" s="21" t="s">
        <v>184</v>
      </c>
      <c r="B14" s="21">
        <v>225336.0</v>
      </c>
      <c r="C14" s="21" t="s">
        <v>222</v>
      </c>
      <c r="D14" s="247">
        <v>35.0</v>
      </c>
      <c r="E14" s="21" t="s">
        <v>885</v>
      </c>
    </row>
    <row r="15">
      <c r="A15" s="21" t="s">
        <v>184</v>
      </c>
      <c r="B15" s="21">
        <v>225336.0</v>
      </c>
      <c r="C15" s="21" t="s">
        <v>273</v>
      </c>
      <c r="D15" s="247">
        <v>33.0</v>
      </c>
      <c r="E15" s="21" t="s">
        <v>885</v>
      </c>
    </row>
    <row r="16">
      <c r="A16" s="21" t="s">
        <v>184</v>
      </c>
      <c r="B16" s="21">
        <v>234797.0</v>
      </c>
      <c r="C16" s="21" t="s">
        <v>890</v>
      </c>
      <c r="D16" s="247">
        <v>36.0</v>
      </c>
      <c r="E16" s="240" t="str">
        <f>VLOOKUP(C16,'14-18 JULY'!C:C,1,0)</f>
        <v>#N/A</v>
      </c>
    </row>
    <row r="17">
      <c r="A17" s="21" t="s">
        <v>184</v>
      </c>
      <c r="B17" s="21">
        <v>234797.0</v>
      </c>
      <c r="C17" s="21" t="s">
        <v>891</v>
      </c>
      <c r="D17" s="247">
        <v>29.0</v>
      </c>
      <c r="E17" s="240" t="str">
        <f>VLOOKUP(C17,'14-18 JULY'!C:C,1,0)</f>
        <v>#N/A</v>
      </c>
    </row>
    <row r="18">
      <c r="A18" s="21" t="s">
        <v>184</v>
      </c>
      <c r="B18" s="21">
        <v>243271.0</v>
      </c>
      <c r="C18" s="21" t="s">
        <v>892</v>
      </c>
      <c r="D18" s="247">
        <v>91.0</v>
      </c>
      <c r="E18" s="240" t="str">
        <f>VLOOKUP(C18,'14-18 JULY'!C:C,1,0)</f>
        <v>#N/A</v>
      </c>
    </row>
    <row r="19">
      <c r="A19" s="21" t="s">
        <v>184</v>
      </c>
      <c r="B19" s="21">
        <v>219825.0</v>
      </c>
      <c r="C19" s="21" t="s">
        <v>573</v>
      </c>
      <c r="D19" s="247">
        <v>136.0</v>
      </c>
      <c r="E19" s="21" t="s">
        <v>885</v>
      </c>
    </row>
    <row r="20">
      <c r="A20" s="21" t="s">
        <v>184</v>
      </c>
      <c r="B20" s="21">
        <v>219825.0</v>
      </c>
      <c r="C20" s="21" t="s">
        <v>893</v>
      </c>
      <c r="D20" s="247">
        <v>26.0</v>
      </c>
      <c r="E20" s="240" t="str">
        <f>VLOOKUP(C20,'14-18 JULY'!C:C,1,0)</f>
        <v>#N/A</v>
      </c>
    </row>
    <row r="21">
      <c r="A21" s="21" t="s">
        <v>184</v>
      </c>
      <c r="B21" s="21">
        <v>241097.0</v>
      </c>
      <c r="C21" s="21" t="s">
        <v>894</v>
      </c>
      <c r="D21" s="247">
        <v>54.0</v>
      </c>
      <c r="E21" s="240" t="str">
        <f>VLOOKUP(C21,'14-18 JULY'!C:C,1,0)</f>
        <v>#N/A</v>
      </c>
    </row>
    <row r="22">
      <c r="A22" s="21" t="s">
        <v>184</v>
      </c>
      <c r="B22" s="21">
        <v>201272.0</v>
      </c>
      <c r="C22" s="21" t="s">
        <v>895</v>
      </c>
      <c r="D22" s="247">
        <v>145.0</v>
      </c>
      <c r="E22" s="240" t="str">
        <f>VLOOKUP(C22,'14-18 JULY'!C:C,1,0)</f>
        <v>#N/A</v>
      </c>
    </row>
    <row r="23">
      <c r="A23" s="21" t="s">
        <v>184</v>
      </c>
      <c r="B23" s="21">
        <v>201272.0</v>
      </c>
      <c r="C23" s="21" t="s">
        <v>896</v>
      </c>
      <c r="D23" s="247">
        <v>38.0</v>
      </c>
      <c r="E23" s="240" t="str">
        <f>VLOOKUP(C23,'14-18 JULY'!C:C,1,0)</f>
        <v>#N/A</v>
      </c>
    </row>
    <row r="24">
      <c r="A24" s="21" t="s">
        <v>184</v>
      </c>
      <c r="B24" s="21">
        <v>241112.0</v>
      </c>
      <c r="C24" s="21" t="s">
        <v>897</v>
      </c>
      <c r="D24" s="247">
        <v>12.0</v>
      </c>
      <c r="E24" s="240" t="str">
        <f>VLOOKUP(C24,'14-18 JULY'!C:C,1,0)</f>
        <v>#N/A</v>
      </c>
    </row>
    <row r="25">
      <c r="A25" s="21" t="s">
        <v>184</v>
      </c>
      <c r="B25" s="21">
        <v>241112.0</v>
      </c>
      <c r="C25" s="21" t="s">
        <v>898</v>
      </c>
      <c r="D25" s="247">
        <v>6.0</v>
      </c>
      <c r="E25" s="240" t="str">
        <f>VLOOKUP(C25,'14-18 JULY'!C:C,1,0)</f>
        <v>#N/A</v>
      </c>
    </row>
    <row r="26">
      <c r="A26" s="21" t="s">
        <v>184</v>
      </c>
      <c r="B26" s="21">
        <v>241112.0</v>
      </c>
      <c r="C26" s="21" t="s">
        <v>899</v>
      </c>
      <c r="D26" s="247">
        <v>5.0</v>
      </c>
      <c r="E26" s="240" t="str">
        <f>VLOOKUP(C26,'14-18 JULY'!C:C,1,0)</f>
        <v>#N/A</v>
      </c>
    </row>
    <row r="27">
      <c r="A27" s="21" t="s">
        <v>184</v>
      </c>
      <c r="B27" s="21">
        <v>241112.0</v>
      </c>
      <c r="C27" s="21" t="s">
        <v>900</v>
      </c>
      <c r="D27" s="247">
        <v>4.0</v>
      </c>
      <c r="E27" s="240" t="str">
        <f>VLOOKUP(C27,'14-18 JULY'!C:C,1,0)</f>
        <v>#N/A</v>
      </c>
    </row>
    <row r="28">
      <c r="A28" s="21" t="s">
        <v>184</v>
      </c>
      <c r="B28" s="21">
        <v>241112.0</v>
      </c>
      <c r="C28" s="21" t="s">
        <v>901</v>
      </c>
      <c r="D28" s="247">
        <v>4.0</v>
      </c>
      <c r="E28" s="240" t="str">
        <f>VLOOKUP(C28,'14-18 JULY'!C:C,1,0)</f>
        <v>#N/A</v>
      </c>
    </row>
    <row r="29">
      <c r="A29" s="21" t="s">
        <v>184</v>
      </c>
      <c r="B29" s="21">
        <v>217873.0</v>
      </c>
      <c r="C29" s="21" t="s">
        <v>902</v>
      </c>
      <c r="D29" s="247">
        <v>41.0</v>
      </c>
      <c r="E29" s="240" t="str">
        <f>VLOOKUP(C29,'14-18 JULY'!C:C,1,0)</f>
        <v>#N/A</v>
      </c>
    </row>
    <row r="30">
      <c r="A30" s="21" t="s">
        <v>184</v>
      </c>
      <c r="B30" s="21">
        <v>217873.0</v>
      </c>
      <c r="C30" s="21" t="s">
        <v>200</v>
      </c>
      <c r="D30" s="247">
        <v>39.0</v>
      </c>
      <c r="E30" s="240" t="str">
        <f>VLOOKUP(C30,'14-18 JULY'!C:C,1,0)</f>
        <v>#N/A</v>
      </c>
    </row>
    <row r="31">
      <c r="A31" s="21" t="s">
        <v>184</v>
      </c>
      <c r="B31" s="21">
        <v>217873.0</v>
      </c>
      <c r="C31" s="21" t="s">
        <v>148</v>
      </c>
      <c r="D31" s="247">
        <v>38.0</v>
      </c>
      <c r="E31" s="240" t="str">
        <f>VLOOKUP(C31,'14-18 JULY'!C:C,1,0)</f>
        <v>#N/A</v>
      </c>
    </row>
    <row r="32">
      <c r="A32" s="21" t="s">
        <v>184</v>
      </c>
      <c r="B32" s="21">
        <v>241115.0</v>
      </c>
      <c r="C32" s="21" t="s">
        <v>903</v>
      </c>
      <c r="D32" s="247">
        <v>22.0</v>
      </c>
      <c r="E32" s="240" t="str">
        <f>VLOOKUP(C32,'14-18 JULY'!C:C,1,0)</f>
        <v>#N/A</v>
      </c>
    </row>
    <row r="33">
      <c r="A33" s="21" t="s">
        <v>184</v>
      </c>
      <c r="B33" s="21">
        <v>241115.0</v>
      </c>
      <c r="C33" s="21" t="s">
        <v>904</v>
      </c>
      <c r="D33" s="247">
        <v>18.0</v>
      </c>
      <c r="E33" s="240" t="str">
        <f>VLOOKUP(C33,'14-18 JULY'!C:C,1,0)</f>
        <v>#N/A</v>
      </c>
    </row>
    <row r="34">
      <c r="A34" s="21" t="s">
        <v>184</v>
      </c>
      <c r="B34" s="21">
        <v>147022.0</v>
      </c>
      <c r="C34" s="21" t="s">
        <v>905</v>
      </c>
      <c r="D34" s="247">
        <v>40.0</v>
      </c>
      <c r="E34" s="240" t="str">
        <f>VLOOKUP(C34,'14-18 JULY'!C:C,1,0)</f>
        <v>#N/A</v>
      </c>
    </row>
    <row r="35">
      <c r="A35" s="21" t="s">
        <v>184</v>
      </c>
      <c r="B35" s="21">
        <v>147022.0</v>
      </c>
      <c r="C35" s="21" t="s">
        <v>906</v>
      </c>
      <c r="D35" s="247">
        <v>34.0</v>
      </c>
      <c r="E35" s="240" t="str">
        <f>VLOOKUP(C35,'14-18 JULY'!C:C,1,0)</f>
        <v>#N/A</v>
      </c>
    </row>
    <row r="36">
      <c r="A36" s="21" t="s">
        <v>184</v>
      </c>
      <c r="B36" s="21">
        <v>147022.0</v>
      </c>
      <c r="C36" s="21" t="s">
        <v>907</v>
      </c>
      <c r="D36" s="247">
        <v>8.0</v>
      </c>
      <c r="E36" s="240" t="str">
        <f>VLOOKUP(C36,'14-18 JULY'!C:C,1,0)</f>
        <v>#N/A</v>
      </c>
    </row>
    <row r="37">
      <c r="A37" s="21" t="s">
        <v>184</v>
      </c>
      <c r="B37" s="21">
        <v>207551.0</v>
      </c>
      <c r="C37" s="21" t="s">
        <v>908</v>
      </c>
      <c r="D37" s="247">
        <v>29.0</v>
      </c>
      <c r="E37" s="240" t="str">
        <f>VLOOKUP(C37,'14-18 JULY'!C:C,1,0)</f>
        <v>#N/A</v>
      </c>
    </row>
    <row r="38">
      <c r="A38" s="21" t="s">
        <v>184</v>
      </c>
      <c r="B38" s="21">
        <v>207551.0</v>
      </c>
      <c r="C38" s="21" t="s">
        <v>909</v>
      </c>
      <c r="D38" s="247">
        <v>19.0</v>
      </c>
      <c r="E38" s="240" t="str">
        <f>VLOOKUP(C38,'14-18 JULY'!C:C,1,0)</f>
        <v>#N/A</v>
      </c>
    </row>
    <row r="39">
      <c r="A39" s="21" t="s">
        <v>184</v>
      </c>
      <c r="B39" s="21">
        <v>207551.0</v>
      </c>
      <c r="C39" s="21" t="s">
        <v>910</v>
      </c>
      <c r="D39" s="247">
        <v>19.0</v>
      </c>
      <c r="E39" s="240" t="str">
        <f>VLOOKUP(C39,'14-18 JULY'!C:C,1,0)</f>
        <v>#N/A</v>
      </c>
    </row>
    <row r="40">
      <c r="A40" s="21" t="s">
        <v>184</v>
      </c>
      <c r="B40" s="21">
        <v>207551.0</v>
      </c>
      <c r="C40" s="21" t="s">
        <v>911</v>
      </c>
      <c r="D40" s="247">
        <v>9.0</v>
      </c>
      <c r="E40" s="240" t="str">
        <f>VLOOKUP(C40,'14-18 JULY'!C:C,1,0)</f>
        <v>#N/A</v>
      </c>
    </row>
    <row r="41">
      <c r="A41" s="21" t="s">
        <v>184</v>
      </c>
      <c r="B41" s="21">
        <v>222135.0</v>
      </c>
      <c r="C41" s="21" t="s">
        <v>912</v>
      </c>
      <c r="D41" s="247">
        <v>38.0</v>
      </c>
      <c r="E41" s="240" t="str">
        <f>VLOOKUP(C41,'14-18 JULY'!C:C,1,0)</f>
        <v>#N/A</v>
      </c>
    </row>
    <row r="42">
      <c r="A42" s="21" t="s">
        <v>184</v>
      </c>
      <c r="B42" s="21">
        <v>222135.0</v>
      </c>
      <c r="C42" s="21" t="s">
        <v>418</v>
      </c>
      <c r="D42" s="247">
        <v>16.0</v>
      </c>
      <c r="E42" s="240" t="str">
        <f>VLOOKUP(C42,'14-18 JULY'!C:C,1,0)</f>
        <v>#N/A</v>
      </c>
    </row>
    <row r="43">
      <c r="A43" s="21" t="s">
        <v>184</v>
      </c>
      <c r="B43" s="21">
        <v>222135.0</v>
      </c>
      <c r="C43" s="21" t="s">
        <v>913</v>
      </c>
      <c r="D43" s="247">
        <v>14.0</v>
      </c>
      <c r="E43" s="240" t="str">
        <f>VLOOKUP(C43,'14-18 JULY'!C:C,1,0)</f>
        <v>#N/A</v>
      </c>
    </row>
    <row r="44">
      <c r="A44" s="21" t="s">
        <v>184</v>
      </c>
      <c r="B44" s="21">
        <v>211293.0</v>
      </c>
      <c r="C44" s="21" t="s">
        <v>205</v>
      </c>
      <c r="D44" s="247">
        <v>71.0</v>
      </c>
      <c r="E44" s="240" t="str">
        <f>VLOOKUP(C44,'14-18 JULY'!C:C,1,0)</f>
        <v>#N/A</v>
      </c>
    </row>
    <row r="45">
      <c r="A45" s="21" t="s">
        <v>184</v>
      </c>
      <c r="B45" s="21">
        <v>211293.0</v>
      </c>
      <c r="C45" s="21" t="s">
        <v>194</v>
      </c>
      <c r="D45" s="247">
        <v>22.0</v>
      </c>
      <c r="E45" s="240" t="str">
        <f>VLOOKUP(C45,'14-18 JULY'!C:C,1,0)</f>
        <v>#N/A</v>
      </c>
    </row>
    <row r="46">
      <c r="A46" s="21" t="s">
        <v>184</v>
      </c>
      <c r="B46" s="21">
        <v>211293.0</v>
      </c>
      <c r="C46" s="21" t="s">
        <v>914</v>
      </c>
      <c r="D46" s="247">
        <v>18.0</v>
      </c>
      <c r="E46" s="240" t="str">
        <f>VLOOKUP(C46,'14-18 JULY'!C:C,1,0)</f>
        <v>#N/A</v>
      </c>
    </row>
    <row r="47">
      <c r="A47" s="21" t="s">
        <v>184</v>
      </c>
      <c r="B47" s="21">
        <v>211293.0</v>
      </c>
      <c r="C47" s="21" t="s">
        <v>915</v>
      </c>
      <c r="D47" s="247">
        <v>15.0</v>
      </c>
      <c r="E47" s="240" t="str">
        <f>VLOOKUP(C47,'14-18 JULY'!C:C,1,0)</f>
        <v>#N/A</v>
      </c>
    </row>
    <row r="48">
      <c r="A48" s="21" t="s">
        <v>184</v>
      </c>
      <c r="B48" s="21">
        <v>211293.0</v>
      </c>
      <c r="C48" s="21" t="s">
        <v>916</v>
      </c>
      <c r="D48" s="247">
        <v>9.0</v>
      </c>
      <c r="E48" s="240" t="str">
        <f>VLOOKUP(C48,'14-18 JULY'!C:C,1,0)</f>
        <v>#N/A</v>
      </c>
    </row>
    <row r="49">
      <c r="A49" s="21" t="s">
        <v>184</v>
      </c>
      <c r="B49" s="21">
        <v>234793.0</v>
      </c>
      <c r="C49" s="21" t="s">
        <v>917</v>
      </c>
      <c r="D49" s="247">
        <v>8.0</v>
      </c>
      <c r="E49" s="240" t="str">
        <f>VLOOKUP(C49,'14-18 JULY'!C:C,1,0)</f>
        <v>#N/A</v>
      </c>
    </row>
    <row r="50">
      <c r="A50" s="21" t="s">
        <v>184</v>
      </c>
      <c r="B50" s="21">
        <v>234793.0</v>
      </c>
      <c r="C50" s="21" t="s">
        <v>918</v>
      </c>
      <c r="D50" s="247">
        <v>7.0</v>
      </c>
      <c r="E50" s="240" t="str">
        <f>VLOOKUP(C50,'14-18 JULY'!C:C,1,0)</f>
        <v>#N/A</v>
      </c>
    </row>
    <row r="51">
      <c r="A51" s="21" t="s">
        <v>184</v>
      </c>
      <c r="B51" s="21">
        <v>234793.0</v>
      </c>
      <c r="C51" s="21" t="s">
        <v>919</v>
      </c>
      <c r="D51" s="247">
        <v>6.0</v>
      </c>
      <c r="E51" s="240" t="str">
        <f>VLOOKUP(C51,'14-18 JULY'!C:C,1,0)</f>
        <v>#N/A</v>
      </c>
    </row>
    <row r="52">
      <c r="A52" s="21" t="s">
        <v>184</v>
      </c>
      <c r="B52" s="21">
        <v>218966.0</v>
      </c>
      <c r="C52" s="21" t="s">
        <v>920</v>
      </c>
      <c r="D52" s="247">
        <v>36.0</v>
      </c>
      <c r="E52" s="21" t="s">
        <v>885</v>
      </c>
    </row>
    <row r="53">
      <c r="A53" s="21" t="s">
        <v>184</v>
      </c>
      <c r="B53" s="21">
        <v>218966.0</v>
      </c>
      <c r="C53" s="21" t="s">
        <v>454</v>
      </c>
      <c r="D53" s="247">
        <v>9.0</v>
      </c>
      <c r="E53" s="240" t="str">
        <f>VLOOKUP(C53,'14-18 JULY'!C:C,1,0)</f>
        <v>#N/A</v>
      </c>
    </row>
    <row r="54">
      <c r="A54" s="21" t="s">
        <v>184</v>
      </c>
      <c r="B54" s="21">
        <v>218966.0</v>
      </c>
      <c r="C54" s="21" t="s">
        <v>332</v>
      </c>
      <c r="D54" s="247">
        <v>8.0</v>
      </c>
      <c r="E54" s="240" t="str">
        <f>VLOOKUP(C54,'14-18 JULY'!C:C,1,0)</f>
        <v>#N/A</v>
      </c>
    </row>
    <row r="55">
      <c r="A55" s="21" t="s">
        <v>184</v>
      </c>
      <c r="B55" s="21">
        <v>227606.0</v>
      </c>
      <c r="C55" s="21" t="s">
        <v>921</v>
      </c>
      <c r="D55" s="247">
        <v>287.0</v>
      </c>
      <c r="E55" s="240" t="str">
        <f>VLOOKUP(C55,'14-18 JULY'!C:C,1,0)</f>
        <v>#N/A</v>
      </c>
    </row>
    <row r="56">
      <c r="A56" s="21" t="s">
        <v>184</v>
      </c>
      <c r="B56" s="21">
        <v>227606.0</v>
      </c>
      <c r="C56" s="21" t="s">
        <v>922</v>
      </c>
      <c r="D56" s="247">
        <v>28.0</v>
      </c>
      <c r="E56" s="240" t="str">
        <f>VLOOKUP(C56,'14-18 JULY'!C:C,1,0)</f>
        <v>#N/A</v>
      </c>
    </row>
    <row r="57">
      <c r="A57" s="21" t="s">
        <v>184</v>
      </c>
      <c r="B57" s="21">
        <v>227606.0</v>
      </c>
      <c r="C57" s="21" t="s">
        <v>923</v>
      </c>
      <c r="D57" s="247">
        <v>10.0</v>
      </c>
      <c r="E57" s="240" t="str">
        <f>VLOOKUP(C57,'14-18 JULY'!C:C,1,0)</f>
        <v>#N/A</v>
      </c>
    </row>
    <row r="58">
      <c r="A58" s="21" t="s">
        <v>184</v>
      </c>
      <c r="B58" s="21">
        <v>218222.0</v>
      </c>
      <c r="C58" s="21" t="s">
        <v>924</v>
      </c>
      <c r="D58" s="247">
        <v>10.0</v>
      </c>
      <c r="E58" s="240" t="str">
        <f>VLOOKUP(C58,'14-18 JULY'!C:C,1,0)</f>
        <v>#N/A</v>
      </c>
    </row>
    <row r="59">
      <c r="A59" s="21" t="s">
        <v>184</v>
      </c>
      <c r="B59" s="21">
        <v>218222.0</v>
      </c>
      <c r="C59" s="21" t="s">
        <v>925</v>
      </c>
      <c r="D59" s="247">
        <v>4.0</v>
      </c>
      <c r="E59" s="240" t="str">
        <f>VLOOKUP(C59,'14-18 JULY'!C:C,1,0)</f>
        <v>#N/A</v>
      </c>
    </row>
    <row r="60">
      <c r="A60" s="21" t="s">
        <v>184</v>
      </c>
      <c r="B60" s="21">
        <v>220577.0</v>
      </c>
      <c r="C60" s="21" t="s">
        <v>584</v>
      </c>
      <c r="D60" s="247">
        <v>70.0</v>
      </c>
      <c r="E60" s="240" t="str">
        <f>VLOOKUP(C60,'14-18 JULY'!C:C,1,0)</f>
        <v>#N/A</v>
      </c>
    </row>
    <row r="61">
      <c r="A61" s="21" t="s">
        <v>184</v>
      </c>
      <c r="B61" s="21">
        <v>220577.0</v>
      </c>
      <c r="C61" s="21" t="s">
        <v>926</v>
      </c>
      <c r="D61" s="247">
        <v>16.0</v>
      </c>
      <c r="E61" s="240" t="str">
        <f>VLOOKUP(C61,'14-18 JULY'!C:C,1,0)</f>
        <v>#N/A</v>
      </c>
    </row>
    <row r="62">
      <c r="A62" s="21" t="s">
        <v>184</v>
      </c>
      <c r="B62" s="21">
        <v>220577.0</v>
      </c>
      <c r="C62" s="21" t="s">
        <v>927</v>
      </c>
      <c r="D62" s="247">
        <v>15.0</v>
      </c>
      <c r="E62" s="240" t="str">
        <f>VLOOKUP(C62,'14-18 JULY'!C:C,1,0)</f>
        <v>#N/A</v>
      </c>
    </row>
    <row r="63">
      <c r="A63" s="21" t="s">
        <v>184</v>
      </c>
      <c r="B63" s="21">
        <v>220577.0</v>
      </c>
      <c r="C63" s="21" t="s">
        <v>928</v>
      </c>
      <c r="D63" s="247">
        <v>12.0</v>
      </c>
      <c r="E63" s="240" t="str">
        <f>VLOOKUP(C63,'14-18 JULY'!C:C,1,0)</f>
        <v>#N/A</v>
      </c>
    </row>
    <row r="64">
      <c r="A64" s="21" t="s">
        <v>184</v>
      </c>
      <c r="B64" s="21">
        <v>220577.0</v>
      </c>
      <c r="C64" s="21" t="s">
        <v>929</v>
      </c>
      <c r="D64" s="247">
        <v>10.0</v>
      </c>
      <c r="E64" s="240" t="str">
        <f>VLOOKUP(C64,'14-18 JULY'!C:C,1,0)</f>
        <v>#N/A</v>
      </c>
    </row>
    <row r="65">
      <c r="A65" s="21" t="s">
        <v>184</v>
      </c>
      <c r="B65" s="21">
        <v>221174.0</v>
      </c>
      <c r="C65" s="21" t="s">
        <v>606</v>
      </c>
      <c r="D65" s="247">
        <v>98.0</v>
      </c>
      <c r="E65" s="240" t="str">
        <f>VLOOKUP(C65,'14-18 JULY'!C:C,1,0)</f>
        <v>#N/A</v>
      </c>
    </row>
    <row r="66">
      <c r="A66" s="21" t="s">
        <v>184</v>
      </c>
      <c r="B66" s="21">
        <v>221174.0</v>
      </c>
      <c r="C66" s="21" t="s">
        <v>930</v>
      </c>
      <c r="D66" s="247">
        <v>51.0</v>
      </c>
      <c r="E66" s="240" t="str">
        <f>VLOOKUP(C66,'14-18 JULY'!C:C,1,0)</f>
        <v>#N/A</v>
      </c>
    </row>
    <row r="67">
      <c r="A67" s="21" t="s">
        <v>184</v>
      </c>
      <c r="B67" s="21">
        <v>221174.0</v>
      </c>
      <c r="C67" s="21" t="s">
        <v>931</v>
      </c>
      <c r="D67" s="247">
        <v>31.0</v>
      </c>
      <c r="E67" s="240" t="str">
        <f>VLOOKUP(C67,'14-18 JULY'!C:C,1,0)</f>
        <v>#N/A</v>
      </c>
    </row>
    <row r="68">
      <c r="A68" s="21" t="s">
        <v>184</v>
      </c>
      <c r="B68" s="21">
        <v>221174.0</v>
      </c>
      <c r="C68" s="21" t="s">
        <v>932</v>
      </c>
      <c r="D68" s="247">
        <v>9.0</v>
      </c>
      <c r="E68" s="240" t="str">
        <f>VLOOKUP(C68,'14-18 JULY'!C:C,1,0)</f>
        <v>#N/A</v>
      </c>
    </row>
    <row r="69">
      <c r="A69" s="21" t="s">
        <v>184</v>
      </c>
      <c r="B69" s="21">
        <v>221174.0</v>
      </c>
      <c r="C69" s="21" t="s">
        <v>933</v>
      </c>
      <c r="D69" s="247">
        <v>6.0</v>
      </c>
      <c r="E69" s="240" t="str">
        <f>VLOOKUP(C69,'14-18 JULY'!C:C,1,0)</f>
        <v>#N/A</v>
      </c>
    </row>
    <row r="70">
      <c r="A70" s="21" t="s">
        <v>184</v>
      </c>
      <c r="B70" s="21">
        <v>137971.0</v>
      </c>
      <c r="C70" s="21" t="s">
        <v>876</v>
      </c>
      <c r="D70" s="247">
        <v>41.0</v>
      </c>
      <c r="E70" s="240" t="str">
        <f>VLOOKUP(C70,'14-18 JULY'!C:C,1,0)</f>
        <v>#N/A</v>
      </c>
    </row>
    <row r="71">
      <c r="A71" s="21" t="s">
        <v>184</v>
      </c>
      <c r="B71" s="21">
        <v>137971.0</v>
      </c>
      <c r="C71" s="21" t="s">
        <v>934</v>
      </c>
      <c r="D71" s="247">
        <v>22.0</v>
      </c>
      <c r="E71" s="240" t="str">
        <f>VLOOKUP(C71,'14-18 JULY'!C:C,1,0)</f>
        <v>#N/A</v>
      </c>
    </row>
    <row r="72">
      <c r="A72" s="21" t="s">
        <v>184</v>
      </c>
      <c r="B72" s="21">
        <v>137971.0</v>
      </c>
      <c r="C72" s="21" t="s">
        <v>935</v>
      </c>
      <c r="D72" s="247">
        <v>22.0</v>
      </c>
      <c r="E72" s="240" t="str">
        <f>VLOOKUP(C72,'14-18 JULY'!C:C,1,0)</f>
        <v>#N/A</v>
      </c>
    </row>
    <row r="73">
      <c r="A73" s="21" t="s">
        <v>184</v>
      </c>
      <c r="B73" s="21">
        <v>137971.0</v>
      </c>
      <c r="C73" s="21" t="s">
        <v>936</v>
      </c>
      <c r="D73" s="247">
        <v>16.0</v>
      </c>
      <c r="E73" s="240" t="str">
        <f>VLOOKUP(C73,'14-18 JULY'!C:C,1,0)</f>
        <v>#N/A</v>
      </c>
    </row>
    <row r="74">
      <c r="A74" s="21" t="s">
        <v>184</v>
      </c>
      <c r="B74" s="21">
        <v>137971.0</v>
      </c>
      <c r="C74" s="21" t="s">
        <v>937</v>
      </c>
      <c r="D74" s="247">
        <v>13.0</v>
      </c>
      <c r="E74" s="240" t="str">
        <f>VLOOKUP(C74,'14-18 JULY'!C:C,1,0)</f>
        <v>#N/A</v>
      </c>
    </row>
    <row r="75">
      <c r="A75" s="21" t="s">
        <v>184</v>
      </c>
      <c r="B75" s="21">
        <v>207671.0</v>
      </c>
      <c r="C75" s="21" t="s">
        <v>938</v>
      </c>
      <c r="D75" s="247">
        <v>120.0</v>
      </c>
      <c r="E75" s="240" t="str">
        <f>VLOOKUP(C75,'14-18 JULY'!C:C,1,0)</f>
        <v>#N/A</v>
      </c>
    </row>
    <row r="76">
      <c r="A76" s="21" t="s">
        <v>184</v>
      </c>
      <c r="B76" s="21">
        <v>207671.0</v>
      </c>
      <c r="C76" s="21" t="s">
        <v>939</v>
      </c>
      <c r="D76" s="247">
        <v>115.0</v>
      </c>
      <c r="E76" s="21" t="s">
        <v>885</v>
      </c>
    </row>
    <row r="77">
      <c r="A77" s="21" t="s">
        <v>184</v>
      </c>
      <c r="B77" s="21">
        <v>207671.0</v>
      </c>
      <c r="C77" s="21" t="s">
        <v>940</v>
      </c>
      <c r="D77" s="247">
        <v>66.0</v>
      </c>
      <c r="E77" s="240" t="str">
        <f>VLOOKUP(C77,'14-18 JULY'!C:C,1,0)</f>
        <v>#N/A</v>
      </c>
    </row>
    <row r="78">
      <c r="A78" s="21" t="s">
        <v>184</v>
      </c>
      <c r="B78" s="21">
        <v>207671.0</v>
      </c>
      <c r="C78" s="21" t="s">
        <v>941</v>
      </c>
      <c r="D78" s="247">
        <v>54.0</v>
      </c>
      <c r="E78" s="240" t="str">
        <f>VLOOKUP(C78,'14-18 JULY'!C:C,1,0)</f>
        <v>#N/A</v>
      </c>
    </row>
    <row r="79">
      <c r="A79" s="21" t="s">
        <v>184</v>
      </c>
      <c r="B79" s="21">
        <v>207671.0</v>
      </c>
      <c r="C79" s="21" t="s">
        <v>942</v>
      </c>
      <c r="D79" s="247">
        <v>44.0</v>
      </c>
      <c r="E79" s="240" t="str">
        <f>VLOOKUP(C79,'14-18 JULY'!C:C,1,0)</f>
        <v>#N/A</v>
      </c>
    </row>
    <row r="80">
      <c r="A80" s="21" t="s">
        <v>184</v>
      </c>
      <c r="B80" s="21">
        <v>134746.0</v>
      </c>
      <c r="C80" s="21" t="s">
        <v>583</v>
      </c>
      <c r="D80" s="247">
        <v>25.0</v>
      </c>
      <c r="E80" s="240" t="str">
        <f>VLOOKUP(C80,'14-18 JULY'!C:C,1,0)</f>
        <v>#N/A</v>
      </c>
    </row>
    <row r="81">
      <c r="A81" s="21" t="s">
        <v>184</v>
      </c>
      <c r="B81" s="21">
        <v>134746.0</v>
      </c>
      <c r="C81" s="21" t="s">
        <v>943</v>
      </c>
      <c r="D81" s="247">
        <v>25.0</v>
      </c>
      <c r="E81" s="240" t="str">
        <f>VLOOKUP(C81,'14-18 JULY'!C:C,1,0)</f>
        <v>#N/A</v>
      </c>
    </row>
    <row r="82">
      <c r="A82" s="21" t="s">
        <v>184</v>
      </c>
      <c r="B82" s="21">
        <v>134746.0</v>
      </c>
      <c r="C82" s="21" t="s">
        <v>944</v>
      </c>
      <c r="D82" s="247">
        <v>12.0</v>
      </c>
      <c r="E82" s="240" t="str">
        <f>VLOOKUP(C82,'14-18 JULY'!C:C,1,0)</f>
        <v>#N/A</v>
      </c>
    </row>
    <row r="83">
      <c r="A83" s="21" t="s">
        <v>184</v>
      </c>
      <c r="B83" s="21">
        <v>134746.0</v>
      </c>
      <c r="C83" s="21" t="s">
        <v>945</v>
      </c>
      <c r="D83" s="247">
        <v>7.0</v>
      </c>
      <c r="E83" s="240" t="str">
        <f>VLOOKUP(C83,'14-18 JULY'!C:C,1,0)</f>
        <v>#N/A</v>
      </c>
    </row>
    <row r="84">
      <c r="A84" s="21" t="s">
        <v>184</v>
      </c>
      <c r="B84" s="21">
        <v>134746.0</v>
      </c>
      <c r="C84" s="21" t="s">
        <v>946</v>
      </c>
      <c r="D84" s="247">
        <v>5.0</v>
      </c>
      <c r="E84" s="240" t="str">
        <f>VLOOKUP(C84,'14-18 JULY'!C:C,1,0)</f>
        <v>#N/A</v>
      </c>
    </row>
    <row r="85">
      <c r="A85" s="21" t="s">
        <v>169</v>
      </c>
      <c r="B85" s="21">
        <v>234796.0</v>
      </c>
      <c r="C85" s="21" t="s">
        <v>65</v>
      </c>
      <c r="D85" s="247">
        <v>193.0</v>
      </c>
      <c r="E85" s="21" t="s">
        <v>885</v>
      </c>
    </row>
    <row r="86">
      <c r="A86" s="21" t="s">
        <v>169</v>
      </c>
      <c r="B86" s="21">
        <v>234796.0</v>
      </c>
      <c r="C86" s="21" t="s">
        <v>887</v>
      </c>
      <c r="D86" s="247">
        <v>106.0</v>
      </c>
      <c r="E86" s="21" t="s">
        <v>885</v>
      </c>
    </row>
    <row r="87">
      <c r="A87" s="21" t="s">
        <v>169</v>
      </c>
      <c r="B87" s="21">
        <v>234796.0</v>
      </c>
      <c r="C87" s="21" t="s">
        <v>59</v>
      </c>
      <c r="D87" s="247">
        <v>80.0</v>
      </c>
      <c r="E87" s="21" t="s">
        <v>885</v>
      </c>
    </row>
    <row r="88">
      <c r="A88" s="21" t="s">
        <v>169</v>
      </c>
      <c r="B88" s="21">
        <v>225336.0</v>
      </c>
      <c r="C88" s="21" t="s">
        <v>151</v>
      </c>
      <c r="D88" s="247">
        <v>127.0</v>
      </c>
      <c r="E88" s="240" t="str">
        <f>VLOOKUP(C88,'14-18 JULY'!C:C,1,0)</f>
        <v>#N/A</v>
      </c>
    </row>
    <row r="89">
      <c r="A89" s="21" t="s">
        <v>169</v>
      </c>
      <c r="B89" s="21">
        <v>225336.0</v>
      </c>
      <c r="C89" s="21" t="s">
        <v>889</v>
      </c>
      <c r="D89" s="247">
        <v>44.0</v>
      </c>
      <c r="E89" s="240" t="str">
        <f>VLOOKUP(C89,'14-18 JULY'!C:C,1,0)</f>
        <v>#N/A</v>
      </c>
    </row>
    <row r="90">
      <c r="A90" s="21" t="s">
        <v>169</v>
      </c>
      <c r="B90" s="21">
        <v>225336.0</v>
      </c>
      <c r="C90" s="21" t="s">
        <v>222</v>
      </c>
      <c r="D90" s="247">
        <v>35.0</v>
      </c>
      <c r="E90" s="21" t="s">
        <v>885</v>
      </c>
    </row>
    <row r="91">
      <c r="A91" s="21" t="s">
        <v>169</v>
      </c>
      <c r="B91" s="21">
        <v>201272.0</v>
      </c>
      <c r="C91" s="21" t="s">
        <v>895</v>
      </c>
      <c r="D91" s="247">
        <v>145.0</v>
      </c>
      <c r="E91" s="240" t="str">
        <f>VLOOKUP(C91,'14-18 JULY'!C:C,1,0)</f>
        <v>#N/A</v>
      </c>
    </row>
    <row r="92">
      <c r="A92" s="21" t="s">
        <v>169</v>
      </c>
      <c r="B92" s="21">
        <v>201272.0</v>
      </c>
      <c r="C92" s="21" t="s">
        <v>896</v>
      </c>
      <c r="D92" s="247">
        <v>38.0</v>
      </c>
      <c r="E92" s="240" t="str">
        <f>VLOOKUP(C92,'14-18 JULY'!C:C,1,0)</f>
        <v>#N/A</v>
      </c>
    </row>
    <row r="93">
      <c r="A93" s="21" t="s">
        <v>169</v>
      </c>
      <c r="B93" s="21">
        <v>201272.0</v>
      </c>
      <c r="C93" s="21" t="s">
        <v>947</v>
      </c>
      <c r="D93" s="247">
        <v>24.0</v>
      </c>
      <c r="E93" s="240" t="str">
        <f>VLOOKUP(C93,'14-18 JULY'!C:C,1,0)</f>
        <v>#N/A</v>
      </c>
    </row>
    <row r="94">
      <c r="A94" s="21" t="s">
        <v>169</v>
      </c>
      <c r="B94" s="21">
        <v>201272.0</v>
      </c>
      <c r="C94" s="21" t="s">
        <v>948</v>
      </c>
      <c r="D94" s="247">
        <v>18.0</v>
      </c>
      <c r="E94" s="240" t="str">
        <f>VLOOKUP(C94,'14-18 JULY'!C:C,1,0)</f>
        <v>#N/A</v>
      </c>
    </row>
    <row r="95">
      <c r="A95" s="21" t="s">
        <v>169</v>
      </c>
      <c r="B95" s="21">
        <v>219952.0</v>
      </c>
      <c r="C95" s="21" t="s">
        <v>949</v>
      </c>
      <c r="D95" s="247">
        <v>43.0</v>
      </c>
      <c r="E95" s="240" t="str">
        <f>VLOOKUP(C95,'14-18 JULY'!C:C,1,0)</f>
        <v>#N/A</v>
      </c>
    </row>
    <row r="96">
      <c r="A96" s="21" t="s">
        <v>169</v>
      </c>
      <c r="B96" s="21">
        <v>219952.0</v>
      </c>
      <c r="C96" s="21" t="s">
        <v>950</v>
      </c>
      <c r="D96" s="247">
        <v>34.0</v>
      </c>
      <c r="E96" s="240" t="str">
        <f>VLOOKUP(C96,'14-18 JULY'!C:C,1,0)</f>
        <v>#N/A</v>
      </c>
    </row>
    <row r="97">
      <c r="A97" s="21" t="s">
        <v>169</v>
      </c>
      <c r="B97" s="21">
        <v>219952.0</v>
      </c>
      <c r="C97" s="21" t="s">
        <v>130</v>
      </c>
      <c r="D97" s="247">
        <v>19.0</v>
      </c>
      <c r="E97" s="240" t="str">
        <f>VLOOKUP(C97,'14-18 JULY'!C:C,1,0)</f>
        <v>#N/A</v>
      </c>
    </row>
    <row r="98">
      <c r="A98" s="21" t="s">
        <v>169</v>
      </c>
      <c r="B98" s="21">
        <v>146653.0</v>
      </c>
      <c r="C98" s="21" t="s">
        <v>309</v>
      </c>
      <c r="D98" s="247">
        <v>156.0</v>
      </c>
      <c r="E98" s="21" t="s">
        <v>885</v>
      </c>
    </row>
    <row r="99">
      <c r="A99" s="21" t="s">
        <v>169</v>
      </c>
      <c r="B99" s="21">
        <v>146653.0</v>
      </c>
      <c r="C99" s="21" t="s">
        <v>951</v>
      </c>
      <c r="D99" s="247">
        <v>103.0</v>
      </c>
      <c r="E99" s="240" t="str">
        <f>VLOOKUP(C99,'14-18 JULY'!C:C,1,0)</f>
        <v>#N/A</v>
      </c>
    </row>
    <row r="100">
      <c r="A100" s="21" t="s">
        <v>169</v>
      </c>
      <c r="B100" s="21">
        <v>146653.0</v>
      </c>
      <c r="C100" s="21" t="s">
        <v>108</v>
      </c>
      <c r="D100" s="247">
        <v>32.0</v>
      </c>
      <c r="E100" s="240" t="str">
        <f>VLOOKUP(C100,'14-18 JULY'!C:C,1,0)</f>
        <v>#N/A</v>
      </c>
    </row>
    <row r="101">
      <c r="A101" s="21" t="s">
        <v>169</v>
      </c>
      <c r="B101" s="21">
        <v>146653.0</v>
      </c>
      <c r="C101" s="21" t="s">
        <v>952</v>
      </c>
      <c r="D101" s="247">
        <v>17.0</v>
      </c>
      <c r="E101" s="240" t="str">
        <f>VLOOKUP(C101,'14-18 JULY'!C:C,1,0)</f>
        <v>#N/A</v>
      </c>
    </row>
    <row r="102">
      <c r="A102" s="21" t="s">
        <v>169</v>
      </c>
      <c r="B102" s="21">
        <v>235326.0</v>
      </c>
      <c r="C102" s="21" t="s">
        <v>953</v>
      </c>
      <c r="D102" s="247">
        <v>80.0</v>
      </c>
      <c r="E102" s="240" t="str">
        <f>VLOOKUP(C102,'14-18 JULY'!C:C,1,0)</f>
        <v>#N/A</v>
      </c>
    </row>
    <row r="103">
      <c r="A103" s="21" t="s">
        <v>169</v>
      </c>
      <c r="B103" s="21">
        <v>235326.0</v>
      </c>
      <c r="C103" s="21" t="s">
        <v>954</v>
      </c>
      <c r="D103" s="247">
        <v>44.0</v>
      </c>
      <c r="E103" s="240" t="str">
        <f>VLOOKUP(C103,'14-18 JULY'!C:C,1,0)</f>
        <v>#N/A</v>
      </c>
    </row>
    <row r="104">
      <c r="A104" s="21" t="s">
        <v>169</v>
      </c>
      <c r="B104" s="21">
        <v>149022.0</v>
      </c>
      <c r="C104" s="21" t="s">
        <v>955</v>
      </c>
      <c r="D104" s="247">
        <v>178.0</v>
      </c>
      <c r="E104" s="21" t="s">
        <v>885</v>
      </c>
    </row>
    <row r="105">
      <c r="A105" s="21" t="s">
        <v>169</v>
      </c>
      <c r="B105" s="21">
        <v>149022.0</v>
      </c>
      <c r="C105" s="21" t="s">
        <v>956</v>
      </c>
      <c r="D105" s="247">
        <v>68.0</v>
      </c>
      <c r="E105" s="240" t="str">
        <f>VLOOKUP(C105,'14-18 JULY'!C:C,1,0)</f>
        <v>#N/A</v>
      </c>
    </row>
    <row r="106">
      <c r="A106" s="21" t="s">
        <v>169</v>
      </c>
      <c r="B106" s="21">
        <v>146619.0</v>
      </c>
      <c r="C106" s="21" t="s">
        <v>49</v>
      </c>
      <c r="D106" s="247">
        <v>101.0</v>
      </c>
      <c r="E106" s="21" t="s">
        <v>885</v>
      </c>
    </row>
    <row r="107">
      <c r="A107" s="21" t="s">
        <v>169</v>
      </c>
      <c r="B107" s="21">
        <v>146619.0</v>
      </c>
      <c r="C107" s="21" t="s">
        <v>957</v>
      </c>
      <c r="D107" s="247">
        <v>11.0</v>
      </c>
      <c r="E107" s="240" t="str">
        <f>VLOOKUP(C107,'14-18 JULY'!C:C,1,0)</f>
        <v>#N/A</v>
      </c>
    </row>
    <row r="108">
      <c r="A108" s="21" t="s">
        <v>169</v>
      </c>
      <c r="B108" s="21">
        <v>236913.0</v>
      </c>
      <c r="C108" s="21" t="s">
        <v>72</v>
      </c>
      <c r="D108" s="247">
        <v>110.0</v>
      </c>
      <c r="E108" s="21" t="s">
        <v>885</v>
      </c>
    </row>
    <row r="109">
      <c r="A109" s="21" t="s">
        <v>169</v>
      </c>
      <c r="B109" s="21">
        <v>218966.0</v>
      </c>
      <c r="C109" s="21" t="s">
        <v>920</v>
      </c>
      <c r="D109" s="247">
        <v>36.0</v>
      </c>
      <c r="E109" s="21" t="s">
        <v>885</v>
      </c>
    </row>
    <row r="110">
      <c r="A110" s="21" t="s">
        <v>169</v>
      </c>
      <c r="B110" s="21">
        <v>241183.0</v>
      </c>
      <c r="C110" s="21" t="s">
        <v>643</v>
      </c>
      <c r="D110" s="247">
        <v>75.0</v>
      </c>
      <c r="E110" s="240" t="str">
        <f>VLOOKUP(C110,'14-18 JULY'!C:C,1,0)</f>
        <v>#N/A</v>
      </c>
    </row>
    <row r="111">
      <c r="A111" s="21" t="s">
        <v>169</v>
      </c>
      <c r="B111" s="21">
        <v>241183.0</v>
      </c>
      <c r="C111" s="21" t="s">
        <v>958</v>
      </c>
      <c r="D111" s="247">
        <v>7.0</v>
      </c>
      <c r="E111" s="240" t="str">
        <f>VLOOKUP(C111,'14-18 JULY'!C:C,1,0)</f>
        <v>#N/A</v>
      </c>
    </row>
    <row r="112">
      <c r="A112" s="21" t="s">
        <v>169</v>
      </c>
      <c r="B112" s="21">
        <v>234797.0</v>
      </c>
      <c r="C112" s="21" t="s">
        <v>890</v>
      </c>
      <c r="D112" s="247">
        <v>36.0</v>
      </c>
      <c r="E112" s="240" t="str">
        <f>VLOOKUP(C112,'14-18 JULY'!C:C,1,0)</f>
        <v>#N/A</v>
      </c>
    </row>
    <row r="113">
      <c r="A113" s="21" t="s">
        <v>169</v>
      </c>
      <c r="B113" s="21">
        <v>234797.0</v>
      </c>
      <c r="C113" s="21" t="s">
        <v>891</v>
      </c>
      <c r="D113" s="247">
        <v>29.0</v>
      </c>
      <c r="E113" s="240" t="str">
        <f>VLOOKUP(C113,'14-18 JULY'!C:C,1,0)</f>
        <v>#N/A</v>
      </c>
    </row>
    <row r="114">
      <c r="A114" s="21" t="s">
        <v>169</v>
      </c>
      <c r="B114" s="21">
        <v>241210.0</v>
      </c>
      <c r="C114" s="21" t="s">
        <v>959</v>
      </c>
      <c r="D114" s="247">
        <v>187.0</v>
      </c>
      <c r="E114" s="240" t="str">
        <f>VLOOKUP(C114,'14-18 JULY'!C:C,1,0)</f>
        <v>#N/A</v>
      </c>
    </row>
    <row r="115">
      <c r="A115" s="21" t="s">
        <v>169</v>
      </c>
      <c r="B115" s="21">
        <v>241210.0</v>
      </c>
      <c r="C115" s="21" t="s">
        <v>76</v>
      </c>
      <c r="D115" s="247">
        <v>105.0</v>
      </c>
      <c r="E115" s="21" t="s">
        <v>885</v>
      </c>
    </row>
    <row r="116">
      <c r="A116" s="21" t="s">
        <v>169</v>
      </c>
      <c r="B116" s="21">
        <v>241189.0</v>
      </c>
      <c r="C116" s="21" t="s">
        <v>960</v>
      </c>
      <c r="D116" s="247">
        <v>18.0</v>
      </c>
      <c r="E116" s="240" t="str">
        <f>VLOOKUP(C116,'14-18 JULY'!C:C,1,0)</f>
        <v>#N/A</v>
      </c>
    </row>
    <row r="117">
      <c r="A117" s="21" t="s">
        <v>169</v>
      </c>
      <c r="B117" s="21">
        <v>241189.0</v>
      </c>
      <c r="C117" s="21" t="s">
        <v>961</v>
      </c>
      <c r="D117" s="247">
        <v>13.0</v>
      </c>
      <c r="E117" s="240" t="str">
        <f>VLOOKUP(C117,'14-18 JULY'!C:C,1,0)</f>
        <v>#N/A</v>
      </c>
    </row>
    <row r="118">
      <c r="A118" s="21" t="s">
        <v>169</v>
      </c>
      <c r="B118" s="21">
        <v>217207.0</v>
      </c>
      <c r="C118" s="21" t="s">
        <v>962</v>
      </c>
      <c r="D118" s="247">
        <v>24.0</v>
      </c>
      <c r="E118" s="240" t="str">
        <f>VLOOKUP(C118,'14-18 JULY'!C:C,1,0)</f>
        <v>#N/A</v>
      </c>
    </row>
    <row r="119">
      <c r="A119" s="21" t="s">
        <v>169</v>
      </c>
      <c r="B119" s="21">
        <v>217873.0</v>
      </c>
      <c r="C119" s="21" t="s">
        <v>902</v>
      </c>
      <c r="D119" s="247">
        <v>41.0</v>
      </c>
      <c r="E119" s="240" t="str">
        <f>VLOOKUP(C119,'14-18 JULY'!C:C,1,0)</f>
        <v>#N/A</v>
      </c>
    </row>
    <row r="120">
      <c r="A120" s="21" t="s">
        <v>169</v>
      </c>
      <c r="B120" s="21">
        <v>217873.0</v>
      </c>
      <c r="C120" s="21" t="s">
        <v>200</v>
      </c>
      <c r="D120" s="247">
        <v>39.0</v>
      </c>
      <c r="E120" s="240" t="str">
        <f>VLOOKUP(C120,'14-18 JULY'!C:C,1,0)</f>
        <v>#N/A</v>
      </c>
    </row>
    <row r="121">
      <c r="A121" s="21" t="s">
        <v>169</v>
      </c>
      <c r="B121" s="21">
        <v>217873.0</v>
      </c>
      <c r="C121" s="21" t="s">
        <v>148</v>
      </c>
      <c r="D121" s="247">
        <v>38.0</v>
      </c>
      <c r="E121" s="240" t="str">
        <f>VLOOKUP(C121,'14-18 JULY'!C:C,1,0)</f>
        <v>#N/A</v>
      </c>
    </row>
    <row r="122">
      <c r="A122" s="21" t="s">
        <v>169</v>
      </c>
      <c r="B122" s="21">
        <v>207671.0</v>
      </c>
      <c r="C122" s="21" t="s">
        <v>938</v>
      </c>
      <c r="D122" s="247">
        <v>120.0</v>
      </c>
      <c r="E122" s="240" t="str">
        <f>VLOOKUP(C122,'14-18 JULY'!C:C,1,0)</f>
        <v>#N/A</v>
      </c>
    </row>
    <row r="123">
      <c r="A123" s="21" t="s">
        <v>169</v>
      </c>
      <c r="B123" s="21">
        <v>207671.0</v>
      </c>
      <c r="C123" s="21" t="s">
        <v>939</v>
      </c>
      <c r="D123" s="247">
        <v>115.0</v>
      </c>
      <c r="E123" s="21" t="s">
        <v>885</v>
      </c>
    </row>
    <row r="124">
      <c r="A124" s="21" t="s">
        <v>169</v>
      </c>
      <c r="B124" s="21">
        <v>207671.0</v>
      </c>
      <c r="C124" s="21" t="s">
        <v>940</v>
      </c>
      <c r="D124" s="247">
        <v>66.0</v>
      </c>
      <c r="E124" s="240" t="str">
        <f>VLOOKUP(C124,'14-18 JULY'!C:C,1,0)</f>
        <v>#N/A</v>
      </c>
    </row>
    <row r="125">
      <c r="A125" s="21" t="s">
        <v>169</v>
      </c>
      <c r="B125" s="21">
        <v>207671.0</v>
      </c>
      <c r="C125" s="21" t="s">
        <v>941</v>
      </c>
      <c r="D125" s="247">
        <v>54.0</v>
      </c>
      <c r="E125" s="240" t="str">
        <f>VLOOKUP(C125,'14-18 JULY'!C:C,1,0)</f>
        <v>#N/A</v>
      </c>
    </row>
    <row r="126">
      <c r="A126" s="21" t="s">
        <v>169</v>
      </c>
      <c r="B126" s="21">
        <v>207671.0</v>
      </c>
      <c r="C126" s="21" t="s">
        <v>942</v>
      </c>
      <c r="D126" s="247">
        <v>44.0</v>
      </c>
      <c r="E126" s="240" t="str">
        <f>VLOOKUP(C126,'14-18 JULY'!C:C,1,0)</f>
        <v>#N/A</v>
      </c>
    </row>
    <row r="127">
      <c r="A127" s="21" t="s">
        <v>169</v>
      </c>
      <c r="B127" s="21">
        <v>204402.0</v>
      </c>
      <c r="C127" s="21" t="s">
        <v>963</v>
      </c>
      <c r="D127" s="247">
        <v>73.0</v>
      </c>
      <c r="E127" s="240" t="str">
        <f>VLOOKUP(C127,'14-18 JULY'!C:C,1,0)</f>
        <v>#N/A</v>
      </c>
    </row>
    <row r="128">
      <c r="A128" s="21" t="s">
        <v>169</v>
      </c>
      <c r="B128" s="21">
        <v>204402.0</v>
      </c>
      <c r="C128" s="21" t="s">
        <v>964</v>
      </c>
      <c r="D128" s="247">
        <v>26.0</v>
      </c>
      <c r="E128" s="240" t="str">
        <f>VLOOKUP(C128,'14-18 JULY'!C:C,1,0)</f>
        <v>#N/A</v>
      </c>
    </row>
    <row r="129">
      <c r="A129" s="21" t="s">
        <v>169</v>
      </c>
      <c r="B129" s="21">
        <v>204402.0</v>
      </c>
      <c r="C129" s="21" t="s">
        <v>965</v>
      </c>
      <c r="D129" s="247">
        <v>5.0</v>
      </c>
      <c r="E129" s="240" t="str">
        <f>VLOOKUP(C129,'14-18 JULY'!C:C,1,0)</f>
        <v>#N/A</v>
      </c>
    </row>
    <row r="130">
      <c r="A130" s="21" t="s">
        <v>169</v>
      </c>
      <c r="B130" s="21">
        <v>241187.0</v>
      </c>
      <c r="C130" s="21" t="s">
        <v>966</v>
      </c>
      <c r="D130" s="247">
        <v>55.0</v>
      </c>
      <c r="E130" s="240" t="str">
        <f>VLOOKUP(C130,'14-18 JULY'!C:C,1,0)</f>
        <v>#N/A</v>
      </c>
    </row>
    <row r="131">
      <c r="A131" s="21" t="s">
        <v>169</v>
      </c>
      <c r="B131" s="21">
        <v>241187.0</v>
      </c>
      <c r="C131" s="21" t="s">
        <v>967</v>
      </c>
      <c r="D131" s="247">
        <v>19.0</v>
      </c>
      <c r="E131" s="240" t="str">
        <f>VLOOKUP(C131,'14-18 JULY'!C:C,1,0)</f>
        <v>#N/A</v>
      </c>
    </row>
    <row r="132">
      <c r="A132" s="21" t="s">
        <v>169</v>
      </c>
      <c r="B132" s="21">
        <v>241187.0</v>
      </c>
      <c r="C132" s="21" t="s">
        <v>968</v>
      </c>
      <c r="D132" s="247">
        <v>18.0</v>
      </c>
      <c r="E132" s="21" t="s">
        <v>885</v>
      </c>
    </row>
    <row r="133">
      <c r="A133" s="21" t="s">
        <v>169</v>
      </c>
      <c r="B133" s="21">
        <v>241187.0</v>
      </c>
      <c r="C133" s="21" t="s">
        <v>969</v>
      </c>
      <c r="D133" s="247">
        <v>14.0</v>
      </c>
      <c r="E133" s="240" t="str">
        <f>VLOOKUP(C133,'14-18 JULY'!C:C,1,0)</f>
        <v>#N/A</v>
      </c>
    </row>
    <row r="134">
      <c r="A134" s="21" t="s">
        <v>169</v>
      </c>
      <c r="B134" s="21">
        <v>234791.0</v>
      </c>
      <c r="C134" s="21" t="s">
        <v>970</v>
      </c>
      <c r="D134" s="247">
        <v>42.0</v>
      </c>
      <c r="E134" s="240" t="str">
        <f>VLOOKUP(C134,'14-18 JULY'!C:C,1,0)</f>
        <v>#N/A</v>
      </c>
    </row>
    <row r="135">
      <c r="A135" s="21" t="s">
        <v>169</v>
      </c>
      <c r="B135" s="21">
        <v>234791.0</v>
      </c>
      <c r="C135" s="21" t="s">
        <v>971</v>
      </c>
      <c r="D135" s="247">
        <v>28.0</v>
      </c>
      <c r="E135" s="240" t="str">
        <f>VLOOKUP(C135,'14-18 JULY'!C:C,1,0)</f>
        <v>#N/A</v>
      </c>
    </row>
    <row r="136">
      <c r="A136" s="21" t="s">
        <v>169</v>
      </c>
      <c r="B136" s="21">
        <v>234791.0</v>
      </c>
      <c r="C136" s="21" t="s">
        <v>972</v>
      </c>
      <c r="D136" s="247">
        <v>23.0</v>
      </c>
      <c r="E136" s="240" t="str">
        <f>VLOOKUP(C136,'14-18 JULY'!C:C,1,0)</f>
        <v>#N/A</v>
      </c>
    </row>
    <row r="137">
      <c r="A137" s="21" t="s">
        <v>169</v>
      </c>
      <c r="B137" s="21">
        <v>220126.0</v>
      </c>
      <c r="C137" s="21" t="s">
        <v>24</v>
      </c>
      <c r="D137" s="247">
        <v>106.0</v>
      </c>
      <c r="E137" s="21" t="s">
        <v>885</v>
      </c>
    </row>
    <row r="138">
      <c r="A138" s="21" t="s">
        <v>169</v>
      </c>
      <c r="B138" s="21">
        <v>220126.0</v>
      </c>
      <c r="C138" s="21" t="s">
        <v>888</v>
      </c>
      <c r="D138" s="247">
        <v>54.0</v>
      </c>
      <c r="E138" s="240" t="str">
        <f>VLOOKUP(C138,'14-18 JULY'!C:C,1,0)</f>
        <v>#N/A</v>
      </c>
    </row>
    <row r="139">
      <c r="A139" s="21" t="s">
        <v>169</v>
      </c>
      <c r="B139" s="21">
        <v>220126.0</v>
      </c>
      <c r="C139" s="21" t="s">
        <v>973</v>
      </c>
      <c r="D139" s="247">
        <v>7.0</v>
      </c>
      <c r="E139" s="240" t="str">
        <f>VLOOKUP(C139,'14-18 JULY'!C:C,1,0)</f>
        <v>#N/A</v>
      </c>
    </row>
    <row r="140">
      <c r="A140" s="21" t="s">
        <v>169</v>
      </c>
      <c r="B140" s="21">
        <v>237931.0</v>
      </c>
      <c r="C140" s="21" t="s">
        <v>974</v>
      </c>
      <c r="D140" s="247">
        <v>34.0</v>
      </c>
      <c r="E140" s="240" t="str">
        <f>VLOOKUP(C140,'14-18 JULY'!C:C,1,0)</f>
        <v>#N/A</v>
      </c>
    </row>
    <row r="141">
      <c r="A141" s="21" t="s">
        <v>169</v>
      </c>
      <c r="B141" s="21">
        <v>237931.0</v>
      </c>
      <c r="C141" s="21" t="s">
        <v>975</v>
      </c>
      <c r="D141" s="247">
        <v>21.0</v>
      </c>
      <c r="E141" s="240" t="str">
        <f>VLOOKUP(C141,'14-18 JULY'!C:C,1,0)</f>
        <v>#N/A</v>
      </c>
    </row>
    <row r="142">
      <c r="A142" s="21" t="s">
        <v>169</v>
      </c>
      <c r="B142" s="21">
        <v>236911.0</v>
      </c>
      <c r="C142" s="21" t="s">
        <v>976</v>
      </c>
      <c r="D142" s="247">
        <v>15.0</v>
      </c>
      <c r="E142" s="240" t="str">
        <f>VLOOKUP(C142,'14-18 JULY'!C:C,1,0)</f>
        <v>#N/A</v>
      </c>
    </row>
    <row r="143">
      <c r="A143" s="21" t="s">
        <v>169</v>
      </c>
      <c r="B143" s="21">
        <v>236911.0</v>
      </c>
      <c r="C143" s="21" t="s">
        <v>977</v>
      </c>
      <c r="D143" s="247">
        <v>10.0</v>
      </c>
      <c r="E143" s="240" t="str">
        <f>VLOOKUP(C143,'14-18 JULY'!C:C,1,0)</f>
        <v>#N/A</v>
      </c>
    </row>
    <row r="144">
      <c r="A144" s="21" t="s">
        <v>169</v>
      </c>
      <c r="B144" s="21">
        <v>149021.0</v>
      </c>
      <c r="C144" s="21" t="s">
        <v>978</v>
      </c>
      <c r="D144" s="247">
        <v>65.0</v>
      </c>
      <c r="E144" s="240" t="str">
        <f>VLOOKUP(C144,'14-18 JULY'!C:C,1,0)</f>
        <v>#N/A</v>
      </c>
    </row>
    <row r="145">
      <c r="A145" s="21" t="s">
        <v>169</v>
      </c>
      <c r="B145" s="21">
        <v>149021.0</v>
      </c>
      <c r="C145" s="21" t="s">
        <v>979</v>
      </c>
      <c r="D145" s="247">
        <v>28.0</v>
      </c>
      <c r="E145" s="240" t="str">
        <f>VLOOKUP(C145,'14-18 JULY'!C:C,1,0)</f>
        <v>#N/A</v>
      </c>
    </row>
    <row r="146">
      <c r="A146" s="21" t="s">
        <v>169</v>
      </c>
      <c r="B146" s="21">
        <v>149021.0</v>
      </c>
      <c r="C146" s="21" t="s">
        <v>980</v>
      </c>
      <c r="D146" s="247">
        <v>11.0</v>
      </c>
      <c r="E146" s="240" t="str">
        <f>VLOOKUP(C146,'14-18 JULY'!C:C,1,0)</f>
        <v>#N/A</v>
      </c>
    </row>
    <row r="147">
      <c r="A147" s="21" t="s">
        <v>169</v>
      </c>
      <c r="B147" s="21">
        <v>222009.0</v>
      </c>
      <c r="C147" s="21" t="s">
        <v>981</v>
      </c>
      <c r="D147" s="247">
        <v>67.0</v>
      </c>
      <c r="E147" s="240" t="str">
        <f>VLOOKUP(C147,'14-18 JULY'!C:C,1,0)</f>
        <v>#N/A</v>
      </c>
    </row>
    <row r="148">
      <c r="A148" s="21" t="s">
        <v>169</v>
      </c>
      <c r="B148" s="21">
        <v>222009.0</v>
      </c>
      <c r="C148" s="21" t="s">
        <v>982</v>
      </c>
      <c r="D148" s="247">
        <v>24.0</v>
      </c>
      <c r="E148" s="240" t="str">
        <f>VLOOKUP(C148,'14-18 JULY'!C:C,1,0)</f>
        <v>#N/A</v>
      </c>
    </row>
    <row r="149">
      <c r="A149" s="21" t="s">
        <v>169</v>
      </c>
      <c r="B149" s="21">
        <v>227450.0</v>
      </c>
      <c r="C149" s="21" t="s">
        <v>77</v>
      </c>
      <c r="D149" s="247">
        <v>40.0</v>
      </c>
      <c r="E149" s="21" t="s">
        <v>885</v>
      </c>
    </row>
    <row r="150">
      <c r="A150" s="21" t="s">
        <v>169</v>
      </c>
      <c r="B150" s="21">
        <v>227450.0</v>
      </c>
      <c r="C150" s="21" t="s">
        <v>983</v>
      </c>
      <c r="D150" s="247">
        <v>4.0</v>
      </c>
      <c r="E150" s="240" t="str">
        <f>VLOOKUP(C150,'14-18 JULY'!C:C,1,0)</f>
        <v>#N/A</v>
      </c>
    </row>
    <row r="151">
      <c r="A151" s="21" t="s">
        <v>169</v>
      </c>
      <c r="B151" s="21">
        <v>236151.0</v>
      </c>
      <c r="C151" s="21" t="s">
        <v>984</v>
      </c>
      <c r="D151" s="247">
        <v>24.0</v>
      </c>
      <c r="E151" s="240" t="str">
        <f>VLOOKUP(C151,'14-18 JULY'!C:C,1,0)</f>
        <v>#N/A</v>
      </c>
    </row>
    <row r="152">
      <c r="A152" s="21" t="s">
        <v>169</v>
      </c>
      <c r="B152" s="21">
        <v>236151.0</v>
      </c>
      <c r="C152" s="21" t="s">
        <v>985</v>
      </c>
      <c r="D152" s="247">
        <v>15.0</v>
      </c>
      <c r="E152" s="240" t="str">
        <f>VLOOKUP(C152,'14-18 JULY'!C:C,1,0)</f>
        <v>#N/A</v>
      </c>
    </row>
    <row r="153">
      <c r="A153" s="21" t="s">
        <v>169</v>
      </c>
      <c r="B153" s="21">
        <v>236151.0</v>
      </c>
      <c r="C153" s="21" t="s">
        <v>986</v>
      </c>
      <c r="D153" s="247">
        <v>12.0</v>
      </c>
      <c r="E153" s="240" t="str">
        <f>VLOOKUP(C153,'14-18 JULY'!C:C,1,0)</f>
        <v>#N/A</v>
      </c>
    </row>
    <row r="154">
      <c r="A154" s="21" t="s">
        <v>169</v>
      </c>
      <c r="B154" s="21">
        <v>233711.0</v>
      </c>
      <c r="C154" s="21" t="s">
        <v>987</v>
      </c>
      <c r="D154" s="247">
        <v>71.0</v>
      </c>
      <c r="E154" s="240" t="str">
        <f>VLOOKUP(C154,'14-18 JULY'!C:C,1,0)</f>
        <v>#N/A</v>
      </c>
    </row>
    <row r="155">
      <c r="A155" s="21" t="s">
        <v>169</v>
      </c>
      <c r="B155" s="21">
        <v>234783.0</v>
      </c>
      <c r="C155" s="21" t="s">
        <v>988</v>
      </c>
      <c r="D155" s="247">
        <v>18.0</v>
      </c>
      <c r="E155" s="240" t="str">
        <f>VLOOKUP(C155,'14-18 JULY'!C:C,1,0)</f>
        <v>#N/A</v>
      </c>
    </row>
    <row r="156">
      <c r="A156" s="21" t="s">
        <v>169</v>
      </c>
      <c r="B156" s="21">
        <v>234783.0</v>
      </c>
      <c r="C156" s="21" t="s">
        <v>989</v>
      </c>
      <c r="D156" s="247">
        <v>10.0</v>
      </c>
      <c r="E156" s="240" t="str">
        <f>VLOOKUP(C156,'14-18 JULY'!C:C,1,0)</f>
        <v>#N/A</v>
      </c>
    </row>
  </sheetData>
  <autoFilter ref="$A$2:$E$156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88"/>
    <col customWidth="1" min="10" max="10" width="13.5"/>
    <col customWidth="1" min="11" max="11" width="14.5"/>
  </cols>
  <sheetData>
    <row r="1">
      <c r="A1" s="248" t="s">
        <v>990</v>
      </c>
      <c r="I1" s="242"/>
      <c r="J1" s="242"/>
    </row>
    <row r="2">
      <c r="A2" s="242"/>
      <c r="B2" s="242"/>
      <c r="C2" s="242"/>
      <c r="D2" s="242"/>
      <c r="E2" s="242"/>
      <c r="F2" s="242"/>
      <c r="G2" s="242"/>
      <c r="H2" s="242"/>
      <c r="I2" s="242"/>
      <c r="J2" s="242"/>
    </row>
    <row r="3">
      <c r="A3" s="249" t="s">
        <v>991</v>
      </c>
      <c r="I3" s="242"/>
      <c r="J3" s="242"/>
    </row>
    <row r="4">
      <c r="A4" s="250" t="s">
        <v>992</v>
      </c>
      <c r="B4" s="251" t="s">
        <v>993</v>
      </c>
      <c r="I4" s="242"/>
      <c r="J4" s="242"/>
    </row>
    <row r="5">
      <c r="A5" s="252" t="s">
        <v>994</v>
      </c>
      <c r="B5" s="251" t="s">
        <v>995</v>
      </c>
      <c r="I5" s="242"/>
      <c r="J5" s="242"/>
    </row>
    <row r="6">
      <c r="A6" s="253" t="s">
        <v>996</v>
      </c>
      <c r="B6" s="251" t="s">
        <v>997</v>
      </c>
      <c r="I6" s="242"/>
      <c r="J6" s="242"/>
    </row>
    <row r="7">
      <c r="A7" s="254" t="s">
        <v>998</v>
      </c>
      <c r="B7" s="251" t="s">
        <v>999</v>
      </c>
      <c r="I7" s="242"/>
      <c r="J7" s="242"/>
    </row>
    <row r="8">
      <c r="A8" s="242"/>
      <c r="B8" s="242"/>
      <c r="C8" s="242"/>
      <c r="D8" s="242"/>
      <c r="E8" s="242"/>
      <c r="F8" s="242"/>
      <c r="G8" s="242"/>
      <c r="H8" s="242"/>
      <c r="I8" s="242"/>
      <c r="J8" s="242"/>
    </row>
    <row r="9">
      <c r="A9" s="242"/>
      <c r="B9" s="242"/>
      <c r="C9" s="242"/>
      <c r="D9" s="242"/>
      <c r="E9" s="242"/>
      <c r="F9" s="242"/>
      <c r="G9" s="242"/>
      <c r="H9" s="242"/>
      <c r="I9" s="242"/>
      <c r="J9" s="242"/>
    </row>
    <row r="10">
      <c r="A10" s="242"/>
      <c r="B10" s="242"/>
      <c r="C10" s="242"/>
      <c r="D10" s="242"/>
      <c r="E10" s="242"/>
      <c r="F10" s="242"/>
      <c r="G10" s="242"/>
      <c r="H10" s="242"/>
      <c r="I10" s="242"/>
      <c r="J10" s="242"/>
    </row>
    <row r="11">
      <c r="A11" s="255" t="s">
        <v>1000</v>
      </c>
      <c r="C11" s="255" t="s">
        <v>1001</v>
      </c>
      <c r="E11" s="255" t="s">
        <v>1002</v>
      </c>
      <c r="G11" s="255" t="s">
        <v>1003</v>
      </c>
      <c r="I11" s="255" t="s">
        <v>1004</v>
      </c>
    </row>
    <row r="12" ht="88.5" customHeight="1">
      <c r="A12" s="255">
        <v>97.0</v>
      </c>
      <c r="C12" s="256">
        <v>12.0</v>
      </c>
      <c r="E12" s="257">
        <v>9.0</v>
      </c>
      <c r="G12" s="258">
        <v>22.0</v>
      </c>
      <c r="I12" s="259">
        <v>54.0</v>
      </c>
    </row>
    <row r="14">
      <c r="A14" s="255" t="s">
        <v>1005</v>
      </c>
      <c r="G14" s="260"/>
      <c r="H14" s="260"/>
      <c r="I14" s="242"/>
      <c r="J14" s="242"/>
    </row>
    <row r="15">
      <c r="A15" s="255" t="s">
        <v>1006</v>
      </c>
      <c r="B15" s="255" t="s">
        <v>1007</v>
      </c>
      <c r="C15" s="255" t="s">
        <v>1008</v>
      </c>
      <c r="D15" s="255" t="s">
        <v>1009</v>
      </c>
      <c r="E15" s="255" t="s">
        <v>1010</v>
      </c>
      <c r="F15" s="255" t="s">
        <v>1011</v>
      </c>
      <c r="G15" s="242"/>
      <c r="H15" s="242"/>
      <c r="I15" s="242"/>
      <c r="J15" s="242"/>
    </row>
    <row r="16">
      <c r="A16" s="261" t="s">
        <v>1012</v>
      </c>
      <c r="B16" s="262">
        <v>7.0</v>
      </c>
      <c r="C16" s="263">
        <v>5.0</v>
      </c>
      <c r="D16" s="264">
        <v>8.0</v>
      </c>
      <c r="E16" s="265">
        <v>25.0</v>
      </c>
      <c r="F16" s="266">
        <v>45.0</v>
      </c>
      <c r="G16" s="242"/>
      <c r="H16" s="242"/>
      <c r="I16" s="242"/>
      <c r="J16" s="242"/>
    </row>
    <row r="17">
      <c r="A17" s="261" t="s">
        <v>1013</v>
      </c>
      <c r="B17" s="262">
        <v>2.0</v>
      </c>
      <c r="C17" s="263">
        <v>3.0</v>
      </c>
      <c r="D17" s="264">
        <v>9.0</v>
      </c>
      <c r="E17" s="265">
        <v>15.0</v>
      </c>
      <c r="F17" s="266">
        <v>29.0</v>
      </c>
      <c r="G17" s="242"/>
      <c r="H17" s="242"/>
      <c r="I17" s="242"/>
      <c r="J17" s="242"/>
    </row>
    <row r="18">
      <c r="A18" s="261" t="s">
        <v>1014</v>
      </c>
      <c r="B18" s="262">
        <v>3.0</v>
      </c>
      <c r="C18" s="263">
        <v>1.0</v>
      </c>
      <c r="D18" s="264">
        <v>5.0</v>
      </c>
      <c r="E18" s="265">
        <v>14.0</v>
      </c>
      <c r="F18" s="266">
        <v>23.0</v>
      </c>
      <c r="G18" s="242"/>
      <c r="H18" s="242"/>
      <c r="I18" s="242"/>
      <c r="J18" s="242"/>
    </row>
    <row r="19">
      <c r="A19" s="249" t="s">
        <v>1015</v>
      </c>
      <c r="B19" s="249">
        <v>12.0</v>
      </c>
      <c r="C19" s="249">
        <v>9.0</v>
      </c>
      <c r="D19" s="249">
        <v>22.0</v>
      </c>
      <c r="E19" s="249">
        <v>54.0</v>
      </c>
      <c r="F19" s="249">
        <v>97.0</v>
      </c>
      <c r="G19" s="242"/>
      <c r="H19" s="242"/>
      <c r="I19" s="242"/>
      <c r="J19" s="242"/>
    </row>
    <row r="21">
      <c r="A21" s="267" t="s">
        <v>1016</v>
      </c>
    </row>
    <row r="22">
      <c r="A22" s="268" t="s">
        <v>656</v>
      </c>
      <c r="B22" s="268" t="s">
        <v>1006</v>
      </c>
      <c r="C22" s="268" t="s">
        <v>677</v>
      </c>
      <c r="D22" s="268" t="s">
        <v>1017</v>
      </c>
      <c r="E22" s="268" t="s">
        <v>1018</v>
      </c>
      <c r="F22" s="268" t="s">
        <v>1019</v>
      </c>
      <c r="G22" s="268" t="s">
        <v>1020</v>
      </c>
      <c r="H22" s="268" t="s">
        <v>659</v>
      </c>
      <c r="I22" s="268" t="s">
        <v>1021</v>
      </c>
      <c r="J22" s="268" t="s">
        <v>1022</v>
      </c>
      <c r="K22" s="268" t="s">
        <v>1023</v>
      </c>
    </row>
    <row r="23">
      <c r="A23" s="269" t="s">
        <v>1024</v>
      </c>
      <c r="B23" s="269" t="s">
        <v>1025</v>
      </c>
      <c r="C23" s="270"/>
      <c r="D23" s="270"/>
      <c r="E23" s="271">
        <v>0.8</v>
      </c>
      <c r="F23" s="271">
        <v>0.248</v>
      </c>
      <c r="G23" s="270">
        <f>+55.2%</f>
        <v>0.552</v>
      </c>
      <c r="H23" s="269">
        <v>4.0</v>
      </c>
      <c r="I23" s="269">
        <v>5.0</v>
      </c>
      <c r="J23" s="269">
        <v>234798.0</v>
      </c>
      <c r="K23" s="269" t="s">
        <v>1026</v>
      </c>
    </row>
    <row r="24">
      <c r="A24" s="272" t="s">
        <v>1027</v>
      </c>
      <c r="B24" s="272" t="s">
        <v>1028</v>
      </c>
      <c r="C24" s="272" t="s">
        <v>19</v>
      </c>
      <c r="D24" s="272">
        <v>0.113</v>
      </c>
      <c r="E24" s="273">
        <v>0.636</v>
      </c>
      <c r="F24" s="273">
        <v>0.182</v>
      </c>
      <c r="G24" s="274">
        <f>+45.4%</f>
        <v>0.454</v>
      </c>
      <c r="H24" s="272">
        <v>7.0</v>
      </c>
      <c r="I24" s="272">
        <v>11.0</v>
      </c>
      <c r="J24" s="272">
        <v>236095.0</v>
      </c>
      <c r="K24" s="272" t="s">
        <v>1029</v>
      </c>
    </row>
    <row r="25">
      <c r="A25" s="269" t="s">
        <v>1030</v>
      </c>
      <c r="B25" s="269" t="s">
        <v>1031</v>
      </c>
      <c r="C25" s="270"/>
      <c r="D25" s="270"/>
      <c r="E25" s="271">
        <v>0.556</v>
      </c>
      <c r="F25" s="271">
        <v>0.182</v>
      </c>
      <c r="G25" s="270">
        <f>+37.4%</f>
        <v>0.374</v>
      </c>
      <c r="H25" s="269">
        <v>5.0</v>
      </c>
      <c r="I25" s="269">
        <v>9.0</v>
      </c>
      <c r="J25" s="269">
        <v>236095.0</v>
      </c>
      <c r="K25" s="269" t="s">
        <v>1032</v>
      </c>
    </row>
    <row r="26">
      <c r="A26" s="272" t="s">
        <v>1033</v>
      </c>
      <c r="B26" s="272" t="s">
        <v>1031</v>
      </c>
      <c r="C26" s="272" t="s">
        <v>19</v>
      </c>
      <c r="D26" s="272">
        <v>24.0</v>
      </c>
      <c r="E26" s="273">
        <v>0.5</v>
      </c>
      <c r="F26" s="273">
        <v>0.441</v>
      </c>
      <c r="G26" s="274">
        <f>+5.9%</f>
        <v>0.059</v>
      </c>
      <c r="H26" s="272">
        <v>9.0</v>
      </c>
      <c r="I26" s="272">
        <v>18.0</v>
      </c>
      <c r="J26" s="272">
        <v>134949.0</v>
      </c>
      <c r="K26" s="272" t="s">
        <v>1034</v>
      </c>
    </row>
    <row r="27">
      <c r="A27" s="269" t="s">
        <v>1035</v>
      </c>
      <c r="B27" s="269" t="s">
        <v>1028</v>
      </c>
      <c r="C27" s="269" t="s">
        <v>19</v>
      </c>
      <c r="D27" s="269">
        <v>0.313</v>
      </c>
      <c r="E27" s="271">
        <v>0.344</v>
      </c>
      <c r="F27" s="271">
        <v>0.182</v>
      </c>
      <c r="G27" s="270">
        <f>+16.2%</f>
        <v>0.162</v>
      </c>
      <c r="H27" s="269">
        <v>11.0</v>
      </c>
      <c r="I27" s="269">
        <v>32.0</v>
      </c>
      <c r="J27" s="269">
        <v>236095.0</v>
      </c>
      <c r="K27" s="269" t="s">
        <v>1036</v>
      </c>
    </row>
    <row r="28">
      <c r="A28" s="272" t="s">
        <v>1037</v>
      </c>
      <c r="B28" s="272" t="s">
        <v>1028</v>
      </c>
      <c r="C28" s="272" t="s">
        <v>19</v>
      </c>
      <c r="D28" s="272">
        <v>0.258</v>
      </c>
      <c r="E28" s="273">
        <v>0.289</v>
      </c>
      <c r="F28" s="273">
        <v>0.214</v>
      </c>
      <c r="G28" s="274">
        <f>+7.5%</f>
        <v>0.075</v>
      </c>
      <c r="H28" s="272">
        <v>24.0</v>
      </c>
      <c r="I28" s="272">
        <v>83.0</v>
      </c>
      <c r="J28" s="272">
        <v>234792.0</v>
      </c>
      <c r="K28" s="272" t="s">
        <v>1038</v>
      </c>
    </row>
    <row r="29">
      <c r="A29" s="269" t="s">
        <v>685</v>
      </c>
      <c r="B29" s="269" t="s">
        <v>1028</v>
      </c>
      <c r="C29" s="269" t="s">
        <v>43</v>
      </c>
      <c r="D29" s="269">
        <v>0.178</v>
      </c>
      <c r="E29" s="271">
        <v>0.232</v>
      </c>
      <c r="F29" s="271">
        <v>0.182</v>
      </c>
      <c r="G29" s="270">
        <f>+5%</f>
        <v>0.05</v>
      </c>
      <c r="H29" s="269">
        <v>44.0</v>
      </c>
      <c r="I29" s="269">
        <v>190.0</v>
      </c>
      <c r="J29" s="269">
        <v>236095.0</v>
      </c>
      <c r="K29" s="269" t="s">
        <v>1039</v>
      </c>
    </row>
    <row r="30">
      <c r="A30" s="272" t="s">
        <v>1040</v>
      </c>
      <c r="B30" s="272" t="s">
        <v>1028</v>
      </c>
      <c r="C30" s="272" t="s">
        <v>19</v>
      </c>
      <c r="D30" s="272">
        <v>0.048</v>
      </c>
      <c r="E30" s="273">
        <v>0.222</v>
      </c>
      <c r="F30" s="273">
        <v>0.154</v>
      </c>
      <c r="G30" s="274">
        <f>+6.8%</f>
        <v>0.068</v>
      </c>
      <c r="H30" s="272">
        <v>32.0</v>
      </c>
      <c r="I30" s="272">
        <v>144.0</v>
      </c>
      <c r="J30" s="272">
        <v>134951.0</v>
      </c>
      <c r="K30" s="272" t="s">
        <v>1041</v>
      </c>
    </row>
    <row r="31">
      <c r="A31" s="269" t="s">
        <v>1042</v>
      </c>
      <c r="B31" s="269" t="s">
        <v>1028</v>
      </c>
      <c r="C31" s="269" t="s">
        <v>43</v>
      </c>
      <c r="D31" s="269">
        <v>0.098</v>
      </c>
      <c r="E31" s="271">
        <v>0.196</v>
      </c>
      <c r="F31" s="271">
        <v>0.105</v>
      </c>
      <c r="G31" s="270">
        <f>+9.1%</f>
        <v>0.091</v>
      </c>
      <c r="H31" s="269">
        <v>10.0</v>
      </c>
      <c r="I31" s="269">
        <v>51.0</v>
      </c>
      <c r="J31" s="269">
        <v>239839.0</v>
      </c>
      <c r="K31" s="269" t="s">
        <v>1043</v>
      </c>
    </row>
    <row r="32">
      <c r="A32" s="272" t="s">
        <v>902</v>
      </c>
      <c r="B32" s="272" t="s">
        <v>1025</v>
      </c>
      <c r="C32" s="272" t="s">
        <v>43</v>
      </c>
      <c r="D32" s="272">
        <v>0.064</v>
      </c>
      <c r="E32" s="273">
        <v>0.196</v>
      </c>
      <c r="F32" s="273">
        <v>0.063</v>
      </c>
      <c r="G32" s="274">
        <f>+13.3%</f>
        <v>0.133</v>
      </c>
      <c r="H32" s="272">
        <v>10.0</v>
      </c>
      <c r="I32" s="272">
        <v>51.0</v>
      </c>
      <c r="J32" s="272">
        <v>217873.0</v>
      </c>
      <c r="K32" s="272" t="s">
        <v>1044</v>
      </c>
    </row>
    <row r="33">
      <c r="A33" s="269" t="s">
        <v>1045</v>
      </c>
      <c r="B33" s="269" t="s">
        <v>1028</v>
      </c>
      <c r="C33" s="269" t="s">
        <v>43</v>
      </c>
      <c r="D33" s="269">
        <v>0.136</v>
      </c>
      <c r="E33" s="271">
        <v>0.184</v>
      </c>
      <c r="F33" s="271">
        <v>0.12</v>
      </c>
      <c r="G33" s="270">
        <f>+6.4%</f>
        <v>0.064</v>
      </c>
      <c r="H33" s="269">
        <v>41.0</v>
      </c>
      <c r="I33" s="269">
        <v>223.0</v>
      </c>
      <c r="J33" s="269">
        <v>221282.0</v>
      </c>
      <c r="K33" s="269" t="s">
        <v>1046</v>
      </c>
    </row>
    <row r="34">
      <c r="A34" s="272" t="s">
        <v>902</v>
      </c>
      <c r="B34" s="272" t="s">
        <v>1031</v>
      </c>
      <c r="C34" s="274"/>
      <c r="D34" s="274"/>
      <c r="E34" s="273">
        <v>0.154</v>
      </c>
      <c r="F34" s="273">
        <v>0.063</v>
      </c>
      <c r="G34" s="274">
        <f>+9.1%</f>
        <v>0.091</v>
      </c>
      <c r="H34" s="272">
        <v>6.0</v>
      </c>
      <c r="I34" s="272">
        <v>39.0</v>
      </c>
      <c r="J34" s="272">
        <v>217873.0</v>
      </c>
      <c r="K34" s="272" t="s">
        <v>1044</v>
      </c>
    </row>
    <row r="37">
      <c r="A37" s="275" t="s">
        <v>1047</v>
      </c>
    </row>
    <row r="38">
      <c r="A38" s="276" t="s">
        <v>656</v>
      </c>
      <c r="B38" s="276" t="s">
        <v>1006</v>
      </c>
      <c r="C38" s="276" t="s">
        <v>677</v>
      </c>
      <c r="D38" s="276" t="s">
        <v>1017</v>
      </c>
      <c r="E38" s="276" t="s">
        <v>1018</v>
      </c>
      <c r="F38" s="276" t="s">
        <v>1019</v>
      </c>
      <c r="G38" s="276" t="s">
        <v>1020</v>
      </c>
      <c r="H38" s="276" t="s">
        <v>659</v>
      </c>
      <c r="I38" s="276" t="s">
        <v>1021</v>
      </c>
      <c r="J38" s="276" t="s">
        <v>1022</v>
      </c>
      <c r="K38" s="276" t="s">
        <v>1023</v>
      </c>
    </row>
    <row r="39">
      <c r="A39" s="277" t="s">
        <v>42</v>
      </c>
      <c r="B39" s="277" t="s">
        <v>1031</v>
      </c>
      <c r="C39" s="278"/>
      <c r="D39" s="278"/>
      <c r="E39" s="279">
        <v>0.051</v>
      </c>
      <c r="F39" s="279">
        <v>0.152</v>
      </c>
      <c r="G39" s="279">
        <v>-0.101</v>
      </c>
      <c r="H39" s="277">
        <v>5.0</v>
      </c>
      <c r="I39" s="277">
        <v>98.0</v>
      </c>
      <c r="J39" s="277">
        <v>219829.0</v>
      </c>
      <c r="K39" s="277" t="s">
        <v>41</v>
      </c>
    </row>
    <row r="40">
      <c r="A40" s="280" t="s">
        <v>1048</v>
      </c>
      <c r="B40" s="280" t="s">
        <v>1025</v>
      </c>
      <c r="C40" s="280" t="s">
        <v>43</v>
      </c>
      <c r="D40" s="280">
        <v>0.027</v>
      </c>
      <c r="E40" s="281">
        <v>0.055</v>
      </c>
      <c r="F40" s="281">
        <v>0.092</v>
      </c>
      <c r="G40" s="281">
        <v>-0.037</v>
      </c>
      <c r="H40" s="280">
        <v>6.0</v>
      </c>
      <c r="I40" s="280">
        <v>110.0</v>
      </c>
      <c r="J40" s="280">
        <v>215983.0</v>
      </c>
      <c r="K40" s="280" t="s">
        <v>1049</v>
      </c>
    </row>
    <row r="41">
      <c r="A41" s="277" t="s">
        <v>937</v>
      </c>
      <c r="B41" s="277" t="s">
        <v>1031</v>
      </c>
      <c r="C41" s="277" t="s">
        <v>43</v>
      </c>
      <c r="D41" s="277">
        <v>2.5</v>
      </c>
      <c r="E41" s="279">
        <v>0.056</v>
      </c>
      <c r="F41" s="279">
        <v>0.07</v>
      </c>
      <c r="G41" s="279">
        <v>-0.014</v>
      </c>
      <c r="H41" s="277">
        <v>6.0</v>
      </c>
      <c r="I41" s="277">
        <v>108.0</v>
      </c>
      <c r="J41" s="277">
        <v>137971.0</v>
      </c>
      <c r="K41" s="277" t="s">
        <v>1050</v>
      </c>
    </row>
    <row r="42">
      <c r="A42" s="280" t="s">
        <v>1051</v>
      </c>
      <c r="B42" s="280" t="s">
        <v>1028</v>
      </c>
      <c r="C42" s="280" t="s">
        <v>43</v>
      </c>
      <c r="D42" s="280">
        <v>0.03</v>
      </c>
      <c r="E42" s="281">
        <v>0.057</v>
      </c>
      <c r="F42" s="281">
        <v>0.07</v>
      </c>
      <c r="G42" s="281">
        <v>-0.013</v>
      </c>
      <c r="H42" s="280">
        <v>7.0</v>
      </c>
      <c r="I42" s="280">
        <v>123.0</v>
      </c>
      <c r="J42" s="280">
        <v>137971.0</v>
      </c>
      <c r="K42" s="280" t="s">
        <v>1052</v>
      </c>
    </row>
    <row r="43">
      <c r="A43" s="277" t="s">
        <v>1053</v>
      </c>
      <c r="B43" s="277" t="s">
        <v>1028</v>
      </c>
      <c r="C43" s="277" t="s">
        <v>43</v>
      </c>
      <c r="D43" s="277">
        <v>0.024</v>
      </c>
      <c r="E43" s="279">
        <v>0.065</v>
      </c>
      <c r="F43" s="279">
        <v>0.154</v>
      </c>
      <c r="G43" s="279">
        <v>-0.089</v>
      </c>
      <c r="H43" s="277">
        <v>8.0</v>
      </c>
      <c r="I43" s="277">
        <v>123.0</v>
      </c>
      <c r="J43" s="277">
        <v>211307.0</v>
      </c>
      <c r="K43" s="277" t="s">
        <v>1054</v>
      </c>
    </row>
    <row r="44">
      <c r="A44" s="280" t="s">
        <v>768</v>
      </c>
      <c r="B44" s="280" t="s">
        <v>1028</v>
      </c>
      <c r="C44" s="280" t="s">
        <v>43</v>
      </c>
      <c r="D44" s="280">
        <v>0.031</v>
      </c>
      <c r="E44" s="281">
        <v>0.066</v>
      </c>
      <c r="F44" s="281">
        <v>0.063</v>
      </c>
      <c r="G44" s="282">
        <f>+0.3%</f>
        <v>0.003</v>
      </c>
      <c r="H44" s="280">
        <v>12.0</v>
      </c>
      <c r="I44" s="280">
        <v>183.0</v>
      </c>
      <c r="J44" s="280">
        <v>223230.0</v>
      </c>
      <c r="K44" s="280" t="s">
        <v>1055</v>
      </c>
    </row>
    <row r="45">
      <c r="A45" s="277" t="s">
        <v>1056</v>
      </c>
      <c r="B45" s="277" t="s">
        <v>1031</v>
      </c>
      <c r="C45" s="277" t="s">
        <v>19</v>
      </c>
      <c r="D45" s="277">
        <v>7.2</v>
      </c>
      <c r="E45" s="279">
        <v>0.069</v>
      </c>
      <c r="F45" s="279">
        <v>0.154</v>
      </c>
      <c r="G45" s="279">
        <v>-0.085</v>
      </c>
      <c r="H45" s="277">
        <v>14.0</v>
      </c>
      <c r="I45" s="277">
        <v>202.0</v>
      </c>
      <c r="J45" s="277">
        <v>211307.0</v>
      </c>
      <c r="K45" s="277" t="s">
        <v>1057</v>
      </c>
    </row>
    <row r="46">
      <c r="A46" s="280" t="s">
        <v>1058</v>
      </c>
      <c r="B46" s="280" t="s">
        <v>1025</v>
      </c>
      <c r="C46" s="280" t="s">
        <v>43</v>
      </c>
      <c r="D46" s="280">
        <v>0.061</v>
      </c>
      <c r="E46" s="281">
        <v>0.07</v>
      </c>
      <c r="F46" s="281">
        <v>0.066</v>
      </c>
      <c r="G46" s="282">
        <f>+0.4%</f>
        <v>0.004</v>
      </c>
      <c r="H46" s="280">
        <v>5.0</v>
      </c>
      <c r="I46" s="280">
        <v>71.0</v>
      </c>
      <c r="J46" s="280">
        <v>148157.0</v>
      </c>
      <c r="K46" s="280" t="s">
        <v>1059</v>
      </c>
    </row>
    <row r="47">
      <c r="A47" s="277" t="s">
        <v>1058</v>
      </c>
      <c r="B47" s="277" t="s">
        <v>1031</v>
      </c>
      <c r="C47" s="277" t="s">
        <v>43</v>
      </c>
      <c r="D47" s="277">
        <v>3.6</v>
      </c>
      <c r="E47" s="279">
        <v>0.073</v>
      </c>
      <c r="F47" s="279">
        <v>0.066</v>
      </c>
      <c r="G47" s="278">
        <f>+0.7%</f>
        <v>0.007</v>
      </c>
      <c r="H47" s="277">
        <v>6.0</v>
      </c>
      <c r="I47" s="277">
        <v>82.0</v>
      </c>
      <c r="J47" s="277">
        <v>148157.0</v>
      </c>
      <c r="K47" s="277" t="s">
        <v>1059</v>
      </c>
    </row>
    <row r="48">
      <c r="A48" s="280" t="s">
        <v>1060</v>
      </c>
      <c r="B48" s="280" t="s">
        <v>1028</v>
      </c>
      <c r="C48" s="280" t="s">
        <v>43</v>
      </c>
      <c r="D48" s="280">
        <v>0.077</v>
      </c>
      <c r="E48" s="281">
        <v>0.094</v>
      </c>
      <c r="F48" s="281">
        <v>0.095</v>
      </c>
      <c r="G48" s="281">
        <v>-0.001</v>
      </c>
      <c r="H48" s="280">
        <v>11.0</v>
      </c>
      <c r="I48" s="280">
        <v>117.0</v>
      </c>
      <c r="J48" s="280">
        <v>211307.0</v>
      </c>
      <c r="K48" s="280" t="s">
        <v>1061</v>
      </c>
    </row>
    <row r="49">
      <c r="A49" s="277" t="s">
        <v>1056</v>
      </c>
      <c r="B49" s="277" t="s">
        <v>1025</v>
      </c>
      <c r="C49" s="277" t="s">
        <v>19</v>
      </c>
      <c r="D49" s="277">
        <v>0.095</v>
      </c>
      <c r="E49" s="279">
        <v>0.095</v>
      </c>
      <c r="F49" s="279">
        <v>0.154</v>
      </c>
      <c r="G49" s="279">
        <v>-0.059</v>
      </c>
      <c r="H49" s="277">
        <v>13.0</v>
      </c>
      <c r="I49" s="277">
        <v>137.0</v>
      </c>
      <c r="J49" s="277">
        <v>211307.0</v>
      </c>
      <c r="K49" s="277" t="s">
        <v>1057</v>
      </c>
    </row>
    <row r="50">
      <c r="A50" s="280" t="s">
        <v>1062</v>
      </c>
      <c r="B50" s="280" t="s">
        <v>1028</v>
      </c>
      <c r="C50" s="280" t="s">
        <v>43</v>
      </c>
      <c r="D50" s="280">
        <v>0.079</v>
      </c>
      <c r="E50" s="281">
        <v>0.1</v>
      </c>
      <c r="F50" s="281">
        <v>0.136</v>
      </c>
      <c r="G50" s="281">
        <v>-0.036</v>
      </c>
      <c r="H50" s="280">
        <v>10.0</v>
      </c>
      <c r="I50" s="280">
        <v>100.0</v>
      </c>
      <c r="J50" s="280">
        <v>234800.0</v>
      </c>
      <c r="K50" s="280" t="s">
        <v>1063</v>
      </c>
    </row>
    <row r="51">
      <c r="A51" s="277" t="s">
        <v>1064</v>
      </c>
      <c r="B51" s="277" t="s">
        <v>1025</v>
      </c>
      <c r="C51" s="278"/>
      <c r="D51" s="278"/>
      <c r="E51" s="279">
        <v>0.108</v>
      </c>
      <c r="F51" s="279">
        <v>0.125</v>
      </c>
      <c r="G51" s="279">
        <v>-0.017</v>
      </c>
      <c r="H51" s="277">
        <v>4.0</v>
      </c>
      <c r="I51" s="277">
        <v>37.0</v>
      </c>
      <c r="J51" s="277">
        <v>235307.0</v>
      </c>
      <c r="K51" s="277" t="s">
        <v>1065</v>
      </c>
    </row>
    <row r="52">
      <c r="A52" s="280" t="s">
        <v>1066</v>
      </c>
      <c r="B52" s="280" t="s">
        <v>1028</v>
      </c>
      <c r="C52" s="280" t="s">
        <v>1067</v>
      </c>
      <c r="D52" s="280" t="s">
        <v>1068</v>
      </c>
      <c r="E52" s="281">
        <v>0.156</v>
      </c>
      <c r="F52" s="281">
        <v>0.154</v>
      </c>
      <c r="G52" s="282">
        <f>+0.2%</f>
        <v>0.002</v>
      </c>
      <c r="H52" s="280">
        <v>7.0</v>
      </c>
      <c r="I52" s="280">
        <v>45.0</v>
      </c>
      <c r="J52" s="280">
        <v>134951.0</v>
      </c>
      <c r="K52" s="280" t="s">
        <v>1069</v>
      </c>
    </row>
    <row r="53">
      <c r="A53" s="277" t="s">
        <v>1070</v>
      </c>
      <c r="B53" s="277" t="s">
        <v>1025</v>
      </c>
      <c r="C53" s="277" t="s">
        <v>137</v>
      </c>
      <c r="D53" s="277">
        <v>0.1818</v>
      </c>
      <c r="E53" s="279">
        <v>0.16</v>
      </c>
      <c r="F53" s="279">
        <v>0.154</v>
      </c>
      <c r="G53" s="278">
        <f>+0.6%</f>
        <v>0.006</v>
      </c>
      <c r="H53" s="277">
        <v>4.0</v>
      </c>
      <c r="I53" s="277">
        <v>25.0</v>
      </c>
      <c r="J53" s="277">
        <v>134951.0</v>
      </c>
      <c r="K53" s="277" t="s">
        <v>1071</v>
      </c>
    </row>
    <row r="54">
      <c r="A54" s="280" t="s">
        <v>46</v>
      </c>
      <c r="B54" s="280" t="s">
        <v>1028</v>
      </c>
      <c r="C54" s="280" t="s">
        <v>43</v>
      </c>
      <c r="D54" s="280">
        <v>0.059</v>
      </c>
      <c r="E54" s="281">
        <v>0.173</v>
      </c>
      <c r="F54" s="281">
        <v>0.441</v>
      </c>
      <c r="G54" s="281">
        <v>-0.268</v>
      </c>
      <c r="H54" s="280">
        <v>24.0</v>
      </c>
      <c r="I54" s="280">
        <v>139.0</v>
      </c>
      <c r="J54" s="280">
        <v>134949.0</v>
      </c>
      <c r="K54" s="280" t="s">
        <v>1072</v>
      </c>
    </row>
    <row r="55">
      <c r="A55" s="277" t="s">
        <v>1073</v>
      </c>
      <c r="B55" s="277" t="s">
        <v>1031</v>
      </c>
      <c r="C55" s="277" t="s">
        <v>43</v>
      </c>
      <c r="D55" s="277">
        <v>8.5</v>
      </c>
      <c r="E55" s="279">
        <v>0.211</v>
      </c>
      <c r="F55" s="279">
        <v>0.441</v>
      </c>
      <c r="G55" s="279">
        <v>-0.23</v>
      </c>
      <c r="H55" s="277">
        <v>8.0</v>
      </c>
      <c r="I55" s="277">
        <v>38.0</v>
      </c>
      <c r="J55" s="277">
        <v>134949.0</v>
      </c>
      <c r="K55" s="277" t="s">
        <v>1074</v>
      </c>
    </row>
    <row r="56">
      <c r="A56" s="280" t="s">
        <v>1075</v>
      </c>
      <c r="B56" s="280" t="s">
        <v>1025</v>
      </c>
      <c r="C56" s="280" t="s">
        <v>43</v>
      </c>
      <c r="D56" s="282"/>
      <c r="E56" s="281">
        <v>0.25</v>
      </c>
      <c r="F56" s="281">
        <v>0.441</v>
      </c>
      <c r="G56" s="281">
        <v>-0.191</v>
      </c>
      <c r="H56" s="280">
        <v>4.0</v>
      </c>
      <c r="I56" s="280">
        <v>16.0</v>
      </c>
      <c r="J56" s="280">
        <v>134949.0</v>
      </c>
      <c r="K56" s="280" t="s">
        <v>1076</v>
      </c>
    </row>
    <row r="57">
      <c r="A57" s="277" t="s">
        <v>48</v>
      </c>
      <c r="B57" s="277" t="s">
        <v>1028</v>
      </c>
      <c r="C57" s="277" t="s">
        <v>1077</v>
      </c>
      <c r="D57" s="277" t="s">
        <v>1078</v>
      </c>
      <c r="E57" s="279">
        <v>0.268</v>
      </c>
      <c r="F57" s="279">
        <v>0.441</v>
      </c>
      <c r="G57" s="279">
        <v>-0.173</v>
      </c>
      <c r="H57" s="277">
        <v>41.0</v>
      </c>
      <c r="I57" s="277">
        <v>153.0</v>
      </c>
      <c r="J57" s="277">
        <v>134949.0</v>
      </c>
      <c r="K57" s="277" t="s">
        <v>1079</v>
      </c>
    </row>
    <row r="58">
      <c r="A58" s="280" t="s">
        <v>46</v>
      </c>
      <c r="B58" s="280" t="s">
        <v>1025</v>
      </c>
      <c r="C58" s="280" t="s">
        <v>43</v>
      </c>
      <c r="D58" s="280">
        <v>0.069</v>
      </c>
      <c r="E58" s="281">
        <v>0.3</v>
      </c>
      <c r="F58" s="281">
        <v>0.441</v>
      </c>
      <c r="G58" s="281">
        <v>-0.141</v>
      </c>
      <c r="H58" s="280">
        <v>6.0</v>
      </c>
      <c r="I58" s="280">
        <v>20.0</v>
      </c>
      <c r="J58" s="280">
        <v>134949.0</v>
      </c>
      <c r="K58" s="280" t="s">
        <v>1072</v>
      </c>
    </row>
    <row r="59">
      <c r="A59" s="277" t="s">
        <v>1080</v>
      </c>
      <c r="B59" s="277" t="s">
        <v>1025</v>
      </c>
      <c r="C59" s="277" t="s">
        <v>19</v>
      </c>
      <c r="D59" s="277">
        <v>0.103</v>
      </c>
      <c r="E59" s="279">
        <v>0.35</v>
      </c>
      <c r="F59" s="279">
        <v>0.441</v>
      </c>
      <c r="G59" s="279">
        <v>-0.091</v>
      </c>
      <c r="H59" s="277">
        <v>7.0</v>
      </c>
      <c r="I59" s="277">
        <v>20.0</v>
      </c>
      <c r="J59" s="277">
        <v>134949.0</v>
      </c>
      <c r="K59" s="277" t="s">
        <v>1081</v>
      </c>
    </row>
    <row r="60">
      <c r="A60" s="280" t="s">
        <v>1033</v>
      </c>
      <c r="B60" s="280" t="s">
        <v>1025</v>
      </c>
      <c r="C60" s="280" t="s">
        <v>19</v>
      </c>
      <c r="D60" s="280">
        <v>0.121</v>
      </c>
      <c r="E60" s="281">
        <v>0.423</v>
      </c>
      <c r="F60" s="281">
        <v>0.441</v>
      </c>
      <c r="G60" s="281">
        <v>-0.018</v>
      </c>
      <c r="H60" s="280">
        <v>11.0</v>
      </c>
      <c r="I60" s="280">
        <v>26.0</v>
      </c>
      <c r="J60" s="280">
        <v>134949.0</v>
      </c>
      <c r="K60" s="280" t="s">
        <v>1034</v>
      </c>
    </row>
    <row r="61">
      <c r="A61" s="242"/>
      <c r="B61" s="242"/>
      <c r="C61" s="242"/>
      <c r="D61" s="242"/>
      <c r="E61" s="242"/>
      <c r="F61" s="242"/>
      <c r="G61" s="242"/>
      <c r="H61" s="242"/>
      <c r="I61" s="242"/>
      <c r="J61" s="242"/>
      <c r="K61" s="242"/>
    </row>
    <row r="62">
      <c r="A62" s="283" t="s">
        <v>1082</v>
      </c>
    </row>
    <row r="63">
      <c r="A63" s="284" t="s">
        <v>656</v>
      </c>
      <c r="B63" s="284" t="s">
        <v>1006</v>
      </c>
      <c r="C63" s="284" t="s">
        <v>677</v>
      </c>
      <c r="D63" s="284" t="s">
        <v>1017</v>
      </c>
      <c r="E63" s="284" t="s">
        <v>1018</v>
      </c>
      <c r="F63" s="284" t="s">
        <v>1019</v>
      </c>
      <c r="G63" s="284" t="s">
        <v>1020</v>
      </c>
      <c r="H63" s="284" t="s">
        <v>659</v>
      </c>
      <c r="I63" s="284" t="s">
        <v>1021</v>
      </c>
      <c r="J63" s="284" t="s">
        <v>1022</v>
      </c>
      <c r="K63" s="284" t="s">
        <v>1023</v>
      </c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</row>
    <row r="64">
      <c r="A64" s="286" t="s">
        <v>1027</v>
      </c>
      <c r="B64" s="287" t="s">
        <v>1028</v>
      </c>
      <c r="C64" s="287" t="s">
        <v>19</v>
      </c>
      <c r="D64" s="287">
        <v>0.113</v>
      </c>
      <c r="E64" s="288">
        <v>0.21</v>
      </c>
      <c r="F64" s="288">
        <v>0.182</v>
      </c>
      <c r="G64" s="289">
        <f>+2.8%</f>
        <v>0.028</v>
      </c>
      <c r="H64" s="287">
        <v>26.0</v>
      </c>
      <c r="I64" s="287">
        <v>124.0</v>
      </c>
      <c r="J64" s="287">
        <v>236095.0</v>
      </c>
      <c r="K64" s="286" t="s">
        <v>1029</v>
      </c>
    </row>
    <row r="65">
      <c r="A65" s="286" t="s">
        <v>1040</v>
      </c>
      <c r="B65" s="287" t="s">
        <v>1025</v>
      </c>
      <c r="C65" s="287" t="s">
        <v>43</v>
      </c>
      <c r="D65" s="287">
        <v>0.058</v>
      </c>
      <c r="E65" s="288">
        <v>0.2</v>
      </c>
      <c r="F65" s="288">
        <v>0.154</v>
      </c>
      <c r="G65" s="289">
        <f>+4.6%</f>
        <v>0.046</v>
      </c>
      <c r="H65" s="287">
        <v>7.0</v>
      </c>
      <c r="I65" s="287">
        <v>35.0</v>
      </c>
      <c r="J65" s="287">
        <v>134951.0</v>
      </c>
      <c r="K65" s="286" t="s">
        <v>1041</v>
      </c>
    </row>
    <row r="66">
      <c r="A66" s="286" t="s">
        <v>103</v>
      </c>
      <c r="B66" s="287" t="s">
        <v>1028</v>
      </c>
      <c r="C66" s="287" t="s">
        <v>43</v>
      </c>
      <c r="D66" s="287">
        <v>0.057</v>
      </c>
      <c r="E66" s="288">
        <v>0.127</v>
      </c>
      <c r="F66" s="288">
        <v>0.105</v>
      </c>
      <c r="G66" s="289">
        <f>+2.2%</f>
        <v>0.022</v>
      </c>
      <c r="H66" s="287">
        <v>9.0</v>
      </c>
      <c r="I66" s="287">
        <v>71.0</v>
      </c>
      <c r="J66" s="287">
        <v>239839.0</v>
      </c>
      <c r="K66" s="286" t="s">
        <v>1083</v>
      </c>
    </row>
    <row r="67">
      <c r="A67" s="286" t="s">
        <v>103</v>
      </c>
      <c r="B67" s="287" t="s">
        <v>1025</v>
      </c>
      <c r="C67" s="289"/>
      <c r="D67" s="289"/>
      <c r="E67" s="288">
        <v>0.125</v>
      </c>
      <c r="F67" s="288">
        <v>0.105</v>
      </c>
      <c r="G67" s="289">
        <f>+2%</f>
        <v>0.02</v>
      </c>
      <c r="H67" s="287">
        <v>4.0</v>
      </c>
      <c r="I67" s="287">
        <v>32.0</v>
      </c>
      <c r="J67" s="287">
        <v>239839.0</v>
      </c>
      <c r="K67" s="286" t="s">
        <v>1083</v>
      </c>
    </row>
    <row r="68">
      <c r="A68" s="286" t="s">
        <v>1084</v>
      </c>
      <c r="B68" s="287" t="s">
        <v>1028</v>
      </c>
      <c r="C68" s="287" t="s">
        <v>43</v>
      </c>
      <c r="D68" s="287">
        <v>0.095</v>
      </c>
      <c r="E68" s="288">
        <v>0.113</v>
      </c>
      <c r="F68" s="288">
        <v>0.066</v>
      </c>
      <c r="G68" s="289">
        <f>+4.7%</f>
        <v>0.047</v>
      </c>
      <c r="H68" s="287">
        <v>37.0</v>
      </c>
      <c r="I68" s="287">
        <v>328.0</v>
      </c>
      <c r="J68" s="287">
        <v>148157.0</v>
      </c>
      <c r="K68" s="286" t="s">
        <v>1085</v>
      </c>
    </row>
    <row r="69">
      <c r="A69" s="286" t="s">
        <v>612</v>
      </c>
      <c r="B69" s="287" t="s">
        <v>1025</v>
      </c>
      <c r="C69" s="287" t="s">
        <v>43</v>
      </c>
      <c r="D69" s="287">
        <v>0.037</v>
      </c>
      <c r="E69" s="288">
        <v>0.108</v>
      </c>
      <c r="F69" s="288">
        <v>0.063</v>
      </c>
      <c r="G69" s="289">
        <f>+4.5%</f>
        <v>0.045</v>
      </c>
      <c r="H69" s="287">
        <v>7.0</v>
      </c>
      <c r="I69" s="287">
        <v>65.0</v>
      </c>
      <c r="J69" s="287">
        <v>223230.0</v>
      </c>
      <c r="K69" s="286" t="s">
        <v>1086</v>
      </c>
    </row>
    <row r="70">
      <c r="A70" s="286" t="s">
        <v>1087</v>
      </c>
      <c r="B70" s="287" t="s">
        <v>1028</v>
      </c>
      <c r="C70" s="287" t="s">
        <v>43</v>
      </c>
      <c r="D70" s="287">
        <v>0.071</v>
      </c>
      <c r="E70" s="288">
        <v>0.105</v>
      </c>
      <c r="F70" s="288">
        <v>0.07</v>
      </c>
      <c r="G70" s="289">
        <f>+3.5%</f>
        <v>0.035</v>
      </c>
      <c r="H70" s="287">
        <v>13.0</v>
      </c>
      <c r="I70" s="287">
        <v>124.0</v>
      </c>
      <c r="J70" s="287">
        <v>223232.0</v>
      </c>
      <c r="K70" s="286" t="s">
        <v>1088</v>
      </c>
    </row>
    <row r="71">
      <c r="A71" s="286" t="s">
        <v>612</v>
      </c>
      <c r="B71" s="287" t="s">
        <v>1031</v>
      </c>
      <c r="C71" s="289"/>
      <c r="D71" s="289"/>
      <c r="E71" s="288">
        <v>0.097</v>
      </c>
      <c r="F71" s="288">
        <v>0.063</v>
      </c>
      <c r="G71" s="289">
        <f>+3.4%</f>
        <v>0.034</v>
      </c>
      <c r="H71" s="287">
        <v>6.0</v>
      </c>
      <c r="I71" s="287">
        <v>62.0</v>
      </c>
      <c r="J71" s="287">
        <v>223230.0</v>
      </c>
      <c r="K71" s="286" t="s">
        <v>1086</v>
      </c>
    </row>
    <row r="72">
      <c r="A72" s="286" t="s">
        <v>1089</v>
      </c>
      <c r="B72" s="287" t="s">
        <v>1028</v>
      </c>
      <c r="C72" s="287" t="s">
        <v>43</v>
      </c>
      <c r="D72" s="287">
        <v>0.056</v>
      </c>
      <c r="E72" s="288">
        <v>0.071</v>
      </c>
      <c r="F72" s="288">
        <v>0.059</v>
      </c>
      <c r="G72" s="289">
        <f>+1.2%</f>
        <v>0.012</v>
      </c>
      <c r="H72" s="287">
        <v>10.0</v>
      </c>
      <c r="I72" s="287">
        <v>140.0</v>
      </c>
      <c r="J72" s="287">
        <v>211293.0</v>
      </c>
      <c r="K72" s="286" t="s">
        <v>1090</v>
      </c>
    </row>
    <row r="73">
      <c r="A73" s="242"/>
      <c r="B73" s="242"/>
      <c r="C73" s="242"/>
      <c r="D73" s="242"/>
      <c r="E73" s="242"/>
      <c r="F73" s="242"/>
      <c r="G73" s="242"/>
      <c r="H73" s="242"/>
      <c r="I73" s="242"/>
      <c r="J73" s="242"/>
      <c r="K73" s="242"/>
    </row>
    <row r="74">
      <c r="A74" s="242"/>
      <c r="B74" s="242"/>
      <c r="C74" s="242"/>
      <c r="D74" s="242"/>
      <c r="E74" s="242"/>
      <c r="F74" s="242"/>
      <c r="G74" s="242"/>
      <c r="H74" s="242"/>
      <c r="I74" s="242"/>
      <c r="J74" s="242"/>
      <c r="K74" s="242"/>
    </row>
    <row r="75">
      <c r="A75" s="290" t="s">
        <v>1091</v>
      </c>
    </row>
    <row r="76">
      <c r="A76" s="291" t="s">
        <v>656</v>
      </c>
      <c r="B76" s="291" t="s">
        <v>1006</v>
      </c>
      <c r="C76" s="291" t="s">
        <v>677</v>
      </c>
      <c r="D76" s="291" t="s">
        <v>1017</v>
      </c>
      <c r="E76" s="291" t="s">
        <v>1018</v>
      </c>
      <c r="F76" s="291" t="s">
        <v>1019</v>
      </c>
      <c r="G76" s="291" t="s">
        <v>1020</v>
      </c>
      <c r="H76" s="291" t="s">
        <v>659</v>
      </c>
      <c r="I76" s="291" t="s">
        <v>1021</v>
      </c>
      <c r="J76" s="291" t="s">
        <v>1022</v>
      </c>
      <c r="K76" s="291" t="s">
        <v>1023</v>
      </c>
    </row>
    <row r="77">
      <c r="A77" s="292" t="s">
        <v>94</v>
      </c>
      <c r="B77" s="292" t="s">
        <v>1025</v>
      </c>
      <c r="C77" s="292" t="s">
        <v>19</v>
      </c>
      <c r="D77" s="292">
        <v>0.813</v>
      </c>
      <c r="E77" s="293">
        <v>0.929</v>
      </c>
      <c r="F77" s="292" t="s">
        <v>1092</v>
      </c>
      <c r="G77" s="292" t="s">
        <v>1093</v>
      </c>
      <c r="H77" s="292">
        <v>13.0</v>
      </c>
      <c r="I77" s="292">
        <v>14.0</v>
      </c>
      <c r="J77" s="292">
        <v>227571.0</v>
      </c>
      <c r="K77" s="292" t="s">
        <v>1094</v>
      </c>
    </row>
    <row r="78">
      <c r="A78" s="294" t="s">
        <v>94</v>
      </c>
      <c r="B78" s="294" t="s">
        <v>1031</v>
      </c>
      <c r="C78" s="294" t="s">
        <v>19</v>
      </c>
      <c r="D78" s="294">
        <v>71.1</v>
      </c>
      <c r="E78" s="295">
        <v>0.792</v>
      </c>
      <c r="F78" s="294" t="s">
        <v>1092</v>
      </c>
      <c r="G78" s="294" t="s">
        <v>1093</v>
      </c>
      <c r="H78" s="294">
        <v>19.0</v>
      </c>
      <c r="I78" s="294">
        <v>24.0</v>
      </c>
      <c r="J78" s="294">
        <v>227571.0</v>
      </c>
      <c r="K78" s="294" t="s">
        <v>1094</v>
      </c>
    </row>
    <row r="79">
      <c r="A79" s="292" t="s">
        <v>1095</v>
      </c>
      <c r="B79" s="292" t="s">
        <v>1025</v>
      </c>
      <c r="C79" s="292" t="s">
        <v>19</v>
      </c>
      <c r="D79" s="292">
        <v>0.714</v>
      </c>
      <c r="E79" s="293">
        <v>0.778</v>
      </c>
      <c r="F79" s="292" t="s">
        <v>1092</v>
      </c>
      <c r="G79" s="292" t="s">
        <v>1093</v>
      </c>
      <c r="H79" s="292">
        <v>7.0</v>
      </c>
      <c r="I79" s="292">
        <v>9.0</v>
      </c>
      <c r="J79" s="292">
        <v>217204.0</v>
      </c>
      <c r="K79" s="292" t="s">
        <v>1096</v>
      </c>
    </row>
    <row r="80">
      <c r="A80" s="294" t="s">
        <v>128</v>
      </c>
      <c r="B80" s="294" t="s">
        <v>1031</v>
      </c>
      <c r="C80" s="296"/>
      <c r="D80" s="296"/>
      <c r="E80" s="295">
        <v>0.714</v>
      </c>
      <c r="F80" s="294" t="s">
        <v>1092</v>
      </c>
      <c r="G80" s="294" t="s">
        <v>1093</v>
      </c>
      <c r="H80" s="294">
        <v>5.0</v>
      </c>
      <c r="I80" s="294">
        <v>7.0</v>
      </c>
      <c r="J80" s="294">
        <v>237932.0</v>
      </c>
      <c r="K80" s="294" t="s">
        <v>1097</v>
      </c>
    </row>
    <row r="81">
      <c r="A81" s="292" t="s">
        <v>273</v>
      </c>
      <c r="B81" s="292" t="s">
        <v>1031</v>
      </c>
      <c r="C81" s="292" t="s">
        <v>19</v>
      </c>
      <c r="D81" s="292">
        <v>52.6</v>
      </c>
      <c r="E81" s="293">
        <v>0.692</v>
      </c>
      <c r="F81" s="292" t="s">
        <v>1092</v>
      </c>
      <c r="G81" s="292" t="s">
        <v>1093</v>
      </c>
      <c r="H81" s="292">
        <v>9.0</v>
      </c>
      <c r="I81" s="292">
        <v>13.0</v>
      </c>
      <c r="J81" s="292">
        <v>225336.0</v>
      </c>
      <c r="K81" s="292" t="s">
        <v>1098</v>
      </c>
    </row>
    <row r="82">
      <c r="A82" s="294" t="s">
        <v>1099</v>
      </c>
      <c r="B82" s="294" t="s">
        <v>1025</v>
      </c>
      <c r="C82" s="294" t="s">
        <v>43</v>
      </c>
      <c r="D82" s="294">
        <v>0.042</v>
      </c>
      <c r="E82" s="295">
        <v>0.6</v>
      </c>
      <c r="F82" s="294" t="s">
        <v>1092</v>
      </c>
      <c r="G82" s="294" t="s">
        <v>1093</v>
      </c>
      <c r="H82" s="294">
        <v>6.0</v>
      </c>
      <c r="I82" s="294">
        <v>10.0</v>
      </c>
      <c r="J82" s="294">
        <v>237933.0</v>
      </c>
      <c r="K82" s="294" t="s">
        <v>1100</v>
      </c>
    </row>
    <row r="83">
      <c r="A83" s="292" t="s">
        <v>1101</v>
      </c>
      <c r="B83" s="292" t="s">
        <v>1028</v>
      </c>
      <c r="C83" s="292" t="s">
        <v>43</v>
      </c>
      <c r="D83" s="292">
        <v>0.33</v>
      </c>
      <c r="E83" s="293">
        <v>0.544</v>
      </c>
      <c r="F83" s="292" t="s">
        <v>1092</v>
      </c>
      <c r="G83" s="292" t="s">
        <v>1093</v>
      </c>
      <c r="H83" s="292">
        <v>99.0</v>
      </c>
      <c r="I83" s="292">
        <v>182.0</v>
      </c>
      <c r="J83" s="292">
        <v>218967.0</v>
      </c>
      <c r="K83" s="292" t="s">
        <v>1102</v>
      </c>
    </row>
    <row r="84">
      <c r="A84" s="294" t="s">
        <v>195</v>
      </c>
      <c r="B84" s="294" t="s">
        <v>1025</v>
      </c>
      <c r="C84" s="294" t="s">
        <v>19</v>
      </c>
      <c r="D84" s="294">
        <v>0.489</v>
      </c>
      <c r="E84" s="295">
        <v>0.514</v>
      </c>
      <c r="F84" s="294" t="s">
        <v>1092</v>
      </c>
      <c r="G84" s="294" t="s">
        <v>1093</v>
      </c>
      <c r="H84" s="294">
        <v>19.0</v>
      </c>
      <c r="I84" s="294">
        <v>37.0</v>
      </c>
      <c r="J84" s="294">
        <v>225336.0</v>
      </c>
      <c r="K84" s="294" t="s">
        <v>1103</v>
      </c>
    </row>
    <row r="85">
      <c r="A85" s="292" t="s">
        <v>1099</v>
      </c>
      <c r="B85" s="292" t="s">
        <v>1031</v>
      </c>
      <c r="C85" s="292" t="s">
        <v>19</v>
      </c>
      <c r="D85" s="292">
        <v>20.1</v>
      </c>
      <c r="E85" s="293">
        <v>0.467</v>
      </c>
      <c r="F85" s="292" t="s">
        <v>1092</v>
      </c>
      <c r="G85" s="292" t="s">
        <v>1093</v>
      </c>
      <c r="H85" s="292">
        <v>7.0</v>
      </c>
      <c r="I85" s="292">
        <v>15.0</v>
      </c>
      <c r="J85" s="292">
        <v>237933.0</v>
      </c>
      <c r="K85" s="292" t="s">
        <v>1100</v>
      </c>
    </row>
    <row r="86">
      <c r="A86" s="294" t="s">
        <v>1104</v>
      </c>
      <c r="B86" s="294" t="s">
        <v>1028</v>
      </c>
      <c r="C86" s="294" t="s">
        <v>19</v>
      </c>
      <c r="D86" s="294">
        <v>0.323</v>
      </c>
      <c r="E86" s="295">
        <v>0.419</v>
      </c>
      <c r="F86" s="294" t="s">
        <v>1092</v>
      </c>
      <c r="G86" s="294" t="s">
        <v>1093</v>
      </c>
      <c r="H86" s="294">
        <v>13.0</v>
      </c>
      <c r="I86" s="294">
        <v>31.0</v>
      </c>
      <c r="J86" s="294">
        <v>241108.0</v>
      </c>
      <c r="K86" s="294" t="s">
        <v>1105</v>
      </c>
    </row>
    <row r="87">
      <c r="A87" s="292" t="s">
        <v>195</v>
      </c>
      <c r="B87" s="292" t="s">
        <v>1028</v>
      </c>
      <c r="C87" s="292" t="s">
        <v>19</v>
      </c>
      <c r="D87" s="292">
        <v>0.277</v>
      </c>
      <c r="E87" s="293">
        <v>0.372</v>
      </c>
      <c r="F87" s="292" t="s">
        <v>1092</v>
      </c>
      <c r="G87" s="292" t="s">
        <v>1093</v>
      </c>
      <c r="H87" s="292">
        <v>16.0</v>
      </c>
      <c r="I87" s="292">
        <v>43.0</v>
      </c>
      <c r="J87" s="292">
        <v>225336.0</v>
      </c>
      <c r="K87" s="292" t="s">
        <v>1103</v>
      </c>
    </row>
    <row r="88">
      <c r="A88" s="294" t="s">
        <v>1106</v>
      </c>
      <c r="B88" s="294" t="s">
        <v>1025</v>
      </c>
      <c r="C88" s="294" t="s">
        <v>43</v>
      </c>
      <c r="D88" s="294">
        <v>0.156</v>
      </c>
      <c r="E88" s="295">
        <v>0.353</v>
      </c>
      <c r="F88" s="294" t="s">
        <v>1092</v>
      </c>
      <c r="G88" s="294" t="s">
        <v>1093</v>
      </c>
      <c r="H88" s="294">
        <v>6.0</v>
      </c>
      <c r="I88" s="294">
        <v>17.0</v>
      </c>
      <c r="J88" s="294">
        <v>241091.0</v>
      </c>
      <c r="K88" s="294" t="s">
        <v>1107</v>
      </c>
    </row>
    <row r="89">
      <c r="A89" s="292" t="s">
        <v>270</v>
      </c>
      <c r="B89" s="292" t="s">
        <v>1028</v>
      </c>
      <c r="C89" s="292" t="s">
        <v>19</v>
      </c>
      <c r="D89" s="292">
        <v>0.306</v>
      </c>
      <c r="E89" s="293">
        <v>0.333</v>
      </c>
      <c r="F89" s="292" t="s">
        <v>1092</v>
      </c>
      <c r="G89" s="292" t="s">
        <v>1093</v>
      </c>
      <c r="H89" s="292">
        <v>15.0</v>
      </c>
      <c r="I89" s="292">
        <v>45.0</v>
      </c>
      <c r="J89" s="292">
        <v>225336.0</v>
      </c>
      <c r="K89" s="292" t="s">
        <v>1108</v>
      </c>
    </row>
    <row r="90">
      <c r="A90" s="294" t="s">
        <v>151</v>
      </c>
      <c r="B90" s="294" t="s">
        <v>1028</v>
      </c>
      <c r="C90" s="294" t="s">
        <v>19</v>
      </c>
      <c r="D90" s="294">
        <v>0.306</v>
      </c>
      <c r="E90" s="295">
        <v>0.3</v>
      </c>
      <c r="F90" s="294" t="s">
        <v>1092</v>
      </c>
      <c r="G90" s="294" t="s">
        <v>1093</v>
      </c>
      <c r="H90" s="294">
        <v>9.0</v>
      </c>
      <c r="I90" s="294">
        <v>30.0</v>
      </c>
      <c r="J90" s="294">
        <v>225336.0</v>
      </c>
      <c r="K90" s="294" t="s">
        <v>1109</v>
      </c>
    </row>
    <row r="91">
      <c r="A91" s="292" t="s">
        <v>1110</v>
      </c>
      <c r="B91" s="292" t="s">
        <v>1031</v>
      </c>
      <c r="C91" s="297"/>
      <c r="D91" s="297"/>
      <c r="E91" s="293">
        <v>0.231</v>
      </c>
      <c r="F91" s="292" t="s">
        <v>1092</v>
      </c>
      <c r="G91" s="292" t="s">
        <v>1093</v>
      </c>
      <c r="H91" s="292">
        <v>6.0</v>
      </c>
      <c r="I91" s="292">
        <v>26.0</v>
      </c>
      <c r="J91" s="292">
        <v>245975.0</v>
      </c>
      <c r="K91" s="292" t="s">
        <v>1111</v>
      </c>
    </row>
    <row r="92">
      <c r="A92" s="294" t="s">
        <v>1112</v>
      </c>
      <c r="B92" s="294" t="s">
        <v>1028</v>
      </c>
      <c r="C92" s="294" t="s">
        <v>43</v>
      </c>
      <c r="D92" s="294">
        <v>0.148</v>
      </c>
      <c r="E92" s="295">
        <v>0.224</v>
      </c>
      <c r="F92" s="294" t="s">
        <v>1092</v>
      </c>
      <c r="G92" s="294" t="s">
        <v>1093</v>
      </c>
      <c r="H92" s="294">
        <v>19.0</v>
      </c>
      <c r="I92" s="294">
        <v>85.0</v>
      </c>
      <c r="J92" s="294">
        <v>151377.0</v>
      </c>
      <c r="K92" s="294" t="s">
        <v>1113</v>
      </c>
    </row>
    <row r="93">
      <c r="A93" s="292" t="s">
        <v>1106</v>
      </c>
      <c r="B93" s="292" t="s">
        <v>1031</v>
      </c>
      <c r="C93" s="292" t="s">
        <v>43</v>
      </c>
      <c r="D93" s="292">
        <v>12.7</v>
      </c>
      <c r="E93" s="293">
        <v>0.217</v>
      </c>
      <c r="F93" s="292" t="s">
        <v>1092</v>
      </c>
      <c r="G93" s="292" t="s">
        <v>1093</v>
      </c>
      <c r="H93" s="292">
        <v>10.0</v>
      </c>
      <c r="I93" s="292">
        <v>46.0</v>
      </c>
      <c r="J93" s="292">
        <v>241091.0</v>
      </c>
      <c r="K93" s="292" t="s">
        <v>1107</v>
      </c>
    </row>
    <row r="94">
      <c r="A94" s="294" t="s">
        <v>1114</v>
      </c>
      <c r="B94" s="294" t="s">
        <v>1028</v>
      </c>
      <c r="C94" s="294" t="s">
        <v>19</v>
      </c>
      <c r="D94" s="294">
        <v>0.122</v>
      </c>
      <c r="E94" s="295">
        <v>0.195</v>
      </c>
      <c r="F94" s="294" t="s">
        <v>1092</v>
      </c>
      <c r="G94" s="294" t="s">
        <v>1093</v>
      </c>
      <c r="H94" s="294">
        <v>8.0</v>
      </c>
      <c r="I94" s="294">
        <v>41.0</v>
      </c>
      <c r="J94" s="294">
        <v>241124.0</v>
      </c>
      <c r="K94" s="294" t="s">
        <v>1115</v>
      </c>
    </row>
    <row r="95">
      <c r="A95" s="292" t="s">
        <v>1116</v>
      </c>
      <c r="B95" s="292" t="s">
        <v>1025</v>
      </c>
      <c r="C95" s="292" t="s">
        <v>19</v>
      </c>
      <c r="D95" s="292">
        <v>0.019</v>
      </c>
      <c r="E95" s="293">
        <v>0.189</v>
      </c>
      <c r="F95" s="292" t="s">
        <v>1092</v>
      </c>
      <c r="G95" s="292" t="s">
        <v>1093</v>
      </c>
      <c r="H95" s="292">
        <v>7.0</v>
      </c>
      <c r="I95" s="292">
        <v>37.0</v>
      </c>
      <c r="J95" s="292">
        <v>143018.0</v>
      </c>
      <c r="K95" s="292" t="s">
        <v>1117</v>
      </c>
    </row>
    <row r="96">
      <c r="A96" s="294" t="s">
        <v>1118</v>
      </c>
      <c r="B96" s="294" t="s">
        <v>1025</v>
      </c>
      <c r="C96" s="294" t="s">
        <v>43</v>
      </c>
      <c r="D96" s="294">
        <v>0.121</v>
      </c>
      <c r="E96" s="295">
        <v>0.174</v>
      </c>
      <c r="F96" s="294" t="s">
        <v>1092</v>
      </c>
      <c r="G96" s="294" t="s">
        <v>1093</v>
      </c>
      <c r="H96" s="294">
        <v>4.0</v>
      </c>
      <c r="I96" s="294">
        <v>23.0</v>
      </c>
      <c r="J96" s="294">
        <v>148906.0</v>
      </c>
      <c r="K96" s="294" t="s">
        <v>1119</v>
      </c>
    </row>
    <row r="97">
      <c r="A97" s="292" t="s">
        <v>1120</v>
      </c>
      <c r="B97" s="292" t="s">
        <v>1028</v>
      </c>
      <c r="C97" s="292" t="s">
        <v>43</v>
      </c>
      <c r="D97" s="292">
        <v>0.085</v>
      </c>
      <c r="E97" s="293">
        <v>0.156</v>
      </c>
      <c r="F97" s="292" t="s">
        <v>1092</v>
      </c>
      <c r="G97" s="292" t="s">
        <v>1093</v>
      </c>
      <c r="H97" s="292">
        <v>7.0</v>
      </c>
      <c r="I97" s="292">
        <v>45.0</v>
      </c>
      <c r="J97" s="292">
        <v>236743.0</v>
      </c>
      <c r="K97" s="292" t="s">
        <v>1121</v>
      </c>
    </row>
    <row r="98">
      <c r="A98" s="294" t="s">
        <v>1122</v>
      </c>
      <c r="B98" s="294" t="s">
        <v>1028</v>
      </c>
      <c r="C98" s="294" t="s">
        <v>43</v>
      </c>
      <c r="D98" s="294">
        <v>0.11</v>
      </c>
      <c r="E98" s="295">
        <v>0.154</v>
      </c>
      <c r="F98" s="294" t="s">
        <v>1092</v>
      </c>
      <c r="G98" s="294" t="s">
        <v>1093</v>
      </c>
      <c r="H98" s="294">
        <v>42.0</v>
      </c>
      <c r="I98" s="294">
        <v>273.0</v>
      </c>
      <c r="J98" s="294">
        <v>228743.0</v>
      </c>
      <c r="K98" s="294" t="s">
        <v>1123</v>
      </c>
    </row>
    <row r="99">
      <c r="A99" s="292" t="s">
        <v>1124</v>
      </c>
      <c r="B99" s="292" t="s">
        <v>1031</v>
      </c>
      <c r="C99" s="292" t="s">
        <v>19</v>
      </c>
      <c r="D99" s="292">
        <v>16.0</v>
      </c>
      <c r="E99" s="293">
        <v>0.146</v>
      </c>
      <c r="F99" s="292" t="s">
        <v>1092</v>
      </c>
      <c r="G99" s="292" t="s">
        <v>1093</v>
      </c>
      <c r="H99" s="292">
        <v>7.0</v>
      </c>
      <c r="I99" s="292">
        <v>48.0</v>
      </c>
      <c r="J99" s="292">
        <v>241854.0</v>
      </c>
      <c r="K99" s="292" t="s">
        <v>1125</v>
      </c>
    </row>
    <row r="100">
      <c r="A100" s="294" t="s">
        <v>1126</v>
      </c>
      <c r="B100" s="294" t="s">
        <v>1028</v>
      </c>
      <c r="C100" s="294" t="s">
        <v>19</v>
      </c>
      <c r="D100" s="294">
        <v>0.13</v>
      </c>
      <c r="E100" s="295">
        <v>0.145</v>
      </c>
      <c r="F100" s="294" t="s">
        <v>1092</v>
      </c>
      <c r="G100" s="294" t="s">
        <v>1093</v>
      </c>
      <c r="H100" s="294">
        <v>8.0</v>
      </c>
      <c r="I100" s="294">
        <v>55.0</v>
      </c>
      <c r="J100" s="294">
        <v>238648.0</v>
      </c>
      <c r="K100" s="294" t="s">
        <v>1127</v>
      </c>
    </row>
    <row r="101">
      <c r="A101" s="292" t="s">
        <v>1128</v>
      </c>
      <c r="B101" s="292" t="s">
        <v>1028</v>
      </c>
      <c r="C101" s="292" t="s">
        <v>43</v>
      </c>
      <c r="D101" s="292">
        <v>0.082</v>
      </c>
      <c r="E101" s="293">
        <v>0.144</v>
      </c>
      <c r="F101" s="292" t="s">
        <v>1092</v>
      </c>
      <c r="G101" s="292" t="s">
        <v>1093</v>
      </c>
      <c r="H101" s="292">
        <v>16.0</v>
      </c>
      <c r="I101" s="292">
        <v>111.0</v>
      </c>
      <c r="J101" s="292">
        <v>241959.0</v>
      </c>
      <c r="K101" s="292" t="s">
        <v>1129</v>
      </c>
    </row>
    <row r="102">
      <c r="A102" s="294" t="s">
        <v>1130</v>
      </c>
      <c r="B102" s="294" t="s">
        <v>1031</v>
      </c>
      <c r="C102" s="296"/>
      <c r="D102" s="296"/>
      <c r="E102" s="295">
        <v>0.139</v>
      </c>
      <c r="F102" s="294" t="s">
        <v>1092</v>
      </c>
      <c r="G102" s="294" t="s">
        <v>1093</v>
      </c>
      <c r="H102" s="294">
        <v>5.0</v>
      </c>
      <c r="I102" s="294">
        <v>36.0</v>
      </c>
      <c r="J102" s="294">
        <v>145512.0</v>
      </c>
      <c r="K102" s="294" t="s">
        <v>1131</v>
      </c>
    </row>
    <row r="103">
      <c r="A103" s="292" t="s">
        <v>1132</v>
      </c>
      <c r="B103" s="292" t="s">
        <v>1028</v>
      </c>
      <c r="C103" s="292" t="s">
        <v>43</v>
      </c>
      <c r="D103" s="292">
        <v>0.041</v>
      </c>
      <c r="E103" s="293">
        <v>0.136</v>
      </c>
      <c r="F103" s="292" t="s">
        <v>1092</v>
      </c>
      <c r="G103" s="292" t="s">
        <v>1093</v>
      </c>
      <c r="H103" s="292">
        <v>9.0</v>
      </c>
      <c r="I103" s="292">
        <v>66.0</v>
      </c>
      <c r="J103" s="292">
        <v>222900.0</v>
      </c>
      <c r="K103" s="292" t="s">
        <v>1133</v>
      </c>
    </row>
    <row r="104">
      <c r="A104" s="294" t="s">
        <v>1134</v>
      </c>
      <c r="B104" s="294" t="s">
        <v>1025</v>
      </c>
      <c r="C104" s="294" t="s">
        <v>19</v>
      </c>
      <c r="D104" s="294">
        <v>0.099</v>
      </c>
      <c r="E104" s="295">
        <v>0.134</v>
      </c>
      <c r="F104" s="294" t="s">
        <v>1092</v>
      </c>
      <c r="G104" s="294" t="s">
        <v>1093</v>
      </c>
      <c r="H104" s="294">
        <v>11.0</v>
      </c>
      <c r="I104" s="294">
        <v>82.0</v>
      </c>
      <c r="J104" s="294">
        <v>217207.0</v>
      </c>
      <c r="K104" s="294" t="s">
        <v>1135</v>
      </c>
    </row>
    <row r="105">
      <c r="A105" s="292" t="s">
        <v>1136</v>
      </c>
      <c r="B105" s="292" t="s">
        <v>1031</v>
      </c>
      <c r="C105" s="292" t="s">
        <v>43</v>
      </c>
      <c r="D105" s="292">
        <v>7.1</v>
      </c>
      <c r="E105" s="293">
        <v>0.122</v>
      </c>
      <c r="F105" s="292" t="s">
        <v>1092</v>
      </c>
      <c r="G105" s="292" t="s">
        <v>1093</v>
      </c>
      <c r="H105" s="292">
        <v>9.0</v>
      </c>
      <c r="I105" s="292">
        <v>74.0</v>
      </c>
      <c r="J105" s="292">
        <v>224849.0</v>
      </c>
      <c r="K105" s="292" t="s">
        <v>1137</v>
      </c>
    </row>
    <row r="106">
      <c r="A106" s="294" t="s">
        <v>1138</v>
      </c>
      <c r="B106" s="294" t="s">
        <v>1031</v>
      </c>
      <c r="C106" s="296"/>
      <c r="D106" s="296"/>
      <c r="E106" s="295">
        <v>0.122</v>
      </c>
      <c r="F106" s="294" t="s">
        <v>1092</v>
      </c>
      <c r="G106" s="294" t="s">
        <v>1093</v>
      </c>
      <c r="H106" s="294">
        <v>5.0</v>
      </c>
      <c r="I106" s="294">
        <v>41.0</v>
      </c>
      <c r="J106" s="294">
        <v>238833.0</v>
      </c>
      <c r="K106" s="294" t="s">
        <v>1139</v>
      </c>
    </row>
    <row r="107">
      <c r="A107" s="292" t="s">
        <v>1140</v>
      </c>
      <c r="B107" s="292" t="s">
        <v>1025</v>
      </c>
      <c r="C107" s="297"/>
      <c r="D107" s="297"/>
      <c r="E107" s="293">
        <v>0.118</v>
      </c>
      <c r="F107" s="292" t="s">
        <v>1092</v>
      </c>
      <c r="G107" s="292" t="s">
        <v>1093</v>
      </c>
      <c r="H107" s="292">
        <v>5.0</v>
      </c>
      <c r="I107" s="292">
        <v>34.0</v>
      </c>
      <c r="J107" s="292">
        <v>238583.0</v>
      </c>
      <c r="K107" s="292" t="s">
        <v>1141</v>
      </c>
    </row>
    <row r="108">
      <c r="A108" s="294" t="s">
        <v>1142</v>
      </c>
      <c r="B108" s="294" t="s">
        <v>1025</v>
      </c>
      <c r="C108" s="294" t="s">
        <v>43</v>
      </c>
      <c r="D108" s="294">
        <v>0.06</v>
      </c>
      <c r="E108" s="295">
        <v>0.114</v>
      </c>
      <c r="F108" s="294" t="s">
        <v>1092</v>
      </c>
      <c r="G108" s="294" t="s">
        <v>1093</v>
      </c>
      <c r="H108" s="294">
        <v>5.0</v>
      </c>
      <c r="I108" s="294">
        <v>44.0</v>
      </c>
      <c r="J108" s="294">
        <v>241120.0</v>
      </c>
      <c r="K108" s="294" t="s">
        <v>1143</v>
      </c>
    </row>
    <row r="109">
      <c r="A109" s="292" t="s">
        <v>1144</v>
      </c>
      <c r="B109" s="292" t="s">
        <v>1028</v>
      </c>
      <c r="C109" s="292" t="s">
        <v>43</v>
      </c>
      <c r="D109" s="292">
        <v>0.038</v>
      </c>
      <c r="E109" s="293">
        <v>0.103</v>
      </c>
      <c r="F109" s="292" t="s">
        <v>1092</v>
      </c>
      <c r="G109" s="292" t="s">
        <v>1093</v>
      </c>
      <c r="H109" s="292">
        <v>8.0</v>
      </c>
      <c r="I109" s="292">
        <v>78.0</v>
      </c>
      <c r="J109" s="292">
        <v>234794.0</v>
      </c>
      <c r="K109" s="292" t="s">
        <v>1145</v>
      </c>
    </row>
    <row r="110">
      <c r="A110" s="294" t="s">
        <v>1146</v>
      </c>
      <c r="B110" s="294" t="s">
        <v>1025</v>
      </c>
      <c r="C110" s="294" t="s">
        <v>19</v>
      </c>
      <c r="D110" s="294">
        <v>0.086</v>
      </c>
      <c r="E110" s="295">
        <v>0.099</v>
      </c>
      <c r="F110" s="294" t="s">
        <v>1092</v>
      </c>
      <c r="G110" s="294" t="s">
        <v>1093</v>
      </c>
      <c r="H110" s="294">
        <v>10.0</v>
      </c>
      <c r="I110" s="294">
        <v>101.0</v>
      </c>
      <c r="J110" s="294">
        <v>241463.0</v>
      </c>
      <c r="K110" s="294" t="s">
        <v>1147</v>
      </c>
    </row>
    <row r="111">
      <c r="A111" s="292" t="s">
        <v>1142</v>
      </c>
      <c r="B111" s="292" t="s">
        <v>1031</v>
      </c>
      <c r="C111" s="297"/>
      <c r="D111" s="297"/>
      <c r="E111" s="293">
        <v>0.093</v>
      </c>
      <c r="F111" s="292" t="s">
        <v>1092</v>
      </c>
      <c r="G111" s="292" t="s">
        <v>1093</v>
      </c>
      <c r="H111" s="292">
        <v>5.0</v>
      </c>
      <c r="I111" s="292">
        <v>54.0</v>
      </c>
      <c r="J111" s="292">
        <v>241120.0</v>
      </c>
      <c r="K111" s="292" t="s">
        <v>1143</v>
      </c>
    </row>
    <row r="112">
      <c r="A112" s="294" t="s">
        <v>1148</v>
      </c>
      <c r="B112" s="294" t="s">
        <v>1025</v>
      </c>
      <c r="C112" s="294" t="s">
        <v>43</v>
      </c>
      <c r="D112" s="294">
        <v>0.059</v>
      </c>
      <c r="E112" s="295">
        <v>0.089</v>
      </c>
      <c r="F112" s="294" t="s">
        <v>1092</v>
      </c>
      <c r="G112" s="294" t="s">
        <v>1093</v>
      </c>
      <c r="H112" s="294">
        <v>33.0</v>
      </c>
      <c r="I112" s="294">
        <v>370.0</v>
      </c>
      <c r="J112" s="294">
        <v>228743.0</v>
      </c>
      <c r="K112" s="294" t="s">
        <v>1149</v>
      </c>
    </row>
    <row r="113">
      <c r="A113" s="292" t="s">
        <v>1148</v>
      </c>
      <c r="B113" s="292" t="s">
        <v>1028</v>
      </c>
      <c r="C113" s="292" t="s">
        <v>43</v>
      </c>
      <c r="D113" s="292">
        <v>0.069</v>
      </c>
      <c r="E113" s="293">
        <v>0.086</v>
      </c>
      <c r="F113" s="292" t="s">
        <v>1092</v>
      </c>
      <c r="G113" s="292" t="s">
        <v>1093</v>
      </c>
      <c r="H113" s="292">
        <v>34.0</v>
      </c>
      <c r="I113" s="292">
        <v>396.0</v>
      </c>
      <c r="J113" s="292">
        <v>228743.0</v>
      </c>
      <c r="K113" s="292" t="s">
        <v>1149</v>
      </c>
    </row>
    <row r="114">
      <c r="A114" s="294" t="s">
        <v>1148</v>
      </c>
      <c r="B114" s="294" t="s">
        <v>1031</v>
      </c>
      <c r="C114" s="294" t="s">
        <v>43</v>
      </c>
      <c r="D114" s="294">
        <v>3.4</v>
      </c>
      <c r="E114" s="295">
        <v>0.085</v>
      </c>
      <c r="F114" s="294" t="s">
        <v>1092</v>
      </c>
      <c r="G114" s="294" t="s">
        <v>1093</v>
      </c>
      <c r="H114" s="294">
        <v>7.0</v>
      </c>
      <c r="I114" s="294">
        <v>82.0</v>
      </c>
      <c r="J114" s="294">
        <v>228743.0</v>
      </c>
      <c r="K114" s="294" t="s">
        <v>1149</v>
      </c>
    </row>
    <row r="115">
      <c r="A115" s="292" t="s">
        <v>1150</v>
      </c>
      <c r="B115" s="292" t="s">
        <v>1031</v>
      </c>
      <c r="C115" s="297"/>
      <c r="D115" s="297"/>
      <c r="E115" s="293">
        <v>0.083</v>
      </c>
      <c r="F115" s="292" t="s">
        <v>1092</v>
      </c>
      <c r="G115" s="292" t="s">
        <v>1093</v>
      </c>
      <c r="H115" s="292">
        <v>5.0</v>
      </c>
      <c r="I115" s="292">
        <v>60.0</v>
      </c>
      <c r="J115" s="292">
        <v>222900.0</v>
      </c>
      <c r="K115" s="292" t="s">
        <v>1151</v>
      </c>
    </row>
    <row r="116">
      <c r="A116" s="294" t="s">
        <v>1152</v>
      </c>
      <c r="B116" s="294" t="s">
        <v>1028</v>
      </c>
      <c r="C116" s="294" t="s">
        <v>43</v>
      </c>
      <c r="D116" s="294">
        <v>0.027</v>
      </c>
      <c r="E116" s="295">
        <v>0.08</v>
      </c>
      <c r="F116" s="294" t="s">
        <v>1092</v>
      </c>
      <c r="G116" s="294" t="s">
        <v>1093</v>
      </c>
      <c r="H116" s="294">
        <v>7.0</v>
      </c>
      <c r="I116" s="294">
        <v>88.0</v>
      </c>
      <c r="J116" s="294">
        <v>213182.0</v>
      </c>
      <c r="K116" s="294" t="s">
        <v>1153</v>
      </c>
    </row>
    <row r="117">
      <c r="A117" s="292" t="s">
        <v>1154</v>
      </c>
      <c r="B117" s="292" t="s">
        <v>1028</v>
      </c>
      <c r="C117" s="292" t="s">
        <v>43</v>
      </c>
      <c r="D117" s="292">
        <v>0.048</v>
      </c>
      <c r="E117" s="293">
        <v>0.079</v>
      </c>
      <c r="F117" s="292" t="s">
        <v>1092</v>
      </c>
      <c r="G117" s="292" t="s">
        <v>1093</v>
      </c>
      <c r="H117" s="292">
        <v>10.0</v>
      </c>
      <c r="I117" s="292">
        <v>127.0</v>
      </c>
      <c r="J117" s="292">
        <v>228743.0</v>
      </c>
      <c r="K117" s="292" t="s">
        <v>1155</v>
      </c>
    </row>
    <row r="118">
      <c r="A118" s="294" t="s">
        <v>1156</v>
      </c>
      <c r="B118" s="294" t="s">
        <v>1028</v>
      </c>
      <c r="C118" s="294" t="s">
        <v>43</v>
      </c>
      <c r="D118" s="294">
        <v>0.076</v>
      </c>
      <c r="E118" s="295">
        <v>0.078</v>
      </c>
      <c r="F118" s="294" t="s">
        <v>1092</v>
      </c>
      <c r="G118" s="294" t="s">
        <v>1093</v>
      </c>
      <c r="H118" s="294">
        <v>7.0</v>
      </c>
      <c r="I118" s="294">
        <v>90.0</v>
      </c>
      <c r="J118" s="294">
        <v>137709.0</v>
      </c>
      <c r="K118" s="294" t="s">
        <v>1157</v>
      </c>
    </row>
    <row r="119">
      <c r="A119" s="292" t="s">
        <v>1158</v>
      </c>
      <c r="B119" s="292" t="s">
        <v>1025</v>
      </c>
      <c r="C119" s="292" t="s">
        <v>43</v>
      </c>
      <c r="D119" s="292">
        <v>0.019</v>
      </c>
      <c r="E119" s="293">
        <v>0.078</v>
      </c>
      <c r="F119" s="292" t="s">
        <v>1092</v>
      </c>
      <c r="G119" s="292" t="s">
        <v>1093</v>
      </c>
      <c r="H119" s="292">
        <v>4.0</v>
      </c>
      <c r="I119" s="292">
        <v>51.0</v>
      </c>
      <c r="J119" s="292">
        <v>224353.0</v>
      </c>
      <c r="K119" s="292" t="s">
        <v>1159</v>
      </c>
    </row>
    <row r="120">
      <c r="A120" s="294" t="s">
        <v>1160</v>
      </c>
      <c r="B120" s="294" t="s">
        <v>1028</v>
      </c>
      <c r="C120" s="294" t="s">
        <v>43</v>
      </c>
      <c r="D120" s="294">
        <v>0.053</v>
      </c>
      <c r="E120" s="295">
        <v>0.075</v>
      </c>
      <c r="F120" s="294" t="s">
        <v>1092</v>
      </c>
      <c r="G120" s="294" t="s">
        <v>1093</v>
      </c>
      <c r="H120" s="294">
        <v>32.0</v>
      </c>
      <c r="I120" s="294">
        <v>425.0</v>
      </c>
      <c r="J120" s="294">
        <v>219823.0</v>
      </c>
      <c r="K120" s="294" t="s">
        <v>1161</v>
      </c>
    </row>
    <row r="121">
      <c r="A121" s="292" t="s">
        <v>1162</v>
      </c>
      <c r="B121" s="292" t="s">
        <v>1028</v>
      </c>
      <c r="C121" s="292" t="s">
        <v>43</v>
      </c>
      <c r="D121" s="292">
        <v>0.043</v>
      </c>
      <c r="E121" s="293">
        <v>0.075</v>
      </c>
      <c r="F121" s="292" t="s">
        <v>1092</v>
      </c>
      <c r="G121" s="292" t="s">
        <v>1093</v>
      </c>
      <c r="H121" s="292">
        <v>7.0</v>
      </c>
      <c r="I121" s="292">
        <v>93.0</v>
      </c>
      <c r="J121" s="292">
        <v>236135.0</v>
      </c>
      <c r="K121" s="292" t="s">
        <v>1163</v>
      </c>
    </row>
    <row r="122">
      <c r="A122" s="294" t="s">
        <v>1164</v>
      </c>
      <c r="B122" s="294" t="s">
        <v>1028</v>
      </c>
      <c r="C122" s="294" t="s">
        <v>43</v>
      </c>
      <c r="D122" s="294">
        <v>0.066</v>
      </c>
      <c r="E122" s="295">
        <v>0.074</v>
      </c>
      <c r="F122" s="294" t="s">
        <v>1092</v>
      </c>
      <c r="G122" s="294" t="s">
        <v>1093</v>
      </c>
      <c r="H122" s="294">
        <v>10.0</v>
      </c>
      <c r="I122" s="294">
        <v>135.0</v>
      </c>
      <c r="J122" s="294">
        <v>241936.0</v>
      </c>
      <c r="K122" s="294" t="s">
        <v>1165</v>
      </c>
    </row>
    <row r="123">
      <c r="A123" s="292" t="s">
        <v>1136</v>
      </c>
      <c r="B123" s="292" t="s">
        <v>1025</v>
      </c>
      <c r="C123" s="292" t="s">
        <v>43</v>
      </c>
      <c r="D123" s="292">
        <v>0.039</v>
      </c>
      <c r="E123" s="293">
        <v>0.07</v>
      </c>
      <c r="F123" s="292" t="s">
        <v>1092</v>
      </c>
      <c r="G123" s="292" t="s">
        <v>1093</v>
      </c>
      <c r="H123" s="292">
        <v>4.0</v>
      </c>
      <c r="I123" s="292">
        <v>57.0</v>
      </c>
      <c r="J123" s="292">
        <v>224849.0</v>
      </c>
      <c r="K123" s="292" t="s">
        <v>1137</v>
      </c>
    </row>
    <row r="124">
      <c r="A124" s="294" t="s">
        <v>1166</v>
      </c>
      <c r="B124" s="294" t="s">
        <v>1028</v>
      </c>
      <c r="C124" s="294" t="s">
        <v>19</v>
      </c>
      <c r="D124" s="294">
        <v>0.041</v>
      </c>
      <c r="E124" s="295">
        <v>0.067</v>
      </c>
      <c r="F124" s="294" t="s">
        <v>1092</v>
      </c>
      <c r="G124" s="294" t="s">
        <v>1093</v>
      </c>
      <c r="H124" s="294">
        <v>12.0</v>
      </c>
      <c r="I124" s="294">
        <v>179.0</v>
      </c>
      <c r="J124" s="294">
        <v>242272.0</v>
      </c>
      <c r="K124" s="294" t="s">
        <v>1167</v>
      </c>
    </row>
    <row r="125">
      <c r="A125" s="292" t="s">
        <v>338</v>
      </c>
      <c r="B125" s="292" t="s">
        <v>1028</v>
      </c>
      <c r="C125" s="292" t="s">
        <v>43</v>
      </c>
      <c r="D125" s="292">
        <v>0.048</v>
      </c>
      <c r="E125" s="293">
        <v>0.066</v>
      </c>
      <c r="F125" s="292" t="s">
        <v>1092</v>
      </c>
      <c r="G125" s="292" t="s">
        <v>1093</v>
      </c>
      <c r="H125" s="292">
        <v>10.0</v>
      </c>
      <c r="I125" s="292">
        <v>151.0</v>
      </c>
      <c r="J125" s="292">
        <v>236141.0</v>
      </c>
      <c r="K125" s="292" t="s">
        <v>1168</v>
      </c>
    </row>
    <row r="126">
      <c r="A126" s="294" t="s">
        <v>1169</v>
      </c>
      <c r="B126" s="294" t="s">
        <v>1028</v>
      </c>
      <c r="C126" s="294" t="s">
        <v>43</v>
      </c>
      <c r="D126" s="294">
        <v>0.026</v>
      </c>
      <c r="E126" s="295">
        <v>0.06</v>
      </c>
      <c r="F126" s="294" t="s">
        <v>1092</v>
      </c>
      <c r="G126" s="294" t="s">
        <v>1093</v>
      </c>
      <c r="H126" s="294">
        <v>16.0</v>
      </c>
      <c r="I126" s="294">
        <v>266.0</v>
      </c>
      <c r="J126" s="294">
        <v>219823.0</v>
      </c>
      <c r="K126" s="294" t="s">
        <v>1170</v>
      </c>
    </row>
    <row r="127">
      <c r="A127" s="292" t="s">
        <v>1171</v>
      </c>
      <c r="B127" s="292" t="s">
        <v>1031</v>
      </c>
      <c r="C127" s="297"/>
      <c r="D127" s="297"/>
      <c r="E127" s="293">
        <v>0.06</v>
      </c>
      <c r="F127" s="292" t="s">
        <v>1092</v>
      </c>
      <c r="G127" s="292" t="s">
        <v>1093</v>
      </c>
      <c r="H127" s="292">
        <v>6.0</v>
      </c>
      <c r="I127" s="292">
        <v>100.0</v>
      </c>
      <c r="J127" s="292">
        <v>234804.0</v>
      </c>
      <c r="K127" s="292" t="s">
        <v>1172</v>
      </c>
    </row>
    <row r="128">
      <c r="A128" s="294" t="s">
        <v>338</v>
      </c>
      <c r="B128" s="294" t="s">
        <v>1025</v>
      </c>
      <c r="C128" s="296"/>
      <c r="D128" s="296"/>
      <c r="E128" s="295">
        <v>0.057</v>
      </c>
      <c r="F128" s="294" t="s">
        <v>1092</v>
      </c>
      <c r="G128" s="294" t="s">
        <v>1093</v>
      </c>
      <c r="H128" s="294">
        <v>4.0</v>
      </c>
      <c r="I128" s="294">
        <v>70.0</v>
      </c>
      <c r="J128" s="294">
        <v>236141.0</v>
      </c>
      <c r="K128" s="294" t="s">
        <v>1168</v>
      </c>
    </row>
    <row r="129">
      <c r="A129" s="292" t="s">
        <v>1173</v>
      </c>
      <c r="B129" s="292" t="s">
        <v>1028</v>
      </c>
      <c r="C129" s="292" t="s">
        <v>19</v>
      </c>
      <c r="D129" s="292">
        <v>0.007</v>
      </c>
      <c r="E129" s="293">
        <v>0.052</v>
      </c>
      <c r="F129" s="292" t="s">
        <v>1092</v>
      </c>
      <c r="G129" s="292" t="s">
        <v>1093</v>
      </c>
      <c r="H129" s="292">
        <v>7.0</v>
      </c>
      <c r="I129" s="292">
        <v>134.0</v>
      </c>
      <c r="J129" s="292">
        <v>238655.0</v>
      </c>
      <c r="K129" s="292" t="s">
        <v>1127</v>
      </c>
    </row>
    <row r="130">
      <c r="A130" s="294" t="s">
        <v>1174</v>
      </c>
      <c r="B130" s="294" t="s">
        <v>1028</v>
      </c>
      <c r="C130" s="294" t="s">
        <v>19</v>
      </c>
      <c r="D130" s="294">
        <v>0.011</v>
      </c>
      <c r="E130" s="295">
        <v>0.051</v>
      </c>
      <c r="F130" s="294" t="s">
        <v>1092</v>
      </c>
      <c r="G130" s="294" t="s">
        <v>1093</v>
      </c>
      <c r="H130" s="294">
        <v>8.0</v>
      </c>
      <c r="I130" s="294">
        <v>158.0</v>
      </c>
      <c r="J130" s="294">
        <v>220237.0</v>
      </c>
      <c r="K130" s="294" t="s">
        <v>1175</v>
      </c>
    </row>
  </sheetData>
  <mergeCells count="21">
    <mergeCell ref="C11:D11"/>
    <mergeCell ref="E11:F11"/>
    <mergeCell ref="I11:J11"/>
    <mergeCell ref="A1:H1"/>
    <mergeCell ref="A3:H3"/>
    <mergeCell ref="B4:H4"/>
    <mergeCell ref="B5:H5"/>
    <mergeCell ref="B6:H6"/>
    <mergeCell ref="B7:H7"/>
    <mergeCell ref="G11:H11"/>
    <mergeCell ref="A21:K21"/>
    <mergeCell ref="A37:K37"/>
    <mergeCell ref="A62:K62"/>
    <mergeCell ref="A75:K75"/>
    <mergeCell ref="A11:B11"/>
    <mergeCell ref="A12:B12"/>
    <mergeCell ref="C12:D12"/>
    <mergeCell ref="E12:F12"/>
    <mergeCell ref="G12:H12"/>
    <mergeCell ref="I12:J12"/>
    <mergeCell ref="A14:F14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22.75"/>
  </cols>
  <sheetData>
    <row r="1">
      <c r="A1" s="298" t="s">
        <v>1</v>
      </c>
      <c r="B1" s="299" t="s">
        <v>2</v>
      </c>
      <c r="C1" s="300" t="s">
        <v>656</v>
      </c>
      <c r="D1" s="301" t="s">
        <v>658</v>
      </c>
      <c r="E1" s="300" t="s">
        <v>659</v>
      </c>
      <c r="F1" s="300" t="s">
        <v>660</v>
      </c>
      <c r="G1" s="300" t="s">
        <v>4</v>
      </c>
      <c r="H1" s="300" t="s">
        <v>5</v>
      </c>
      <c r="I1" s="302" t="s">
        <v>7</v>
      </c>
      <c r="J1" s="303" t="s">
        <v>8</v>
      </c>
      <c r="K1" s="303" t="s">
        <v>9</v>
      </c>
      <c r="L1" s="303" t="s">
        <v>10</v>
      </c>
      <c r="M1" s="303" t="s">
        <v>11</v>
      </c>
      <c r="N1" s="8" t="s">
        <v>12</v>
      </c>
      <c r="O1" s="7" t="s">
        <v>13</v>
      </c>
      <c r="P1" s="8" t="s">
        <v>14</v>
      </c>
      <c r="Q1" s="8" t="s">
        <v>15</v>
      </c>
      <c r="R1" s="300" t="s">
        <v>17</v>
      </c>
      <c r="S1" s="304" t="s">
        <v>1176</v>
      </c>
      <c r="T1" s="305"/>
      <c r="U1" s="305"/>
    </row>
    <row r="2">
      <c r="A2" s="306">
        <v>134949.0</v>
      </c>
      <c r="B2" s="307" t="s">
        <v>1034</v>
      </c>
      <c r="C2" s="307" t="s">
        <v>1033</v>
      </c>
      <c r="D2" s="308">
        <v>34.0</v>
      </c>
      <c r="E2" s="308">
        <v>15.0</v>
      </c>
      <c r="F2" s="309">
        <v>0.441</v>
      </c>
      <c r="G2" s="310" t="s">
        <v>43</v>
      </c>
      <c r="H2" s="310">
        <v>9.6</v>
      </c>
      <c r="I2" s="311"/>
      <c r="J2" s="311"/>
      <c r="K2" s="311"/>
      <c r="L2" s="311"/>
      <c r="M2" s="311"/>
      <c r="N2" s="311"/>
      <c r="O2" s="311"/>
      <c r="P2" s="311"/>
      <c r="Q2" s="311"/>
      <c r="R2" s="312" t="s">
        <v>1177</v>
      </c>
      <c r="S2" s="313" t="s">
        <v>662</v>
      </c>
    </row>
    <row r="3">
      <c r="A3" s="314">
        <v>134951.0</v>
      </c>
      <c r="B3" s="315" t="s">
        <v>1178</v>
      </c>
      <c r="C3" s="315" t="s">
        <v>1179</v>
      </c>
      <c r="D3" s="316">
        <v>65.0</v>
      </c>
      <c r="E3" s="316">
        <v>10.0</v>
      </c>
      <c r="F3" s="317">
        <v>0.154</v>
      </c>
      <c r="G3" s="318" t="s">
        <v>43</v>
      </c>
      <c r="H3" s="318">
        <v>3.7</v>
      </c>
      <c r="I3" s="319"/>
      <c r="J3" s="319"/>
      <c r="K3" s="319"/>
      <c r="L3" s="319"/>
      <c r="M3" s="319"/>
      <c r="N3" s="319"/>
      <c r="O3" s="319"/>
      <c r="P3" s="319"/>
      <c r="Q3" s="319"/>
      <c r="R3" s="320" t="s">
        <v>1177</v>
      </c>
      <c r="S3" s="321" t="s">
        <v>662</v>
      </c>
    </row>
    <row r="4">
      <c r="A4" s="306">
        <v>219834.0</v>
      </c>
      <c r="B4" s="307" t="s">
        <v>1180</v>
      </c>
      <c r="C4" s="307" t="s">
        <v>1181</v>
      </c>
      <c r="D4" s="308">
        <v>45.0</v>
      </c>
      <c r="E4" s="308">
        <v>9.0</v>
      </c>
      <c r="F4" s="309">
        <v>0.2</v>
      </c>
      <c r="G4" s="310" t="s">
        <v>43</v>
      </c>
      <c r="H4" s="310">
        <v>6.0</v>
      </c>
      <c r="I4" s="322">
        <v>53.76</v>
      </c>
      <c r="J4" s="322">
        <v>39.85</v>
      </c>
      <c r="K4" s="322">
        <v>159.2</v>
      </c>
      <c r="L4" s="322">
        <v>159.21</v>
      </c>
      <c r="M4" s="311"/>
      <c r="N4" s="322">
        <v>53.7</v>
      </c>
      <c r="O4" s="322">
        <v>39.8</v>
      </c>
      <c r="P4" s="322">
        <v>159.2</v>
      </c>
      <c r="Q4" s="322">
        <v>159.21</v>
      </c>
      <c r="R4" s="312" t="s">
        <v>1177</v>
      </c>
      <c r="S4" s="313" t="s">
        <v>662</v>
      </c>
    </row>
    <row r="5">
      <c r="A5" s="323">
        <v>240555.0</v>
      </c>
      <c r="B5" s="324" t="s">
        <v>1182</v>
      </c>
      <c r="C5" s="324" t="s">
        <v>1183</v>
      </c>
      <c r="D5" s="325">
        <v>33.0</v>
      </c>
      <c r="E5" s="325">
        <v>9.0</v>
      </c>
      <c r="F5" s="326">
        <v>0.273</v>
      </c>
      <c r="G5" s="318" t="s">
        <v>43</v>
      </c>
      <c r="H5" s="318">
        <v>25.9</v>
      </c>
      <c r="I5" s="327">
        <v>49.62</v>
      </c>
      <c r="J5" s="327">
        <v>40.99</v>
      </c>
      <c r="K5" s="327">
        <v>147.67</v>
      </c>
      <c r="L5" s="327">
        <v>147.81</v>
      </c>
      <c r="M5" s="319"/>
      <c r="N5" s="327">
        <v>49.42</v>
      </c>
      <c r="O5" s="327">
        <v>40.95</v>
      </c>
      <c r="P5" s="327">
        <v>147.67</v>
      </c>
      <c r="Q5" s="327">
        <v>147.81</v>
      </c>
      <c r="R5" s="320" t="s">
        <v>1177</v>
      </c>
      <c r="S5" s="328" t="s">
        <v>662</v>
      </c>
    </row>
    <row r="6">
      <c r="A6" s="314">
        <v>207991.0</v>
      </c>
      <c r="B6" s="315" t="s">
        <v>1184</v>
      </c>
      <c r="C6" s="315" t="s">
        <v>1185</v>
      </c>
      <c r="D6" s="316">
        <v>68.0</v>
      </c>
      <c r="E6" s="316">
        <v>7.0</v>
      </c>
      <c r="F6" s="317">
        <v>0.103</v>
      </c>
      <c r="G6" s="310" t="s">
        <v>19</v>
      </c>
      <c r="H6" s="310">
        <v>5.6</v>
      </c>
      <c r="I6" s="322">
        <v>52.44</v>
      </c>
      <c r="J6" s="322">
        <v>38.19</v>
      </c>
      <c r="K6" s="322">
        <v>154.66</v>
      </c>
      <c r="L6" s="322">
        <v>154.44</v>
      </c>
      <c r="M6" s="311"/>
      <c r="N6" s="322">
        <v>52.5</v>
      </c>
      <c r="O6" s="322">
        <v>38.25</v>
      </c>
      <c r="P6" s="322">
        <v>154.66</v>
      </c>
      <c r="Q6" s="322">
        <v>154.44</v>
      </c>
      <c r="R6" s="312" t="s">
        <v>1177</v>
      </c>
      <c r="S6" s="321" t="s">
        <v>662</v>
      </c>
    </row>
    <row r="7">
      <c r="A7" s="314">
        <v>207991.0</v>
      </c>
      <c r="B7" s="315" t="s">
        <v>1186</v>
      </c>
      <c r="C7" s="315" t="s">
        <v>1187</v>
      </c>
      <c r="D7" s="316">
        <v>62.0</v>
      </c>
      <c r="E7" s="316">
        <v>7.0</v>
      </c>
      <c r="F7" s="317">
        <v>0.113</v>
      </c>
      <c r="G7" s="318" t="s">
        <v>43</v>
      </c>
      <c r="H7" s="318">
        <v>8.5</v>
      </c>
      <c r="I7" s="327">
        <v>53.38</v>
      </c>
      <c r="J7" s="327">
        <v>39.23</v>
      </c>
      <c r="K7" s="327">
        <v>158.07</v>
      </c>
      <c r="L7" s="327">
        <v>157.86</v>
      </c>
      <c r="M7" s="319"/>
      <c r="N7" s="327">
        <v>53.44</v>
      </c>
      <c r="O7" s="327">
        <v>39.29</v>
      </c>
      <c r="P7" s="327">
        <v>158.07</v>
      </c>
      <c r="Q7" s="327">
        <v>157.86</v>
      </c>
      <c r="R7" s="320" t="s">
        <v>1177</v>
      </c>
      <c r="S7" s="321" t="s">
        <v>662</v>
      </c>
    </row>
    <row r="8">
      <c r="A8" s="314">
        <v>215983.0</v>
      </c>
      <c r="B8" s="315" t="s">
        <v>1188</v>
      </c>
      <c r="C8" s="315" t="s">
        <v>1189</v>
      </c>
      <c r="D8" s="316">
        <v>76.0</v>
      </c>
      <c r="E8" s="316">
        <v>7.0</v>
      </c>
      <c r="F8" s="317">
        <v>0.092</v>
      </c>
      <c r="G8" s="310" t="s">
        <v>137</v>
      </c>
      <c r="H8" s="310">
        <v>6.82</v>
      </c>
      <c r="I8" s="322">
        <v>51.02</v>
      </c>
      <c r="J8" s="322">
        <v>39.9</v>
      </c>
      <c r="K8" s="322">
        <v>153.29</v>
      </c>
      <c r="L8" s="322">
        <v>153.23</v>
      </c>
      <c r="M8" s="311"/>
      <c r="N8" s="322">
        <v>51.05</v>
      </c>
      <c r="O8" s="322">
        <v>39.98</v>
      </c>
      <c r="P8" s="322">
        <v>153.29</v>
      </c>
      <c r="Q8" s="322">
        <v>153.23</v>
      </c>
      <c r="R8" s="312" t="s">
        <v>1177</v>
      </c>
      <c r="S8" s="321" t="s">
        <v>662</v>
      </c>
    </row>
    <row r="9">
      <c r="A9" s="314">
        <v>241123.0</v>
      </c>
      <c r="B9" s="315" t="s">
        <v>1190</v>
      </c>
      <c r="C9" s="315" t="s">
        <v>1191</v>
      </c>
      <c r="D9" s="316">
        <v>21.0</v>
      </c>
      <c r="E9" s="316">
        <v>7.0</v>
      </c>
      <c r="F9" s="317">
        <v>0.333</v>
      </c>
      <c r="G9" s="318" t="s">
        <v>43</v>
      </c>
      <c r="H9" s="318">
        <v>20.0</v>
      </c>
      <c r="I9" s="327">
        <v>53.44</v>
      </c>
      <c r="J9" s="327">
        <v>50.68</v>
      </c>
      <c r="K9" s="327">
        <v>165.15</v>
      </c>
      <c r="L9" s="327">
        <v>166.64</v>
      </c>
      <c r="M9" s="319"/>
      <c r="N9" s="327">
        <v>54.22</v>
      </c>
      <c r="O9" s="327">
        <v>50.1</v>
      </c>
      <c r="P9" s="327">
        <v>165.15</v>
      </c>
      <c r="Q9" s="327">
        <v>166.64</v>
      </c>
      <c r="R9" s="320" t="s">
        <v>1177</v>
      </c>
      <c r="S9" s="321" t="s">
        <v>662</v>
      </c>
    </row>
    <row r="10">
      <c r="A10" s="329">
        <v>201272.0</v>
      </c>
      <c r="B10" s="315" t="s">
        <v>1192</v>
      </c>
      <c r="C10" s="315" t="s">
        <v>947</v>
      </c>
      <c r="D10" s="316">
        <v>58.0</v>
      </c>
      <c r="E10" s="316">
        <v>6.0</v>
      </c>
      <c r="F10" s="317">
        <v>0.103</v>
      </c>
      <c r="G10" s="310" t="s">
        <v>43</v>
      </c>
      <c r="H10" s="310">
        <v>11.5</v>
      </c>
      <c r="I10" s="322">
        <v>57.69</v>
      </c>
      <c r="J10" s="322">
        <v>46.62</v>
      </c>
      <c r="K10" s="322">
        <v>173.92</v>
      </c>
      <c r="L10" s="322">
        <v>173.73</v>
      </c>
      <c r="M10" s="311"/>
      <c r="N10" s="322">
        <v>57.61</v>
      </c>
      <c r="O10" s="322">
        <v>46.04</v>
      </c>
      <c r="P10" s="322">
        <v>173.92</v>
      </c>
      <c r="Q10" s="322">
        <v>173.73</v>
      </c>
      <c r="R10" s="312" t="s">
        <v>1177</v>
      </c>
      <c r="S10" s="321" t="s">
        <v>662</v>
      </c>
    </row>
    <row r="11">
      <c r="A11" s="330">
        <v>211307.0</v>
      </c>
      <c r="B11" s="331" t="s">
        <v>1054</v>
      </c>
      <c r="C11" s="331" t="s">
        <v>1053</v>
      </c>
      <c r="D11" s="332">
        <v>39.0</v>
      </c>
      <c r="E11" s="332">
        <v>6.0</v>
      </c>
      <c r="F11" s="333">
        <v>0.154</v>
      </c>
      <c r="G11" s="318" t="s">
        <v>43</v>
      </c>
      <c r="H11" s="318">
        <v>11.8</v>
      </c>
      <c r="I11" s="327">
        <v>53.45</v>
      </c>
      <c r="J11" s="327">
        <v>37.95</v>
      </c>
      <c r="K11" s="327">
        <v>147.68</v>
      </c>
      <c r="L11" s="327">
        <v>147.68</v>
      </c>
      <c r="M11" s="319"/>
      <c r="N11" s="327">
        <v>53.4</v>
      </c>
      <c r="O11" s="327">
        <v>37.9</v>
      </c>
      <c r="P11" s="327">
        <v>147.68</v>
      </c>
      <c r="Q11" s="327">
        <v>147.68</v>
      </c>
      <c r="R11" s="320" t="s">
        <v>1177</v>
      </c>
      <c r="S11" s="334" t="s">
        <v>662</v>
      </c>
    </row>
    <row r="12">
      <c r="A12" s="306">
        <v>219834.0</v>
      </c>
      <c r="B12" s="307" t="s">
        <v>1193</v>
      </c>
      <c r="C12" s="307" t="s">
        <v>1194</v>
      </c>
      <c r="D12" s="308">
        <v>64.0</v>
      </c>
      <c r="E12" s="308">
        <v>6.0</v>
      </c>
      <c r="F12" s="309">
        <v>0.094</v>
      </c>
      <c r="G12" s="310" t="s">
        <v>43</v>
      </c>
      <c r="H12" s="310">
        <v>6.0</v>
      </c>
      <c r="I12" s="322">
        <v>53.72</v>
      </c>
      <c r="J12" s="322">
        <v>39.51</v>
      </c>
      <c r="K12" s="322">
        <v>159.4</v>
      </c>
      <c r="L12" s="322">
        <v>159.37</v>
      </c>
      <c r="M12" s="311"/>
      <c r="N12" s="322">
        <v>53.66</v>
      </c>
      <c r="O12" s="322">
        <v>39.46</v>
      </c>
      <c r="P12" s="322">
        <v>159.4</v>
      </c>
      <c r="Q12" s="322">
        <v>159.37</v>
      </c>
      <c r="R12" s="312" t="s">
        <v>1177</v>
      </c>
      <c r="S12" s="313" t="s">
        <v>662</v>
      </c>
    </row>
    <row r="13">
      <c r="A13" s="314">
        <v>223230.0</v>
      </c>
      <c r="B13" s="315" t="s">
        <v>1055</v>
      </c>
      <c r="C13" s="315" t="s">
        <v>768</v>
      </c>
      <c r="D13" s="316">
        <v>95.0</v>
      </c>
      <c r="E13" s="316">
        <v>6.0</v>
      </c>
      <c r="F13" s="317">
        <v>0.063</v>
      </c>
      <c r="G13" s="318" t="s">
        <v>43</v>
      </c>
      <c r="H13" s="318">
        <v>4.1</v>
      </c>
      <c r="I13" s="327">
        <v>48.15</v>
      </c>
      <c r="J13" s="327">
        <v>42.04</v>
      </c>
      <c r="K13" s="327">
        <v>145.02</v>
      </c>
      <c r="L13" s="327">
        <v>144.82</v>
      </c>
      <c r="M13" s="319"/>
      <c r="N13" s="327">
        <v>48.08</v>
      </c>
      <c r="O13" s="327">
        <v>41.96</v>
      </c>
      <c r="P13" s="327">
        <v>145.02</v>
      </c>
      <c r="Q13" s="327">
        <v>144.82</v>
      </c>
      <c r="R13" s="320" t="s">
        <v>1177</v>
      </c>
      <c r="S13" s="321" t="s">
        <v>662</v>
      </c>
    </row>
    <row r="14">
      <c r="A14" s="314">
        <v>234765.0</v>
      </c>
      <c r="B14" s="315" t="s">
        <v>1195</v>
      </c>
      <c r="C14" s="315" t="s">
        <v>1196</v>
      </c>
      <c r="D14" s="316">
        <v>13.0</v>
      </c>
      <c r="E14" s="316">
        <v>6.0</v>
      </c>
      <c r="F14" s="317">
        <v>0.462</v>
      </c>
      <c r="G14" s="310" t="s">
        <v>19</v>
      </c>
      <c r="H14" s="310">
        <v>39.1</v>
      </c>
      <c r="I14" s="322">
        <v>54.86</v>
      </c>
      <c r="J14" s="322">
        <v>38.66</v>
      </c>
      <c r="K14" s="322">
        <v>160.24</v>
      </c>
      <c r="L14" s="322">
        <v>159.8</v>
      </c>
      <c r="M14" s="311"/>
      <c r="N14" s="322">
        <v>55.07</v>
      </c>
      <c r="O14" s="322">
        <v>38.93</v>
      </c>
      <c r="P14" s="322">
        <v>160.24</v>
      </c>
      <c r="Q14" s="322">
        <v>159.8</v>
      </c>
      <c r="R14" s="312" t="s">
        <v>1177</v>
      </c>
      <c r="S14" s="321" t="s">
        <v>662</v>
      </c>
    </row>
    <row r="15">
      <c r="A15" s="314">
        <v>238829.0</v>
      </c>
      <c r="B15" s="315" t="s">
        <v>1197</v>
      </c>
      <c r="C15" s="315" t="s">
        <v>1198</v>
      </c>
      <c r="D15" s="316">
        <v>88.0</v>
      </c>
      <c r="E15" s="316">
        <v>6.0</v>
      </c>
      <c r="F15" s="317">
        <v>0.068</v>
      </c>
      <c r="G15" s="318" t="s">
        <v>405</v>
      </c>
      <c r="H15" s="318">
        <v>8.33</v>
      </c>
      <c r="I15" s="319"/>
      <c r="J15" s="319"/>
      <c r="K15" s="319"/>
      <c r="L15" s="319"/>
      <c r="M15" s="319"/>
      <c r="N15" s="319"/>
      <c r="O15" s="319"/>
      <c r="P15" s="319"/>
      <c r="Q15" s="319"/>
      <c r="R15" s="320" t="s">
        <v>1177</v>
      </c>
      <c r="S15" s="321" t="s">
        <v>691</v>
      </c>
    </row>
    <row r="16">
      <c r="A16" s="314">
        <v>238846.0</v>
      </c>
      <c r="B16" s="315" t="s">
        <v>1199</v>
      </c>
      <c r="C16" s="315" t="s">
        <v>1200</v>
      </c>
      <c r="D16" s="316">
        <v>74.0</v>
      </c>
      <c r="E16" s="316">
        <v>6.0</v>
      </c>
      <c r="F16" s="317">
        <v>0.081</v>
      </c>
      <c r="G16" s="310" t="s">
        <v>43</v>
      </c>
      <c r="H16" s="310">
        <v>3.3</v>
      </c>
      <c r="I16" s="322">
        <v>51.47</v>
      </c>
      <c r="J16" s="322">
        <v>40.4</v>
      </c>
      <c r="K16" s="322">
        <v>152.38</v>
      </c>
      <c r="L16" s="322">
        <v>152.41</v>
      </c>
      <c r="M16" s="311"/>
      <c r="N16" s="322">
        <v>51.42</v>
      </c>
      <c r="O16" s="322">
        <v>40.36</v>
      </c>
      <c r="P16" s="322">
        <v>152.38</v>
      </c>
      <c r="Q16" s="322">
        <v>152.41</v>
      </c>
      <c r="R16" s="312" t="s">
        <v>1177</v>
      </c>
      <c r="S16" s="321" t="s">
        <v>662</v>
      </c>
    </row>
    <row r="17">
      <c r="A17" s="314">
        <v>134949.0</v>
      </c>
      <c r="B17" s="315" t="s">
        <v>1201</v>
      </c>
      <c r="C17" s="315" t="s">
        <v>1202</v>
      </c>
      <c r="D17" s="316">
        <v>7.0</v>
      </c>
      <c r="E17" s="316">
        <v>5.0</v>
      </c>
      <c r="F17" s="317">
        <v>0.714</v>
      </c>
      <c r="G17" s="318" t="s">
        <v>1203</v>
      </c>
      <c r="H17" s="318" t="s">
        <v>1204</v>
      </c>
      <c r="I17" s="327">
        <v>56.32</v>
      </c>
      <c r="J17" s="327">
        <v>45.46</v>
      </c>
      <c r="K17" s="327">
        <v>170.05</v>
      </c>
      <c r="L17" s="327">
        <v>170.05</v>
      </c>
      <c r="M17" s="319"/>
      <c r="N17" s="327">
        <v>56.26</v>
      </c>
      <c r="O17" s="327">
        <v>45.4</v>
      </c>
      <c r="P17" s="327">
        <v>170.05</v>
      </c>
      <c r="Q17" s="327">
        <v>170.05</v>
      </c>
      <c r="R17" s="320" t="s">
        <v>1177</v>
      </c>
      <c r="S17" s="321" t="s">
        <v>662</v>
      </c>
    </row>
    <row r="18">
      <c r="A18" s="314">
        <v>146617.0</v>
      </c>
      <c r="B18" s="315" t="s">
        <v>1205</v>
      </c>
      <c r="C18" s="315" t="s">
        <v>1206</v>
      </c>
      <c r="D18" s="316">
        <v>83.0</v>
      </c>
      <c r="E18" s="316">
        <v>5.0</v>
      </c>
      <c r="F18" s="317">
        <v>0.06</v>
      </c>
      <c r="G18" s="310" t="s">
        <v>43</v>
      </c>
      <c r="H18" s="310">
        <v>2.6</v>
      </c>
      <c r="I18" s="322">
        <v>52.13</v>
      </c>
      <c r="J18" s="322">
        <v>43.57</v>
      </c>
      <c r="K18" s="322">
        <v>154.73</v>
      </c>
      <c r="L18" s="322">
        <v>154.73</v>
      </c>
      <c r="M18" s="311"/>
      <c r="N18" s="322">
        <v>52.11</v>
      </c>
      <c r="O18" s="322">
        <v>43.42</v>
      </c>
      <c r="P18" s="322">
        <v>154.73</v>
      </c>
      <c r="Q18" s="322">
        <v>154.73</v>
      </c>
      <c r="R18" s="312" t="s">
        <v>1177</v>
      </c>
      <c r="S18" s="321" t="s">
        <v>662</v>
      </c>
    </row>
    <row r="19">
      <c r="A19" s="314">
        <v>224842.0</v>
      </c>
      <c r="B19" s="315" t="s">
        <v>1207</v>
      </c>
      <c r="C19" s="315" t="s">
        <v>1208</v>
      </c>
      <c r="D19" s="316">
        <v>61.0</v>
      </c>
      <c r="E19" s="316">
        <v>5.0</v>
      </c>
      <c r="F19" s="317">
        <v>0.082</v>
      </c>
      <c r="G19" s="318" t="s">
        <v>43</v>
      </c>
      <c r="H19" s="318">
        <v>5.4</v>
      </c>
      <c r="I19" s="327">
        <v>49.81</v>
      </c>
      <c r="J19" s="327">
        <v>46.19</v>
      </c>
      <c r="K19" s="327">
        <v>154.4</v>
      </c>
      <c r="L19" s="327">
        <v>154.45</v>
      </c>
      <c r="M19" s="319"/>
      <c r="N19" s="327">
        <v>49.75</v>
      </c>
      <c r="O19" s="327">
        <v>46.13</v>
      </c>
      <c r="P19" s="327">
        <v>154.4</v>
      </c>
      <c r="Q19" s="327">
        <v>154.45</v>
      </c>
      <c r="R19" s="320" t="s">
        <v>1177</v>
      </c>
      <c r="S19" s="321" t="s">
        <v>662</v>
      </c>
    </row>
    <row r="20">
      <c r="A20" s="314">
        <v>234785.0</v>
      </c>
      <c r="B20" s="315" t="s">
        <v>1209</v>
      </c>
      <c r="C20" s="315" t="s">
        <v>1210</v>
      </c>
      <c r="D20" s="316">
        <v>46.0</v>
      </c>
      <c r="E20" s="316">
        <v>5.0</v>
      </c>
      <c r="F20" s="317">
        <v>0.109</v>
      </c>
      <c r="G20" s="310" t="s">
        <v>19</v>
      </c>
      <c r="H20" s="310">
        <v>3.6</v>
      </c>
      <c r="I20" s="322">
        <v>52.12</v>
      </c>
      <c r="J20" s="322">
        <v>40.48</v>
      </c>
      <c r="K20" s="322">
        <v>153.22</v>
      </c>
      <c r="L20" s="322">
        <v>153.55</v>
      </c>
      <c r="M20" s="311"/>
      <c r="N20" s="322">
        <v>52.32</v>
      </c>
      <c r="O20" s="322">
        <v>40.68</v>
      </c>
      <c r="P20" s="322">
        <v>153.22</v>
      </c>
      <c r="Q20" s="322">
        <v>153.55</v>
      </c>
      <c r="R20" s="312" t="s">
        <v>1177</v>
      </c>
      <c r="S20" s="321" t="s">
        <v>662</v>
      </c>
    </row>
    <row r="21">
      <c r="A21" s="323">
        <v>240781.0</v>
      </c>
      <c r="B21" s="324" t="s">
        <v>1211</v>
      </c>
      <c r="C21" s="324" t="s">
        <v>1212</v>
      </c>
      <c r="D21" s="325">
        <v>93.0</v>
      </c>
      <c r="E21" s="325">
        <v>5.0</v>
      </c>
      <c r="F21" s="326">
        <v>0.054</v>
      </c>
      <c r="G21" s="318" t="s">
        <v>43</v>
      </c>
      <c r="H21" s="318">
        <v>4.7</v>
      </c>
      <c r="I21" s="327">
        <v>55.43</v>
      </c>
      <c r="J21" s="327">
        <v>35.48</v>
      </c>
      <c r="K21" s="327">
        <v>158.52</v>
      </c>
      <c r="L21" s="327">
        <v>158.49</v>
      </c>
      <c r="M21" s="319"/>
      <c r="N21" s="327">
        <v>55.37</v>
      </c>
      <c r="O21" s="327">
        <v>35.4</v>
      </c>
      <c r="P21" s="327">
        <v>158.52</v>
      </c>
      <c r="Q21" s="327">
        <v>158.49</v>
      </c>
      <c r="R21" s="320" t="s">
        <v>1177</v>
      </c>
      <c r="S21" s="328" t="s">
        <v>662</v>
      </c>
    </row>
    <row r="22">
      <c r="A22" s="323">
        <v>242246.0</v>
      </c>
      <c r="B22" s="324" t="s">
        <v>1213</v>
      </c>
      <c r="C22" s="324" t="s">
        <v>1214</v>
      </c>
      <c r="D22" s="325">
        <v>91.0</v>
      </c>
      <c r="E22" s="325">
        <v>5.0</v>
      </c>
      <c r="F22" s="326">
        <v>0.055</v>
      </c>
      <c r="G22" s="310" t="s">
        <v>43</v>
      </c>
      <c r="H22" s="310">
        <v>3.7</v>
      </c>
      <c r="I22" s="322">
        <v>49.81</v>
      </c>
      <c r="J22" s="322">
        <v>44.54</v>
      </c>
      <c r="K22" s="322">
        <v>150.26</v>
      </c>
      <c r="L22" s="322">
        <v>150.25</v>
      </c>
      <c r="M22" s="311"/>
      <c r="N22" s="322">
        <v>49.67</v>
      </c>
      <c r="O22" s="322">
        <v>44.44</v>
      </c>
      <c r="P22" s="322">
        <v>150.26</v>
      </c>
      <c r="Q22" s="322">
        <v>150.25</v>
      </c>
      <c r="R22" s="312" t="s">
        <v>1177</v>
      </c>
      <c r="S22" s="328" t="s">
        <v>662</v>
      </c>
    </row>
    <row r="23">
      <c r="A23" s="314">
        <v>217873.0</v>
      </c>
      <c r="B23" s="315" t="s">
        <v>1215</v>
      </c>
      <c r="C23" s="315" t="s">
        <v>200</v>
      </c>
      <c r="D23" s="316">
        <v>63.0</v>
      </c>
      <c r="E23" s="316">
        <v>4.0</v>
      </c>
      <c r="F23" s="317">
        <v>0.063</v>
      </c>
      <c r="G23" s="318" t="s">
        <v>43</v>
      </c>
      <c r="H23" s="318">
        <v>3.4</v>
      </c>
      <c r="I23" s="327">
        <v>52.96</v>
      </c>
      <c r="J23" s="327">
        <v>40.42</v>
      </c>
      <c r="K23" s="327">
        <v>150.94</v>
      </c>
      <c r="L23" s="327">
        <v>150.94</v>
      </c>
      <c r="M23" s="319"/>
      <c r="N23" s="327">
        <v>52.93</v>
      </c>
      <c r="O23" s="327">
        <v>40.29</v>
      </c>
      <c r="P23" s="327">
        <v>150.94</v>
      </c>
      <c r="Q23" s="327">
        <v>150.94</v>
      </c>
      <c r="R23" s="320" t="s">
        <v>1177</v>
      </c>
      <c r="S23" s="321" t="s">
        <v>662</v>
      </c>
    </row>
    <row r="24">
      <c r="A24" s="314">
        <v>218062.0</v>
      </c>
      <c r="B24" s="315" t="s">
        <v>1216</v>
      </c>
      <c r="C24" s="315" t="s">
        <v>1217</v>
      </c>
      <c r="D24" s="316">
        <v>65.0</v>
      </c>
      <c r="E24" s="316">
        <v>4.0</v>
      </c>
      <c r="F24" s="317">
        <v>0.062</v>
      </c>
      <c r="G24" s="310" t="s">
        <v>405</v>
      </c>
      <c r="H24" s="310">
        <v>2.86</v>
      </c>
      <c r="I24" s="311"/>
      <c r="J24" s="311"/>
      <c r="K24" s="311"/>
      <c r="L24" s="311"/>
      <c r="M24" s="311"/>
      <c r="N24" s="311"/>
      <c r="O24" s="311"/>
      <c r="P24" s="311"/>
      <c r="Q24" s="311"/>
      <c r="R24" s="312" t="s">
        <v>1177</v>
      </c>
      <c r="S24" s="321" t="s">
        <v>691</v>
      </c>
    </row>
    <row r="25">
      <c r="A25" s="306">
        <v>234765.0</v>
      </c>
      <c r="B25" s="307" t="s">
        <v>1218</v>
      </c>
      <c r="C25" s="307" t="s">
        <v>1219</v>
      </c>
      <c r="D25" s="308">
        <v>12.0</v>
      </c>
      <c r="E25" s="308">
        <v>4.0</v>
      </c>
      <c r="F25" s="309">
        <v>0.333</v>
      </c>
      <c r="G25" s="318" t="s">
        <v>43</v>
      </c>
      <c r="H25" s="318">
        <v>9.5</v>
      </c>
      <c r="I25" s="327">
        <v>55.59</v>
      </c>
      <c r="J25" s="327">
        <v>39.9</v>
      </c>
      <c r="K25" s="327">
        <v>162.21</v>
      </c>
      <c r="L25" s="327">
        <v>162.21</v>
      </c>
      <c r="M25" s="319"/>
      <c r="N25" s="327">
        <v>55.55</v>
      </c>
      <c r="O25" s="327">
        <v>39.85</v>
      </c>
      <c r="P25" s="327">
        <v>162.21</v>
      </c>
      <c r="Q25" s="327">
        <v>162.21</v>
      </c>
      <c r="R25" s="320" t="s">
        <v>1177</v>
      </c>
      <c r="S25" s="313" t="s">
        <v>662</v>
      </c>
    </row>
    <row r="26">
      <c r="A26" s="330">
        <v>236095.0</v>
      </c>
      <c r="B26" s="331" t="s">
        <v>1220</v>
      </c>
      <c r="C26" s="331" t="s">
        <v>1221</v>
      </c>
      <c r="D26" s="332">
        <v>22.0</v>
      </c>
      <c r="E26" s="332">
        <v>4.0</v>
      </c>
      <c r="F26" s="333">
        <v>0.182</v>
      </c>
      <c r="G26" s="310" t="s">
        <v>43</v>
      </c>
      <c r="H26" s="310">
        <v>11.0</v>
      </c>
      <c r="I26" s="322">
        <v>50.5</v>
      </c>
      <c r="J26" s="322">
        <v>42.91</v>
      </c>
      <c r="K26" s="322">
        <v>152.32</v>
      </c>
      <c r="L26" s="322">
        <v>152.47</v>
      </c>
      <c r="M26" s="311"/>
      <c r="N26" s="322">
        <v>50.35</v>
      </c>
      <c r="O26" s="322">
        <v>42.87</v>
      </c>
      <c r="P26" s="322">
        <v>152.32</v>
      </c>
      <c r="Q26" s="322">
        <v>152.47</v>
      </c>
      <c r="R26" s="312" t="s">
        <v>1177</v>
      </c>
      <c r="S26" s="334" t="s">
        <v>662</v>
      </c>
    </row>
    <row r="27">
      <c r="A27" s="306">
        <v>238662.0</v>
      </c>
      <c r="B27" s="307" t="s">
        <v>1222</v>
      </c>
      <c r="C27" s="307" t="s">
        <v>1223</v>
      </c>
      <c r="D27" s="308">
        <v>44.0</v>
      </c>
      <c r="E27" s="308">
        <v>4.0</v>
      </c>
      <c r="F27" s="309">
        <v>0.091</v>
      </c>
      <c r="G27" s="318" t="s">
        <v>43</v>
      </c>
      <c r="H27" s="318">
        <v>4.4</v>
      </c>
      <c r="I27" s="327">
        <v>51.08</v>
      </c>
      <c r="J27" s="327">
        <v>32.38</v>
      </c>
      <c r="K27" s="327">
        <v>139.31</v>
      </c>
      <c r="L27" s="327">
        <v>139.27</v>
      </c>
      <c r="M27" s="319"/>
      <c r="N27" s="327">
        <v>51.02</v>
      </c>
      <c r="O27" s="327">
        <v>32.33</v>
      </c>
      <c r="P27" s="327">
        <v>139.31</v>
      </c>
      <c r="Q27" s="327">
        <v>139.27</v>
      </c>
      <c r="R27" s="320" t="s">
        <v>1177</v>
      </c>
      <c r="S27" s="313" t="s">
        <v>662</v>
      </c>
    </row>
    <row r="28">
      <c r="A28" s="314">
        <v>238841.0</v>
      </c>
      <c r="B28" s="315" t="s">
        <v>1224</v>
      </c>
      <c r="C28" s="315" t="s">
        <v>1225</v>
      </c>
      <c r="D28" s="316">
        <v>64.0</v>
      </c>
      <c r="E28" s="316">
        <v>4.0</v>
      </c>
      <c r="F28" s="317">
        <v>0.063</v>
      </c>
      <c r="G28" s="310" t="s">
        <v>137</v>
      </c>
      <c r="H28" s="310">
        <v>5.3</v>
      </c>
      <c r="I28" s="311"/>
      <c r="J28" s="311"/>
      <c r="K28" s="311"/>
      <c r="L28" s="311"/>
      <c r="M28" s="311"/>
      <c r="N28" s="311"/>
      <c r="O28" s="311"/>
      <c r="P28" s="311"/>
      <c r="Q28" s="311"/>
      <c r="R28" s="312" t="s">
        <v>1177</v>
      </c>
      <c r="S28" s="321" t="s">
        <v>694</v>
      </c>
    </row>
    <row r="29">
      <c r="A29" s="323">
        <v>239839.0</v>
      </c>
      <c r="B29" s="324" t="s">
        <v>1083</v>
      </c>
      <c r="C29" s="324" t="s">
        <v>103</v>
      </c>
      <c r="D29" s="325">
        <v>38.0</v>
      </c>
      <c r="E29" s="325">
        <v>4.0</v>
      </c>
      <c r="F29" s="326">
        <v>0.105</v>
      </c>
      <c r="G29" s="318" t="s">
        <v>19</v>
      </c>
      <c r="H29" s="318">
        <v>4.8</v>
      </c>
      <c r="I29" s="327">
        <v>53.3</v>
      </c>
      <c r="J29" s="327">
        <v>35.59</v>
      </c>
      <c r="K29" s="327">
        <v>152.74</v>
      </c>
      <c r="L29" s="327">
        <v>152.66</v>
      </c>
      <c r="M29" s="319"/>
      <c r="N29" s="327">
        <v>53.35</v>
      </c>
      <c r="O29" s="327">
        <v>35.69</v>
      </c>
      <c r="P29" s="327">
        <v>152.74</v>
      </c>
      <c r="Q29" s="327">
        <v>152.66</v>
      </c>
      <c r="R29" s="320" t="s">
        <v>1177</v>
      </c>
      <c r="S29" s="328" t="s">
        <v>662</v>
      </c>
    </row>
    <row r="30">
      <c r="A30" s="306">
        <v>241064.0</v>
      </c>
      <c r="B30" s="307" t="s">
        <v>1226</v>
      </c>
      <c r="C30" s="307" t="s">
        <v>1227</v>
      </c>
      <c r="D30" s="308">
        <v>4.0</v>
      </c>
      <c r="E30" s="308">
        <v>4.0</v>
      </c>
      <c r="F30" s="309">
        <v>1.0</v>
      </c>
      <c r="G30" s="310" t="s">
        <v>19</v>
      </c>
      <c r="H30" s="310">
        <v>100.0</v>
      </c>
      <c r="I30" s="322">
        <v>53.34</v>
      </c>
      <c r="J30" s="322">
        <v>46.29</v>
      </c>
      <c r="K30" s="322">
        <v>162.07</v>
      </c>
      <c r="L30" s="322">
        <v>162.41</v>
      </c>
      <c r="M30" s="311"/>
      <c r="N30" s="322">
        <v>53.4</v>
      </c>
      <c r="O30" s="322">
        <v>46.4</v>
      </c>
      <c r="P30" s="322">
        <v>162.07</v>
      </c>
      <c r="Q30" s="322">
        <v>162.41</v>
      </c>
      <c r="R30" s="312" t="s">
        <v>1177</v>
      </c>
      <c r="S30" s="313" t="s">
        <v>662</v>
      </c>
    </row>
    <row r="31">
      <c r="A31" s="314">
        <v>241069.0</v>
      </c>
      <c r="B31" s="315" t="s">
        <v>1228</v>
      </c>
      <c r="C31" s="315" t="s">
        <v>1229</v>
      </c>
      <c r="D31" s="316">
        <v>16.0</v>
      </c>
      <c r="E31" s="316">
        <v>4.0</v>
      </c>
      <c r="F31" s="317">
        <v>0.25</v>
      </c>
      <c r="G31" s="318" t="s">
        <v>43</v>
      </c>
      <c r="H31" s="318">
        <v>10.7</v>
      </c>
      <c r="I31" s="327">
        <v>58.92</v>
      </c>
      <c r="J31" s="327">
        <v>51.59</v>
      </c>
      <c r="K31" s="327">
        <v>176.95</v>
      </c>
      <c r="L31" s="327">
        <v>177.0</v>
      </c>
      <c r="M31" s="319"/>
      <c r="N31" s="327">
        <v>58.52</v>
      </c>
      <c r="O31" s="327">
        <v>51.55</v>
      </c>
      <c r="P31" s="327">
        <v>176.95</v>
      </c>
      <c r="Q31" s="327">
        <v>177.0</v>
      </c>
      <c r="R31" s="320" t="s">
        <v>1177</v>
      </c>
      <c r="S31" s="321" t="s">
        <v>662</v>
      </c>
    </row>
    <row r="32">
      <c r="A32" s="314">
        <v>204540.0</v>
      </c>
      <c r="B32" s="315" t="s">
        <v>1230</v>
      </c>
      <c r="C32" s="315" t="s">
        <v>1231</v>
      </c>
      <c r="D32" s="316">
        <v>27.0</v>
      </c>
      <c r="E32" s="316">
        <v>3.0</v>
      </c>
      <c r="F32" s="317">
        <v>0.111</v>
      </c>
      <c r="G32" s="310" t="s">
        <v>1203</v>
      </c>
      <c r="H32" s="310" t="s">
        <v>1232</v>
      </c>
      <c r="I32" s="322">
        <v>55.74</v>
      </c>
      <c r="J32" s="322">
        <v>46.73</v>
      </c>
      <c r="K32" s="322">
        <v>170.57</v>
      </c>
      <c r="L32" s="322">
        <v>170.8</v>
      </c>
      <c r="M32" s="311"/>
      <c r="N32" s="322">
        <v>55.7</v>
      </c>
      <c r="O32" s="322">
        <v>46.69</v>
      </c>
      <c r="P32" s="322">
        <v>170.57</v>
      </c>
      <c r="Q32" s="322">
        <v>170.8</v>
      </c>
      <c r="R32" s="312" t="s">
        <v>1177</v>
      </c>
      <c r="S32" s="321" t="s">
        <v>662</v>
      </c>
    </row>
    <row r="33">
      <c r="A33" s="330">
        <v>221282.0</v>
      </c>
      <c r="B33" s="331" t="s">
        <v>1233</v>
      </c>
      <c r="C33" s="331" t="s">
        <v>1234</v>
      </c>
      <c r="D33" s="332">
        <v>25.0</v>
      </c>
      <c r="E33" s="332">
        <v>3.0</v>
      </c>
      <c r="F33" s="333">
        <v>0.12</v>
      </c>
      <c r="G33" s="318" t="s">
        <v>43</v>
      </c>
      <c r="H33" s="318">
        <v>4.7</v>
      </c>
      <c r="I33" s="327">
        <v>54.38</v>
      </c>
      <c r="J33" s="327">
        <v>41.85</v>
      </c>
      <c r="K33" s="327">
        <v>160.78</v>
      </c>
      <c r="L33" s="327">
        <v>160.63</v>
      </c>
      <c r="M33" s="319"/>
      <c r="N33" s="327">
        <v>54.28</v>
      </c>
      <c r="O33" s="327">
        <v>41.7</v>
      </c>
      <c r="P33" s="327">
        <v>160.78</v>
      </c>
      <c r="Q33" s="327">
        <v>160.63</v>
      </c>
      <c r="R33" s="320" t="s">
        <v>1177</v>
      </c>
      <c r="S33" s="334" t="s">
        <v>662</v>
      </c>
    </row>
    <row r="34">
      <c r="A34" s="314">
        <v>222442.0</v>
      </c>
      <c r="B34" s="315" t="s">
        <v>1235</v>
      </c>
      <c r="C34" s="315" t="s">
        <v>1236</v>
      </c>
      <c r="D34" s="316">
        <v>12.0</v>
      </c>
      <c r="E34" s="316">
        <v>3.0</v>
      </c>
      <c r="F34" s="317">
        <v>0.25</v>
      </c>
      <c r="G34" s="310" t="s">
        <v>19</v>
      </c>
      <c r="H34" s="310">
        <v>26.3</v>
      </c>
      <c r="I34" s="322">
        <v>54.64</v>
      </c>
      <c r="J34" s="322">
        <v>33.43</v>
      </c>
      <c r="K34" s="322">
        <v>147.75</v>
      </c>
      <c r="L34" s="322">
        <v>147.75</v>
      </c>
      <c r="M34" s="311"/>
      <c r="N34" s="322">
        <v>54.7</v>
      </c>
      <c r="O34" s="322">
        <v>33.49</v>
      </c>
      <c r="P34" s="322">
        <v>147.75</v>
      </c>
      <c r="Q34" s="322">
        <v>147.75</v>
      </c>
      <c r="R34" s="312" t="s">
        <v>1177</v>
      </c>
      <c r="S34" s="321" t="s">
        <v>662</v>
      </c>
    </row>
    <row r="35">
      <c r="A35" s="314">
        <v>223232.0</v>
      </c>
      <c r="B35" s="315" t="s">
        <v>1088</v>
      </c>
      <c r="C35" s="315" t="s">
        <v>1087</v>
      </c>
      <c r="D35" s="316">
        <v>43.0</v>
      </c>
      <c r="E35" s="316">
        <v>3.0</v>
      </c>
      <c r="F35" s="317">
        <v>0.07</v>
      </c>
      <c r="G35" s="318" t="s">
        <v>43</v>
      </c>
      <c r="H35" s="318">
        <v>5.5</v>
      </c>
      <c r="I35" s="327">
        <v>50.06</v>
      </c>
      <c r="J35" s="327">
        <v>44.27</v>
      </c>
      <c r="K35" s="327">
        <v>151.79</v>
      </c>
      <c r="L35" s="327">
        <v>151.85</v>
      </c>
      <c r="M35" s="319"/>
      <c r="N35" s="327">
        <v>50.04</v>
      </c>
      <c r="O35" s="327">
        <v>44.18</v>
      </c>
      <c r="P35" s="327">
        <v>151.79</v>
      </c>
      <c r="Q35" s="327">
        <v>151.85</v>
      </c>
      <c r="R35" s="320" t="s">
        <v>1177</v>
      </c>
      <c r="S35" s="321" t="s">
        <v>662</v>
      </c>
    </row>
    <row r="36">
      <c r="A36" s="314">
        <v>228870.0</v>
      </c>
      <c r="B36" s="315" t="s">
        <v>1237</v>
      </c>
      <c r="C36" s="315" t="s">
        <v>1238</v>
      </c>
      <c r="D36" s="316">
        <v>32.0</v>
      </c>
      <c r="E36" s="316">
        <v>3.0</v>
      </c>
      <c r="F36" s="317">
        <v>0.094</v>
      </c>
      <c r="G36" s="310" t="s">
        <v>43</v>
      </c>
      <c r="H36" s="310">
        <v>11.5</v>
      </c>
      <c r="I36" s="322">
        <v>51.88</v>
      </c>
      <c r="J36" s="322">
        <v>39.78</v>
      </c>
      <c r="K36" s="322">
        <v>146.08</v>
      </c>
      <c r="L36" s="322">
        <v>145.92</v>
      </c>
      <c r="M36" s="311"/>
      <c r="N36" s="322">
        <v>51.8</v>
      </c>
      <c r="O36" s="322">
        <v>39.7</v>
      </c>
      <c r="P36" s="322">
        <v>146.08</v>
      </c>
      <c r="Q36" s="322">
        <v>145.92</v>
      </c>
      <c r="R36" s="312" t="s">
        <v>1177</v>
      </c>
      <c r="S36" s="321" t="s">
        <v>662</v>
      </c>
    </row>
    <row r="37">
      <c r="A37" s="323">
        <v>234800.0</v>
      </c>
      <c r="B37" s="324" t="s">
        <v>1239</v>
      </c>
      <c r="C37" s="324" t="s">
        <v>1240</v>
      </c>
      <c r="D37" s="325">
        <v>22.0</v>
      </c>
      <c r="E37" s="325">
        <v>3.0</v>
      </c>
      <c r="F37" s="326">
        <v>0.136</v>
      </c>
      <c r="G37" s="318" t="s">
        <v>43</v>
      </c>
      <c r="H37" s="318">
        <v>12.2</v>
      </c>
      <c r="I37" s="327">
        <v>48.41</v>
      </c>
      <c r="J37" s="327">
        <v>41.59</v>
      </c>
      <c r="K37" s="327">
        <v>146.04</v>
      </c>
      <c r="L37" s="327">
        <v>145.73</v>
      </c>
      <c r="M37" s="319"/>
      <c r="N37" s="327">
        <v>48.15</v>
      </c>
      <c r="O37" s="327">
        <v>41.56</v>
      </c>
      <c r="P37" s="327">
        <v>146.04</v>
      </c>
      <c r="Q37" s="327">
        <v>145.73</v>
      </c>
      <c r="R37" s="320" t="s">
        <v>1177</v>
      </c>
      <c r="S37" s="328" t="s">
        <v>662</v>
      </c>
    </row>
    <row r="38">
      <c r="A38" s="306">
        <v>235307.0</v>
      </c>
      <c r="B38" s="307" t="s">
        <v>1241</v>
      </c>
      <c r="C38" s="307" t="s">
        <v>1242</v>
      </c>
      <c r="D38" s="308">
        <v>24.0</v>
      </c>
      <c r="E38" s="308">
        <v>3.0</v>
      </c>
      <c r="F38" s="309">
        <v>0.125</v>
      </c>
      <c r="G38" s="310" t="s">
        <v>137</v>
      </c>
      <c r="H38" s="310">
        <v>12.2</v>
      </c>
      <c r="I38" s="311"/>
      <c r="J38" s="311"/>
      <c r="K38" s="311"/>
      <c r="L38" s="311"/>
      <c r="M38" s="311"/>
      <c r="N38" s="311"/>
      <c r="O38" s="311"/>
      <c r="P38" s="311"/>
      <c r="Q38" s="311"/>
      <c r="R38" s="312" t="s">
        <v>1177</v>
      </c>
      <c r="S38" s="313" t="s">
        <v>662</v>
      </c>
    </row>
    <row r="39">
      <c r="A39" s="314">
        <v>241054.0</v>
      </c>
      <c r="B39" s="315" t="s">
        <v>1243</v>
      </c>
      <c r="C39" s="315" t="s">
        <v>1244</v>
      </c>
      <c r="D39" s="316">
        <v>10.0</v>
      </c>
      <c r="E39" s="316">
        <v>3.0</v>
      </c>
      <c r="F39" s="317">
        <v>0.3</v>
      </c>
      <c r="G39" s="318" t="s">
        <v>43</v>
      </c>
      <c r="H39" s="318">
        <v>23.11</v>
      </c>
      <c r="I39" s="327">
        <v>51.6</v>
      </c>
      <c r="J39" s="327">
        <v>42.98</v>
      </c>
      <c r="K39" s="327">
        <v>153.51</v>
      </c>
      <c r="L39" s="327">
        <v>153.75</v>
      </c>
      <c r="M39" s="319"/>
      <c r="N39" s="327">
        <v>51.46</v>
      </c>
      <c r="O39" s="327">
        <v>42.8</v>
      </c>
      <c r="P39" s="327">
        <v>153.51</v>
      </c>
      <c r="Q39" s="327">
        <v>153.75</v>
      </c>
      <c r="R39" s="320" t="s">
        <v>1177</v>
      </c>
      <c r="S39" s="321" t="s">
        <v>662</v>
      </c>
    </row>
    <row r="40">
      <c r="A40" s="314">
        <v>241112.0</v>
      </c>
      <c r="B40" s="315" t="s">
        <v>1245</v>
      </c>
      <c r="C40" s="315" t="s">
        <v>1246</v>
      </c>
      <c r="D40" s="316">
        <v>24.0</v>
      </c>
      <c r="E40" s="316">
        <v>3.0</v>
      </c>
      <c r="F40" s="317">
        <v>0.125</v>
      </c>
      <c r="G40" s="310" t="s">
        <v>137</v>
      </c>
      <c r="H40" s="310">
        <v>11.11</v>
      </c>
      <c r="I40" s="311"/>
      <c r="J40" s="311"/>
      <c r="K40" s="311"/>
      <c r="L40" s="311"/>
      <c r="M40" s="311"/>
      <c r="N40" s="311"/>
      <c r="O40" s="311"/>
      <c r="P40" s="311"/>
      <c r="Q40" s="311"/>
      <c r="R40" s="312" t="s">
        <v>1177</v>
      </c>
      <c r="S40" s="321" t="s">
        <v>662</v>
      </c>
    </row>
    <row r="41">
      <c r="A41" s="314">
        <v>241189.0</v>
      </c>
      <c r="B41" s="315" t="s">
        <v>1247</v>
      </c>
      <c r="C41" s="315" t="s">
        <v>1248</v>
      </c>
      <c r="D41" s="316">
        <v>20.0</v>
      </c>
      <c r="E41" s="316">
        <v>3.0</v>
      </c>
      <c r="F41" s="317">
        <v>0.15</v>
      </c>
      <c r="G41" s="318" t="s">
        <v>19</v>
      </c>
      <c r="H41" s="318">
        <v>14.3</v>
      </c>
      <c r="I41" s="327">
        <v>49.9</v>
      </c>
      <c r="J41" s="327">
        <v>39.17</v>
      </c>
      <c r="K41" s="327">
        <v>147.9</v>
      </c>
      <c r="L41" s="327">
        <v>147.9</v>
      </c>
      <c r="M41" s="319"/>
      <c r="N41" s="327">
        <v>49.94</v>
      </c>
      <c r="O41" s="327">
        <v>39.22</v>
      </c>
      <c r="P41" s="327">
        <v>147.9</v>
      </c>
      <c r="Q41" s="327">
        <v>147.9</v>
      </c>
      <c r="R41" s="320" t="s">
        <v>1177</v>
      </c>
      <c r="S41" s="321" t="s">
        <v>662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75"/>
    <col customWidth="1" min="20" max="20" width="16.63"/>
  </cols>
  <sheetData>
    <row r="1">
      <c r="A1" s="238" t="s">
        <v>1</v>
      </c>
      <c r="B1" s="150" t="s">
        <v>2</v>
      </c>
      <c r="C1" s="211" t="s">
        <v>656</v>
      </c>
      <c r="D1" s="211" t="s">
        <v>657</v>
      </c>
      <c r="E1" s="211" t="s">
        <v>658</v>
      </c>
      <c r="F1" s="211" t="s">
        <v>659</v>
      </c>
      <c r="G1" s="211" t="s">
        <v>660</v>
      </c>
      <c r="H1" s="211" t="s">
        <v>4</v>
      </c>
      <c r="I1" s="211" t="s">
        <v>5</v>
      </c>
      <c r="J1" s="7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7" t="s">
        <v>13</v>
      </c>
      <c r="Q1" s="8" t="s">
        <v>14</v>
      </c>
      <c r="R1" s="8" t="s">
        <v>15</v>
      </c>
      <c r="S1" s="5" t="s">
        <v>17</v>
      </c>
      <c r="T1" s="7" t="s">
        <v>16</v>
      </c>
      <c r="U1" s="212" t="s">
        <v>661</v>
      </c>
    </row>
    <row r="2">
      <c r="A2" s="335">
        <v>134949.0</v>
      </c>
      <c r="B2" s="170" t="s">
        <v>1079</v>
      </c>
      <c r="C2" s="170" t="s">
        <v>48</v>
      </c>
      <c r="D2" s="106">
        <v>28.0</v>
      </c>
      <c r="E2" s="106">
        <v>21.0</v>
      </c>
      <c r="F2" s="106">
        <v>7.0</v>
      </c>
      <c r="G2" s="105">
        <v>0.333</v>
      </c>
      <c r="H2" s="336"/>
      <c r="I2" s="336"/>
      <c r="J2" s="10">
        <v>55.94</v>
      </c>
      <c r="K2" s="10">
        <v>45.62</v>
      </c>
      <c r="L2" s="10">
        <v>169.42</v>
      </c>
      <c r="M2" s="10">
        <v>169.42</v>
      </c>
      <c r="N2" s="170" t="s">
        <v>21</v>
      </c>
      <c r="O2" s="10">
        <v>56.29</v>
      </c>
      <c r="P2" s="10">
        <v>45.89</v>
      </c>
      <c r="Q2" s="10">
        <v>170.56</v>
      </c>
      <c r="R2" s="10">
        <v>170.56</v>
      </c>
      <c r="S2" s="170" t="s">
        <v>22</v>
      </c>
      <c r="T2" s="214"/>
      <c r="U2" s="337" t="s">
        <v>694</v>
      </c>
    </row>
    <row r="3">
      <c r="A3" s="338">
        <v>241189.0</v>
      </c>
      <c r="B3" s="173" t="s">
        <v>1247</v>
      </c>
      <c r="C3" s="173" t="s">
        <v>1248</v>
      </c>
      <c r="D3" s="109">
        <v>23.0</v>
      </c>
      <c r="E3" s="109">
        <v>21.0</v>
      </c>
      <c r="F3" s="109">
        <v>7.0</v>
      </c>
      <c r="G3" s="103">
        <v>0.333</v>
      </c>
      <c r="H3" s="109" t="s">
        <v>19</v>
      </c>
      <c r="I3" s="339"/>
      <c r="J3" s="109">
        <v>49.94</v>
      </c>
      <c r="K3" s="109">
        <v>39.22</v>
      </c>
      <c r="L3" s="109">
        <v>147.9</v>
      </c>
      <c r="M3" s="109">
        <v>147.9</v>
      </c>
      <c r="N3" s="170" t="s">
        <v>1249</v>
      </c>
      <c r="O3" s="109">
        <v>50.3</v>
      </c>
      <c r="P3" s="109">
        <v>39.94</v>
      </c>
      <c r="Q3" s="109">
        <v>149.67</v>
      </c>
      <c r="R3" s="109">
        <v>149.7</v>
      </c>
      <c r="S3" s="170" t="s">
        <v>22</v>
      </c>
      <c r="T3" s="217"/>
      <c r="U3" s="340" t="s">
        <v>662</v>
      </c>
    </row>
    <row r="4">
      <c r="A4" s="335">
        <v>134951.0</v>
      </c>
      <c r="B4" s="170" t="s">
        <v>1069</v>
      </c>
      <c r="C4" s="170" t="s">
        <v>1066</v>
      </c>
      <c r="D4" s="106">
        <v>16.0</v>
      </c>
      <c r="E4" s="106">
        <v>16.0</v>
      </c>
      <c r="F4" s="106">
        <v>6.0</v>
      </c>
      <c r="G4" s="105">
        <v>0.375</v>
      </c>
      <c r="H4" s="336"/>
      <c r="I4" s="336"/>
      <c r="J4" s="336"/>
      <c r="K4" s="336"/>
      <c r="L4" s="336"/>
      <c r="M4" s="336"/>
      <c r="N4" s="170" t="s">
        <v>990</v>
      </c>
      <c r="O4" s="336"/>
      <c r="P4" s="336"/>
      <c r="Q4" s="336"/>
      <c r="R4" s="336"/>
      <c r="S4" s="214"/>
      <c r="T4" s="214"/>
      <c r="U4" s="337" t="s">
        <v>662</v>
      </c>
    </row>
    <row r="5">
      <c r="A5" s="338">
        <v>223230.0</v>
      </c>
      <c r="B5" s="173" t="s">
        <v>1250</v>
      </c>
      <c r="C5" s="173" t="s">
        <v>770</v>
      </c>
      <c r="D5" s="109">
        <v>37.0</v>
      </c>
      <c r="E5" s="109">
        <v>37.0</v>
      </c>
      <c r="F5" s="109">
        <v>6.0</v>
      </c>
      <c r="G5" s="103">
        <v>0.162</v>
      </c>
      <c r="H5" s="109" t="s">
        <v>43</v>
      </c>
      <c r="I5" s="339"/>
      <c r="J5" s="109">
        <v>48.09</v>
      </c>
      <c r="K5" s="109">
        <v>42.06</v>
      </c>
      <c r="L5" s="109">
        <v>145.3</v>
      </c>
      <c r="M5" s="109">
        <v>144.95</v>
      </c>
      <c r="N5" s="170" t="s">
        <v>1249</v>
      </c>
      <c r="O5" s="109">
        <v>47.95</v>
      </c>
      <c r="P5" s="109">
        <v>41.81</v>
      </c>
      <c r="Q5" s="109">
        <v>144.67</v>
      </c>
      <c r="R5" s="109">
        <v>144.32</v>
      </c>
      <c r="S5" s="170" t="s">
        <v>22</v>
      </c>
      <c r="T5" s="217"/>
      <c r="U5" s="340" t="s">
        <v>662</v>
      </c>
    </row>
    <row r="6">
      <c r="A6" s="335">
        <v>241117.0</v>
      </c>
      <c r="B6" s="170" t="s">
        <v>1251</v>
      </c>
      <c r="C6" s="170" t="s">
        <v>1252</v>
      </c>
      <c r="D6" s="106">
        <v>58.0</v>
      </c>
      <c r="E6" s="106">
        <v>56.0</v>
      </c>
      <c r="F6" s="106">
        <v>6.0</v>
      </c>
      <c r="G6" s="105">
        <v>0.107</v>
      </c>
      <c r="H6" s="109" t="s">
        <v>43</v>
      </c>
      <c r="I6" s="336"/>
      <c r="J6" s="106">
        <v>54.63</v>
      </c>
      <c r="K6" s="106">
        <v>35.78</v>
      </c>
      <c r="L6" s="106">
        <v>153.94</v>
      </c>
      <c r="M6" s="106">
        <v>154.63</v>
      </c>
      <c r="N6" s="170" t="s">
        <v>1249</v>
      </c>
      <c r="O6" s="106">
        <v>54.53</v>
      </c>
      <c r="P6" s="106">
        <v>35.68</v>
      </c>
      <c r="Q6" s="106">
        <v>153.48</v>
      </c>
      <c r="R6" s="106">
        <v>154.13</v>
      </c>
      <c r="S6" s="170" t="s">
        <v>22</v>
      </c>
      <c r="T6" s="214"/>
      <c r="U6" s="337" t="s">
        <v>662</v>
      </c>
    </row>
    <row r="7">
      <c r="A7" s="338">
        <v>148906.0</v>
      </c>
      <c r="B7" s="173" t="s">
        <v>1253</v>
      </c>
      <c r="C7" s="173" t="s">
        <v>1254</v>
      </c>
      <c r="D7" s="109">
        <v>20.0</v>
      </c>
      <c r="E7" s="109">
        <v>19.0</v>
      </c>
      <c r="F7" s="109">
        <v>5.0</v>
      </c>
      <c r="G7" s="103">
        <v>0.263</v>
      </c>
      <c r="H7" s="109" t="s">
        <v>43</v>
      </c>
      <c r="I7" s="339"/>
      <c r="J7" s="109">
        <v>49.62</v>
      </c>
      <c r="K7" s="109">
        <v>39.36</v>
      </c>
      <c r="L7" s="109">
        <v>147.47</v>
      </c>
      <c r="M7" s="109">
        <v>147.47</v>
      </c>
      <c r="N7" s="170" t="s">
        <v>1249</v>
      </c>
      <c r="O7" s="109">
        <v>49.2</v>
      </c>
      <c r="P7" s="109">
        <v>39.2</v>
      </c>
      <c r="Q7" s="109">
        <v>146.56</v>
      </c>
      <c r="R7" s="109">
        <v>146.89</v>
      </c>
      <c r="S7" s="170" t="s">
        <v>22</v>
      </c>
      <c r="T7" s="217"/>
      <c r="U7" s="340" t="s">
        <v>662</v>
      </c>
    </row>
    <row r="8">
      <c r="A8" s="335">
        <v>227533.0</v>
      </c>
      <c r="B8" s="170" t="s">
        <v>1255</v>
      </c>
      <c r="C8" s="170" t="s">
        <v>1256</v>
      </c>
      <c r="D8" s="106">
        <v>95.0</v>
      </c>
      <c r="E8" s="106">
        <v>93.0</v>
      </c>
      <c r="F8" s="106">
        <v>5.0</v>
      </c>
      <c r="G8" s="105">
        <v>0.054</v>
      </c>
      <c r="H8" s="106" t="s">
        <v>43</v>
      </c>
      <c r="I8" s="336"/>
      <c r="J8" s="106">
        <v>51.32</v>
      </c>
      <c r="K8" s="106">
        <v>43.3</v>
      </c>
      <c r="L8" s="106">
        <v>154.74</v>
      </c>
      <c r="M8" s="106">
        <v>154.7</v>
      </c>
      <c r="N8" s="170" t="s">
        <v>1249</v>
      </c>
      <c r="O8" s="106">
        <v>51.22</v>
      </c>
      <c r="P8" s="106">
        <v>43.1</v>
      </c>
      <c r="Q8" s="106">
        <v>154.25</v>
      </c>
      <c r="R8" s="106">
        <v>154.26</v>
      </c>
      <c r="S8" s="170" t="s">
        <v>22</v>
      </c>
      <c r="T8" s="214"/>
      <c r="U8" s="337" t="s">
        <v>662</v>
      </c>
    </row>
    <row r="9">
      <c r="A9" s="338">
        <v>239839.0</v>
      </c>
      <c r="B9" s="173" t="s">
        <v>1083</v>
      </c>
      <c r="C9" s="173" t="s">
        <v>103</v>
      </c>
      <c r="D9" s="109">
        <v>37.0</v>
      </c>
      <c r="E9" s="109">
        <v>30.0</v>
      </c>
      <c r="F9" s="109">
        <v>5.0</v>
      </c>
      <c r="G9" s="103">
        <v>0.167</v>
      </c>
      <c r="H9" s="109" t="s">
        <v>19</v>
      </c>
      <c r="I9" s="339"/>
      <c r="J9" s="109">
        <v>53.21</v>
      </c>
      <c r="K9" s="109">
        <v>35.6</v>
      </c>
      <c r="L9" s="109">
        <v>152.44</v>
      </c>
      <c r="M9" s="109">
        <v>152.42</v>
      </c>
      <c r="N9" s="170" t="s">
        <v>1249</v>
      </c>
      <c r="O9" s="109">
        <v>53.51</v>
      </c>
      <c r="P9" s="109">
        <v>35.79</v>
      </c>
      <c r="Q9" s="109">
        <v>153.28</v>
      </c>
      <c r="R9" s="109">
        <v>153.26</v>
      </c>
      <c r="S9" s="170" t="s">
        <v>22</v>
      </c>
      <c r="T9" s="217"/>
      <c r="U9" s="340" t="s">
        <v>662</v>
      </c>
    </row>
    <row r="10">
      <c r="A10" s="335">
        <v>241121.0</v>
      </c>
      <c r="B10" s="170" t="s">
        <v>1257</v>
      </c>
      <c r="C10" s="170" t="s">
        <v>1258</v>
      </c>
      <c r="D10" s="106">
        <v>21.0</v>
      </c>
      <c r="E10" s="106">
        <v>20.0</v>
      </c>
      <c r="F10" s="106">
        <v>5.0</v>
      </c>
      <c r="G10" s="105">
        <v>0.25</v>
      </c>
      <c r="H10" s="106" t="s">
        <v>43</v>
      </c>
      <c r="I10" s="336"/>
      <c r="J10" s="106">
        <v>53.91</v>
      </c>
      <c r="K10" s="106">
        <v>50.11</v>
      </c>
      <c r="L10" s="106">
        <v>165.67</v>
      </c>
      <c r="M10" s="106">
        <v>166.21</v>
      </c>
      <c r="N10" s="170" t="s">
        <v>1249</v>
      </c>
      <c r="O10" s="106">
        <v>53.5</v>
      </c>
      <c r="P10" s="106">
        <v>49.95</v>
      </c>
      <c r="Q10" s="106">
        <v>164.7</v>
      </c>
      <c r="R10" s="106">
        <v>164.95</v>
      </c>
      <c r="S10" s="170" t="s">
        <v>22</v>
      </c>
      <c r="T10" s="214"/>
      <c r="U10" s="337" t="s">
        <v>662</v>
      </c>
    </row>
    <row r="11">
      <c r="A11" s="338">
        <v>134949.0</v>
      </c>
      <c r="B11" s="173" t="s">
        <v>1072</v>
      </c>
      <c r="C11" s="173" t="s">
        <v>46</v>
      </c>
      <c r="D11" s="109">
        <v>29.0</v>
      </c>
      <c r="E11" s="109">
        <v>23.0</v>
      </c>
      <c r="F11" s="109">
        <v>4.0</v>
      </c>
      <c r="G11" s="103">
        <v>0.174</v>
      </c>
      <c r="H11" s="109" t="s">
        <v>19</v>
      </c>
      <c r="I11" s="339"/>
      <c r="J11" s="10">
        <v>56.15</v>
      </c>
      <c r="K11" s="10">
        <v>45.43</v>
      </c>
      <c r="L11" s="10">
        <v>169.6</v>
      </c>
      <c r="M11" s="10">
        <v>169.6</v>
      </c>
      <c r="N11" s="170" t="s">
        <v>21</v>
      </c>
      <c r="O11" s="10">
        <v>56.59</v>
      </c>
      <c r="P11" s="10">
        <v>45.5</v>
      </c>
      <c r="Q11" s="10">
        <v>170.54</v>
      </c>
      <c r="R11" s="10">
        <v>170.54</v>
      </c>
      <c r="S11" s="170" t="s">
        <v>22</v>
      </c>
      <c r="T11" s="217"/>
      <c r="U11" s="340" t="s">
        <v>694</v>
      </c>
    </row>
    <row r="12">
      <c r="A12" s="335">
        <v>143018.0</v>
      </c>
      <c r="B12" s="170" t="s">
        <v>1117</v>
      </c>
      <c r="C12" s="170" t="s">
        <v>1116</v>
      </c>
      <c r="D12" s="106">
        <v>33.0</v>
      </c>
      <c r="E12" s="106">
        <v>31.0</v>
      </c>
      <c r="F12" s="106">
        <v>4.0</v>
      </c>
      <c r="G12" s="105">
        <v>0.129</v>
      </c>
      <c r="H12" s="106" t="s">
        <v>25</v>
      </c>
      <c r="I12" s="336"/>
      <c r="J12" s="106">
        <v>49.82</v>
      </c>
      <c r="K12" s="106">
        <v>32.39</v>
      </c>
      <c r="L12" s="106">
        <v>137.62</v>
      </c>
      <c r="M12" s="106">
        <v>137.62</v>
      </c>
      <c r="N12" s="170" t="s">
        <v>1249</v>
      </c>
      <c r="O12" s="336"/>
      <c r="P12" s="336"/>
      <c r="Q12" s="336"/>
      <c r="R12" s="336"/>
      <c r="S12" s="214"/>
      <c r="T12" s="214"/>
      <c r="U12" s="337" t="s">
        <v>694</v>
      </c>
    </row>
    <row r="13">
      <c r="A13" s="338">
        <v>146619.0</v>
      </c>
      <c r="B13" s="173" t="s">
        <v>1259</v>
      </c>
      <c r="C13" s="173" t="s">
        <v>49</v>
      </c>
      <c r="D13" s="109">
        <v>25.0</v>
      </c>
      <c r="E13" s="109">
        <v>25.0</v>
      </c>
      <c r="F13" s="109">
        <v>4.0</v>
      </c>
      <c r="G13" s="103">
        <v>0.16</v>
      </c>
      <c r="H13" s="109" t="s">
        <v>19</v>
      </c>
      <c r="I13" s="339"/>
      <c r="J13" s="109">
        <v>49.07</v>
      </c>
      <c r="K13" s="109">
        <v>43.77</v>
      </c>
      <c r="L13" s="109">
        <v>151.3</v>
      </c>
      <c r="M13" s="109">
        <v>151.3</v>
      </c>
      <c r="N13" s="170" t="s">
        <v>1249</v>
      </c>
      <c r="O13" s="173">
        <v>49.3</v>
      </c>
      <c r="P13" s="109">
        <v>43.97</v>
      </c>
      <c r="Q13" s="109">
        <v>152.0</v>
      </c>
      <c r="R13" s="109">
        <v>147.27</v>
      </c>
      <c r="S13" s="170" t="s">
        <v>22</v>
      </c>
      <c r="T13" s="217"/>
      <c r="U13" s="340" t="s">
        <v>662</v>
      </c>
    </row>
    <row r="14">
      <c r="A14" s="335">
        <v>213182.0</v>
      </c>
      <c r="B14" s="170" t="s">
        <v>1260</v>
      </c>
      <c r="C14" s="170" t="s">
        <v>1261</v>
      </c>
      <c r="D14" s="106">
        <v>26.0</v>
      </c>
      <c r="E14" s="106">
        <v>25.0</v>
      </c>
      <c r="F14" s="106">
        <v>4.0</v>
      </c>
      <c r="G14" s="105">
        <v>0.16</v>
      </c>
      <c r="H14" s="106" t="s">
        <v>43</v>
      </c>
      <c r="I14" s="336"/>
      <c r="J14" s="106">
        <v>54.98</v>
      </c>
      <c r="K14" s="106">
        <v>39.69</v>
      </c>
      <c r="L14" s="106">
        <v>160.88</v>
      </c>
      <c r="M14" s="106">
        <v>161.33</v>
      </c>
      <c r="N14" s="170" t="s">
        <v>1249</v>
      </c>
      <c r="O14" s="106">
        <v>54.8</v>
      </c>
      <c r="P14" s="106">
        <v>39.5</v>
      </c>
      <c r="Q14" s="106">
        <v>160.04</v>
      </c>
      <c r="R14" s="106">
        <v>159.94</v>
      </c>
      <c r="S14" s="170" t="s">
        <v>22</v>
      </c>
      <c r="T14" s="214"/>
      <c r="U14" s="337" t="s">
        <v>662</v>
      </c>
    </row>
    <row r="15">
      <c r="A15" s="338">
        <v>220126.0</v>
      </c>
      <c r="B15" s="173" t="s">
        <v>1262</v>
      </c>
      <c r="C15" s="173" t="s">
        <v>888</v>
      </c>
      <c r="D15" s="109">
        <v>42.0</v>
      </c>
      <c r="E15" s="109">
        <v>39.0</v>
      </c>
      <c r="F15" s="109">
        <v>4.0</v>
      </c>
      <c r="G15" s="103">
        <v>0.103</v>
      </c>
      <c r="H15" s="109" t="s">
        <v>43</v>
      </c>
      <c r="I15" s="339"/>
      <c r="J15" s="109">
        <v>53.11</v>
      </c>
      <c r="K15" s="109">
        <v>31.89</v>
      </c>
      <c r="L15" s="109">
        <v>147.66</v>
      </c>
      <c r="M15" s="109">
        <v>147.52</v>
      </c>
      <c r="N15" s="170" t="s">
        <v>1249</v>
      </c>
      <c r="O15" s="109">
        <v>52.89</v>
      </c>
      <c r="P15" s="109">
        <v>31.71</v>
      </c>
      <c r="Q15" s="109">
        <v>146.56</v>
      </c>
      <c r="R15" s="109">
        <v>146.71</v>
      </c>
      <c r="S15" s="170" t="s">
        <v>22</v>
      </c>
      <c r="T15" s="217"/>
      <c r="U15" s="340" t="s">
        <v>662</v>
      </c>
    </row>
    <row r="16">
      <c r="A16" s="335">
        <v>225336.0</v>
      </c>
      <c r="B16" s="170" t="s">
        <v>1103</v>
      </c>
      <c r="C16" s="170" t="s">
        <v>195</v>
      </c>
      <c r="D16" s="106">
        <v>16.0</v>
      </c>
      <c r="E16" s="106">
        <v>13.0</v>
      </c>
      <c r="F16" s="106">
        <v>4.0</v>
      </c>
      <c r="G16" s="105">
        <v>0.308</v>
      </c>
      <c r="H16" s="106" t="s">
        <v>19</v>
      </c>
      <c r="I16" s="336"/>
      <c r="J16" s="106">
        <v>47.76</v>
      </c>
      <c r="K16" s="106">
        <v>41.5</v>
      </c>
      <c r="L16" s="106">
        <v>144.83</v>
      </c>
      <c r="M16" s="106">
        <v>144.92</v>
      </c>
      <c r="N16" s="170" t="s">
        <v>1249</v>
      </c>
      <c r="O16" s="106">
        <v>48.1</v>
      </c>
      <c r="P16" s="106">
        <v>41.81</v>
      </c>
      <c r="Q16" s="106">
        <v>145.87</v>
      </c>
      <c r="R16" s="106">
        <v>145.73</v>
      </c>
      <c r="S16" s="170" t="s">
        <v>22</v>
      </c>
      <c r="T16" s="214"/>
      <c r="U16" s="337" t="s">
        <v>662</v>
      </c>
    </row>
    <row r="17">
      <c r="A17" s="338">
        <v>236135.0</v>
      </c>
      <c r="B17" s="173" t="s">
        <v>1263</v>
      </c>
      <c r="C17" s="173" t="s">
        <v>1264</v>
      </c>
      <c r="D17" s="109">
        <v>41.0</v>
      </c>
      <c r="E17" s="109">
        <v>42.0</v>
      </c>
      <c r="F17" s="109">
        <v>4.0</v>
      </c>
      <c r="G17" s="103">
        <v>0.095</v>
      </c>
      <c r="H17" s="109" t="s">
        <v>43</v>
      </c>
      <c r="I17" s="339"/>
      <c r="J17" s="109">
        <v>50.1</v>
      </c>
      <c r="K17" s="109">
        <v>38.81</v>
      </c>
      <c r="L17" s="109">
        <v>148.89</v>
      </c>
      <c r="M17" s="109">
        <v>148.54</v>
      </c>
      <c r="N17" s="170" t="s">
        <v>1249</v>
      </c>
      <c r="O17" s="109">
        <v>49.8</v>
      </c>
      <c r="P17" s="109">
        <v>38.6</v>
      </c>
      <c r="Q17" s="109">
        <v>148.05</v>
      </c>
      <c r="R17" s="109">
        <v>148.08</v>
      </c>
      <c r="S17" s="170" t="s">
        <v>22</v>
      </c>
      <c r="T17" s="217"/>
      <c r="U17" s="340" t="s">
        <v>662</v>
      </c>
    </row>
    <row r="18">
      <c r="A18" s="335">
        <v>236146.0</v>
      </c>
      <c r="B18" s="170" t="s">
        <v>1265</v>
      </c>
      <c r="C18" s="170" t="s">
        <v>1266</v>
      </c>
      <c r="D18" s="106">
        <v>22.0</v>
      </c>
      <c r="E18" s="106">
        <v>23.0</v>
      </c>
      <c r="F18" s="106">
        <v>4.0</v>
      </c>
      <c r="G18" s="105">
        <v>0.174</v>
      </c>
      <c r="H18" s="106" t="s">
        <v>43</v>
      </c>
      <c r="I18" s="336"/>
      <c r="J18" s="106">
        <v>53.38</v>
      </c>
      <c r="K18" s="106">
        <v>40.27</v>
      </c>
      <c r="L18" s="106">
        <v>155.8</v>
      </c>
      <c r="M18" s="106">
        <v>155.8</v>
      </c>
      <c r="N18" s="170" t="s">
        <v>1249</v>
      </c>
      <c r="O18" s="106">
        <v>53.11</v>
      </c>
      <c r="P18" s="106">
        <v>40.1</v>
      </c>
      <c r="Q18" s="106">
        <v>154.87</v>
      </c>
      <c r="R18" s="106">
        <v>154.82</v>
      </c>
      <c r="S18" s="170" t="s">
        <v>22</v>
      </c>
      <c r="T18" s="214"/>
      <c r="U18" s="337" t="s">
        <v>662</v>
      </c>
    </row>
    <row r="19">
      <c r="A19" s="338">
        <v>237931.0</v>
      </c>
      <c r="B19" s="173" t="s">
        <v>1267</v>
      </c>
      <c r="C19" s="173" t="s">
        <v>1268</v>
      </c>
      <c r="D19" s="109">
        <v>29.0</v>
      </c>
      <c r="E19" s="109">
        <v>27.0</v>
      </c>
      <c r="F19" s="109">
        <v>4.0</v>
      </c>
      <c r="G19" s="103">
        <v>0.148</v>
      </c>
      <c r="H19" s="109" t="s">
        <v>405</v>
      </c>
      <c r="I19" s="339"/>
      <c r="J19" s="339"/>
      <c r="K19" s="339"/>
      <c r="L19" s="339"/>
      <c r="M19" s="339"/>
      <c r="N19" s="170" t="s">
        <v>990</v>
      </c>
      <c r="O19" s="339"/>
      <c r="P19" s="339"/>
      <c r="Q19" s="339"/>
      <c r="R19" s="339"/>
      <c r="S19" s="214"/>
      <c r="T19" s="217"/>
      <c r="U19" s="340" t="s">
        <v>694</v>
      </c>
    </row>
    <row r="20">
      <c r="A20" s="335">
        <v>238583.0</v>
      </c>
      <c r="B20" s="170" t="s">
        <v>1269</v>
      </c>
      <c r="C20" s="170" t="s">
        <v>1270</v>
      </c>
      <c r="D20" s="106">
        <v>56.0</v>
      </c>
      <c r="E20" s="106">
        <v>54.0</v>
      </c>
      <c r="F20" s="106">
        <v>4.0</v>
      </c>
      <c r="G20" s="105">
        <v>0.074</v>
      </c>
      <c r="H20" s="106" t="s">
        <v>43</v>
      </c>
      <c r="I20" s="336"/>
      <c r="J20" s="106">
        <v>51.44</v>
      </c>
      <c r="K20" s="106">
        <v>37.02</v>
      </c>
      <c r="L20" s="106">
        <v>149.4</v>
      </c>
      <c r="M20" s="106">
        <v>149.61</v>
      </c>
      <c r="N20" s="170" t="s">
        <v>1249</v>
      </c>
      <c r="O20" s="170">
        <v>51.25</v>
      </c>
      <c r="P20" s="106">
        <v>36.8</v>
      </c>
      <c r="Q20" s="106">
        <v>148.58</v>
      </c>
      <c r="R20" s="106">
        <v>148.78</v>
      </c>
      <c r="S20" s="170" t="s">
        <v>22</v>
      </c>
      <c r="T20" s="214"/>
      <c r="U20" s="337" t="s">
        <v>662</v>
      </c>
    </row>
    <row r="21">
      <c r="A21" s="338">
        <v>238584.0</v>
      </c>
      <c r="B21" s="173" t="s">
        <v>1271</v>
      </c>
      <c r="C21" s="173" t="s">
        <v>1272</v>
      </c>
      <c r="D21" s="109">
        <v>42.0</v>
      </c>
      <c r="E21" s="109">
        <v>39.0</v>
      </c>
      <c r="F21" s="109">
        <v>4.0</v>
      </c>
      <c r="G21" s="103">
        <v>0.103</v>
      </c>
      <c r="H21" s="109" t="s">
        <v>43</v>
      </c>
      <c r="I21" s="339"/>
      <c r="J21" s="109">
        <v>51.41</v>
      </c>
      <c r="K21" s="109">
        <v>37.04</v>
      </c>
      <c r="L21" s="109">
        <v>149.55</v>
      </c>
      <c r="M21" s="109">
        <v>149.78</v>
      </c>
      <c r="N21" s="170" t="s">
        <v>1249</v>
      </c>
      <c r="O21" s="109">
        <v>51.2</v>
      </c>
      <c r="P21" s="109">
        <v>36.75</v>
      </c>
      <c r="Q21" s="109">
        <v>148.58</v>
      </c>
      <c r="R21" s="109">
        <v>148.66</v>
      </c>
      <c r="S21" s="170" t="s">
        <v>22</v>
      </c>
      <c r="T21" s="217"/>
      <c r="U21" s="340" t="s">
        <v>662</v>
      </c>
    </row>
    <row r="22">
      <c r="A22" s="335">
        <v>241115.0</v>
      </c>
      <c r="B22" s="170" t="s">
        <v>1273</v>
      </c>
      <c r="C22" s="170" t="s">
        <v>1274</v>
      </c>
      <c r="D22" s="106">
        <v>31.0</v>
      </c>
      <c r="E22" s="106">
        <v>32.0</v>
      </c>
      <c r="F22" s="106">
        <v>4.0</v>
      </c>
      <c r="G22" s="105">
        <v>0.125</v>
      </c>
      <c r="H22" s="106" t="s">
        <v>43</v>
      </c>
      <c r="I22" s="336"/>
      <c r="J22" s="106">
        <v>55.64</v>
      </c>
      <c r="K22" s="106">
        <v>34.93</v>
      </c>
      <c r="L22" s="106">
        <v>150.59</v>
      </c>
      <c r="M22" s="106">
        <v>150.16</v>
      </c>
      <c r="N22" s="170" t="s">
        <v>1249</v>
      </c>
      <c r="O22" s="106">
        <v>55.31</v>
      </c>
      <c r="P22" s="106">
        <v>34.8</v>
      </c>
      <c r="Q22" s="106">
        <v>149.76</v>
      </c>
      <c r="R22" s="106">
        <v>149.68</v>
      </c>
      <c r="S22" s="170" t="s">
        <v>22</v>
      </c>
      <c r="T22" s="214"/>
      <c r="U22" s="337" t="s">
        <v>662</v>
      </c>
    </row>
    <row r="23">
      <c r="A23" s="338">
        <v>241117.0</v>
      </c>
      <c r="B23" s="173" t="s">
        <v>1275</v>
      </c>
      <c r="C23" s="173" t="s">
        <v>1276</v>
      </c>
      <c r="D23" s="109">
        <v>33.0</v>
      </c>
      <c r="E23" s="109">
        <v>34.0</v>
      </c>
      <c r="F23" s="109">
        <v>4.0</v>
      </c>
      <c r="G23" s="103">
        <v>0.118</v>
      </c>
      <c r="H23" s="109" t="s">
        <v>43</v>
      </c>
      <c r="I23" s="339"/>
      <c r="J23" s="109">
        <v>54.63</v>
      </c>
      <c r="K23" s="109">
        <v>35.97</v>
      </c>
      <c r="L23" s="109">
        <v>153.83</v>
      </c>
      <c r="M23" s="109">
        <v>154.19</v>
      </c>
      <c r="N23" s="170" t="s">
        <v>1249</v>
      </c>
      <c r="O23" s="109">
        <v>54.5</v>
      </c>
      <c r="P23" s="109">
        <v>35.75</v>
      </c>
      <c r="Q23" s="109">
        <v>153.07</v>
      </c>
      <c r="R23" s="109">
        <v>153.48</v>
      </c>
      <c r="S23" s="170" t="s">
        <v>22</v>
      </c>
      <c r="T23" s="217"/>
      <c r="U23" s="340" t="s">
        <v>662</v>
      </c>
    </row>
    <row r="24">
      <c r="A24" s="335">
        <v>241285.0</v>
      </c>
      <c r="B24" s="170" t="s">
        <v>1277</v>
      </c>
      <c r="C24" s="170" t="s">
        <v>1278</v>
      </c>
      <c r="D24" s="106">
        <v>29.0</v>
      </c>
      <c r="E24" s="106">
        <v>26.0</v>
      </c>
      <c r="F24" s="106">
        <v>4.0</v>
      </c>
      <c r="G24" s="105">
        <v>0.154</v>
      </c>
      <c r="H24" s="106" t="s">
        <v>25</v>
      </c>
      <c r="I24" s="336"/>
      <c r="J24" s="336"/>
      <c r="K24" s="336"/>
      <c r="L24" s="336"/>
      <c r="M24" s="336"/>
      <c r="N24" s="170" t="s">
        <v>990</v>
      </c>
      <c r="O24" s="336"/>
      <c r="P24" s="336"/>
      <c r="Q24" s="336"/>
      <c r="R24" s="336"/>
      <c r="S24" s="214"/>
      <c r="T24" s="214"/>
      <c r="U24" s="337" t="s">
        <v>694</v>
      </c>
    </row>
  </sheetData>
  <dataValidations>
    <dataValidation type="list" allowBlank="1" showErrorMessage="1" sqref="N2:N24">
      <formula1>"MANUALLY,TRACING"</formula1>
    </dataValidation>
    <dataValidation type="list" allowBlank="1" showErrorMessage="1" sqref="S2:S24">
      <formula1>"ANJALI,SIMRAN,AMIRUN,DHAVAL,DEEPANSHU"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88"/>
  </cols>
  <sheetData>
    <row r="1">
      <c r="A1" s="21"/>
      <c r="B1" s="341" t="s">
        <v>1</v>
      </c>
      <c r="C1" s="342" t="s">
        <v>2</v>
      </c>
      <c r="D1" s="342" t="s">
        <v>678</v>
      </c>
      <c r="E1" s="342" t="s">
        <v>657</v>
      </c>
      <c r="F1" s="342" t="s">
        <v>658</v>
      </c>
      <c r="G1" s="342" t="s">
        <v>659</v>
      </c>
      <c r="H1" s="342" t="s">
        <v>660</v>
      </c>
      <c r="I1" s="5" t="s">
        <v>4</v>
      </c>
      <c r="J1" s="5" t="s">
        <v>5</v>
      </c>
      <c r="K1" s="7" t="s">
        <v>7</v>
      </c>
      <c r="L1" s="8" t="s">
        <v>8</v>
      </c>
      <c r="M1" s="8" t="s">
        <v>9</v>
      </c>
      <c r="N1" s="8" t="s">
        <v>10</v>
      </c>
      <c r="O1" s="8" t="s">
        <v>11</v>
      </c>
      <c r="P1" s="8" t="s">
        <v>12</v>
      </c>
      <c r="Q1" s="7" t="s">
        <v>13</v>
      </c>
      <c r="R1" s="8" t="s">
        <v>14</v>
      </c>
      <c r="S1" s="8" t="s">
        <v>15</v>
      </c>
      <c r="T1" s="5" t="s">
        <v>17</v>
      </c>
      <c r="U1" s="7" t="s">
        <v>16</v>
      </c>
      <c r="V1" s="343" t="s">
        <v>1176</v>
      </c>
    </row>
    <row r="2">
      <c r="A2" s="15"/>
      <c r="B2" s="239">
        <v>227571.0</v>
      </c>
      <c r="C2" s="152" t="s">
        <v>1094</v>
      </c>
      <c r="D2" s="152" t="s">
        <v>94</v>
      </c>
      <c r="E2" s="153">
        <v>28.0</v>
      </c>
      <c r="F2" s="153">
        <v>24.0</v>
      </c>
      <c r="G2" s="153">
        <v>19.0</v>
      </c>
      <c r="H2" s="154">
        <v>0.792</v>
      </c>
      <c r="I2" s="152" t="s">
        <v>19</v>
      </c>
      <c r="J2" s="152">
        <v>71.1</v>
      </c>
      <c r="K2" s="152">
        <v>50.2</v>
      </c>
      <c r="L2" s="152">
        <v>41.8</v>
      </c>
      <c r="M2" s="152">
        <v>152.73</v>
      </c>
      <c r="N2" s="152">
        <v>151.37</v>
      </c>
      <c r="O2" s="152" t="s">
        <v>1249</v>
      </c>
      <c r="P2" s="152">
        <v>50.3</v>
      </c>
      <c r="Q2" s="152">
        <v>41.96</v>
      </c>
      <c r="R2" s="152">
        <v>153.16</v>
      </c>
      <c r="S2" s="152">
        <v>151.95</v>
      </c>
      <c r="T2" s="152" t="s">
        <v>26</v>
      </c>
      <c r="U2" s="198"/>
      <c r="V2" s="344" t="s">
        <v>662</v>
      </c>
    </row>
    <row r="3">
      <c r="A3" s="15">
        <v>46198.739506990736</v>
      </c>
      <c r="B3" s="241">
        <v>211307.0</v>
      </c>
      <c r="C3" s="156" t="s">
        <v>1057</v>
      </c>
      <c r="D3" s="156" t="s">
        <v>1056</v>
      </c>
      <c r="E3" s="157">
        <v>213.0</v>
      </c>
      <c r="F3" s="157">
        <v>202.0</v>
      </c>
      <c r="G3" s="157">
        <v>14.0</v>
      </c>
      <c r="H3" s="158">
        <v>0.069</v>
      </c>
      <c r="I3" s="156" t="s">
        <v>19</v>
      </c>
      <c r="J3" s="156">
        <v>7.2</v>
      </c>
      <c r="K3" s="156">
        <v>52.57</v>
      </c>
      <c r="L3" s="156">
        <v>37.68</v>
      </c>
      <c r="M3" s="156">
        <v>145.43</v>
      </c>
      <c r="N3" s="156">
        <v>145.37</v>
      </c>
      <c r="O3" s="156" t="s">
        <v>1249</v>
      </c>
      <c r="P3" s="156">
        <v>52.66</v>
      </c>
      <c r="Q3" s="156">
        <v>37.77</v>
      </c>
      <c r="R3" s="156">
        <v>145.72</v>
      </c>
      <c r="S3" s="156">
        <v>145.59</v>
      </c>
      <c r="T3" s="156" t="s">
        <v>26</v>
      </c>
      <c r="U3" s="200"/>
      <c r="V3" s="345" t="s">
        <v>662</v>
      </c>
    </row>
    <row r="4">
      <c r="A4" s="15">
        <v>46198.743117453705</v>
      </c>
      <c r="B4" s="239">
        <v>241091.0</v>
      </c>
      <c r="C4" s="152" t="s">
        <v>1107</v>
      </c>
      <c r="D4" s="152" t="s">
        <v>1106</v>
      </c>
      <c r="E4" s="153">
        <v>54.0</v>
      </c>
      <c r="F4" s="153">
        <v>46.0</v>
      </c>
      <c r="G4" s="153">
        <v>10.0</v>
      </c>
      <c r="H4" s="154">
        <v>0.217</v>
      </c>
      <c r="I4" s="152" t="s">
        <v>43</v>
      </c>
      <c r="J4" s="152">
        <v>12.7</v>
      </c>
      <c r="K4" s="152">
        <v>53.6</v>
      </c>
      <c r="L4" s="152">
        <v>43.16</v>
      </c>
      <c r="M4" s="152">
        <v>159.87</v>
      </c>
      <c r="N4" s="152">
        <v>160.29</v>
      </c>
      <c r="O4" s="152" t="s">
        <v>1249</v>
      </c>
      <c r="P4" s="152">
        <v>53.49</v>
      </c>
      <c r="Q4" s="152">
        <v>43.05</v>
      </c>
      <c r="R4" s="152">
        <v>159.5</v>
      </c>
      <c r="S4" s="152">
        <v>159.9</v>
      </c>
      <c r="T4" s="152" t="s">
        <v>26</v>
      </c>
      <c r="U4" s="198"/>
      <c r="V4" s="344" t="s">
        <v>662</v>
      </c>
    </row>
    <row r="5">
      <c r="B5" s="241">
        <v>134949.0</v>
      </c>
      <c r="C5" s="156" t="s">
        <v>1034</v>
      </c>
      <c r="D5" s="156" t="s">
        <v>1033</v>
      </c>
      <c r="E5" s="157">
        <v>18.0</v>
      </c>
      <c r="F5" s="157">
        <v>18.0</v>
      </c>
      <c r="G5" s="157">
        <v>9.0</v>
      </c>
      <c r="H5" s="158">
        <v>0.5</v>
      </c>
      <c r="I5" s="156" t="s">
        <v>19</v>
      </c>
      <c r="J5" s="156">
        <v>24.0</v>
      </c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345" t="s">
        <v>1279</v>
      </c>
    </row>
    <row r="6">
      <c r="A6" s="15">
        <v>46198.875070497685</v>
      </c>
      <c r="B6" s="239">
        <v>224849.0</v>
      </c>
      <c r="C6" s="152" t="s">
        <v>1137</v>
      </c>
      <c r="D6" s="152" t="s">
        <v>1136</v>
      </c>
      <c r="E6" s="153">
        <v>83.0</v>
      </c>
      <c r="F6" s="153">
        <v>74.0</v>
      </c>
      <c r="G6" s="153">
        <v>9.0</v>
      </c>
      <c r="H6" s="154">
        <v>0.122</v>
      </c>
      <c r="I6" s="152" t="s">
        <v>43</v>
      </c>
      <c r="J6" s="152">
        <v>7.1</v>
      </c>
      <c r="K6" s="152">
        <v>54.0</v>
      </c>
      <c r="L6" s="152">
        <v>42.2</v>
      </c>
      <c r="M6" s="152">
        <v>160.83</v>
      </c>
      <c r="N6" s="152">
        <v>160.56</v>
      </c>
      <c r="O6" s="152" t="s">
        <v>1249</v>
      </c>
      <c r="P6" s="152">
        <v>54.15</v>
      </c>
      <c r="Q6" s="152">
        <v>42.3</v>
      </c>
      <c r="R6" s="152">
        <v>161.23</v>
      </c>
      <c r="S6" s="152">
        <v>160.85</v>
      </c>
      <c r="T6" s="152" t="s">
        <v>1280</v>
      </c>
      <c r="U6" s="198"/>
      <c r="V6" s="344" t="s">
        <v>662</v>
      </c>
    </row>
    <row r="7">
      <c r="A7" s="15">
        <v>46198.87630314815</v>
      </c>
      <c r="B7" s="241">
        <v>225336.0</v>
      </c>
      <c r="C7" s="156" t="s">
        <v>1098</v>
      </c>
      <c r="D7" s="156" t="s">
        <v>273</v>
      </c>
      <c r="E7" s="157">
        <v>13.0</v>
      </c>
      <c r="F7" s="157">
        <v>13.0</v>
      </c>
      <c r="G7" s="157">
        <v>9.0</v>
      </c>
      <c r="H7" s="158">
        <v>0.692</v>
      </c>
      <c r="I7" s="156" t="s">
        <v>19</v>
      </c>
      <c r="J7" s="156">
        <v>52.6</v>
      </c>
      <c r="K7" s="156">
        <v>47.5</v>
      </c>
      <c r="L7" s="156">
        <v>41.16</v>
      </c>
      <c r="M7" s="156">
        <v>143.78</v>
      </c>
      <c r="N7" s="156">
        <v>144.11</v>
      </c>
      <c r="O7" s="156" t="s">
        <v>1249</v>
      </c>
      <c r="P7" s="156">
        <v>47.6</v>
      </c>
      <c r="Q7" s="156">
        <v>41.24</v>
      </c>
      <c r="R7" s="156">
        <v>143.99</v>
      </c>
      <c r="S7" s="156">
        <v>144.44</v>
      </c>
      <c r="T7" s="156" t="s">
        <v>1280</v>
      </c>
      <c r="U7" s="200"/>
      <c r="V7" s="345" t="s">
        <v>662</v>
      </c>
    </row>
    <row r="8">
      <c r="B8" s="239">
        <v>134949.0</v>
      </c>
      <c r="C8" s="152" t="s">
        <v>1074</v>
      </c>
      <c r="D8" s="152" t="s">
        <v>1073</v>
      </c>
      <c r="E8" s="153">
        <v>41.0</v>
      </c>
      <c r="F8" s="153">
        <v>38.0</v>
      </c>
      <c r="G8" s="153">
        <v>8.0</v>
      </c>
      <c r="H8" s="154">
        <v>0.211</v>
      </c>
      <c r="I8" s="152" t="s">
        <v>43</v>
      </c>
      <c r="J8" s="152">
        <v>8.5</v>
      </c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344" t="s">
        <v>1279</v>
      </c>
      <c r="W8" s="21" t="s">
        <v>990</v>
      </c>
    </row>
    <row r="9">
      <c r="A9" s="15">
        <v>46198.87877635416</v>
      </c>
      <c r="B9" s="241">
        <v>228743.0</v>
      </c>
      <c r="C9" s="156" t="s">
        <v>1149</v>
      </c>
      <c r="D9" s="156" t="s">
        <v>1148</v>
      </c>
      <c r="E9" s="157">
        <v>103.0</v>
      </c>
      <c r="F9" s="157">
        <v>82.0</v>
      </c>
      <c r="G9" s="157">
        <v>7.0</v>
      </c>
      <c r="H9" s="158">
        <v>0.085</v>
      </c>
      <c r="I9" s="156" t="s">
        <v>43</v>
      </c>
      <c r="J9" s="156">
        <v>3.4</v>
      </c>
      <c r="K9" s="156">
        <v>52.45</v>
      </c>
      <c r="L9" s="156">
        <v>43.6</v>
      </c>
      <c r="M9" s="156">
        <v>161.87</v>
      </c>
      <c r="N9" s="156">
        <v>161.76</v>
      </c>
      <c r="O9" s="156" t="s">
        <v>1249</v>
      </c>
      <c r="P9" s="156">
        <v>52.39</v>
      </c>
      <c r="Q9" s="156">
        <v>43.5</v>
      </c>
      <c r="R9" s="156">
        <v>161.62</v>
      </c>
      <c r="S9" s="156">
        <v>161.5</v>
      </c>
      <c r="T9" s="156" t="s">
        <v>1280</v>
      </c>
      <c r="U9" s="200"/>
      <c r="V9" s="345" t="s">
        <v>662</v>
      </c>
    </row>
    <row r="10">
      <c r="A10" s="15">
        <v>46198.88021050926</v>
      </c>
      <c r="B10" s="239">
        <v>237933.0</v>
      </c>
      <c r="C10" s="152" t="s">
        <v>1100</v>
      </c>
      <c r="D10" s="152" t="s">
        <v>1099</v>
      </c>
      <c r="E10" s="153">
        <v>27.0</v>
      </c>
      <c r="F10" s="153">
        <v>15.0</v>
      </c>
      <c r="G10" s="153">
        <v>7.0</v>
      </c>
      <c r="H10" s="154">
        <v>0.467</v>
      </c>
      <c r="I10" s="152" t="s">
        <v>19</v>
      </c>
      <c r="J10" s="152">
        <v>20.1</v>
      </c>
      <c r="K10" s="152">
        <v>52.29</v>
      </c>
      <c r="L10" s="152">
        <v>35.46</v>
      </c>
      <c r="M10" s="152">
        <v>147.88</v>
      </c>
      <c r="N10" s="152">
        <v>147.89</v>
      </c>
      <c r="O10" s="152" t="s">
        <v>1249</v>
      </c>
      <c r="P10" s="152">
        <v>52.41</v>
      </c>
      <c r="Q10" s="152">
        <v>35.6</v>
      </c>
      <c r="R10" s="152">
        <v>148.32</v>
      </c>
      <c r="S10" s="152">
        <v>148.35</v>
      </c>
      <c r="T10" s="152" t="s">
        <v>1280</v>
      </c>
      <c r="U10" s="198"/>
      <c r="V10" s="344" t="s">
        <v>694</v>
      </c>
    </row>
    <row r="11">
      <c r="A11" s="15">
        <v>46198.883236423615</v>
      </c>
      <c r="B11" s="241">
        <v>241854.0</v>
      </c>
      <c r="C11" s="156" t="s">
        <v>1125</v>
      </c>
      <c r="D11" s="156" t="s">
        <v>1124</v>
      </c>
      <c r="E11" s="157">
        <v>54.0</v>
      </c>
      <c r="F11" s="157">
        <v>48.0</v>
      </c>
      <c r="G11" s="157">
        <v>7.0</v>
      </c>
      <c r="H11" s="158">
        <v>0.146</v>
      </c>
      <c r="I11" s="156" t="s">
        <v>19</v>
      </c>
      <c r="J11" s="156">
        <v>16.0</v>
      </c>
      <c r="K11" s="156">
        <v>50.54</v>
      </c>
      <c r="L11" s="156">
        <v>39.78</v>
      </c>
      <c r="M11" s="156">
        <v>152.21</v>
      </c>
      <c r="N11" s="156">
        <v>152.21</v>
      </c>
      <c r="O11" s="156" t="s">
        <v>1249</v>
      </c>
      <c r="P11" s="156">
        <v>50.65</v>
      </c>
      <c r="Q11" s="156">
        <v>39.9</v>
      </c>
      <c r="R11" s="156">
        <v>152.48</v>
      </c>
      <c r="S11" s="156">
        <v>152.48</v>
      </c>
      <c r="T11" s="156" t="s">
        <v>1280</v>
      </c>
      <c r="U11" s="200"/>
      <c r="V11" s="345" t="s">
        <v>662</v>
      </c>
    </row>
    <row r="12">
      <c r="A12" s="15">
        <v>46198.885580381946</v>
      </c>
      <c r="B12" s="239">
        <v>137971.0</v>
      </c>
      <c r="C12" s="152" t="s">
        <v>1050</v>
      </c>
      <c r="D12" s="152" t="s">
        <v>937</v>
      </c>
      <c r="E12" s="153">
        <v>109.0</v>
      </c>
      <c r="F12" s="153">
        <v>108.0</v>
      </c>
      <c r="G12" s="153">
        <v>6.0</v>
      </c>
      <c r="H12" s="154">
        <v>0.056</v>
      </c>
      <c r="I12" s="152" t="s">
        <v>43</v>
      </c>
      <c r="J12" s="152">
        <v>2.5</v>
      </c>
      <c r="K12" s="152">
        <v>52.6</v>
      </c>
      <c r="L12" s="152">
        <v>43.72</v>
      </c>
      <c r="M12" s="152">
        <v>157.42</v>
      </c>
      <c r="N12" s="152">
        <v>157.54</v>
      </c>
      <c r="O12" s="152" t="s">
        <v>1249</v>
      </c>
      <c r="P12" s="152">
        <v>52.54</v>
      </c>
      <c r="Q12" s="152">
        <v>43.66</v>
      </c>
      <c r="R12" s="152">
        <v>157.23</v>
      </c>
      <c r="S12" s="152">
        <v>157.2</v>
      </c>
      <c r="T12" s="152" t="s">
        <v>1280</v>
      </c>
      <c r="U12" s="198"/>
      <c r="V12" s="344" t="s">
        <v>662</v>
      </c>
    </row>
    <row r="13">
      <c r="A13" s="15">
        <v>46198.88705697916</v>
      </c>
      <c r="B13" s="241">
        <v>148157.0</v>
      </c>
      <c r="C13" s="156" t="s">
        <v>1059</v>
      </c>
      <c r="D13" s="156" t="s">
        <v>1058</v>
      </c>
      <c r="E13" s="157">
        <v>88.0</v>
      </c>
      <c r="F13" s="157">
        <v>82.0</v>
      </c>
      <c r="G13" s="157">
        <v>6.0</v>
      </c>
      <c r="H13" s="158">
        <v>0.073</v>
      </c>
      <c r="I13" s="156" t="s">
        <v>43</v>
      </c>
      <c r="J13" s="156">
        <v>3.6</v>
      </c>
      <c r="K13" s="156">
        <v>50.5</v>
      </c>
      <c r="L13" s="156">
        <v>45.05</v>
      </c>
      <c r="M13" s="156">
        <v>152.19</v>
      </c>
      <c r="N13" s="156">
        <v>152.11</v>
      </c>
      <c r="O13" s="156" t="s">
        <v>1249</v>
      </c>
      <c r="P13" s="156">
        <v>50.45</v>
      </c>
      <c r="Q13" s="156">
        <v>44.99</v>
      </c>
      <c r="R13" s="156">
        <v>152.04</v>
      </c>
      <c r="S13" s="156">
        <v>151.89</v>
      </c>
      <c r="T13" s="156" t="s">
        <v>1280</v>
      </c>
      <c r="U13" s="200"/>
      <c r="V13" s="345" t="s">
        <v>662</v>
      </c>
    </row>
    <row r="14">
      <c r="A14" s="15">
        <v>46200.89451424769</v>
      </c>
      <c r="B14" s="239">
        <v>217873.0</v>
      </c>
      <c r="C14" s="152" t="s">
        <v>1044</v>
      </c>
      <c r="D14" s="152" t="s">
        <v>902</v>
      </c>
      <c r="E14" s="153">
        <v>42.0</v>
      </c>
      <c r="F14" s="153">
        <v>39.0</v>
      </c>
      <c r="G14" s="153">
        <v>6.0</v>
      </c>
      <c r="H14" s="154">
        <v>0.154</v>
      </c>
      <c r="I14" s="152" t="s">
        <v>43</v>
      </c>
      <c r="J14" s="152">
        <v>7.5</v>
      </c>
      <c r="K14" s="152">
        <v>50.2</v>
      </c>
      <c r="L14" s="152">
        <v>40.4</v>
      </c>
      <c r="M14" s="152">
        <v>150.9</v>
      </c>
      <c r="N14" s="152">
        <v>151.1</v>
      </c>
      <c r="O14" s="152" t="s">
        <v>1249</v>
      </c>
      <c r="P14" s="152">
        <v>53.05</v>
      </c>
      <c r="Q14" s="152">
        <v>40.2</v>
      </c>
      <c r="R14" s="152">
        <v>150.87</v>
      </c>
      <c r="S14" s="152">
        <v>150.55</v>
      </c>
      <c r="T14" s="152" t="s">
        <v>22</v>
      </c>
      <c r="U14" s="198"/>
      <c r="V14" s="344" t="s">
        <v>662</v>
      </c>
    </row>
    <row r="15">
      <c r="A15" s="15">
        <v>46200.8948262037</v>
      </c>
      <c r="B15" s="241">
        <v>223230.0</v>
      </c>
      <c r="C15" s="156" t="s">
        <v>1086</v>
      </c>
      <c r="D15" s="156" t="s">
        <v>612</v>
      </c>
      <c r="E15" s="157">
        <v>66.0</v>
      </c>
      <c r="F15" s="157">
        <v>62.0</v>
      </c>
      <c r="G15" s="157">
        <v>6.0</v>
      </c>
      <c r="H15" s="158">
        <v>0.097</v>
      </c>
      <c r="I15" s="156" t="s">
        <v>43</v>
      </c>
      <c r="J15" s="156">
        <v>2.7</v>
      </c>
      <c r="K15" s="156">
        <v>48.2</v>
      </c>
      <c r="L15" s="156">
        <v>41.9</v>
      </c>
      <c r="M15" s="156">
        <v>145.1</v>
      </c>
      <c r="N15" s="156">
        <v>144.98</v>
      </c>
      <c r="O15" s="156" t="s">
        <v>1249</v>
      </c>
      <c r="P15" s="156">
        <v>48.1</v>
      </c>
      <c r="Q15" s="156">
        <v>41.7</v>
      </c>
      <c r="R15" s="156">
        <v>144.82</v>
      </c>
      <c r="S15" s="156">
        <v>144.89</v>
      </c>
      <c r="T15" s="156" t="s">
        <v>22</v>
      </c>
      <c r="U15" s="200"/>
      <c r="V15" s="345" t="s">
        <v>662</v>
      </c>
    </row>
    <row r="16">
      <c r="A16" s="15">
        <v>46200.89617921296</v>
      </c>
      <c r="B16" s="241">
        <v>245975.0</v>
      </c>
      <c r="C16" s="156" t="s">
        <v>1111</v>
      </c>
      <c r="D16" s="156" t="s">
        <v>1110</v>
      </c>
      <c r="E16" s="157">
        <v>27.0</v>
      </c>
      <c r="F16" s="157">
        <v>26.0</v>
      </c>
      <c r="G16" s="157">
        <v>6.0</v>
      </c>
      <c r="H16" s="158">
        <v>0.231</v>
      </c>
      <c r="I16" s="156" t="s">
        <v>19</v>
      </c>
      <c r="J16" s="156">
        <v>18.8</v>
      </c>
      <c r="K16" s="156">
        <v>53.3</v>
      </c>
      <c r="L16" s="156">
        <v>46.89</v>
      </c>
      <c r="M16" s="156">
        <v>164.26</v>
      </c>
      <c r="N16" s="156">
        <v>164.72</v>
      </c>
      <c r="O16" s="156" t="s">
        <v>1249</v>
      </c>
      <c r="P16" s="156">
        <v>53.5</v>
      </c>
      <c r="Q16" s="156">
        <v>47.11</v>
      </c>
      <c r="R16" s="156">
        <v>164.81</v>
      </c>
      <c r="S16" s="156">
        <v>165.26</v>
      </c>
      <c r="T16" s="156" t="s">
        <v>22</v>
      </c>
      <c r="U16" s="200"/>
      <c r="V16" s="345" t="s">
        <v>662</v>
      </c>
    </row>
    <row r="17">
      <c r="A17" s="15">
        <v>46200.89700777778</v>
      </c>
      <c r="B17" s="239">
        <v>145512.0</v>
      </c>
      <c r="C17" s="152" t="s">
        <v>1131</v>
      </c>
      <c r="D17" s="152" t="s">
        <v>1130</v>
      </c>
      <c r="E17" s="153">
        <v>38.0</v>
      </c>
      <c r="F17" s="153">
        <v>36.0</v>
      </c>
      <c r="G17" s="153">
        <v>5.0</v>
      </c>
      <c r="H17" s="154">
        <v>0.139</v>
      </c>
      <c r="I17" s="152" t="s">
        <v>43</v>
      </c>
      <c r="J17" s="152">
        <v>3.9</v>
      </c>
      <c r="K17" s="152">
        <v>55.07</v>
      </c>
      <c r="L17" s="152">
        <v>40.84</v>
      </c>
      <c r="M17" s="152">
        <v>164.08</v>
      </c>
      <c r="N17" s="152">
        <v>163.92</v>
      </c>
      <c r="O17" s="156" t="s">
        <v>1249</v>
      </c>
      <c r="P17" s="152">
        <v>54.93</v>
      </c>
      <c r="Q17" s="152">
        <v>40.7</v>
      </c>
      <c r="R17" s="152">
        <v>163.22</v>
      </c>
      <c r="S17" s="152">
        <v>163.19</v>
      </c>
      <c r="T17" s="156" t="s">
        <v>22</v>
      </c>
      <c r="U17" s="198"/>
      <c r="V17" s="344" t="s">
        <v>662</v>
      </c>
    </row>
    <row r="18">
      <c r="A18" s="15">
        <v>46200.89803700232</v>
      </c>
      <c r="B18" s="241">
        <v>236095.0</v>
      </c>
      <c r="C18" s="156" t="s">
        <v>1032</v>
      </c>
      <c r="D18" s="156" t="s">
        <v>1030</v>
      </c>
      <c r="E18" s="157">
        <v>9.0</v>
      </c>
      <c r="F18" s="157">
        <v>9.0</v>
      </c>
      <c r="G18" s="157">
        <v>5.0</v>
      </c>
      <c r="H18" s="158">
        <v>0.556</v>
      </c>
      <c r="I18" s="156" t="s">
        <v>19</v>
      </c>
      <c r="J18" s="156">
        <v>41.7</v>
      </c>
      <c r="K18" s="156">
        <v>49.82</v>
      </c>
      <c r="L18" s="156">
        <v>41.91</v>
      </c>
      <c r="M18" s="156">
        <v>149.27</v>
      </c>
      <c r="N18" s="156">
        <v>149.17</v>
      </c>
      <c r="O18" s="156" t="s">
        <v>1249</v>
      </c>
      <c r="P18" s="156">
        <v>50.2</v>
      </c>
      <c r="Q18" s="156">
        <v>42.11</v>
      </c>
      <c r="R18" s="156">
        <v>150.23</v>
      </c>
      <c r="S18" s="156">
        <v>150.23</v>
      </c>
      <c r="T18" s="156" t="s">
        <v>22</v>
      </c>
      <c r="U18" s="200"/>
      <c r="V18" s="345" t="s">
        <v>662</v>
      </c>
    </row>
    <row r="19">
      <c r="A19" s="15">
        <v>46200.89901100694</v>
      </c>
      <c r="B19" s="239">
        <v>237932.0</v>
      </c>
      <c r="C19" s="152" t="s">
        <v>1097</v>
      </c>
      <c r="D19" s="152" t="s">
        <v>128</v>
      </c>
      <c r="E19" s="153">
        <v>8.0</v>
      </c>
      <c r="F19" s="153">
        <v>7.0</v>
      </c>
      <c r="G19" s="153">
        <v>5.0</v>
      </c>
      <c r="H19" s="154">
        <v>0.714</v>
      </c>
      <c r="I19" s="152" t="s">
        <v>19</v>
      </c>
      <c r="J19" s="152">
        <v>50.0</v>
      </c>
      <c r="K19" s="152">
        <v>46.81</v>
      </c>
      <c r="L19" s="152">
        <v>42.94</v>
      </c>
      <c r="M19" s="152">
        <v>144.85</v>
      </c>
      <c r="N19" s="152">
        <v>144.85</v>
      </c>
      <c r="O19" s="156" t="s">
        <v>1249</v>
      </c>
      <c r="P19" s="152">
        <v>47.09</v>
      </c>
      <c r="Q19" s="152">
        <v>43.2</v>
      </c>
      <c r="R19" s="152">
        <v>145.77</v>
      </c>
      <c r="S19" s="152">
        <v>146.14</v>
      </c>
      <c r="T19" s="156" t="s">
        <v>22</v>
      </c>
      <c r="U19" s="198"/>
      <c r="V19" s="344" t="s">
        <v>662</v>
      </c>
    </row>
    <row r="20">
      <c r="A20" s="15">
        <v>46200.89994844908</v>
      </c>
      <c r="B20" s="241">
        <v>238833.0</v>
      </c>
      <c r="C20" s="156" t="s">
        <v>1139</v>
      </c>
      <c r="D20" s="156" t="s">
        <v>1138</v>
      </c>
      <c r="E20" s="157">
        <v>42.0</v>
      </c>
      <c r="F20" s="157">
        <v>41.0</v>
      </c>
      <c r="G20" s="157">
        <v>5.0</v>
      </c>
      <c r="H20" s="158">
        <v>0.122</v>
      </c>
      <c r="I20" s="156" t="s">
        <v>19</v>
      </c>
      <c r="J20" s="156">
        <v>9.1</v>
      </c>
      <c r="K20" s="156">
        <v>49.34</v>
      </c>
      <c r="L20" s="156">
        <v>42.08</v>
      </c>
      <c r="M20" s="156">
        <v>149.64</v>
      </c>
      <c r="N20" s="156">
        <v>149.52</v>
      </c>
      <c r="O20" s="156" t="s">
        <v>1249</v>
      </c>
      <c r="P20" s="156">
        <v>49.63</v>
      </c>
      <c r="Q20" s="156">
        <v>42.3</v>
      </c>
      <c r="R20" s="156">
        <v>150.51</v>
      </c>
      <c r="S20" s="156">
        <v>150.27</v>
      </c>
      <c r="T20" s="156" t="s">
        <v>22</v>
      </c>
      <c r="U20" s="200"/>
      <c r="V20" s="345" t="s">
        <v>662</v>
      </c>
    </row>
    <row r="21">
      <c r="A21" s="15">
        <v>46200.90587181713</v>
      </c>
      <c r="B21" s="239">
        <v>241120.0</v>
      </c>
      <c r="C21" s="152" t="s">
        <v>1143</v>
      </c>
      <c r="D21" s="152" t="s">
        <v>1142</v>
      </c>
      <c r="E21" s="153">
        <v>58.0</v>
      </c>
      <c r="F21" s="153">
        <v>54.0</v>
      </c>
      <c r="G21" s="153">
        <v>5.0</v>
      </c>
      <c r="H21" s="154">
        <v>0.093</v>
      </c>
      <c r="I21" s="152" t="s">
        <v>43</v>
      </c>
      <c r="J21" s="152">
        <v>7.5</v>
      </c>
      <c r="K21" s="152">
        <v>54.1</v>
      </c>
      <c r="L21" s="152">
        <v>39.2</v>
      </c>
      <c r="M21" s="152">
        <v>163.89</v>
      </c>
      <c r="N21" s="152">
        <v>163.65</v>
      </c>
      <c r="O21" s="156" t="s">
        <v>1249</v>
      </c>
      <c r="P21" s="152">
        <v>55.89</v>
      </c>
      <c r="Q21" s="152">
        <v>38.95</v>
      </c>
      <c r="R21" s="152">
        <v>163.33</v>
      </c>
      <c r="S21" s="152">
        <v>163.09</v>
      </c>
      <c r="T21" s="152" t="s">
        <v>22</v>
      </c>
      <c r="U21" s="198"/>
      <c r="V21" s="344" t="s">
        <v>662</v>
      </c>
    </row>
  </sheetData>
  <dataValidations>
    <dataValidation type="list" allowBlank="1" showErrorMessage="1" sqref="O2:O21">
      <formula1>"MANUALLY,TRACING"</formula1>
    </dataValidation>
    <dataValidation type="list" allowBlank="1" showErrorMessage="1" sqref="T2:T21">
      <formula1>"SIMRAN,AMIRUN,ANJALI,DHAVAL"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7.38"/>
    <col customWidth="1" min="3" max="3" width="21.88"/>
  </cols>
  <sheetData>
    <row r="1">
      <c r="A1" s="298" t="s">
        <v>1</v>
      </c>
      <c r="B1" s="299" t="s">
        <v>2</v>
      </c>
      <c r="C1" s="300" t="s">
        <v>656</v>
      </c>
      <c r="D1" s="301" t="s">
        <v>657</v>
      </c>
      <c r="E1" s="301" t="s">
        <v>658</v>
      </c>
      <c r="F1" s="300" t="s">
        <v>659</v>
      </c>
      <c r="G1" s="300" t="s">
        <v>660</v>
      </c>
      <c r="H1" s="300" t="s">
        <v>4</v>
      </c>
      <c r="I1" s="300" t="s">
        <v>5</v>
      </c>
      <c r="J1" s="302" t="s">
        <v>7</v>
      </c>
      <c r="K1" s="303" t="s">
        <v>8</v>
      </c>
      <c r="L1" s="303" t="s">
        <v>9</v>
      </c>
      <c r="M1" s="303" t="s">
        <v>10</v>
      </c>
      <c r="N1" s="303" t="s">
        <v>11</v>
      </c>
      <c r="O1" s="8" t="s">
        <v>12</v>
      </c>
      <c r="P1" s="7" t="s">
        <v>13</v>
      </c>
      <c r="Q1" s="8" t="s">
        <v>14</v>
      </c>
      <c r="R1" s="8" t="s">
        <v>15</v>
      </c>
      <c r="S1" s="300" t="s">
        <v>17</v>
      </c>
      <c r="T1" s="302" t="s">
        <v>16</v>
      </c>
      <c r="U1" s="305" t="s">
        <v>661</v>
      </c>
    </row>
    <row r="2">
      <c r="A2" s="346">
        <v>218967.0</v>
      </c>
      <c r="B2" s="347" t="s">
        <v>1102</v>
      </c>
      <c r="C2" s="347" t="s">
        <v>1101</v>
      </c>
      <c r="D2" s="348">
        <v>185.0</v>
      </c>
      <c r="E2" s="348">
        <v>182.0</v>
      </c>
      <c r="F2" s="347">
        <v>99.0</v>
      </c>
      <c r="G2" s="349">
        <v>0.544</v>
      </c>
      <c r="H2" s="310" t="s">
        <v>43</v>
      </c>
      <c r="I2" s="349">
        <v>0.33</v>
      </c>
      <c r="J2" s="350">
        <v>51.66</v>
      </c>
      <c r="K2" s="350">
        <v>38.88</v>
      </c>
      <c r="L2" s="350">
        <v>144.14</v>
      </c>
      <c r="M2" s="350">
        <v>144.16</v>
      </c>
      <c r="N2" s="311"/>
      <c r="O2" s="350">
        <v>51.63</v>
      </c>
      <c r="P2" s="350">
        <v>38.84</v>
      </c>
      <c r="Q2" s="350">
        <v>144.04</v>
      </c>
      <c r="R2" s="350">
        <v>144.08</v>
      </c>
      <c r="S2" s="350" t="s">
        <v>1280</v>
      </c>
      <c r="T2" s="311"/>
      <c r="U2" s="351" t="s">
        <v>662</v>
      </c>
    </row>
    <row r="3">
      <c r="A3" s="352">
        <v>236095.0</v>
      </c>
      <c r="B3" s="353" t="s">
        <v>1039</v>
      </c>
      <c r="C3" s="353" t="s">
        <v>685</v>
      </c>
      <c r="D3" s="354">
        <v>183.0</v>
      </c>
      <c r="E3" s="354">
        <v>190.0</v>
      </c>
      <c r="F3" s="353">
        <v>44.0</v>
      </c>
      <c r="G3" s="355">
        <v>0.232</v>
      </c>
      <c r="H3" s="318" t="s">
        <v>43</v>
      </c>
      <c r="I3" s="355">
        <v>0.178</v>
      </c>
      <c r="J3" s="350">
        <v>49.55</v>
      </c>
      <c r="K3" s="350">
        <v>42.16</v>
      </c>
      <c r="L3" s="350">
        <v>149.58</v>
      </c>
      <c r="M3" s="350">
        <v>149.63</v>
      </c>
      <c r="N3" s="319"/>
      <c r="O3" s="350">
        <v>50.5</v>
      </c>
      <c r="P3" s="350">
        <v>43.48</v>
      </c>
      <c r="Q3" s="350">
        <v>152.95</v>
      </c>
      <c r="R3" s="350">
        <v>152.69</v>
      </c>
      <c r="S3" s="350" t="s">
        <v>1280</v>
      </c>
      <c r="T3" s="319"/>
      <c r="U3" s="356" t="s">
        <v>662</v>
      </c>
    </row>
    <row r="4">
      <c r="A4" s="346">
        <v>228743.0</v>
      </c>
      <c r="B4" s="347" t="s">
        <v>1123</v>
      </c>
      <c r="C4" s="347" t="s">
        <v>1122</v>
      </c>
      <c r="D4" s="348">
        <v>276.0</v>
      </c>
      <c r="E4" s="348">
        <v>273.0</v>
      </c>
      <c r="F4" s="347">
        <v>42.0</v>
      </c>
      <c r="G4" s="349">
        <v>0.154</v>
      </c>
      <c r="H4" s="310" t="s">
        <v>43</v>
      </c>
      <c r="I4" s="349">
        <v>0.11</v>
      </c>
      <c r="J4" s="350">
        <v>52.42</v>
      </c>
      <c r="K4" s="350">
        <v>43.81</v>
      </c>
      <c r="L4" s="350">
        <v>162.05</v>
      </c>
      <c r="M4" s="350">
        <v>162.39</v>
      </c>
      <c r="N4" s="311"/>
      <c r="O4" s="350">
        <v>52.39</v>
      </c>
      <c r="P4" s="350">
        <v>43.75</v>
      </c>
      <c r="Q4" s="350">
        <v>161.74</v>
      </c>
      <c r="R4" s="350">
        <v>161.74</v>
      </c>
      <c r="S4" s="350" t="s">
        <v>1280</v>
      </c>
      <c r="T4" s="311"/>
      <c r="U4" s="351" t="s">
        <v>662</v>
      </c>
    </row>
    <row r="5">
      <c r="A5" s="352">
        <v>134949.0</v>
      </c>
      <c r="B5" s="353" t="s">
        <v>1079</v>
      </c>
      <c r="C5" s="353" t="s">
        <v>48</v>
      </c>
      <c r="D5" s="354">
        <v>156.0</v>
      </c>
      <c r="E5" s="354">
        <v>153.0</v>
      </c>
      <c r="F5" s="353">
        <v>41.0</v>
      </c>
      <c r="G5" s="355">
        <v>0.268</v>
      </c>
      <c r="H5" s="318" t="s">
        <v>1077</v>
      </c>
      <c r="I5" s="353" t="s">
        <v>1078</v>
      </c>
      <c r="J5" s="319"/>
      <c r="K5" s="319"/>
      <c r="L5" s="319"/>
      <c r="M5" s="319"/>
      <c r="N5" s="319"/>
      <c r="O5" s="319"/>
      <c r="P5" s="319"/>
      <c r="Q5" s="319"/>
      <c r="R5" s="319"/>
      <c r="S5" s="350" t="s">
        <v>1280</v>
      </c>
      <c r="T5" s="319"/>
      <c r="U5" s="356" t="s">
        <v>662</v>
      </c>
    </row>
    <row r="6">
      <c r="A6" s="346">
        <v>221282.0</v>
      </c>
      <c r="B6" s="347" t="s">
        <v>1046</v>
      </c>
      <c r="C6" s="347" t="s">
        <v>1045</v>
      </c>
      <c r="D6" s="348">
        <v>226.0</v>
      </c>
      <c r="E6" s="348">
        <v>223.0</v>
      </c>
      <c r="F6" s="347">
        <v>41.0</v>
      </c>
      <c r="G6" s="349">
        <v>0.184</v>
      </c>
      <c r="H6" s="310" t="s">
        <v>43</v>
      </c>
      <c r="I6" s="349">
        <v>0.136</v>
      </c>
      <c r="J6" s="350">
        <v>54.45</v>
      </c>
      <c r="K6" s="350">
        <v>41.5</v>
      </c>
      <c r="L6" s="350">
        <v>161.35</v>
      </c>
      <c r="M6" s="350">
        <v>161.35</v>
      </c>
      <c r="N6" s="311"/>
      <c r="O6" s="350">
        <v>54.29</v>
      </c>
      <c r="P6" s="350">
        <v>41.77</v>
      </c>
      <c r="Q6" s="350">
        <v>161.48</v>
      </c>
      <c r="R6" s="350">
        <v>161.52</v>
      </c>
      <c r="S6" s="350" t="s">
        <v>1280</v>
      </c>
      <c r="T6" s="311"/>
      <c r="U6" s="351" t="s">
        <v>662</v>
      </c>
    </row>
    <row r="7">
      <c r="A7" s="352">
        <v>148157.0</v>
      </c>
      <c r="B7" s="353" t="s">
        <v>1085</v>
      </c>
      <c r="C7" s="353" t="s">
        <v>1084</v>
      </c>
      <c r="D7" s="354">
        <v>335.0</v>
      </c>
      <c r="E7" s="354">
        <v>328.0</v>
      </c>
      <c r="F7" s="353">
        <v>37.0</v>
      </c>
      <c r="G7" s="355">
        <v>0.113</v>
      </c>
      <c r="H7" s="318" t="s">
        <v>43</v>
      </c>
      <c r="I7" s="355">
        <v>0.095</v>
      </c>
      <c r="J7" s="350">
        <v>50.91</v>
      </c>
      <c r="K7" s="350">
        <v>45.47</v>
      </c>
      <c r="L7" s="350">
        <v>153.87</v>
      </c>
      <c r="M7" s="350">
        <v>152.99</v>
      </c>
      <c r="N7" s="319"/>
      <c r="O7" s="350">
        <v>50.88</v>
      </c>
      <c r="P7" s="350">
        <v>45.4</v>
      </c>
      <c r="Q7" s="350">
        <v>153.76</v>
      </c>
      <c r="R7" s="350">
        <v>152.94</v>
      </c>
      <c r="S7" s="350" t="s">
        <v>1280</v>
      </c>
      <c r="T7" s="319"/>
      <c r="U7" s="356" t="s">
        <v>662</v>
      </c>
    </row>
    <row r="8">
      <c r="A8" s="346">
        <v>228743.0</v>
      </c>
      <c r="B8" s="347" t="s">
        <v>1149</v>
      </c>
      <c r="C8" s="347" t="s">
        <v>1148</v>
      </c>
      <c r="D8" s="348">
        <v>397.0</v>
      </c>
      <c r="E8" s="348">
        <v>396.0</v>
      </c>
      <c r="F8" s="347">
        <v>34.0</v>
      </c>
      <c r="G8" s="349">
        <v>0.086</v>
      </c>
      <c r="H8" s="310" t="s">
        <v>43</v>
      </c>
      <c r="I8" s="349">
        <v>0.069</v>
      </c>
      <c r="J8" s="350">
        <v>52.49</v>
      </c>
      <c r="K8" s="350">
        <v>43.64</v>
      </c>
      <c r="L8" s="350">
        <v>161.98</v>
      </c>
      <c r="M8" s="350">
        <v>161.89</v>
      </c>
      <c r="N8" s="311"/>
      <c r="O8" s="350">
        <v>52.45</v>
      </c>
      <c r="P8" s="350">
        <v>43.6</v>
      </c>
      <c r="Q8" s="350">
        <v>161.87</v>
      </c>
      <c r="R8" s="350">
        <v>161.76</v>
      </c>
      <c r="S8" s="350" t="s">
        <v>1280</v>
      </c>
      <c r="T8" s="311"/>
      <c r="U8" s="351" t="s">
        <v>662</v>
      </c>
    </row>
    <row r="9">
      <c r="A9" s="352">
        <v>134951.0</v>
      </c>
      <c r="B9" s="353" t="s">
        <v>1041</v>
      </c>
      <c r="C9" s="353" t="s">
        <v>1040</v>
      </c>
      <c r="D9" s="354">
        <v>146.0</v>
      </c>
      <c r="E9" s="354">
        <v>144.0</v>
      </c>
      <c r="F9" s="353">
        <v>32.0</v>
      </c>
      <c r="G9" s="355">
        <v>0.222</v>
      </c>
      <c r="H9" s="318" t="s">
        <v>19</v>
      </c>
      <c r="I9" s="355">
        <v>0.048</v>
      </c>
      <c r="J9" s="319"/>
      <c r="K9" s="319"/>
      <c r="L9" s="319"/>
      <c r="M9" s="319"/>
      <c r="N9" s="319"/>
      <c r="O9" s="319"/>
      <c r="P9" s="319"/>
      <c r="Q9" s="319"/>
      <c r="R9" s="319"/>
      <c r="S9" s="350" t="s">
        <v>1280</v>
      </c>
      <c r="T9" s="319"/>
      <c r="U9" s="356" t="s">
        <v>662</v>
      </c>
    </row>
    <row r="10">
      <c r="A10" s="346">
        <v>219823.0</v>
      </c>
      <c r="B10" s="347" t="s">
        <v>1161</v>
      </c>
      <c r="C10" s="347" t="s">
        <v>1160</v>
      </c>
      <c r="D10" s="348">
        <v>427.0</v>
      </c>
      <c r="E10" s="348">
        <v>425.0</v>
      </c>
      <c r="F10" s="347">
        <v>32.0</v>
      </c>
      <c r="G10" s="349">
        <v>0.075</v>
      </c>
      <c r="H10" s="310" t="s">
        <v>43</v>
      </c>
      <c r="I10" s="349">
        <v>0.053</v>
      </c>
      <c r="J10" s="350">
        <v>53.53</v>
      </c>
      <c r="K10" s="350">
        <v>41.2</v>
      </c>
      <c r="L10" s="350">
        <v>158.12</v>
      </c>
      <c r="M10" s="350">
        <v>158.77</v>
      </c>
      <c r="N10" s="311"/>
      <c r="O10" s="350">
        <v>53.49</v>
      </c>
      <c r="P10" s="350">
        <v>41.16</v>
      </c>
      <c r="Q10" s="350">
        <v>157.86</v>
      </c>
      <c r="R10" s="350">
        <v>158.53</v>
      </c>
      <c r="S10" s="350" t="s">
        <v>1280</v>
      </c>
      <c r="T10" s="311"/>
      <c r="U10" s="351" t="s">
        <v>662</v>
      </c>
    </row>
    <row r="11">
      <c r="A11" s="352">
        <v>236095.0</v>
      </c>
      <c r="B11" s="353" t="s">
        <v>1029</v>
      </c>
      <c r="C11" s="353" t="s">
        <v>1027</v>
      </c>
      <c r="D11" s="354">
        <v>127.0</v>
      </c>
      <c r="E11" s="354">
        <v>124.0</v>
      </c>
      <c r="F11" s="353">
        <v>26.0</v>
      </c>
      <c r="G11" s="355">
        <v>0.21</v>
      </c>
      <c r="H11" s="318" t="s">
        <v>19</v>
      </c>
      <c r="I11" s="355">
        <v>0.113</v>
      </c>
      <c r="J11" s="350">
        <v>50.67</v>
      </c>
      <c r="K11" s="350">
        <v>42.95</v>
      </c>
      <c r="L11" s="350">
        <v>152.55</v>
      </c>
      <c r="M11" s="350">
        <v>152.55</v>
      </c>
      <c r="N11" s="319"/>
      <c r="O11" s="350">
        <v>49.47</v>
      </c>
      <c r="P11" s="350">
        <v>42.02</v>
      </c>
      <c r="Q11" s="350">
        <v>149.19</v>
      </c>
      <c r="R11" s="350">
        <v>149.17</v>
      </c>
      <c r="S11" s="350" t="s">
        <v>1280</v>
      </c>
      <c r="T11" s="319"/>
      <c r="U11" s="356" t="s">
        <v>662</v>
      </c>
    </row>
    <row r="12">
      <c r="A12" s="346">
        <v>134949.0</v>
      </c>
      <c r="B12" s="347" t="s">
        <v>1072</v>
      </c>
      <c r="C12" s="347" t="s">
        <v>46</v>
      </c>
      <c r="D12" s="348">
        <v>147.0</v>
      </c>
      <c r="E12" s="348">
        <v>139.0</v>
      </c>
      <c r="F12" s="347">
        <v>24.0</v>
      </c>
      <c r="G12" s="349">
        <v>0.173</v>
      </c>
      <c r="H12" s="310" t="s">
        <v>43</v>
      </c>
      <c r="I12" s="349">
        <v>0.059</v>
      </c>
      <c r="J12" s="311"/>
      <c r="K12" s="311"/>
      <c r="L12" s="311"/>
      <c r="M12" s="311"/>
      <c r="N12" s="311"/>
      <c r="O12" s="311"/>
      <c r="P12" s="311"/>
      <c r="Q12" s="311"/>
      <c r="R12" s="311"/>
      <c r="S12" s="350" t="s">
        <v>1280</v>
      </c>
      <c r="T12" s="311"/>
      <c r="U12" s="351" t="s">
        <v>662</v>
      </c>
    </row>
    <row r="13">
      <c r="A13" s="352">
        <v>234792.0</v>
      </c>
      <c r="B13" s="353" t="s">
        <v>1038</v>
      </c>
      <c r="C13" s="353" t="s">
        <v>1037</v>
      </c>
      <c r="D13" s="354">
        <v>82.0</v>
      </c>
      <c r="E13" s="354">
        <v>83.0</v>
      </c>
      <c r="F13" s="353">
        <v>24.0</v>
      </c>
      <c r="G13" s="355">
        <v>0.289</v>
      </c>
      <c r="H13" s="318" t="s">
        <v>19</v>
      </c>
      <c r="I13" s="355">
        <v>0.258</v>
      </c>
      <c r="J13" s="350">
        <v>47.15</v>
      </c>
      <c r="K13" s="350">
        <v>41.79</v>
      </c>
      <c r="L13" s="350">
        <v>144.78</v>
      </c>
      <c r="M13" s="350">
        <v>144.78</v>
      </c>
      <c r="N13" s="319"/>
      <c r="O13" s="350">
        <v>47.19</v>
      </c>
      <c r="P13" s="350">
        <v>41.85</v>
      </c>
      <c r="Q13" s="350">
        <v>144.95</v>
      </c>
      <c r="R13" s="350">
        <v>144.95</v>
      </c>
      <c r="S13" s="318" t="s">
        <v>26</v>
      </c>
      <c r="T13" s="319"/>
      <c r="U13" s="356" t="s">
        <v>662</v>
      </c>
    </row>
    <row r="14">
      <c r="A14" s="346">
        <v>151377.0</v>
      </c>
      <c r="B14" s="347" t="s">
        <v>1113</v>
      </c>
      <c r="C14" s="347" t="s">
        <v>1112</v>
      </c>
      <c r="D14" s="348">
        <v>87.0</v>
      </c>
      <c r="E14" s="348">
        <v>85.0</v>
      </c>
      <c r="F14" s="347">
        <v>19.0</v>
      </c>
      <c r="G14" s="349">
        <v>0.224</v>
      </c>
      <c r="H14" s="310" t="s">
        <v>43</v>
      </c>
      <c r="I14" s="349">
        <v>0.148</v>
      </c>
      <c r="J14" s="350">
        <v>56.02</v>
      </c>
      <c r="K14" s="350">
        <v>45.41</v>
      </c>
      <c r="L14" s="350">
        <v>164.42</v>
      </c>
      <c r="M14" s="350">
        <v>165.09</v>
      </c>
      <c r="N14" s="311"/>
      <c r="O14" s="350">
        <v>56.0</v>
      </c>
      <c r="P14" s="350">
        <v>45.35</v>
      </c>
      <c r="Q14" s="350">
        <v>164.12</v>
      </c>
      <c r="R14" s="350">
        <v>164.48</v>
      </c>
      <c r="S14" s="318" t="s">
        <v>26</v>
      </c>
      <c r="T14" s="311"/>
      <c r="U14" s="351" t="s">
        <v>662</v>
      </c>
    </row>
    <row r="15">
      <c r="A15" s="352">
        <v>219823.0</v>
      </c>
      <c r="B15" s="353" t="s">
        <v>1170</v>
      </c>
      <c r="C15" s="353" t="s">
        <v>1169</v>
      </c>
      <c r="D15" s="354">
        <v>268.0</v>
      </c>
      <c r="E15" s="354">
        <v>266.0</v>
      </c>
      <c r="F15" s="353">
        <v>16.0</v>
      </c>
      <c r="G15" s="355">
        <v>0.06</v>
      </c>
      <c r="H15" s="318" t="s">
        <v>43</v>
      </c>
      <c r="I15" s="355">
        <v>0.026</v>
      </c>
      <c r="J15" s="350">
        <v>53.58</v>
      </c>
      <c r="K15" s="350">
        <v>41.41</v>
      </c>
      <c r="L15" s="350">
        <v>157.98</v>
      </c>
      <c r="M15" s="350">
        <v>158.65</v>
      </c>
      <c r="N15" s="319"/>
      <c r="O15" s="350">
        <v>53.4</v>
      </c>
      <c r="P15" s="350">
        <v>41.3</v>
      </c>
      <c r="Q15" s="350">
        <v>157.5</v>
      </c>
      <c r="R15" s="350">
        <v>158.22</v>
      </c>
      <c r="S15" s="318" t="s">
        <v>26</v>
      </c>
      <c r="T15" s="319"/>
      <c r="U15" s="356" t="s">
        <v>662</v>
      </c>
    </row>
    <row r="16">
      <c r="A16" s="346">
        <v>225336.0</v>
      </c>
      <c r="B16" s="347" t="s">
        <v>1103</v>
      </c>
      <c r="C16" s="347" t="s">
        <v>195</v>
      </c>
      <c r="D16" s="348">
        <v>43.0</v>
      </c>
      <c r="E16" s="348">
        <v>43.0</v>
      </c>
      <c r="F16" s="347">
        <v>16.0</v>
      </c>
      <c r="G16" s="349">
        <v>0.372</v>
      </c>
      <c r="H16" s="310" t="s">
        <v>19</v>
      </c>
      <c r="I16" s="349">
        <v>0.277</v>
      </c>
      <c r="J16" s="350">
        <v>47.59</v>
      </c>
      <c r="K16" s="350">
        <v>41.31</v>
      </c>
      <c r="L16" s="350">
        <v>144.32</v>
      </c>
      <c r="M16" s="350">
        <v>144.48</v>
      </c>
      <c r="N16" s="311"/>
      <c r="O16" s="350">
        <v>47.76</v>
      </c>
      <c r="P16" s="350">
        <v>41.5</v>
      </c>
      <c r="Q16" s="350">
        <v>144.83</v>
      </c>
      <c r="R16" s="350">
        <v>144.92</v>
      </c>
      <c r="S16" s="318" t="s">
        <v>26</v>
      </c>
      <c r="T16" s="311"/>
      <c r="U16" s="351" t="s">
        <v>662</v>
      </c>
    </row>
    <row r="17">
      <c r="A17" s="352">
        <v>241959.0</v>
      </c>
      <c r="B17" s="353" t="s">
        <v>1129</v>
      </c>
      <c r="C17" s="353" t="s">
        <v>1128</v>
      </c>
      <c r="D17" s="354">
        <v>112.0</v>
      </c>
      <c r="E17" s="354">
        <v>111.0</v>
      </c>
      <c r="F17" s="353">
        <v>16.0</v>
      </c>
      <c r="G17" s="355">
        <v>0.144</v>
      </c>
      <c r="H17" s="318" t="s">
        <v>43</v>
      </c>
      <c r="I17" s="355">
        <v>0.082</v>
      </c>
      <c r="J17" s="350">
        <v>57.1</v>
      </c>
      <c r="K17" s="350">
        <v>44.27</v>
      </c>
      <c r="L17" s="350">
        <v>168.08</v>
      </c>
      <c r="M17" s="350">
        <v>167.94</v>
      </c>
      <c r="N17" s="319"/>
      <c r="O17" s="350">
        <v>57.0</v>
      </c>
      <c r="P17" s="350">
        <v>44.01</v>
      </c>
      <c r="Q17" s="350">
        <v>167.18</v>
      </c>
      <c r="R17" s="350">
        <v>167.18</v>
      </c>
      <c r="S17" s="318" t="s">
        <v>26</v>
      </c>
      <c r="T17" s="319"/>
      <c r="U17" s="356" t="s">
        <v>662</v>
      </c>
    </row>
    <row r="18">
      <c r="A18" s="346">
        <v>225336.0</v>
      </c>
      <c r="B18" s="347" t="s">
        <v>1108</v>
      </c>
      <c r="C18" s="347" t="s">
        <v>270</v>
      </c>
      <c r="D18" s="348">
        <v>50.0</v>
      </c>
      <c r="E18" s="348">
        <v>45.0</v>
      </c>
      <c r="F18" s="347">
        <v>15.0</v>
      </c>
      <c r="G18" s="349">
        <v>0.333</v>
      </c>
      <c r="H18" s="310" t="s">
        <v>19</v>
      </c>
      <c r="I18" s="349">
        <v>0.306</v>
      </c>
      <c r="J18" s="350">
        <v>47.57</v>
      </c>
      <c r="K18" s="350">
        <v>41.32</v>
      </c>
      <c r="L18" s="350">
        <v>144.12</v>
      </c>
      <c r="M18" s="350">
        <v>144.57</v>
      </c>
      <c r="N18" s="311"/>
      <c r="O18" s="350">
        <v>47.7</v>
      </c>
      <c r="P18" s="350">
        <v>41.42</v>
      </c>
      <c r="Q18" s="350">
        <v>144.46</v>
      </c>
      <c r="R18" s="350">
        <v>144.86</v>
      </c>
      <c r="S18" s="318" t="s">
        <v>26</v>
      </c>
      <c r="T18" s="311"/>
      <c r="U18" s="351" t="s">
        <v>662</v>
      </c>
    </row>
    <row r="19">
      <c r="A19" s="352">
        <v>223232.0</v>
      </c>
      <c r="B19" s="353" t="s">
        <v>1088</v>
      </c>
      <c r="C19" s="353" t="s">
        <v>1087</v>
      </c>
      <c r="D19" s="354">
        <v>124.0</v>
      </c>
      <c r="E19" s="354">
        <v>124.0</v>
      </c>
      <c r="F19" s="353">
        <v>13.0</v>
      </c>
      <c r="G19" s="355">
        <v>0.105</v>
      </c>
      <c r="H19" s="318" t="s">
        <v>43</v>
      </c>
      <c r="I19" s="355">
        <v>0.071</v>
      </c>
      <c r="J19" s="350">
        <v>50.04</v>
      </c>
      <c r="K19" s="350">
        <v>44.18</v>
      </c>
      <c r="L19" s="350">
        <v>151.7</v>
      </c>
      <c r="M19" s="350">
        <v>151.58</v>
      </c>
      <c r="N19" s="319"/>
      <c r="O19" s="350">
        <v>50.04</v>
      </c>
      <c r="P19" s="350">
        <v>44.09</v>
      </c>
      <c r="Q19" s="350">
        <v>151.56</v>
      </c>
      <c r="R19" s="350">
        <v>151.44</v>
      </c>
      <c r="S19" s="318" t="s">
        <v>26</v>
      </c>
      <c r="T19" s="319"/>
      <c r="U19" s="356" t="s">
        <v>662</v>
      </c>
    </row>
    <row r="20">
      <c r="A20" s="346">
        <v>241108.0</v>
      </c>
      <c r="B20" s="347" t="s">
        <v>1105</v>
      </c>
      <c r="C20" s="347" t="s">
        <v>1104</v>
      </c>
      <c r="D20" s="348">
        <v>35.0</v>
      </c>
      <c r="E20" s="348">
        <v>31.0</v>
      </c>
      <c r="F20" s="347">
        <v>13.0</v>
      </c>
      <c r="G20" s="349">
        <v>0.419</v>
      </c>
      <c r="H20" s="310" t="s">
        <v>19</v>
      </c>
      <c r="I20" s="349">
        <v>0.323</v>
      </c>
      <c r="J20" s="350">
        <v>55.21</v>
      </c>
      <c r="K20" s="350">
        <v>41.66</v>
      </c>
      <c r="L20" s="350">
        <v>154.82</v>
      </c>
      <c r="M20" s="350">
        <v>155.24</v>
      </c>
      <c r="N20" s="311"/>
      <c r="O20" s="350">
        <v>55.35</v>
      </c>
      <c r="P20" s="350">
        <v>41.75</v>
      </c>
      <c r="Q20" s="350">
        <v>155.24</v>
      </c>
      <c r="R20" s="350">
        <v>155.6</v>
      </c>
      <c r="S20" s="318" t="s">
        <v>26</v>
      </c>
      <c r="T20" s="311"/>
      <c r="U20" s="351" t="s">
        <v>662</v>
      </c>
    </row>
    <row r="21">
      <c r="A21" s="352">
        <v>223230.0</v>
      </c>
      <c r="B21" s="353" t="s">
        <v>1055</v>
      </c>
      <c r="C21" s="353" t="s">
        <v>768</v>
      </c>
      <c r="D21" s="354">
        <v>187.0</v>
      </c>
      <c r="E21" s="354">
        <v>183.0</v>
      </c>
      <c r="F21" s="353">
        <v>12.0</v>
      </c>
      <c r="G21" s="355">
        <v>0.066</v>
      </c>
      <c r="H21" s="318" t="s">
        <v>43</v>
      </c>
      <c r="I21" s="355">
        <v>0.031</v>
      </c>
      <c r="J21" s="350">
        <v>48.09</v>
      </c>
      <c r="K21" s="350">
        <v>41.96</v>
      </c>
      <c r="L21" s="350">
        <v>145.02</v>
      </c>
      <c r="M21" s="350">
        <v>144.82</v>
      </c>
      <c r="N21" s="319"/>
      <c r="O21" s="350">
        <v>48.09</v>
      </c>
      <c r="P21" s="350">
        <v>41.96</v>
      </c>
      <c r="Q21" s="350">
        <v>145.02</v>
      </c>
      <c r="R21" s="350">
        <v>144.82</v>
      </c>
      <c r="S21" s="318" t="s">
        <v>26</v>
      </c>
      <c r="T21" s="319"/>
      <c r="U21" s="356" t="s">
        <v>662</v>
      </c>
    </row>
    <row r="22">
      <c r="A22" s="346">
        <v>242272.0</v>
      </c>
      <c r="B22" s="347" t="s">
        <v>1167</v>
      </c>
      <c r="C22" s="347" t="s">
        <v>1166</v>
      </c>
      <c r="D22" s="348">
        <v>188.0</v>
      </c>
      <c r="E22" s="348">
        <v>179.0</v>
      </c>
      <c r="F22" s="347">
        <v>12.0</v>
      </c>
      <c r="G22" s="349">
        <v>0.067</v>
      </c>
      <c r="H22" s="310" t="s">
        <v>19</v>
      </c>
      <c r="I22" s="349">
        <v>0.041</v>
      </c>
      <c r="J22" s="350">
        <v>51.68</v>
      </c>
      <c r="K22" s="350">
        <v>45.07</v>
      </c>
      <c r="L22" s="350">
        <v>156.98</v>
      </c>
      <c r="M22" s="350">
        <v>156.86</v>
      </c>
      <c r="N22" s="311"/>
      <c r="O22" s="350">
        <v>51.76</v>
      </c>
      <c r="P22" s="350">
        <v>45.15</v>
      </c>
      <c r="Q22" s="350">
        <v>157.29</v>
      </c>
      <c r="R22" s="350">
        <v>157.15</v>
      </c>
      <c r="S22" s="318" t="s">
        <v>26</v>
      </c>
      <c r="T22" s="311"/>
      <c r="U22" s="351" t="s">
        <v>662</v>
      </c>
    </row>
    <row r="23">
      <c r="A23" s="352">
        <v>211307.0</v>
      </c>
      <c r="B23" s="353" t="s">
        <v>1061</v>
      </c>
      <c r="C23" s="353" t="s">
        <v>1060</v>
      </c>
      <c r="D23" s="354">
        <v>123.0</v>
      </c>
      <c r="E23" s="354">
        <v>117.0</v>
      </c>
      <c r="F23" s="353">
        <v>11.0</v>
      </c>
      <c r="G23" s="355">
        <v>0.094</v>
      </c>
      <c r="H23" s="318" t="s">
        <v>43</v>
      </c>
      <c r="I23" s="355">
        <v>0.077</v>
      </c>
      <c r="J23" s="350">
        <v>53.48</v>
      </c>
      <c r="K23" s="350">
        <v>38.23</v>
      </c>
      <c r="L23" s="350">
        <v>148.05</v>
      </c>
      <c r="M23" s="350">
        <v>148.05</v>
      </c>
      <c r="N23" s="319"/>
      <c r="O23" s="350">
        <v>53.28</v>
      </c>
      <c r="P23" s="350">
        <v>38.03</v>
      </c>
      <c r="Q23" s="350">
        <v>147.41</v>
      </c>
      <c r="R23" s="350">
        <v>147.15</v>
      </c>
      <c r="S23" s="318" t="s">
        <v>26</v>
      </c>
      <c r="T23" s="319"/>
      <c r="U23" s="356" t="s">
        <v>662</v>
      </c>
    </row>
    <row r="24">
      <c r="A24" s="346">
        <v>236095.0</v>
      </c>
      <c r="B24" s="347" t="s">
        <v>1036</v>
      </c>
      <c r="C24" s="347" t="s">
        <v>1035</v>
      </c>
      <c r="D24" s="348">
        <v>31.0</v>
      </c>
      <c r="E24" s="348">
        <v>32.0</v>
      </c>
      <c r="F24" s="347">
        <v>11.0</v>
      </c>
      <c r="G24" s="349">
        <v>0.344</v>
      </c>
      <c r="H24" s="310" t="s">
        <v>19</v>
      </c>
      <c r="I24" s="349">
        <v>0.313</v>
      </c>
      <c r="J24" s="350">
        <v>49.46</v>
      </c>
      <c r="K24" s="350">
        <v>42.18</v>
      </c>
      <c r="L24" s="350">
        <v>149.36</v>
      </c>
      <c r="M24" s="350">
        <v>149.5</v>
      </c>
      <c r="N24" s="311"/>
      <c r="O24" s="350">
        <v>49.6</v>
      </c>
      <c r="P24" s="350">
        <v>42.3</v>
      </c>
      <c r="Q24" s="350">
        <v>149.78</v>
      </c>
      <c r="R24" s="350">
        <v>149.81</v>
      </c>
      <c r="S24" s="318" t="s">
        <v>26</v>
      </c>
      <c r="T24" s="311"/>
      <c r="U24" s="351" t="s">
        <v>662</v>
      </c>
    </row>
    <row r="25">
      <c r="A25" s="352">
        <v>211293.0</v>
      </c>
      <c r="B25" s="353" t="s">
        <v>1090</v>
      </c>
      <c r="C25" s="353" t="s">
        <v>1089</v>
      </c>
      <c r="D25" s="354">
        <v>142.0</v>
      </c>
      <c r="E25" s="354">
        <v>140.0</v>
      </c>
      <c r="F25" s="353">
        <v>10.0</v>
      </c>
      <c r="G25" s="355">
        <v>0.071</v>
      </c>
      <c r="H25" s="318" t="s">
        <v>43</v>
      </c>
      <c r="I25" s="355">
        <v>0.056</v>
      </c>
      <c r="J25" s="350">
        <v>56.4</v>
      </c>
      <c r="K25" s="350">
        <v>43.24</v>
      </c>
      <c r="L25" s="350">
        <v>165.66</v>
      </c>
      <c r="M25" s="350">
        <v>165.58</v>
      </c>
      <c r="N25" s="319"/>
      <c r="O25" s="350">
        <v>56.32</v>
      </c>
      <c r="P25" s="350">
        <v>43.2</v>
      </c>
      <c r="Q25" s="350">
        <v>165.2</v>
      </c>
      <c r="R25" s="350">
        <v>165.22</v>
      </c>
      <c r="S25" s="318" t="s">
        <v>26</v>
      </c>
      <c r="T25" s="319"/>
      <c r="U25" s="356" t="s">
        <v>662</v>
      </c>
    </row>
    <row r="26">
      <c r="A26" s="346">
        <v>228743.0</v>
      </c>
      <c r="B26" s="357" t="s">
        <v>1155</v>
      </c>
      <c r="C26" s="357" t="s">
        <v>1154</v>
      </c>
      <c r="D26" s="348">
        <v>125.0</v>
      </c>
      <c r="E26" s="348">
        <v>127.0</v>
      </c>
      <c r="F26" s="347">
        <v>10.0</v>
      </c>
      <c r="G26" s="349">
        <v>0.079</v>
      </c>
      <c r="H26" s="310" t="s">
        <v>43</v>
      </c>
      <c r="I26" s="349">
        <v>0.048</v>
      </c>
      <c r="J26" s="350">
        <v>52.33</v>
      </c>
      <c r="K26" s="350">
        <v>43.47</v>
      </c>
      <c r="L26" s="350">
        <v>161.52</v>
      </c>
      <c r="M26" s="350">
        <v>161.58</v>
      </c>
      <c r="N26" s="311"/>
      <c r="O26" s="350">
        <v>52.33</v>
      </c>
      <c r="P26" s="350">
        <v>43.47</v>
      </c>
      <c r="Q26" s="350">
        <v>161.52</v>
      </c>
      <c r="R26" s="350">
        <v>161.58</v>
      </c>
      <c r="S26" s="318" t="s">
        <v>26</v>
      </c>
      <c r="T26" s="311"/>
      <c r="U26" s="351" t="s">
        <v>662</v>
      </c>
    </row>
    <row r="27">
      <c r="A27" s="352">
        <v>234800.0</v>
      </c>
      <c r="B27" s="353" t="s">
        <v>1063</v>
      </c>
      <c r="C27" s="353" t="s">
        <v>1062</v>
      </c>
      <c r="D27" s="354">
        <v>100.0</v>
      </c>
      <c r="E27" s="354">
        <v>100.0</v>
      </c>
      <c r="F27" s="353">
        <v>10.0</v>
      </c>
      <c r="G27" s="355">
        <v>0.1</v>
      </c>
      <c r="H27" s="318" t="s">
        <v>43</v>
      </c>
      <c r="I27" s="355">
        <v>0.079</v>
      </c>
      <c r="J27" s="350">
        <v>47.3</v>
      </c>
      <c r="K27" s="350">
        <v>41.22</v>
      </c>
      <c r="L27" s="350">
        <v>144.03</v>
      </c>
      <c r="M27" s="350">
        <v>143.98</v>
      </c>
      <c r="N27" s="319"/>
      <c r="O27" s="350">
        <v>47.2</v>
      </c>
      <c r="P27" s="350">
        <v>41.02</v>
      </c>
      <c r="Q27" s="350">
        <v>143.59</v>
      </c>
      <c r="R27" s="350">
        <v>143.46</v>
      </c>
      <c r="S27" s="318" t="s">
        <v>26</v>
      </c>
      <c r="T27" s="319"/>
      <c r="U27" s="356" t="s">
        <v>662</v>
      </c>
    </row>
    <row r="28">
      <c r="A28" s="346">
        <v>236141.0</v>
      </c>
      <c r="B28" s="347" t="s">
        <v>1168</v>
      </c>
      <c r="C28" s="347" t="s">
        <v>338</v>
      </c>
      <c r="D28" s="348">
        <v>157.0</v>
      </c>
      <c r="E28" s="348">
        <v>151.0</v>
      </c>
      <c r="F28" s="347">
        <v>10.0</v>
      </c>
      <c r="G28" s="349">
        <v>0.066</v>
      </c>
      <c r="H28" s="310" t="s">
        <v>43</v>
      </c>
      <c r="I28" s="349">
        <v>0.048</v>
      </c>
      <c r="J28" s="350">
        <v>53.88</v>
      </c>
      <c r="K28" s="350">
        <v>42.03</v>
      </c>
      <c r="L28" s="350">
        <v>159.08</v>
      </c>
      <c r="M28" s="350">
        <v>159.0</v>
      </c>
      <c r="N28" s="311"/>
      <c r="O28" s="350">
        <v>53.78</v>
      </c>
      <c r="P28" s="350">
        <v>41.8</v>
      </c>
      <c r="Q28" s="350">
        <v>158.41</v>
      </c>
      <c r="R28" s="350">
        <v>158.41</v>
      </c>
      <c r="S28" s="318" t="s">
        <v>26</v>
      </c>
      <c r="T28" s="311"/>
      <c r="U28" s="351" t="s">
        <v>662</v>
      </c>
    </row>
    <row r="29">
      <c r="A29" s="352">
        <v>239839.0</v>
      </c>
      <c r="B29" s="353" t="s">
        <v>1043</v>
      </c>
      <c r="C29" s="353" t="s">
        <v>1042</v>
      </c>
      <c r="D29" s="354">
        <v>53.0</v>
      </c>
      <c r="E29" s="354">
        <v>51.0</v>
      </c>
      <c r="F29" s="353">
        <v>10.0</v>
      </c>
      <c r="G29" s="355">
        <v>0.196</v>
      </c>
      <c r="H29" s="318" t="s">
        <v>43</v>
      </c>
      <c r="I29" s="355">
        <v>0.098</v>
      </c>
      <c r="J29" s="350">
        <v>53.53</v>
      </c>
      <c r="K29" s="350">
        <v>35.75</v>
      </c>
      <c r="L29" s="350">
        <v>153.4</v>
      </c>
      <c r="M29" s="350">
        <v>153.4</v>
      </c>
      <c r="N29" s="319"/>
      <c r="O29" s="350">
        <v>53.44</v>
      </c>
      <c r="P29" s="350">
        <v>35.65</v>
      </c>
      <c r="Q29" s="350">
        <v>153.01</v>
      </c>
      <c r="R29" s="350">
        <v>152.88</v>
      </c>
      <c r="S29" s="318" t="s">
        <v>26</v>
      </c>
      <c r="T29" s="319"/>
      <c r="U29" s="356" t="s">
        <v>662</v>
      </c>
    </row>
    <row r="30">
      <c r="A30" s="346">
        <v>241936.0</v>
      </c>
      <c r="B30" s="347" t="s">
        <v>1165</v>
      </c>
      <c r="C30" s="347" t="s">
        <v>1164</v>
      </c>
      <c r="D30" s="348">
        <v>136.0</v>
      </c>
      <c r="E30" s="348">
        <v>135.0</v>
      </c>
      <c r="F30" s="347">
        <v>10.0</v>
      </c>
      <c r="G30" s="349">
        <v>0.074</v>
      </c>
      <c r="H30" s="310" t="s">
        <v>43</v>
      </c>
      <c r="I30" s="349">
        <v>0.066</v>
      </c>
      <c r="J30" s="350">
        <v>51.99</v>
      </c>
      <c r="K30" s="350">
        <v>38.98</v>
      </c>
      <c r="L30" s="350">
        <v>152.4</v>
      </c>
      <c r="M30" s="350">
        <v>152.81</v>
      </c>
      <c r="N30" s="311"/>
      <c r="O30" s="350">
        <v>51.87</v>
      </c>
      <c r="P30" s="350">
        <v>38.88</v>
      </c>
      <c r="Q30" s="350">
        <v>151.91</v>
      </c>
      <c r="R30" s="350">
        <v>152.35</v>
      </c>
      <c r="S30" s="318" t="s">
        <v>26</v>
      </c>
      <c r="T30" s="311"/>
      <c r="U30" s="351" t="s">
        <v>662</v>
      </c>
    </row>
    <row r="31">
      <c r="A31" s="352">
        <v>222900.0</v>
      </c>
      <c r="B31" s="353" t="s">
        <v>1133</v>
      </c>
      <c r="C31" s="353" t="s">
        <v>1132</v>
      </c>
      <c r="D31" s="354">
        <v>62.0</v>
      </c>
      <c r="E31" s="354">
        <v>66.0</v>
      </c>
      <c r="F31" s="353">
        <v>9.0</v>
      </c>
      <c r="G31" s="355">
        <v>0.136</v>
      </c>
      <c r="H31" s="318" t="s">
        <v>43</v>
      </c>
      <c r="I31" s="355">
        <v>0.041</v>
      </c>
      <c r="J31" s="350">
        <v>54.88</v>
      </c>
      <c r="K31" s="350">
        <v>42.2</v>
      </c>
      <c r="L31" s="350">
        <v>164.13</v>
      </c>
      <c r="M31" s="350">
        <v>164.13</v>
      </c>
      <c r="N31" s="319"/>
      <c r="O31" s="350">
        <v>54.79</v>
      </c>
      <c r="P31" s="350">
        <v>42.06</v>
      </c>
      <c r="Q31" s="350">
        <v>163.74</v>
      </c>
      <c r="R31" s="350">
        <v>163.79</v>
      </c>
      <c r="S31" s="318" t="s">
        <v>26</v>
      </c>
      <c r="T31" s="319"/>
      <c r="U31" s="356" t="s">
        <v>662</v>
      </c>
    </row>
    <row r="32">
      <c r="A32" s="346">
        <v>225336.0</v>
      </c>
      <c r="B32" s="347" t="s">
        <v>1109</v>
      </c>
      <c r="C32" s="347" t="s">
        <v>151</v>
      </c>
      <c r="D32" s="348">
        <v>33.0</v>
      </c>
      <c r="E32" s="348">
        <v>30.0</v>
      </c>
      <c r="F32" s="347">
        <v>9.0</v>
      </c>
      <c r="G32" s="349">
        <v>0.3</v>
      </c>
      <c r="H32" s="310" t="s">
        <v>19</v>
      </c>
      <c r="I32" s="349">
        <v>0.306</v>
      </c>
      <c r="J32" s="350">
        <v>47.24</v>
      </c>
      <c r="K32" s="350">
        <v>41.49</v>
      </c>
      <c r="L32" s="350">
        <v>144.14</v>
      </c>
      <c r="M32" s="350">
        <v>144.27</v>
      </c>
      <c r="N32" s="311"/>
      <c r="O32" s="350">
        <v>47.39</v>
      </c>
      <c r="P32" s="350">
        <v>41.61</v>
      </c>
      <c r="Q32" s="350">
        <v>144.52</v>
      </c>
      <c r="R32" s="350">
        <v>144.57</v>
      </c>
      <c r="S32" s="318" t="s">
        <v>26</v>
      </c>
      <c r="T32" s="311"/>
      <c r="U32" s="351" t="s">
        <v>662</v>
      </c>
    </row>
    <row r="33">
      <c r="A33" s="352">
        <v>239839.0</v>
      </c>
      <c r="B33" s="353" t="s">
        <v>1083</v>
      </c>
      <c r="C33" s="353" t="s">
        <v>103</v>
      </c>
      <c r="D33" s="354">
        <v>75.0</v>
      </c>
      <c r="E33" s="354">
        <v>71.0</v>
      </c>
      <c r="F33" s="353">
        <v>9.0</v>
      </c>
      <c r="G33" s="355">
        <v>0.127</v>
      </c>
      <c r="H33" s="318" t="s">
        <v>43</v>
      </c>
      <c r="I33" s="355">
        <v>0.057</v>
      </c>
      <c r="J33" s="350">
        <v>53.34</v>
      </c>
      <c r="K33" s="350">
        <v>35.69</v>
      </c>
      <c r="L33" s="350">
        <v>152.82</v>
      </c>
      <c r="M33" s="350">
        <v>152.83</v>
      </c>
      <c r="N33" s="319"/>
      <c r="O33" s="350">
        <v>53.21</v>
      </c>
      <c r="P33" s="350">
        <v>35.6</v>
      </c>
      <c r="Q33" s="350">
        <v>152.44</v>
      </c>
      <c r="R33" s="350">
        <v>152.42</v>
      </c>
      <c r="S33" s="318" t="s">
        <v>26</v>
      </c>
      <c r="T33" s="319"/>
      <c r="U33" s="356" t="s">
        <v>662</v>
      </c>
    </row>
    <row r="34">
      <c r="A34" s="346">
        <v>211307.0</v>
      </c>
      <c r="B34" s="347" t="s">
        <v>1054</v>
      </c>
      <c r="C34" s="347" t="s">
        <v>1053</v>
      </c>
      <c r="D34" s="348">
        <v>123.0</v>
      </c>
      <c r="E34" s="348">
        <v>123.0</v>
      </c>
      <c r="F34" s="347">
        <v>8.0</v>
      </c>
      <c r="G34" s="349">
        <v>0.065</v>
      </c>
      <c r="H34" s="310" t="s">
        <v>43</v>
      </c>
      <c r="I34" s="349">
        <v>0.024</v>
      </c>
      <c r="J34" s="350">
        <v>53.4</v>
      </c>
      <c r="K34" s="350">
        <v>37.9</v>
      </c>
      <c r="L34" s="350">
        <v>147.53</v>
      </c>
      <c r="M34" s="350">
        <v>147.53</v>
      </c>
      <c r="N34" s="311"/>
      <c r="O34" s="350">
        <v>53.32</v>
      </c>
      <c r="P34" s="350">
        <v>37.83</v>
      </c>
      <c r="Q34" s="350">
        <v>147.28</v>
      </c>
      <c r="R34" s="350">
        <v>147.29</v>
      </c>
      <c r="S34" s="318" t="s">
        <v>26</v>
      </c>
      <c r="T34" s="311"/>
      <c r="U34" s="351" t="s">
        <v>662</v>
      </c>
    </row>
    <row r="35">
      <c r="A35" s="352">
        <v>220237.0</v>
      </c>
      <c r="B35" s="353" t="s">
        <v>1175</v>
      </c>
      <c r="C35" s="353" t="s">
        <v>1174</v>
      </c>
      <c r="D35" s="354">
        <v>161.0</v>
      </c>
      <c r="E35" s="354">
        <v>158.0</v>
      </c>
      <c r="F35" s="353">
        <v>8.0</v>
      </c>
      <c r="G35" s="355">
        <v>0.051</v>
      </c>
      <c r="H35" s="318" t="s">
        <v>19</v>
      </c>
      <c r="I35" s="355">
        <v>0.011</v>
      </c>
      <c r="J35" s="350">
        <v>51.61</v>
      </c>
      <c r="K35" s="350">
        <v>47.26</v>
      </c>
      <c r="L35" s="350">
        <v>163.16</v>
      </c>
      <c r="M35" s="350">
        <v>163.35</v>
      </c>
      <c r="N35" s="319"/>
      <c r="O35" s="350">
        <v>51.7</v>
      </c>
      <c r="P35" s="350">
        <v>47.34</v>
      </c>
      <c r="Q35" s="350">
        <v>163.42</v>
      </c>
      <c r="R35" s="350">
        <v>163.64</v>
      </c>
      <c r="S35" s="318" t="s">
        <v>26</v>
      </c>
      <c r="T35" s="319"/>
      <c r="U35" s="356" t="s">
        <v>662</v>
      </c>
    </row>
    <row r="36">
      <c r="A36" s="346">
        <v>234794.0</v>
      </c>
      <c r="B36" s="347" t="s">
        <v>1145</v>
      </c>
      <c r="C36" s="347" t="s">
        <v>1144</v>
      </c>
      <c r="D36" s="348">
        <v>78.0</v>
      </c>
      <c r="E36" s="348">
        <v>78.0</v>
      </c>
      <c r="F36" s="347">
        <v>8.0</v>
      </c>
      <c r="G36" s="349">
        <v>0.103</v>
      </c>
      <c r="H36" s="310" t="s">
        <v>43</v>
      </c>
      <c r="I36" s="349">
        <v>0.038</v>
      </c>
      <c r="J36" s="350">
        <v>51.86</v>
      </c>
      <c r="K36" s="350">
        <v>43.52</v>
      </c>
      <c r="L36" s="350">
        <v>154.51</v>
      </c>
      <c r="M36" s="350">
        <v>154.61</v>
      </c>
      <c r="N36" s="311"/>
      <c r="O36" s="350">
        <v>51.77</v>
      </c>
      <c r="P36" s="350">
        <v>43.48</v>
      </c>
      <c r="Q36" s="350">
        <v>154.24</v>
      </c>
      <c r="R36" s="350">
        <v>154.38</v>
      </c>
      <c r="S36" s="318" t="s">
        <v>26</v>
      </c>
      <c r="T36" s="311"/>
      <c r="U36" s="351" t="s">
        <v>662</v>
      </c>
    </row>
    <row r="37">
      <c r="A37" s="352">
        <v>238648.0</v>
      </c>
      <c r="B37" s="353" t="s">
        <v>1127</v>
      </c>
      <c r="C37" s="353" t="s">
        <v>1126</v>
      </c>
      <c r="D37" s="354">
        <v>55.0</v>
      </c>
      <c r="E37" s="354">
        <v>55.0</v>
      </c>
      <c r="F37" s="353">
        <v>8.0</v>
      </c>
      <c r="G37" s="355">
        <v>0.145</v>
      </c>
      <c r="H37" s="318" t="s">
        <v>19</v>
      </c>
      <c r="I37" s="355">
        <v>0.13</v>
      </c>
      <c r="J37" s="350">
        <v>49.95</v>
      </c>
      <c r="K37" s="350">
        <v>29.12</v>
      </c>
      <c r="L37" s="350">
        <v>128.0</v>
      </c>
      <c r="M37" s="350">
        <v>127.21</v>
      </c>
      <c r="N37" s="319"/>
      <c r="O37" s="350">
        <v>50.1</v>
      </c>
      <c r="P37" s="350">
        <v>29.23</v>
      </c>
      <c r="Q37" s="350">
        <v>128.41</v>
      </c>
      <c r="R37" s="350">
        <v>127.54</v>
      </c>
      <c r="S37" s="318" t="s">
        <v>26</v>
      </c>
      <c r="T37" s="319"/>
      <c r="U37" s="356" t="s">
        <v>662</v>
      </c>
    </row>
    <row r="38">
      <c r="A38" s="346">
        <v>241124.0</v>
      </c>
      <c r="B38" s="347" t="s">
        <v>1115</v>
      </c>
      <c r="C38" s="347" t="s">
        <v>1114</v>
      </c>
      <c r="D38" s="348">
        <v>41.0</v>
      </c>
      <c r="E38" s="348">
        <v>41.0</v>
      </c>
      <c r="F38" s="347">
        <v>8.0</v>
      </c>
      <c r="G38" s="349">
        <v>0.195</v>
      </c>
      <c r="H38" s="310" t="s">
        <v>19</v>
      </c>
      <c r="I38" s="349">
        <v>0.122</v>
      </c>
      <c r="J38" s="350">
        <v>53.57</v>
      </c>
      <c r="K38" s="350">
        <v>47.8</v>
      </c>
      <c r="L38" s="350">
        <v>161.3</v>
      </c>
      <c r="M38" s="350">
        <v>161.3</v>
      </c>
      <c r="N38" s="311"/>
      <c r="O38" s="350">
        <v>53.66</v>
      </c>
      <c r="P38" s="350">
        <v>47.9</v>
      </c>
      <c r="Q38" s="350">
        <v>161.61</v>
      </c>
      <c r="R38" s="350">
        <v>161.68</v>
      </c>
      <c r="S38" s="318" t="s">
        <v>26</v>
      </c>
      <c r="T38" s="311"/>
      <c r="U38" s="351" t="s">
        <v>662</v>
      </c>
    </row>
    <row r="39">
      <c r="A39" s="352">
        <v>134951.0</v>
      </c>
      <c r="B39" s="353" t="s">
        <v>1069</v>
      </c>
      <c r="C39" s="353" t="s">
        <v>1066</v>
      </c>
      <c r="D39" s="354">
        <v>45.0</v>
      </c>
      <c r="E39" s="354">
        <v>45.0</v>
      </c>
      <c r="F39" s="353">
        <v>7.0</v>
      </c>
      <c r="G39" s="355">
        <v>0.156</v>
      </c>
      <c r="H39" s="318" t="s">
        <v>1067</v>
      </c>
      <c r="I39" s="353" t="s">
        <v>1068</v>
      </c>
      <c r="J39" s="358"/>
      <c r="K39" s="358"/>
      <c r="L39" s="358"/>
      <c r="M39" s="358"/>
      <c r="N39" s="319"/>
      <c r="O39" s="358"/>
      <c r="P39" s="358"/>
      <c r="Q39" s="358"/>
      <c r="R39" s="358"/>
      <c r="S39" s="318" t="s">
        <v>26</v>
      </c>
      <c r="T39" s="353" t="s">
        <v>1281</v>
      </c>
      <c r="U39" s="356" t="s">
        <v>662</v>
      </c>
    </row>
    <row r="40">
      <c r="A40" s="346">
        <v>137709.0</v>
      </c>
      <c r="B40" s="347" t="s">
        <v>1157</v>
      </c>
      <c r="C40" s="347" t="s">
        <v>1156</v>
      </c>
      <c r="D40" s="348">
        <v>96.0</v>
      </c>
      <c r="E40" s="348">
        <v>90.0</v>
      </c>
      <c r="F40" s="347">
        <v>7.0</v>
      </c>
      <c r="G40" s="349">
        <v>0.078</v>
      </c>
      <c r="H40" s="310" t="s">
        <v>43</v>
      </c>
      <c r="I40" s="349">
        <v>0.076</v>
      </c>
      <c r="J40" s="350">
        <v>50.86</v>
      </c>
      <c r="K40" s="350">
        <v>43.7</v>
      </c>
      <c r="L40" s="350">
        <v>153.62</v>
      </c>
      <c r="M40" s="350">
        <v>153.86</v>
      </c>
      <c r="N40" s="311"/>
      <c r="O40" s="350">
        <v>50.79</v>
      </c>
      <c r="P40" s="350">
        <v>43.66</v>
      </c>
      <c r="Q40" s="350">
        <v>153.34</v>
      </c>
      <c r="R40" s="350">
        <v>153.52</v>
      </c>
      <c r="S40" s="318" t="s">
        <v>26</v>
      </c>
      <c r="T40" s="311"/>
      <c r="U40" s="351" t="s">
        <v>662</v>
      </c>
    </row>
    <row r="41">
      <c r="A41" s="352">
        <v>137971.0</v>
      </c>
      <c r="B41" s="353" t="s">
        <v>1052</v>
      </c>
      <c r="C41" s="353" t="s">
        <v>1051</v>
      </c>
      <c r="D41" s="354">
        <v>121.0</v>
      </c>
      <c r="E41" s="354">
        <v>123.0</v>
      </c>
      <c r="F41" s="353">
        <v>7.0</v>
      </c>
      <c r="G41" s="355">
        <v>0.057</v>
      </c>
      <c r="H41" s="318" t="s">
        <v>43</v>
      </c>
      <c r="I41" s="355">
        <v>0.03</v>
      </c>
      <c r="J41" s="350">
        <v>52.54</v>
      </c>
      <c r="K41" s="350">
        <v>43.71</v>
      </c>
      <c r="L41" s="350">
        <v>157.33</v>
      </c>
      <c r="M41" s="350">
        <v>157.21</v>
      </c>
      <c r="N41" s="319"/>
      <c r="O41" s="350">
        <v>52.45</v>
      </c>
      <c r="P41" s="350">
        <v>43.65</v>
      </c>
      <c r="Q41" s="350">
        <v>156.86</v>
      </c>
      <c r="R41" s="350">
        <v>156.84</v>
      </c>
      <c r="S41" s="318" t="s">
        <v>26</v>
      </c>
      <c r="T41" s="319"/>
      <c r="U41" s="356" t="s">
        <v>662</v>
      </c>
    </row>
    <row r="42">
      <c r="A42" s="346">
        <v>213182.0</v>
      </c>
      <c r="B42" s="347" t="s">
        <v>1153</v>
      </c>
      <c r="C42" s="347" t="s">
        <v>1152</v>
      </c>
      <c r="D42" s="348">
        <v>87.0</v>
      </c>
      <c r="E42" s="348">
        <v>88.0</v>
      </c>
      <c r="F42" s="347">
        <v>7.0</v>
      </c>
      <c r="G42" s="349">
        <v>0.08</v>
      </c>
      <c r="H42" s="310" t="s">
        <v>43</v>
      </c>
      <c r="I42" s="349">
        <v>0.027</v>
      </c>
      <c r="J42" s="350">
        <v>54.92</v>
      </c>
      <c r="K42" s="350">
        <v>39.47</v>
      </c>
      <c r="L42" s="350">
        <v>160.65</v>
      </c>
      <c r="M42" s="350">
        <v>160.71</v>
      </c>
      <c r="N42" s="311"/>
      <c r="O42" s="350">
        <v>54.82</v>
      </c>
      <c r="P42" s="350">
        <v>39.39</v>
      </c>
      <c r="Q42" s="350">
        <v>160.13</v>
      </c>
      <c r="R42" s="350">
        <v>160.16</v>
      </c>
      <c r="S42" s="318" t="s">
        <v>26</v>
      </c>
      <c r="T42" s="311"/>
      <c r="U42" s="351" t="s">
        <v>662</v>
      </c>
    </row>
    <row r="43">
      <c r="A43" s="352">
        <v>236095.0</v>
      </c>
      <c r="B43" s="353" t="s">
        <v>1029</v>
      </c>
      <c r="C43" s="353" t="s">
        <v>1027</v>
      </c>
      <c r="D43" s="354">
        <v>6.0</v>
      </c>
      <c r="E43" s="354">
        <v>11.0</v>
      </c>
      <c r="F43" s="353">
        <v>7.0</v>
      </c>
      <c r="G43" s="355">
        <v>0.636</v>
      </c>
      <c r="H43" s="318" t="s">
        <v>19</v>
      </c>
      <c r="I43" s="355">
        <v>0.113</v>
      </c>
      <c r="J43" s="358"/>
      <c r="K43" s="358"/>
      <c r="L43" s="358"/>
      <c r="M43" s="358"/>
      <c r="N43" s="319"/>
      <c r="O43" s="358"/>
      <c r="P43" s="358"/>
      <c r="Q43" s="358"/>
      <c r="R43" s="358"/>
      <c r="S43" s="318" t="s">
        <v>26</v>
      </c>
      <c r="T43" s="350" t="s">
        <v>1282</v>
      </c>
      <c r="U43" s="356" t="s">
        <v>662</v>
      </c>
    </row>
    <row r="44">
      <c r="A44" s="346">
        <v>236135.0</v>
      </c>
      <c r="B44" s="347" t="s">
        <v>1163</v>
      </c>
      <c r="C44" s="347" t="s">
        <v>1162</v>
      </c>
      <c r="D44" s="348">
        <v>96.0</v>
      </c>
      <c r="E44" s="348">
        <v>93.0</v>
      </c>
      <c r="F44" s="347">
        <v>7.0</v>
      </c>
      <c r="G44" s="349">
        <v>0.075</v>
      </c>
      <c r="H44" s="310" t="s">
        <v>43</v>
      </c>
      <c r="I44" s="349">
        <v>0.043</v>
      </c>
      <c r="J44" s="350">
        <v>49.84</v>
      </c>
      <c r="K44" s="350">
        <v>39.17</v>
      </c>
      <c r="L44" s="350">
        <v>149.35</v>
      </c>
      <c r="M44" s="350">
        <v>149.55</v>
      </c>
      <c r="N44" s="311"/>
      <c r="O44" s="350">
        <v>49.74</v>
      </c>
      <c r="P44" s="350">
        <v>39.09</v>
      </c>
      <c r="Q44" s="350">
        <v>148.87</v>
      </c>
      <c r="R44" s="350">
        <v>148.76</v>
      </c>
      <c r="S44" s="318" t="s">
        <v>26</v>
      </c>
      <c r="T44" s="311"/>
      <c r="U44" s="351" t="s">
        <v>662</v>
      </c>
    </row>
    <row r="45">
      <c r="A45" s="352">
        <v>236743.0</v>
      </c>
      <c r="B45" s="353" t="s">
        <v>1121</v>
      </c>
      <c r="C45" s="353" t="s">
        <v>1120</v>
      </c>
      <c r="D45" s="354">
        <v>45.0</v>
      </c>
      <c r="E45" s="354">
        <v>45.0</v>
      </c>
      <c r="F45" s="353">
        <v>7.0</v>
      </c>
      <c r="G45" s="355">
        <v>0.156</v>
      </c>
      <c r="H45" s="318" t="s">
        <v>43</v>
      </c>
      <c r="I45" s="355">
        <v>0.085</v>
      </c>
      <c r="J45" s="350">
        <v>58.34</v>
      </c>
      <c r="K45" s="350">
        <v>44.54</v>
      </c>
      <c r="L45" s="350">
        <v>170.26</v>
      </c>
      <c r="M45" s="350">
        <v>170.77</v>
      </c>
      <c r="N45" s="319"/>
      <c r="O45" s="350">
        <v>58.23</v>
      </c>
      <c r="P45" s="350">
        <v>44.42</v>
      </c>
      <c r="Q45" s="350">
        <v>169.9</v>
      </c>
      <c r="R45" s="350">
        <v>170.37</v>
      </c>
      <c r="S45" s="318" t="s">
        <v>26</v>
      </c>
      <c r="T45" s="319"/>
      <c r="U45" s="356" t="s">
        <v>662</v>
      </c>
    </row>
    <row r="46">
      <c r="A46" s="346">
        <v>238655.0</v>
      </c>
      <c r="B46" s="347" t="s">
        <v>1127</v>
      </c>
      <c r="C46" s="347" t="s">
        <v>1173</v>
      </c>
      <c r="D46" s="348">
        <v>139.0</v>
      </c>
      <c r="E46" s="348">
        <v>134.0</v>
      </c>
      <c r="F46" s="347">
        <v>7.0</v>
      </c>
      <c r="G46" s="349">
        <v>0.052</v>
      </c>
      <c r="H46" s="310" t="s">
        <v>19</v>
      </c>
      <c r="I46" s="349">
        <v>0.007</v>
      </c>
      <c r="J46" s="350">
        <v>51.24</v>
      </c>
      <c r="K46" s="350">
        <v>36.66</v>
      </c>
      <c r="L46" s="350">
        <v>148.81</v>
      </c>
      <c r="M46" s="350">
        <v>149.17</v>
      </c>
      <c r="N46" s="311"/>
      <c r="O46" s="350">
        <v>51.33</v>
      </c>
      <c r="P46" s="350">
        <v>36.76</v>
      </c>
      <c r="Q46" s="350">
        <v>148.57</v>
      </c>
      <c r="R46" s="350">
        <v>148.95</v>
      </c>
      <c r="S46" s="318" t="s">
        <v>26</v>
      </c>
      <c r="T46" s="311"/>
      <c r="U46" s="351" t="s">
        <v>662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5"/>
    <col customWidth="1" min="3" max="3" width="15.75"/>
    <col customWidth="1" min="4" max="4" width="23.38"/>
    <col customWidth="1" min="5" max="5" width="9.38"/>
    <col customWidth="1" min="6" max="6" width="12.5"/>
  </cols>
  <sheetData>
    <row r="1">
      <c r="A1" s="1" t="s">
        <v>1283</v>
      </c>
      <c r="B1" s="2" t="s">
        <v>1</v>
      </c>
      <c r="C1" s="3" t="s">
        <v>2</v>
      </c>
      <c r="D1" s="3" t="s">
        <v>3</v>
      </c>
      <c r="E1" s="3" t="s">
        <v>657</v>
      </c>
      <c r="F1" s="3" t="s">
        <v>658</v>
      </c>
      <c r="G1" s="3" t="s">
        <v>659</v>
      </c>
      <c r="H1" s="3" t="s">
        <v>660</v>
      </c>
      <c r="I1" s="5" t="s">
        <v>4</v>
      </c>
      <c r="J1" s="359" t="s">
        <v>5</v>
      </c>
      <c r="K1" s="7" t="s">
        <v>7</v>
      </c>
      <c r="L1" s="8" t="s">
        <v>8</v>
      </c>
      <c r="M1" s="8" t="s">
        <v>9</v>
      </c>
      <c r="N1" s="8" t="s">
        <v>10</v>
      </c>
      <c r="O1" s="8" t="s">
        <v>11</v>
      </c>
      <c r="P1" s="8" t="s">
        <v>12</v>
      </c>
      <c r="Q1" s="7" t="s">
        <v>13</v>
      </c>
      <c r="R1" s="8" t="s">
        <v>14</v>
      </c>
      <c r="S1" s="8" t="s">
        <v>15</v>
      </c>
      <c r="T1" s="5" t="s">
        <v>17</v>
      </c>
      <c r="U1" s="7" t="s">
        <v>16</v>
      </c>
      <c r="V1" s="360" t="s">
        <v>661</v>
      </c>
    </row>
    <row r="2">
      <c r="A2" s="361">
        <v>46195.8653853125</v>
      </c>
      <c r="B2" s="239">
        <v>228743.0</v>
      </c>
      <c r="C2" s="30" t="s">
        <v>1149</v>
      </c>
      <c r="D2" s="30" t="s">
        <v>1148</v>
      </c>
      <c r="E2" s="153">
        <v>409.0</v>
      </c>
      <c r="F2" s="153">
        <v>370.0</v>
      </c>
      <c r="G2" s="153">
        <v>33.0</v>
      </c>
      <c r="H2" s="154">
        <v>0.089</v>
      </c>
      <c r="I2" s="14" t="s">
        <v>43</v>
      </c>
      <c r="J2" s="50">
        <v>0.059</v>
      </c>
      <c r="K2" s="152"/>
      <c r="L2" s="198"/>
      <c r="M2" s="198"/>
      <c r="N2" s="198"/>
      <c r="O2" s="152" t="s">
        <v>119</v>
      </c>
      <c r="P2" s="198"/>
      <c r="Q2" s="198"/>
      <c r="R2" s="198"/>
      <c r="S2" s="198"/>
      <c r="T2" s="198"/>
      <c r="U2" s="152" t="s">
        <v>885</v>
      </c>
      <c r="V2" s="362" t="s">
        <v>662</v>
      </c>
    </row>
    <row r="3">
      <c r="A3" s="363"/>
      <c r="B3" s="241">
        <v>225336.0</v>
      </c>
      <c r="C3" s="31" t="s">
        <v>1103</v>
      </c>
      <c r="D3" s="31" t="s">
        <v>195</v>
      </c>
      <c r="E3" s="157">
        <v>41.0</v>
      </c>
      <c r="F3" s="157">
        <v>37.0</v>
      </c>
      <c r="G3" s="157">
        <v>19.0</v>
      </c>
      <c r="H3" s="158">
        <v>0.514</v>
      </c>
      <c r="I3" s="16" t="s">
        <v>19</v>
      </c>
      <c r="J3" s="49">
        <v>0.489</v>
      </c>
      <c r="K3" s="200"/>
      <c r="L3" s="200"/>
      <c r="M3" s="200"/>
      <c r="N3" s="200"/>
      <c r="O3" s="156" t="s">
        <v>119</v>
      </c>
      <c r="P3" s="200"/>
      <c r="Q3" s="200"/>
      <c r="R3" s="200"/>
      <c r="S3" s="200"/>
      <c r="T3" s="200"/>
      <c r="U3" s="152" t="s">
        <v>885</v>
      </c>
      <c r="V3" s="364" t="s">
        <v>662</v>
      </c>
    </row>
    <row r="4">
      <c r="A4" s="361">
        <v>46195.911658425925</v>
      </c>
      <c r="B4" s="239">
        <v>211307.0</v>
      </c>
      <c r="C4" s="30" t="s">
        <v>1057</v>
      </c>
      <c r="D4" s="30" t="s">
        <v>1056</v>
      </c>
      <c r="E4" s="153">
        <v>148.0</v>
      </c>
      <c r="F4" s="153">
        <v>137.0</v>
      </c>
      <c r="G4" s="153">
        <v>13.0</v>
      </c>
      <c r="H4" s="154">
        <v>0.095</v>
      </c>
      <c r="I4" s="14" t="s">
        <v>19</v>
      </c>
      <c r="J4" s="50">
        <v>0.095</v>
      </c>
      <c r="K4" s="14">
        <v>52.36</v>
      </c>
      <c r="L4" s="14">
        <v>37.48</v>
      </c>
      <c r="M4" s="14">
        <v>144.79</v>
      </c>
      <c r="N4" s="14">
        <v>144.49</v>
      </c>
      <c r="O4" s="152" t="s">
        <v>119</v>
      </c>
      <c r="P4" s="14">
        <v>52.57</v>
      </c>
      <c r="Q4" s="14">
        <v>37.68</v>
      </c>
      <c r="R4" s="14">
        <v>145.43</v>
      </c>
      <c r="S4" s="14">
        <v>145.37</v>
      </c>
      <c r="T4" s="152" t="s">
        <v>22</v>
      </c>
      <c r="U4" s="152" t="s">
        <v>885</v>
      </c>
      <c r="V4" s="362" t="s">
        <v>662</v>
      </c>
    </row>
    <row r="5">
      <c r="A5" s="365">
        <v>46195.91330284722</v>
      </c>
      <c r="B5" s="241">
        <v>227571.0</v>
      </c>
      <c r="C5" s="31" t="s">
        <v>1094</v>
      </c>
      <c r="D5" s="31" t="s">
        <v>94</v>
      </c>
      <c r="E5" s="157">
        <v>14.0</v>
      </c>
      <c r="F5" s="157">
        <v>14.0</v>
      </c>
      <c r="G5" s="157">
        <v>13.0</v>
      </c>
      <c r="H5" s="158">
        <v>0.929</v>
      </c>
      <c r="I5" s="16" t="s">
        <v>19</v>
      </c>
      <c r="J5" s="49">
        <v>0.813</v>
      </c>
      <c r="K5" s="16">
        <v>49.0</v>
      </c>
      <c r="L5" s="16">
        <v>41.54</v>
      </c>
      <c r="M5" s="16">
        <v>150.36</v>
      </c>
      <c r="N5" s="16">
        <v>150.36</v>
      </c>
      <c r="O5" s="152" t="s">
        <v>119</v>
      </c>
      <c r="P5" s="16">
        <v>50.2</v>
      </c>
      <c r="Q5" s="16">
        <v>50.2</v>
      </c>
      <c r="R5" s="16">
        <v>152.73</v>
      </c>
      <c r="S5" s="16">
        <v>152.37</v>
      </c>
      <c r="T5" s="156" t="s">
        <v>22</v>
      </c>
      <c r="U5" s="152" t="s">
        <v>885</v>
      </c>
      <c r="V5" s="364" t="s">
        <v>662</v>
      </c>
    </row>
    <row r="6">
      <c r="A6" s="361">
        <v>46195.91456280093</v>
      </c>
      <c r="B6" s="239">
        <v>134949.0</v>
      </c>
      <c r="C6" s="30" t="s">
        <v>1034</v>
      </c>
      <c r="D6" s="30" t="s">
        <v>1033</v>
      </c>
      <c r="E6" s="153">
        <v>27.0</v>
      </c>
      <c r="F6" s="153">
        <v>26.0</v>
      </c>
      <c r="G6" s="153">
        <v>11.0</v>
      </c>
      <c r="H6" s="154">
        <v>0.423</v>
      </c>
      <c r="I6" s="14" t="s">
        <v>19</v>
      </c>
      <c r="J6" s="50">
        <v>0.121</v>
      </c>
      <c r="K6" s="14">
        <v>56.08</v>
      </c>
      <c r="L6" s="14">
        <v>45.05</v>
      </c>
      <c r="M6" s="14">
        <v>168.97</v>
      </c>
      <c r="N6" s="14">
        <v>168.97</v>
      </c>
      <c r="O6" s="152" t="s">
        <v>119</v>
      </c>
      <c r="P6" s="14">
        <v>56.3</v>
      </c>
      <c r="Q6" s="14">
        <v>45.46</v>
      </c>
      <c r="R6" s="14">
        <v>170.01</v>
      </c>
      <c r="S6" s="14">
        <v>169.76</v>
      </c>
      <c r="T6" s="152" t="s">
        <v>22</v>
      </c>
      <c r="U6" s="152" t="s">
        <v>885</v>
      </c>
      <c r="V6" s="364" t="s">
        <v>694</v>
      </c>
    </row>
    <row r="7">
      <c r="A7" s="365">
        <v>46195.91787884259</v>
      </c>
      <c r="B7" s="241">
        <v>217207.0</v>
      </c>
      <c r="C7" s="31" t="s">
        <v>1135</v>
      </c>
      <c r="D7" s="31" t="s">
        <v>1134</v>
      </c>
      <c r="E7" s="157">
        <v>83.0</v>
      </c>
      <c r="F7" s="157">
        <v>82.0</v>
      </c>
      <c r="G7" s="157">
        <v>11.0</v>
      </c>
      <c r="H7" s="158">
        <v>0.134</v>
      </c>
      <c r="I7" s="16" t="s">
        <v>19</v>
      </c>
      <c r="J7" s="49">
        <v>0.099</v>
      </c>
      <c r="K7" s="16">
        <v>48.95</v>
      </c>
      <c r="L7" s="16">
        <v>42.2</v>
      </c>
      <c r="M7" s="16">
        <v>148.97</v>
      </c>
      <c r="N7" s="16">
        <v>148.94</v>
      </c>
      <c r="O7" s="152" t="s">
        <v>119</v>
      </c>
      <c r="P7" s="16">
        <v>49.2</v>
      </c>
      <c r="Q7" s="16">
        <v>42.4</v>
      </c>
      <c r="R7" s="16">
        <v>149.71</v>
      </c>
      <c r="S7" s="16">
        <v>149.71</v>
      </c>
      <c r="T7" s="156" t="s">
        <v>22</v>
      </c>
      <c r="U7" s="152" t="s">
        <v>885</v>
      </c>
      <c r="V7" s="364" t="s">
        <v>662</v>
      </c>
    </row>
    <row r="8">
      <c r="A8" s="361">
        <v>46196.885731875</v>
      </c>
      <c r="B8" s="239">
        <v>217873.0</v>
      </c>
      <c r="C8" s="30" t="s">
        <v>1044</v>
      </c>
      <c r="D8" s="30" t="s">
        <v>902</v>
      </c>
      <c r="E8" s="153">
        <v>55.0</v>
      </c>
      <c r="F8" s="153">
        <v>51.0</v>
      </c>
      <c r="G8" s="153">
        <v>10.0</v>
      </c>
      <c r="H8" s="154">
        <v>0.196</v>
      </c>
      <c r="I8" s="14" t="s">
        <v>43</v>
      </c>
      <c r="J8" s="50">
        <v>0.064</v>
      </c>
      <c r="K8" s="10">
        <v>53.2</v>
      </c>
      <c r="L8" s="10">
        <v>40.39</v>
      </c>
      <c r="M8" s="10">
        <v>151.57</v>
      </c>
      <c r="N8" s="10">
        <v>151.55</v>
      </c>
      <c r="O8" s="14" t="s">
        <v>119</v>
      </c>
      <c r="P8" s="14">
        <v>53.05</v>
      </c>
      <c r="Q8" s="14">
        <v>40.2</v>
      </c>
      <c r="R8" s="14">
        <v>150.87</v>
      </c>
      <c r="S8" s="14">
        <v>150.55</v>
      </c>
      <c r="T8" s="152" t="s">
        <v>22</v>
      </c>
      <c r="U8" s="152" t="s">
        <v>885</v>
      </c>
      <c r="V8" s="362" t="s">
        <v>662</v>
      </c>
    </row>
    <row r="9">
      <c r="A9" s="365">
        <v>46196.887329467594</v>
      </c>
      <c r="B9" s="241">
        <v>241463.0</v>
      </c>
      <c r="C9" s="31" t="s">
        <v>1147</v>
      </c>
      <c r="D9" s="31" t="s">
        <v>1146</v>
      </c>
      <c r="E9" s="157">
        <v>106.0</v>
      </c>
      <c r="F9" s="157">
        <v>101.0</v>
      </c>
      <c r="G9" s="157">
        <v>10.0</v>
      </c>
      <c r="H9" s="158">
        <v>0.099</v>
      </c>
      <c r="I9" s="16" t="s">
        <v>19</v>
      </c>
      <c r="J9" s="49">
        <v>0.086</v>
      </c>
      <c r="K9" s="16">
        <v>47.73</v>
      </c>
      <c r="L9" s="16">
        <v>42.6</v>
      </c>
      <c r="M9" s="16">
        <v>146.37</v>
      </c>
      <c r="N9" s="16">
        <v>146.47</v>
      </c>
      <c r="O9" s="14" t="s">
        <v>119</v>
      </c>
      <c r="P9" s="16">
        <v>48.1</v>
      </c>
      <c r="Q9" s="16">
        <v>42.79</v>
      </c>
      <c r="R9" s="16">
        <v>147.21</v>
      </c>
      <c r="S9" s="16">
        <v>146.95</v>
      </c>
      <c r="T9" s="156" t="s">
        <v>22</v>
      </c>
      <c r="U9" s="152" t="s">
        <v>885</v>
      </c>
      <c r="V9" s="364" t="s">
        <v>662</v>
      </c>
    </row>
    <row r="10">
      <c r="A10" s="361">
        <v>46196.8918759375</v>
      </c>
      <c r="B10" s="239">
        <v>134949.0</v>
      </c>
      <c r="C10" s="30" t="s">
        <v>1081</v>
      </c>
      <c r="D10" s="30" t="s">
        <v>1080</v>
      </c>
      <c r="E10" s="153">
        <v>22.0</v>
      </c>
      <c r="F10" s="153">
        <v>20.0</v>
      </c>
      <c r="G10" s="153">
        <v>7.0</v>
      </c>
      <c r="H10" s="154">
        <v>0.35</v>
      </c>
      <c r="I10" s="14" t="s">
        <v>19</v>
      </c>
      <c r="J10" s="50">
        <v>0.103</v>
      </c>
      <c r="K10" s="14">
        <v>56.11</v>
      </c>
      <c r="L10" s="14">
        <v>45.3</v>
      </c>
      <c r="M10" s="14">
        <v>169.42</v>
      </c>
      <c r="N10" s="14">
        <v>169.42</v>
      </c>
      <c r="O10" s="14" t="s">
        <v>119</v>
      </c>
      <c r="P10" s="14">
        <v>56.6</v>
      </c>
      <c r="Q10" s="14">
        <v>45.69</v>
      </c>
      <c r="R10" s="14">
        <v>170.97</v>
      </c>
      <c r="S10" s="14">
        <v>170.97</v>
      </c>
      <c r="T10" s="156" t="s">
        <v>22</v>
      </c>
      <c r="U10" s="152" t="s">
        <v>885</v>
      </c>
      <c r="V10" s="362" t="s">
        <v>662</v>
      </c>
    </row>
    <row r="11">
      <c r="A11" s="365">
        <v>46196.894455138885</v>
      </c>
      <c r="B11" s="241">
        <v>134951.0</v>
      </c>
      <c r="C11" s="31" t="s">
        <v>1041</v>
      </c>
      <c r="D11" s="31" t="s">
        <v>1040</v>
      </c>
      <c r="E11" s="157">
        <v>40.0</v>
      </c>
      <c r="F11" s="157">
        <v>35.0</v>
      </c>
      <c r="G11" s="157">
        <v>7.0</v>
      </c>
      <c r="H11" s="158">
        <v>0.2</v>
      </c>
      <c r="I11" s="16" t="s">
        <v>43</v>
      </c>
      <c r="J11" s="49">
        <v>0.058</v>
      </c>
      <c r="K11" s="16">
        <v>56.13</v>
      </c>
      <c r="L11" s="16">
        <v>45.38</v>
      </c>
      <c r="M11" s="16">
        <v>169.55</v>
      </c>
      <c r="N11" s="16">
        <v>169.55</v>
      </c>
      <c r="O11" s="14" t="s">
        <v>119</v>
      </c>
      <c r="P11" s="16">
        <v>55.89</v>
      </c>
      <c r="Q11" s="16">
        <v>45.19</v>
      </c>
      <c r="R11" s="16">
        <v>168.89</v>
      </c>
      <c r="S11" s="16">
        <v>168.89</v>
      </c>
      <c r="T11" s="156" t="s">
        <v>22</v>
      </c>
      <c r="U11" s="152" t="s">
        <v>885</v>
      </c>
      <c r="V11" s="364" t="s">
        <v>662</v>
      </c>
    </row>
    <row r="12">
      <c r="A12" s="361">
        <v>46196.89531857639</v>
      </c>
      <c r="B12" s="239">
        <v>143018.0</v>
      </c>
      <c r="C12" s="30" t="s">
        <v>1117</v>
      </c>
      <c r="D12" s="30" t="s">
        <v>1116</v>
      </c>
      <c r="E12" s="153">
        <v>34.0</v>
      </c>
      <c r="F12" s="153">
        <v>37.0</v>
      </c>
      <c r="G12" s="153">
        <v>7.0</v>
      </c>
      <c r="H12" s="154">
        <v>0.189</v>
      </c>
      <c r="I12" s="14" t="s">
        <v>19</v>
      </c>
      <c r="J12" s="50">
        <v>0.019</v>
      </c>
      <c r="K12" s="14">
        <v>49.62</v>
      </c>
      <c r="L12" s="14">
        <v>32.16</v>
      </c>
      <c r="M12" s="14">
        <v>136.84</v>
      </c>
      <c r="N12" s="14">
        <v>136.84</v>
      </c>
      <c r="O12" s="14" t="s">
        <v>119</v>
      </c>
      <c r="P12" s="14">
        <v>49.82</v>
      </c>
      <c r="Q12" s="14">
        <v>32.39</v>
      </c>
      <c r="R12" s="14">
        <v>137.62</v>
      </c>
      <c r="S12" s="14">
        <v>137.91</v>
      </c>
      <c r="T12" s="156" t="s">
        <v>22</v>
      </c>
      <c r="U12" s="152" t="s">
        <v>885</v>
      </c>
      <c r="V12" s="362" t="s">
        <v>694</v>
      </c>
    </row>
    <row r="13">
      <c r="A13" s="365">
        <v>46196.896582685185</v>
      </c>
      <c r="B13" s="241">
        <v>217204.0</v>
      </c>
      <c r="C13" s="31" t="s">
        <v>1096</v>
      </c>
      <c r="D13" s="31" t="s">
        <v>1095</v>
      </c>
      <c r="E13" s="157">
        <v>10.0</v>
      </c>
      <c r="F13" s="157">
        <v>9.0</v>
      </c>
      <c r="G13" s="157">
        <v>7.0</v>
      </c>
      <c r="H13" s="158">
        <v>0.778</v>
      </c>
      <c r="I13" s="16" t="s">
        <v>19</v>
      </c>
      <c r="J13" s="49">
        <v>0.714</v>
      </c>
      <c r="K13" s="16">
        <v>48.89</v>
      </c>
      <c r="L13" s="16">
        <v>42.36</v>
      </c>
      <c r="M13" s="16">
        <v>149.05</v>
      </c>
      <c r="N13" s="16">
        <v>149.77</v>
      </c>
      <c r="O13" s="14" t="s">
        <v>119</v>
      </c>
      <c r="P13" s="16">
        <v>49.31</v>
      </c>
      <c r="Q13" s="16">
        <v>42.8</v>
      </c>
      <c r="R13" s="16">
        <v>150.44</v>
      </c>
      <c r="S13" s="16">
        <v>150.85</v>
      </c>
      <c r="T13" s="156" t="s">
        <v>22</v>
      </c>
      <c r="U13" s="152" t="s">
        <v>885</v>
      </c>
      <c r="V13" s="364" t="s">
        <v>662</v>
      </c>
    </row>
    <row r="14">
      <c r="A14" s="361">
        <v>46196.8980455787</v>
      </c>
      <c r="B14" s="239">
        <v>223230.0</v>
      </c>
      <c r="C14" s="30" t="s">
        <v>1086</v>
      </c>
      <c r="D14" s="30" t="s">
        <v>612</v>
      </c>
      <c r="E14" s="153">
        <v>64.0</v>
      </c>
      <c r="F14" s="153">
        <v>65.0</v>
      </c>
      <c r="G14" s="153">
        <v>7.0</v>
      </c>
      <c r="H14" s="154">
        <v>0.108</v>
      </c>
      <c r="I14" s="14" t="s">
        <v>43</v>
      </c>
      <c r="J14" s="50">
        <v>0.037</v>
      </c>
      <c r="K14" s="14">
        <v>48.25</v>
      </c>
      <c r="L14" s="14">
        <v>48.25</v>
      </c>
      <c r="M14" s="14">
        <v>145.47</v>
      </c>
      <c r="N14" s="14">
        <v>145.47</v>
      </c>
      <c r="O14" s="14" t="s">
        <v>119</v>
      </c>
      <c r="P14" s="14">
        <v>48.1</v>
      </c>
      <c r="Q14" s="14">
        <v>41.7</v>
      </c>
      <c r="R14" s="14">
        <v>144.82</v>
      </c>
      <c r="S14" s="14">
        <v>144.89</v>
      </c>
      <c r="T14" s="156" t="s">
        <v>22</v>
      </c>
      <c r="U14" s="152" t="s">
        <v>885</v>
      </c>
      <c r="V14" s="362" t="s">
        <v>662</v>
      </c>
    </row>
    <row r="15">
      <c r="A15" s="363"/>
      <c r="B15" s="241">
        <v>134949.0</v>
      </c>
      <c r="C15" s="31" t="s">
        <v>1072</v>
      </c>
      <c r="D15" s="31" t="s">
        <v>46</v>
      </c>
      <c r="E15" s="157">
        <v>28.0</v>
      </c>
      <c r="F15" s="157">
        <v>20.0</v>
      </c>
      <c r="G15" s="157">
        <v>6.0</v>
      </c>
      <c r="H15" s="158">
        <v>0.3</v>
      </c>
      <c r="I15" s="16" t="s">
        <v>43</v>
      </c>
      <c r="J15" s="49">
        <v>0.069</v>
      </c>
      <c r="K15" s="366"/>
      <c r="L15" s="366"/>
      <c r="M15" s="366"/>
      <c r="N15" s="366"/>
      <c r="O15" s="366"/>
      <c r="P15" s="366"/>
      <c r="Q15" s="366"/>
      <c r="R15" s="366"/>
      <c r="S15" s="366"/>
      <c r="T15" s="200"/>
      <c r="U15" s="200"/>
      <c r="V15" s="364" t="s">
        <v>694</v>
      </c>
    </row>
    <row r="16">
      <c r="A16" s="361">
        <v>46196.89895055555</v>
      </c>
      <c r="B16" s="239">
        <v>215983.0</v>
      </c>
      <c r="C16" s="30" t="s">
        <v>1049</v>
      </c>
      <c r="D16" s="30" t="s">
        <v>1048</v>
      </c>
      <c r="E16" s="153">
        <v>112.0</v>
      </c>
      <c r="F16" s="153">
        <v>110.0</v>
      </c>
      <c r="G16" s="153">
        <v>6.0</v>
      </c>
      <c r="H16" s="154">
        <v>0.055</v>
      </c>
      <c r="I16" s="14" t="s">
        <v>43</v>
      </c>
      <c r="J16" s="50">
        <v>0.027</v>
      </c>
      <c r="K16" s="14">
        <v>50.94</v>
      </c>
      <c r="L16" s="14">
        <v>39.72</v>
      </c>
      <c r="M16" s="14">
        <v>152.94</v>
      </c>
      <c r="N16" s="14">
        <v>153.08</v>
      </c>
      <c r="O16" s="14" t="s">
        <v>119</v>
      </c>
      <c r="P16" s="14">
        <v>50.75</v>
      </c>
      <c r="Q16" s="14">
        <v>39.6</v>
      </c>
      <c r="R16" s="14">
        <v>152.24</v>
      </c>
      <c r="S16" s="14">
        <v>152.46</v>
      </c>
      <c r="T16" s="152" t="s">
        <v>22</v>
      </c>
      <c r="U16" s="152" t="s">
        <v>885</v>
      </c>
      <c r="V16" s="362" t="s">
        <v>662</v>
      </c>
    </row>
    <row r="17">
      <c r="A17" s="365">
        <v>46196.89990872685</v>
      </c>
      <c r="B17" s="241">
        <v>237933.0</v>
      </c>
      <c r="C17" s="31" t="s">
        <v>1100</v>
      </c>
      <c r="D17" s="31" t="s">
        <v>1099</v>
      </c>
      <c r="E17" s="157">
        <v>14.0</v>
      </c>
      <c r="F17" s="157">
        <v>10.0</v>
      </c>
      <c r="G17" s="157">
        <v>6.0</v>
      </c>
      <c r="H17" s="158">
        <v>0.6</v>
      </c>
      <c r="I17" s="16" t="s">
        <v>43</v>
      </c>
      <c r="J17" s="49">
        <v>0.042</v>
      </c>
      <c r="K17" s="16">
        <v>50.5</v>
      </c>
      <c r="L17" s="16">
        <v>39.55</v>
      </c>
      <c r="M17" s="16">
        <v>151.45</v>
      </c>
      <c r="N17" s="16">
        <v>151.45</v>
      </c>
      <c r="O17" s="16" t="s">
        <v>119</v>
      </c>
      <c r="P17" s="16">
        <v>50.29</v>
      </c>
      <c r="Q17" s="16">
        <v>39.4</v>
      </c>
      <c r="R17" s="16">
        <v>150.67</v>
      </c>
      <c r="S17" s="16">
        <v>150.65</v>
      </c>
      <c r="T17" s="156" t="s">
        <v>22</v>
      </c>
      <c r="U17" s="156" t="s">
        <v>885</v>
      </c>
      <c r="V17" s="364" t="s">
        <v>694</v>
      </c>
    </row>
    <row r="18">
      <c r="A18" s="361">
        <v>46196.90104033565</v>
      </c>
      <c r="B18" s="239">
        <v>241091.0</v>
      </c>
      <c r="C18" s="30" t="s">
        <v>1107</v>
      </c>
      <c r="D18" s="30" t="s">
        <v>1106</v>
      </c>
      <c r="E18" s="153">
        <v>19.0</v>
      </c>
      <c r="F18" s="153">
        <v>17.0</v>
      </c>
      <c r="G18" s="153">
        <v>6.0</v>
      </c>
      <c r="H18" s="154">
        <v>0.353</v>
      </c>
      <c r="I18" s="14" t="s">
        <v>43</v>
      </c>
      <c r="J18" s="50">
        <v>0.156</v>
      </c>
      <c r="K18" s="14">
        <v>54.01</v>
      </c>
      <c r="L18" s="14">
        <v>43.36</v>
      </c>
      <c r="M18" s="14">
        <v>160.84</v>
      </c>
      <c r="N18" s="14">
        <v>159.79</v>
      </c>
      <c r="O18" s="14" t="s">
        <v>119</v>
      </c>
      <c r="P18" s="14">
        <v>53.6</v>
      </c>
      <c r="Q18" s="14">
        <v>43.16</v>
      </c>
      <c r="R18" s="14">
        <v>159.87</v>
      </c>
      <c r="S18" s="14">
        <v>159.29</v>
      </c>
      <c r="T18" s="152" t="s">
        <v>22</v>
      </c>
      <c r="U18" s="152" t="s">
        <v>885</v>
      </c>
      <c r="V18" s="362" t="s">
        <v>662</v>
      </c>
    </row>
    <row r="19">
      <c r="A19" s="365">
        <v>46196.902119618055</v>
      </c>
      <c r="B19" s="241">
        <v>148157.0</v>
      </c>
      <c r="C19" s="31" t="s">
        <v>1059</v>
      </c>
      <c r="D19" s="31" t="s">
        <v>1058</v>
      </c>
      <c r="E19" s="157">
        <v>73.0</v>
      </c>
      <c r="F19" s="157">
        <v>71.0</v>
      </c>
      <c r="G19" s="157">
        <v>5.0</v>
      </c>
      <c r="H19" s="158">
        <v>0.07</v>
      </c>
      <c r="I19" s="16" t="s">
        <v>43</v>
      </c>
      <c r="J19" s="49">
        <v>0.061</v>
      </c>
      <c r="K19" s="16">
        <v>50.69</v>
      </c>
      <c r="L19" s="16">
        <v>45.23</v>
      </c>
      <c r="M19" s="16">
        <v>152.78</v>
      </c>
      <c r="N19" s="16">
        <v>152.78</v>
      </c>
      <c r="O19" s="14" t="s">
        <v>119</v>
      </c>
      <c r="P19" s="16">
        <v>50.5</v>
      </c>
      <c r="Q19" s="16">
        <v>45.05</v>
      </c>
      <c r="R19" s="16">
        <v>152.19</v>
      </c>
      <c r="S19" s="16">
        <v>152.11</v>
      </c>
      <c r="T19" s="152" t="s">
        <v>22</v>
      </c>
      <c r="U19" s="152" t="s">
        <v>885</v>
      </c>
      <c r="V19" s="364" t="s">
        <v>662</v>
      </c>
    </row>
    <row r="20">
      <c r="A20" s="361">
        <v>46196.90314005787</v>
      </c>
      <c r="B20" s="239">
        <v>241120.0</v>
      </c>
      <c r="C20" s="30" t="s">
        <v>1143</v>
      </c>
      <c r="D20" s="30" t="s">
        <v>1142</v>
      </c>
      <c r="E20" s="153">
        <v>49.0</v>
      </c>
      <c r="F20" s="153">
        <v>44.0</v>
      </c>
      <c r="G20" s="153">
        <v>5.0</v>
      </c>
      <c r="H20" s="154">
        <v>0.114</v>
      </c>
      <c r="I20" s="14" t="s">
        <v>43</v>
      </c>
      <c r="J20" s="50">
        <v>0.06</v>
      </c>
      <c r="K20" s="14">
        <v>56.09</v>
      </c>
      <c r="L20" s="14">
        <v>39.17</v>
      </c>
      <c r="M20" s="14">
        <v>164.14</v>
      </c>
      <c r="N20" s="14">
        <v>163.8</v>
      </c>
      <c r="O20" s="14" t="s">
        <v>119</v>
      </c>
      <c r="P20" s="14">
        <v>55.89</v>
      </c>
      <c r="Q20" s="14">
        <v>38.95</v>
      </c>
      <c r="R20" s="14">
        <v>163.33</v>
      </c>
      <c r="S20" s="14">
        <v>163.09</v>
      </c>
      <c r="T20" s="152" t="s">
        <v>22</v>
      </c>
      <c r="U20" s="152" t="s">
        <v>885</v>
      </c>
      <c r="V20" s="362" t="s">
        <v>662</v>
      </c>
    </row>
    <row r="21">
      <c r="A21" s="363"/>
      <c r="B21" s="241">
        <v>134949.0</v>
      </c>
      <c r="C21" s="31" t="s">
        <v>1076</v>
      </c>
      <c r="D21" s="31" t="s">
        <v>1075</v>
      </c>
      <c r="E21" s="157">
        <v>19.0</v>
      </c>
      <c r="F21" s="157">
        <v>16.0</v>
      </c>
      <c r="G21" s="157">
        <v>4.0</v>
      </c>
      <c r="H21" s="158">
        <v>0.25</v>
      </c>
      <c r="I21" s="16" t="s">
        <v>43</v>
      </c>
      <c r="J21" s="49"/>
      <c r="K21" s="366"/>
      <c r="L21" s="366"/>
      <c r="M21" s="366"/>
      <c r="N21" s="366"/>
      <c r="O21" s="366"/>
      <c r="P21" s="366"/>
      <c r="Q21" s="366"/>
      <c r="R21" s="366"/>
      <c r="S21" s="366"/>
      <c r="T21" s="200"/>
      <c r="U21" s="200"/>
      <c r="V21" s="364" t="s">
        <v>694</v>
      </c>
    </row>
    <row r="22">
      <c r="A22" s="367"/>
      <c r="B22" s="239">
        <v>134951.0</v>
      </c>
      <c r="C22" s="30" t="s">
        <v>1071</v>
      </c>
      <c r="D22" s="30" t="s">
        <v>1070</v>
      </c>
      <c r="E22" s="153">
        <v>26.0</v>
      </c>
      <c r="F22" s="153">
        <v>25.0</v>
      </c>
      <c r="G22" s="153">
        <v>4.0</v>
      </c>
      <c r="H22" s="154">
        <v>0.16</v>
      </c>
      <c r="I22" s="14" t="s">
        <v>1284</v>
      </c>
      <c r="J22" s="50">
        <v>0.1818</v>
      </c>
      <c r="K22" s="368"/>
      <c r="L22" s="368"/>
      <c r="M22" s="368"/>
      <c r="N22" s="368"/>
      <c r="O22" s="368"/>
      <c r="P22" s="368"/>
      <c r="Q22" s="368"/>
      <c r="R22" s="368"/>
      <c r="S22" s="368"/>
      <c r="T22" s="198"/>
      <c r="U22" s="198"/>
      <c r="V22" s="364" t="s">
        <v>694</v>
      </c>
    </row>
    <row r="23">
      <c r="A23" s="361">
        <v>46196.90446023148</v>
      </c>
      <c r="B23" s="239">
        <v>148906.0</v>
      </c>
      <c r="C23" s="30" t="s">
        <v>1119</v>
      </c>
      <c r="D23" s="30" t="s">
        <v>1118</v>
      </c>
      <c r="E23" s="153">
        <v>26.0</v>
      </c>
      <c r="F23" s="153">
        <v>23.0</v>
      </c>
      <c r="G23" s="153">
        <v>4.0</v>
      </c>
      <c r="H23" s="154">
        <v>0.174</v>
      </c>
      <c r="I23" s="14" t="s">
        <v>43</v>
      </c>
      <c r="J23" s="50">
        <v>0.121</v>
      </c>
      <c r="K23" s="14">
        <v>49.66</v>
      </c>
      <c r="L23" s="14">
        <v>39.02</v>
      </c>
      <c r="M23" s="14">
        <v>147.01</v>
      </c>
      <c r="N23" s="14">
        <v>147.3</v>
      </c>
      <c r="O23" s="14" t="s">
        <v>119</v>
      </c>
      <c r="P23" s="14">
        <v>49.4</v>
      </c>
      <c r="Q23" s="14">
        <v>38.8</v>
      </c>
      <c r="R23" s="14">
        <v>146.2</v>
      </c>
      <c r="S23" s="14">
        <v>146.38</v>
      </c>
      <c r="T23" s="152" t="s">
        <v>22</v>
      </c>
      <c r="U23" s="152" t="s">
        <v>885</v>
      </c>
      <c r="V23" s="362" t="s">
        <v>662</v>
      </c>
    </row>
    <row r="24">
      <c r="A24" s="365">
        <v>46196.910338981485</v>
      </c>
      <c r="B24" s="241">
        <v>224353.0</v>
      </c>
      <c r="C24" s="31" t="s">
        <v>1159</v>
      </c>
      <c r="D24" s="31" t="s">
        <v>1158</v>
      </c>
      <c r="E24" s="157">
        <v>54.0</v>
      </c>
      <c r="F24" s="157">
        <v>51.0</v>
      </c>
      <c r="G24" s="157">
        <v>4.0</v>
      </c>
      <c r="H24" s="158">
        <v>0.078</v>
      </c>
      <c r="I24" s="16" t="s">
        <v>43</v>
      </c>
      <c r="J24" s="49">
        <v>0.019</v>
      </c>
      <c r="K24" s="16">
        <v>55.08</v>
      </c>
      <c r="L24" s="16">
        <v>45.95</v>
      </c>
      <c r="M24" s="16">
        <v>165.74</v>
      </c>
      <c r="N24" s="16">
        <v>165.75</v>
      </c>
      <c r="O24" s="14" t="s">
        <v>119</v>
      </c>
      <c r="P24" s="16">
        <v>54.91</v>
      </c>
      <c r="Q24" s="16">
        <v>45.9</v>
      </c>
      <c r="R24" s="16">
        <v>165.11</v>
      </c>
      <c r="S24" s="16">
        <v>165.11</v>
      </c>
      <c r="T24" s="152" t="s">
        <v>22</v>
      </c>
      <c r="U24" s="152" t="s">
        <v>885</v>
      </c>
      <c r="V24" s="364" t="s">
        <v>662</v>
      </c>
    </row>
    <row r="25">
      <c r="A25" s="361">
        <v>46196.91138424768</v>
      </c>
      <c r="B25" s="239">
        <v>224849.0</v>
      </c>
      <c r="C25" s="30" t="s">
        <v>1137</v>
      </c>
      <c r="D25" s="30" t="s">
        <v>1136</v>
      </c>
      <c r="E25" s="153">
        <v>65.0</v>
      </c>
      <c r="F25" s="153">
        <v>57.0</v>
      </c>
      <c r="G25" s="153">
        <v>4.0</v>
      </c>
      <c r="H25" s="154">
        <v>0.07</v>
      </c>
      <c r="I25" s="14" t="s">
        <v>43</v>
      </c>
      <c r="J25" s="50">
        <v>0.039</v>
      </c>
      <c r="K25" s="14">
        <v>54.21</v>
      </c>
      <c r="L25" s="14">
        <v>42.42</v>
      </c>
      <c r="M25" s="14">
        <v>161.52</v>
      </c>
      <c r="N25" s="14">
        <v>161.36</v>
      </c>
      <c r="O25" s="14" t="s">
        <v>119</v>
      </c>
      <c r="P25" s="14">
        <v>54.0</v>
      </c>
      <c r="Q25" s="14">
        <v>42.2</v>
      </c>
      <c r="R25" s="14">
        <v>160.83</v>
      </c>
      <c r="S25" s="14">
        <v>160.56</v>
      </c>
      <c r="T25" s="152" t="s">
        <v>22</v>
      </c>
      <c r="U25" s="152" t="s">
        <v>885</v>
      </c>
      <c r="V25" s="362" t="s">
        <v>662</v>
      </c>
    </row>
    <row r="26">
      <c r="A26" s="361">
        <v>46200.91662509259</v>
      </c>
      <c r="B26" s="239">
        <v>234798.0</v>
      </c>
      <c r="C26" s="30" t="s">
        <v>1026</v>
      </c>
      <c r="D26" s="30" t="s">
        <v>1024</v>
      </c>
      <c r="E26" s="153">
        <v>5.0</v>
      </c>
      <c r="F26" s="153">
        <v>5.0</v>
      </c>
      <c r="G26" s="153">
        <v>4.0</v>
      </c>
      <c r="H26" s="154">
        <v>0.8</v>
      </c>
      <c r="I26" s="14" t="s">
        <v>19</v>
      </c>
      <c r="J26" s="50">
        <v>0.4</v>
      </c>
      <c r="K26" s="30">
        <v>51.65</v>
      </c>
      <c r="L26" s="14">
        <v>43.55</v>
      </c>
      <c r="M26" s="14">
        <v>154.42</v>
      </c>
      <c r="N26" s="14">
        <v>154.11</v>
      </c>
      <c r="O26" s="14" t="s">
        <v>119</v>
      </c>
      <c r="P26" s="14">
        <v>52.21</v>
      </c>
      <c r="Q26" s="14">
        <v>44.1</v>
      </c>
      <c r="R26" s="14">
        <v>156.21</v>
      </c>
      <c r="S26" s="14">
        <v>156.17</v>
      </c>
      <c r="T26" s="152" t="s">
        <v>22</v>
      </c>
      <c r="U26" s="152" t="s">
        <v>885</v>
      </c>
      <c r="V26" s="362" t="s">
        <v>662</v>
      </c>
    </row>
    <row r="27">
      <c r="A27" s="365">
        <v>46200.91393730324</v>
      </c>
      <c r="B27" s="241">
        <v>235307.0</v>
      </c>
      <c r="C27" s="31" t="s">
        <v>1065</v>
      </c>
      <c r="D27" s="31" t="s">
        <v>1064</v>
      </c>
      <c r="E27" s="157">
        <v>38.0</v>
      </c>
      <c r="F27" s="157">
        <v>37.0</v>
      </c>
      <c r="G27" s="157">
        <v>4.0</v>
      </c>
      <c r="H27" s="158">
        <v>0.108</v>
      </c>
      <c r="I27" s="16" t="s">
        <v>19</v>
      </c>
      <c r="J27" s="49">
        <v>0.023</v>
      </c>
      <c r="K27" s="31">
        <v>50.18</v>
      </c>
      <c r="L27" s="16">
        <v>40.94</v>
      </c>
      <c r="M27" s="16">
        <v>152.28</v>
      </c>
      <c r="N27" s="16">
        <v>152.2</v>
      </c>
      <c r="O27" s="14" t="s">
        <v>119</v>
      </c>
      <c r="P27" s="16">
        <v>51.3</v>
      </c>
      <c r="Q27" s="16">
        <v>41.1</v>
      </c>
      <c r="R27" s="16">
        <v>152.38</v>
      </c>
      <c r="S27" s="16">
        <v>152.68</v>
      </c>
      <c r="T27" s="152" t="s">
        <v>22</v>
      </c>
      <c r="U27" s="152" t="s">
        <v>885</v>
      </c>
      <c r="V27" s="364" t="s">
        <v>662</v>
      </c>
    </row>
    <row r="28">
      <c r="A28" s="361">
        <v>46200.9148149074</v>
      </c>
      <c r="B28" s="239">
        <v>236141.0</v>
      </c>
      <c r="C28" s="30" t="s">
        <v>1168</v>
      </c>
      <c r="D28" s="30" t="s">
        <v>338</v>
      </c>
      <c r="E28" s="153">
        <v>71.0</v>
      </c>
      <c r="F28" s="153">
        <v>70.0</v>
      </c>
      <c r="G28" s="153">
        <v>4.0</v>
      </c>
      <c r="H28" s="154">
        <v>0.057</v>
      </c>
      <c r="I28" s="14" t="s">
        <v>19</v>
      </c>
      <c r="J28" s="50">
        <v>0.037</v>
      </c>
      <c r="K28" s="14">
        <v>53.5</v>
      </c>
      <c r="L28" s="14">
        <v>41.52</v>
      </c>
      <c r="M28" s="14">
        <v>157.98</v>
      </c>
      <c r="N28" s="14">
        <v>158.1</v>
      </c>
      <c r="O28" s="14" t="s">
        <v>119</v>
      </c>
      <c r="P28" s="14">
        <v>53.7</v>
      </c>
      <c r="Q28" s="14">
        <v>41.71</v>
      </c>
      <c r="R28" s="14">
        <v>158.12</v>
      </c>
      <c r="S28" s="14">
        <v>158.14</v>
      </c>
      <c r="T28" s="152" t="s">
        <v>22</v>
      </c>
      <c r="U28" s="152" t="s">
        <v>885</v>
      </c>
      <c r="V28" s="362" t="s">
        <v>662</v>
      </c>
    </row>
    <row r="29">
      <c r="A29" s="365">
        <v>46200.91514865741</v>
      </c>
      <c r="B29" s="241">
        <v>238583.0</v>
      </c>
      <c r="C29" s="31" t="s">
        <v>1141</v>
      </c>
      <c r="D29" s="31" t="s">
        <v>1140</v>
      </c>
      <c r="E29" s="157">
        <v>34.0</v>
      </c>
      <c r="F29" s="157">
        <v>34.0</v>
      </c>
      <c r="G29" s="157">
        <v>5.0</v>
      </c>
      <c r="H29" s="158">
        <v>0.118</v>
      </c>
      <c r="I29" s="16" t="s">
        <v>43</v>
      </c>
      <c r="J29" s="49">
        <v>0.111</v>
      </c>
      <c r="K29" s="16">
        <v>51.2</v>
      </c>
      <c r="L29" s="16">
        <v>36.81</v>
      </c>
      <c r="M29" s="16">
        <v>148.64</v>
      </c>
      <c r="N29" s="16">
        <v>148.85</v>
      </c>
      <c r="O29" s="14" t="s">
        <v>119</v>
      </c>
      <c r="P29" s="16">
        <v>50.95</v>
      </c>
      <c r="Q29" s="16">
        <v>36.6</v>
      </c>
      <c r="R29" s="16">
        <v>147.86</v>
      </c>
      <c r="S29" s="16">
        <v>148.3</v>
      </c>
      <c r="T29" s="152" t="s">
        <v>22</v>
      </c>
      <c r="U29" s="152" t="s">
        <v>885</v>
      </c>
      <c r="V29" s="364" t="s">
        <v>662</v>
      </c>
    </row>
    <row r="30">
      <c r="A30" s="361">
        <v>46200.916294027775</v>
      </c>
      <c r="B30" s="239">
        <v>239839.0</v>
      </c>
      <c r="C30" s="30" t="s">
        <v>1083</v>
      </c>
      <c r="D30" s="30" t="s">
        <v>103</v>
      </c>
      <c r="E30" s="153">
        <v>39.0</v>
      </c>
      <c r="F30" s="153">
        <v>32.0</v>
      </c>
      <c r="G30" s="153">
        <v>4.0</v>
      </c>
      <c r="H30" s="154">
        <v>0.125</v>
      </c>
      <c r="I30" s="14" t="s">
        <v>43</v>
      </c>
      <c r="J30" s="50">
        <v>0.023</v>
      </c>
      <c r="K30" s="14">
        <v>53.4</v>
      </c>
      <c r="L30" s="14">
        <v>35.8</v>
      </c>
      <c r="M30" s="14">
        <v>152.98</v>
      </c>
      <c r="N30" s="14">
        <v>152.68</v>
      </c>
      <c r="O30" s="14" t="s">
        <v>119</v>
      </c>
      <c r="P30" s="14">
        <v>53.21</v>
      </c>
      <c r="Q30" s="14">
        <v>35.6</v>
      </c>
      <c r="R30" s="14">
        <v>152.44</v>
      </c>
      <c r="S30" s="14">
        <v>152.42</v>
      </c>
      <c r="T30" s="152" t="s">
        <v>22</v>
      </c>
      <c r="U30" s="152" t="s">
        <v>885</v>
      </c>
      <c r="V30" s="362" t="s">
        <v>662</v>
      </c>
    </row>
    <row r="31">
      <c r="I31" s="17"/>
      <c r="J31" s="369"/>
      <c r="K31" s="17"/>
      <c r="L31" s="17"/>
      <c r="M31" s="17"/>
      <c r="N31" s="17"/>
      <c r="O31" s="17"/>
      <c r="P31" s="17"/>
      <c r="Q31" s="17"/>
      <c r="R31" s="17"/>
      <c r="S31" s="17"/>
      <c r="T31" s="240"/>
    </row>
    <row r="32">
      <c r="I32" s="17"/>
      <c r="J32" s="369"/>
      <c r="K32" s="17"/>
      <c r="L32" s="17"/>
      <c r="M32" s="17"/>
      <c r="N32" s="17"/>
      <c r="O32" s="17"/>
      <c r="P32" s="17"/>
      <c r="Q32" s="17"/>
      <c r="R32" s="17"/>
      <c r="S32" s="17"/>
      <c r="T32" s="240"/>
    </row>
    <row r="33">
      <c r="I33" s="17"/>
      <c r="J33" s="369"/>
      <c r="K33" s="17"/>
      <c r="L33" s="17"/>
      <c r="M33" s="17"/>
      <c r="N33" s="17"/>
      <c r="O33" s="17"/>
      <c r="P33" s="17"/>
      <c r="Q33" s="17"/>
      <c r="R33" s="17"/>
      <c r="S33" s="17"/>
      <c r="T33" s="240"/>
    </row>
    <row r="34">
      <c r="I34" s="17"/>
      <c r="J34" s="369"/>
      <c r="K34" s="17"/>
      <c r="L34" s="17"/>
      <c r="M34" s="17"/>
      <c r="N34" s="17"/>
      <c r="O34" s="17"/>
      <c r="P34" s="17"/>
      <c r="Q34" s="17"/>
      <c r="R34" s="17"/>
      <c r="S34" s="17"/>
      <c r="T34" s="240"/>
    </row>
    <row r="35">
      <c r="I35" s="17"/>
      <c r="J35" s="369"/>
      <c r="K35" s="17"/>
      <c r="L35" s="17"/>
      <c r="M35" s="17"/>
      <c r="N35" s="17"/>
      <c r="O35" s="17"/>
      <c r="P35" s="17"/>
      <c r="Q35" s="17"/>
      <c r="R35" s="17"/>
      <c r="S35" s="17"/>
      <c r="T35" s="240"/>
    </row>
    <row r="36">
      <c r="I36" s="17"/>
      <c r="J36" s="369"/>
      <c r="K36" s="17"/>
      <c r="L36" s="17"/>
      <c r="M36" s="17"/>
      <c r="N36" s="17"/>
      <c r="O36" s="17"/>
      <c r="P36" s="17"/>
      <c r="Q36" s="17"/>
      <c r="R36" s="17"/>
      <c r="S36" s="17"/>
      <c r="T36" s="240"/>
    </row>
    <row r="37">
      <c r="I37" s="17"/>
      <c r="J37" s="369"/>
      <c r="K37" s="17"/>
      <c r="L37" s="17"/>
      <c r="M37" s="17"/>
      <c r="N37" s="17"/>
      <c r="O37" s="17"/>
      <c r="P37" s="17"/>
      <c r="Q37" s="17"/>
      <c r="R37" s="17"/>
      <c r="S37" s="17"/>
      <c r="T37" s="240"/>
    </row>
    <row r="38">
      <c r="I38" s="17"/>
      <c r="J38" s="369"/>
      <c r="K38" s="17"/>
      <c r="L38" s="17"/>
      <c r="M38" s="17"/>
      <c r="N38" s="17"/>
      <c r="O38" s="17"/>
      <c r="P38" s="17"/>
      <c r="Q38" s="17"/>
      <c r="R38" s="17"/>
      <c r="S38" s="17"/>
      <c r="T38" s="240"/>
    </row>
    <row r="39">
      <c r="I39" s="17"/>
      <c r="J39" s="369"/>
      <c r="K39" s="17"/>
      <c r="L39" s="17"/>
      <c r="M39" s="17"/>
      <c r="N39" s="17"/>
      <c r="O39" s="17"/>
      <c r="P39" s="17"/>
      <c r="Q39" s="17"/>
      <c r="R39" s="17"/>
      <c r="S39" s="17"/>
      <c r="T39" s="240"/>
    </row>
    <row r="40">
      <c r="I40" s="17"/>
      <c r="J40" s="369"/>
      <c r="K40" s="17"/>
      <c r="L40" s="17"/>
      <c r="M40" s="17"/>
      <c r="N40" s="17"/>
      <c r="O40" s="17"/>
      <c r="P40" s="17"/>
      <c r="Q40" s="17"/>
      <c r="R40" s="17"/>
      <c r="S40" s="17"/>
      <c r="T40" s="240"/>
    </row>
    <row r="41">
      <c r="I41" s="17"/>
      <c r="J41" s="369"/>
      <c r="K41" s="17"/>
      <c r="L41" s="17"/>
      <c r="M41" s="17"/>
      <c r="N41" s="17"/>
      <c r="O41" s="17"/>
      <c r="P41" s="17"/>
      <c r="Q41" s="17"/>
      <c r="R41" s="17"/>
      <c r="S41" s="17"/>
      <c r="T41" s="240"/>
    </row>
    <row r="42">
      <c r="I42" s="17"/>
      <c r="J42" s="369"/>
      <c r="K42" s="17"/>
      <c r="L42" s="17"/>
      <c r="M42" s="17"/>
      <c r="N42" s="17"/>
      <c r="O42" s="17"/>
      <c r="P42" s="17"/>
      <c r="Q42" s="17"/>
      <c r="R42" s="17"/>
      <c r="S42" s="17"/>
      <c r="T42" s="240"/>
    </row>
    <row r="43">
      <c r="I43" s="17"/>
      <c r="J43" s="369"/>
      <c r="K43" s="17"/>
      <c r="L43" s="17"/>
      <c r="M43" s="17"/>
      <c r="N43" s="17"/>
      <c r="O43" s="17"/>
      <c r="P43" s="17"/>
      <c r="Q43" s="17"/>
      <c r="R43" s="17"/>
      <c r="S43" s="17"/>
      <c r="T43" s="240"/>
    </row>
    <row r="44">
      <c r="I44" s="17"/>
      <c r="J44" s="369"/>
      <c r="K44" s="17"/>
      <c r="L44" s="17"/>
      <c r="M44" s="17"/>
      <c r="N44" s="17"/>
      <c r="O44" s="17"/>
      <c r="P44" s="17"/>
      <c r="Q44" s="17"/>
      <c r="R44" s="17"/>
      <c r="S44" s="17"/>
      <c r="T44" s="240"/>
    </row>
    <row r="45">
      <c r="I45" s="17"/>
      <c r="J45" s="369"/>
      <c r="K45" s="17"/>
      <c r="L45" s="17"/>
      <c r="M45" s="17"/>
      <c r="N45" s="17"/>
      <c r="O45" s="17"/>
      <c r="P45" s="17"/>
      <c r="Q45" s="17"/>
      <c r="R45" s="17"/>
      <c r="S45" s="17"/>
      <c r="T45" s="240"/>
    </row>
    <row r="46">
      <c r="I46" s="17"/>
      <c r="J46" s="369"/>
      <c r="K46" s="17"/>
      <c r="L46" s="17"/>
      <c r="M46" s="17"/>
      <c r="N46" s="17"/>
      <c r="O46" s="17"/>
      <c r="P46" s="17"/>
      <c r="Q46" s="17"/>
      <c r="R46" s="17"/>
      <c r="S46" s="17"/>
      <c r="T46" s="240"/>
    </row>
    <row r="47">
      <c r="I47" s="17"/>
      <c r="J47" s="369"/>
      <c r="K47" s="17"/>
      <c r="L47" s="17"/>
      <c r="M47" s="17"/>
      <c r="N47" s="17"/>
      <c r="O47" s="17"/>
      <c r="P47" s="17"/>
      <c r="Q47" s="17"/>
      <c r="R47" s="17"/>
      <c r="S47" s="17"/>
      <c r="T47" s="240"/>
    </row>
    <row r="48">
      <c r="I48" s="17"/>
      <c r="J48" s="369"/>
      <c r="K48" s="17"/>
      <c r="L48" s="17"/>
      <c r="M48" s="17"/>
      <c r="N48" s="17"/>
      <c r="O48" s="17"/>
      <c r="P48" s="17"/>
      <c r="Q48" s="17"/>
      <c r="R48" s="17"/>
      <c r="S48" s="17"/>
      <c r="T48" s="240"/>
    </row>
    <row r="49">
      <c r="I49" s="17"/>
      <c r="J49" s="369"/>
      <c r="K49" s="17"/>
      <c r="L49" s="17"/>
      <c r="M49" s="17"/>
      <c r="N49" s="17"/>
      <c r="O49" s="17"/>
      <c r="P49" s="17"/>
      <c r="Q49" s="17"/>
      <c r="R49" s="17"/>
      <c r="S49" s="17"/>
      <c r="T49" s="240"/>
    </row>
    <row r="50">
      <c r="I50" s="17"/>
      <c r="J50" s="369"/>
      <c r="K50" s="17"/>
      <c r="L50" s="17"/>
      <c r="M50" s="17"/>
      <c r="N50" s="17"/>
      <c r="O50" s="17"/>
      <c r="P50" s="17"/>
      <c r="Q50" s="17"/>
      <c r="R50" s="17"/>
      <c r="S50" s="17"/>
      <c r="T50" s="240"/>
    </row>
    <row r="51">
      <c r="I51" s="17"/>
      <c r="J51" s="369"/>
      <c r="K51" s="17"/>
      <c r="L51" s="17"/>
      <c r="M51" s="17"/>
      <c r="N51" s="17"/>
      <c r="O51" s="17"/>
      <c r="P51" s="17"/>
      <c r="Q51" s="17"/>
      <c r="R51" s="17"/>
      <c r="S51" s="17"/>
      <c r="T51" s="240"/>
    </row>
    <row r="52">
      <c r="I52" s="17"/>
      <c r="J52" s="369"/>
      <c r="K52" s="17"/>
      <c r="L52" s="17"/>
      <c r="M52" s="17"/>
      <c r="N52" s="17"/>
      <c r="O52" s="17"/>
      <c r="P52" s="17"/>
      <c r="Q52" s="17"/>
      <c r="R52" s="17"/>
      <c r="S52" s="17"/>
      <c r="T52" s="240"/>
    </row>
    <row r="53">
      <c r="I53" s="17"/>
      <c r="J53" s="369"/>
      <c r="K53" s="17"/>
      <c r="L53" s="17"/>
      <c r="M53" s="17"/>
      <c r="N53" s="17"/>
      <c r="O53" s="17"/>
      <c r="P53" s="17"/>
      <c r="Q53" s="17"/>
      <c r="R53" s="17"/>
      <c r="S53" s="17"/>
      <c r="T53" s="240"/>
    </row>
    <row r="54">
      <c r="I54" s="17"/>
      <c r="J54" s="369"/>
      <c r="K54" s="17"/>
      <c r="L54" s="17"/>
      <c r="M54" s="17"/>
      <c r="N54" s="17"/>
      <c r="O54" s="17"/>
      <c r="P54" s="17"/>
      <c r="Q54" s="17"/>
      <c r="R54" s="17"/>
      <c r="S54" s="17"/>
      <c r="T54" s="240"/>
    </row>
    <row r="55">
      <c r="I55" s="17"/>
      <c r="J55" s="369"/>
      <c r="K55" s="17"/>
      <c r="L55" s="17"/>
      <c r="M55" s="17"/>
      <c r="N55" s="17"/>
      <c r="O55" s="17"/>
      <c r="P55" s="17"/>
      <c r="Q55" s="17"/>
      <c r="R55" s="17"/>
      <c r="S55" s="17"/>
      <c r="T55" s="240"/>
    </row>
    <row r="56">
      <c r="I56" s="17"/>
      <c r="J56" s="369"/>
      <c r="K56" s="17"/>
      <c r="L56" s="17"/>
      <c r="M56" s="17"/>
      <c r="N56" s="17"/>
      <c r="O56" s="17"/>
      <c r="P56" s="17"/>
      <c r="Q56" s="17"/>
      <c r="R56" s="17"/>
      <c r="S56" s="17"/>
      <c r="T56" s="240"/>
    </row>
    <row r="57">
      <c r="I57" s="17"/>
      <c r="J57" s="369"/>
      <c r="K57" s="17"/>
      <c r="L57" s="17"/>
      <c r="M57" s="17"/>
      <c r="N57" s="17"/>
      <c r="O57" s="17"/>
      <c r="P57" s="17"/>
      <c r="Q57" s="17"/>
      <c r="R57" s="17"/>
      <c r="S57" s="17"/>
      <c r="T57" s="240"/>
    </row>
    <row r="58">
      <c r="I58" s="17"/>
      <c r="J58" s="369"/>
      <c r="K58" s="17"/>
      <c r="L58" s="17"/>
      <c r="M58" s="17"/>
      <c r="N58" s="17"/>
      <c r="O58" s="17"/>
      <c r="P58" s="17"/>
      <c r="Q58" s="17"/>
      <c r="R58" s="17"/>
      <c r="S58" s="17"/>
      <c r="T58" s="240"/>
    </row>
    <row r="59">
      <c r="I59" s="17"/>
      <c r="J59" s="369"/>
      <c r="K59" s="17"/>
      <c r="L59" s="17"/>
      <c r="M59" s="17"/>
      <c r="N59" s="17"/>
      <c r="O59" s="17"/>
      <c r="P59" s="17"/>
      <c r="Q59" s="17"/>
      <c r="R59" s="17"/>
      <c r="S59" s="17"/>
      <c r="T59" s="240"/>
    </row>
    <row r="60">
      <c r="I60" s="17"/>
      <c r="J60" s="369"/>
      <c r="K60" s="17"/>
      <c r="L60" s="17"/>
      <c r="M60" s="17"/>
      <c r="N60" s="17"/>
      <c r="O60" s="17"/>
      <c r="P60" s="17"/>
      <c r="Q60" s="17"/>
      <c r="R60" s="17"/>
      <c r="S60" s="17"/>
      <c r="T60" s="240"/>
    </row>
    <row r="61">
      <c r="I61" s="17"/>
      <c r="J61" s="369"/>
      <c r="K61" s="17"/>
      <c r="L61" s="17"/>
      <c r="M61" s="17"/>
      <c r="N61" s="17"/>
      <c r="O61" s="17"/>
      <c r="P61" s="17"/>
      <c r="Q61" s="17"/>
      <c r="R61" s="17"/>
      <c r="S61" s="17"/>
      <c r="T61" s="240"/>
    </row>
    <row r="62">
      <c r="I62" s="17"/>
      <c r="J62" s="369"/>
      <c r="K62" s="17"/>
      <c r="L62" s="17"/>
      <c r="M62" s="17"/>
      <c r="N62" s="17"/>
      <c r="O62" s="17"/>
      <c r="P62" s="17"/>
      <c r="Q62" s="17"/>
      <c r="R62" s="17"/>
      <c r="S62" s="17"/>
      <c r="T62" s="240"/>
    </row>
    <row r="63">
      <c r="I63" s="17"/>
      <c r="J63" s="369"/>
      <c r="K63" s="17"/>
      <c r="L63" s="17"/>
      <c r="M63" s="17"/>
      <c r="N63" s="17"/>
      <c r="O63" s="17"/>
      <c r="P63" s="17"/>
      <c r="Q63" s="17"/>
      <c r="R63" s="17"/>
      <c r="S63" s="17"/>
      <c r="T63" s="240"/>
    </row>
    <row r="64">
      <c r="I64" s="17"/>
      <c r="J64" s="369"/>
      <c r="K64" s="17"/>
      <c r="L64" s="17"/>
      <c r="M64" s="17"/>
      <c r="N64" s="17"/>
      <c r="O64" s="17"/>
      <c r="P64" s="17"/>
      <c r="Q64" s="17"/>
      <c r="R64" s="17"/>
      <c r="S64" s="17"/>
      <c r="T64" s="240"/>
    </row>
    <row r="65">
      <c r="I65" s="17"/>
      <c r="J65" s="369"/>
      <c r="K65" s="17"/>
      <c r="L65" s="17"/>
      <c r="M65" s="17"/>
      <c r="N65" s="17"/>
      <c r="O65" s="17"/>
      <c r="P65" s="17"/>
      <c r="Q65" s="17"/>
      <c r="R65" s="17"/>
      <c r="S65" s="17"/>
      <c r="T65" s="240"/>
    </row>
    <row r="66">
      <c r="I66" s="17"/>
      <c r="J66" s="369"/>
      <c r="K66" s="17"/>
      <c r="L66" s="17"/>
      <c r="M66" s="17"/>
      <c r="N66" s="17"/>
      <c r="O66" s="17"/>
      <c r="P66" s="17"/>
      <c r="Q66" s="17"/>
      <c r="R66" s="17"/>
      <c r="S66" s="17"/>
      <c r="T66" s="240"/>
    </row>
    <row r="67">
      <c r="I67" s="17"/>
      <c r="J67" s="369"/>
      <c r="K67" s="17"/>
      <c r="L67" s="17"/>
      <c r="M67" s="17"/>
      <c r="N67" s="17"/>
      <c r="O67" s="17"/>
      <c r="P67" s="17"/>
      <c r="Q67" s="17"/>
      <c r="R67" s="17"/>
      <c r="S67" s="17"/>
      <c r="T67" s="240"/>
    </row>
    <row r="68">
      <c r="I68" s="17"/>
      <c r="J68" s="369"/>
      <c r="K68" s="17"/>
      <c r="L68" s="17"/>
      <c r="M68" s="17"/>
      <c r="N68" s="17"/>
      <c r="O68" s="17"/>
      <c r="P68" s="17"/>
      <c r="Q68" s="17"/>
      <c r="R68" s="17"/>
      <c r="S68" s="17"/>
      <c r="T68" s="240"/>
    </row>
    <row r="69">
      <c r="I69" s="17"/>
      <c r="J69" s="369"/>
      <c r="K69" s="17"/>
      <c r="L69" s="17"/>
      <c r="M69" s="17"/>
      <c r="N69" s="17"/>
      <c r="O69" s="17"/>
      <c r="P69" s="17"/>
      <c r="Q69" s="17"/>
      <c r="R69" s="17"/>
      <c r="S69" s="17"/>
      <c r="T69" s="240"/>
    </row>
    <row r="70">
      <c r="I70" s="17"/>
      <c r="J70" s="369"/>
      <c r="K70" s="17"/>
      <c r="L70" s="17"/>
      <c r="M70" s="17"/>
      <c r="N70" s="17"/>
      <c r="O70" s="17"/>
      <c r="P70" s="17"/>
      <c r="Q70" s="17"/>
      <c r="R70" s="17"/>
      <c r="S70" s="17"/>
      <c r="T70" s="240"/>
    </row>
    <row r="71">
      <c r="I71" s="17"/>
      <c r="J71" s="369"/>
      <c r="K71" s="17"/>
      <c r="L71" s="17"/>
      <c r="M71" s="17"/>
      <c r="N71" s="17"/>
      <c r="O71" s="17"/>
      <c r="P71" s="17"/>
      <c r="Q71" s="17"/>
      <c r="R71" s="17"/>
      <c r="S71" s="17"/>
      <c r="T71" s="240"/>
    </row>
    <row r="72">
      <c r="I72" s="17"/>
      <c r="J72" s="369"/>
      <c r="K72" s="17"/>
      <c r="L72" s="17"/>
      <c r="M72" s="17"/>
      <c r="N72" s="17"/>
      <c r="O72" s="17"/>
      <c r="P72" s="17"/>
      <c r="Q72" s="17"/>
      <c r="R72" s="17"/>
      <c r="S72" s="17"/>
      <c r="T72" s="240"/>
    </row>
    <row r="73">
      <c r="I73" s="17"/>
      <c r="J73" s="369"/>
      <c r="K73" s="17"/>
      <c r="L73" s="17"/>
      <c r="M73" s="17"/>
      <c r="N73" s="17"/>
      <c r="O73" s="17"/>
      <c r="P73" s="17"/>
      <c r="Q73" s="17"/>
      <c r="R73" s="17"/>
      <c r="S73" s="17"/>
      <c r="T73" s="240"/>
    </row>
    <row r="74">
      <c r="I74" s="17"/>
      <c r="J74" s="369"/>
      <c r="K74" s="17"/>
      <c r="L74" s="17"/>
      <c r="M74" s="17"/>
      <c r="N74" s="17"/>
      <c r="O74" s="17"/>
      <c r="P74" s="17"/>
      <c r="Q74" s="17"/>
      <c r="R74" s="17"/>
      <c r="S74" s="17"/>
      <c r="T74" s="240"/>
    </row>
    <row r="75">
      <c r="I75" s="17"/>
      <c r="J75" s="369"/>
      <c r="K75" s="17"/>
      <c r="L75" s="17"/>
      <c r="M75" s="17"/>
      <c r="N75" s="17"/>
      <c r="O75" s="17"/>
      <c r="P75" s="17"/>
      <c r="Q75" s="17"/>
      <c r="R75" s="17"/>
      <c r="S75" s="17"/>
      <c r="T75" s="240"/>
    </row>
    <row r="76">
      <c r="I76" s="17"/>
      <c r="J76" s="369"/>
      <c r="K76" s="17"/>
      <c r="L76" s="17"/>
      <c r="M76" s="17"/>
      <c r="N76" s="17"/>
      <c r="O76" s="17"/>
      <c r="P76" s="17"/>
      <c r="Q76" s="17"/>
      <c r="R76" s="17"/>
      <c r="S76" s="17"/>
      <c r="T76" s="240"/>
    </row>
    <row r="77">
      <c r="I77" s="17"/>
      <c r="J77" s="369"/>
      <c r="K77" s="17"/>
      <c r="L77" s="17"/>
      <c r="M77" s="17"/>
      <c r="N77" s="17"/>
      <c r="O77" s="17"/>
      <c r="P77" s="17"/>
      <c r="Q77" s="17"/>
      <c r="R77" s="17"/>
      <c r="S77" s="17"/>
      <c r="T77" s="240"/>
    </row>
    <row r="78">
      <c r="I78" s="17"/>
      <c r="J78" s="369"/>
      <c r="K78" s="17"/>
      <c r="L78" s="17"/>
      <c r="M78" s="17"/>
      <c r="N78" s="17"/>
      <c r="O78" s="17"/>
      <c r="P78" s="17"/>
      <c r="Q78" s="17"/>
      <c r="R78" s="17"/>
      <c r="S78" s="17"/>
      <c r="T78" s="240"/>
    </row>
    <row r="79">
      <c r="I79" s="17"/>
      <c r="J79" s="369"/>
      <c r="K79" s="17"/>
      <c r="L79" s="17"/>
      <c r="M79" s="17"/>
      <c r="N79" s="17"/>
      <c r="O79" s="17"/>
      <c r="P79" s="17"/>
      <c r="Q79" s="17"/>
      <c r="R79" s="17"/>
      <c r="S79" s="17"/>
      <c r="T79" s="240"/>
    </row>
    <row r="80">
      <c r="I80" s="17"/>
      <c r="J80" s="369"/>
      <c r="K80" s="17"/>
      <c r="L80" s="17"/>
      <c r="M80" s="17"/>
      <c r="N80" s="17"/>
      <c r="O80" s="17"/>
      <c r="P80" s="17"/>
      <c r="Q80" s="17"/>
      <c r="R80" s="17"/>
      <c r="S80" s="17"/>
      <c r="T80" s="240"/>
    </row>
    <row r="81">
      <c r="I81" s="17"/>
      <c r="J81" s="369"/>
      <c r="K81" s="17"/>
      <c r="L81" s="17"/>
      <c r="M81" s="17"/>
      <c r="N81" s="17"/>
      <c r="O81" s="17"/>
      <c r="P81" s="17"/>
      <c r="Q81" s="17"/>
      <c r="R81" s="17"/>
      <c r="S81" s="17"/>
      <c r="T81" s="240"/>
    </row>
    <row r="82">
      <c r="I82" s="17"/>
      <c r="J82" s="369"/>
      <c r="K82" s="17"/>
      <c r="L82" s="17"/>
      <c r="M82" s="17"/>
      <c r="N82" s="17"/>
      <c r="O82" s="17"/>
      <c r="P82" s="17"/>
      <c r="Q82" s="17"/>
      <c r="R82" s="17"/>
      <c r="S82" s="17"/>
      <c r="T82" s="240"/>
    </row>
    <row r="83">
      <c r="I83" s="17"/>
      <c r="J83" s="369"/>
      <c r="K83" s="17"/>
      <c r="L83" s="17"/>
      <c r="M83" s="17"/>
      <c r="N83" s="17"/>
      <c r="O83" s="17"/>
      <c r="P83" s="17"/>
      <c r="Q83" s="17"/>
      <c r="R83" s="17"/>
      <c r="S83" s="17"/>
      <c r="T83" s="240"/>
    </row>
    <row r="84">
      <c r="I84" s="17"/>
      <c r="J84" s="369"/>
      <c r="K84" s="17"/>
      <c r="L84" s="17"/>
      <c r="M84" s="17"/>
      <c r="N84" s="17"/>
      <c r="O84" s="17"/>
      <c r="P84" s="17"/>
      <c r="Q84" s="17"/>
      <c r="R84" s="17"/>
      <c r="S84" s="17"/>
      <c r="T84" s="240"/>
    </row>
    <row r="85">
      <c r="I85" s="17"/>
      <c r="J85" s="369"/>
      <c r="K85" s="17"/>
      <c r="L85" s="17"/>
      <c r="M85" s="17"/>
      <c r="N85" s="17"/>
      <c r="O85" s="17"/>
      <c r="P85" s="17"/>
      <c r="Q85" s="17"/>
      <c r="R85" s="17"/>
      <c r="S85" s="17"/>
      <c r="T85" s="240"/>
    </row>
    <row r="86">
      <c r="I86" s="17"/>
      <c r="J86" s="369"/>
      <c r="K86" s="17"/>
      <c r="L86" s="17"/>
      <c r="M86" s="17"/>
      <c r="N86" s="17"/>
      <c r="O86" s="17"/>
      <c r="P86" s="17"/>
      <c r="Q86" s="17"/>
      <c r="R86" s="17"/>
      <c r="S86" s="17"/>
      <c r="T86" s="240"/>
    </row>
    <row r="87">
      <c r="I87" s="17"/>
      <c r="J87" s="369"/>
      <c r="K87" s="17"/>
      <c r="L87" s="17"/>
      <c r="M87" s="17"/>
      <c r="N87" s="17"/>
      <c r="O87" s="17"/>
      <c r="P87" s="17"/>
      <c r="Q87" s="17"/>
      <c r="R87" s="17"/>
      <c r="S87" s="17"/>
      <c r="T87" s="240"/>
    </row>
    <row r="88">
      <c r="I88" s="17"/>
      <c r="J88" s="369"/>
      <c r="K88" s="17"/>
      <c r="L88" s="17"/>
      <c r="M88" s="17"/>
      <c r="N88" s="17"/>
      <c r="O88" s="17"/>
      <c r="P88" s="17"/>
      <c r="Q88" s="17"/>
      <c r="R88" s="17"/>
      <c r="S88" s="17"/>
      <c r="T88" s="240"/>
    </row>
    <row r="89">
      <c r="I89" s="17"/>
      <c r="J89" s="369"/>
      <c r="K89" s="17"/>
      <c r="L89" s="17"/>
      <c r="M89" s="17"/>
      <c r="N89" s="17"/>
      <c r="O89" s="17"/>
      <c r="P89" s="17"/>
      <c r="Q89" s="17"/>
      <c r="R89" s="17"/>
      <c r="S89" s="17"/>
      <c r="T89" s="240"/>
    </row>
    <row r="90">
      <c r="I90" s="17"/>
      <c r="J90" s="369"/>
      <c r="K90" s="17"/>
      <c r="L90" s="17"/>
      <c r="M90" s="17"/>
      <c r="N90" s="17"/>
      <c r="O90" s="17"/>
      <c r="P90" s="17"/>
      <c r="Q90" s="17"/>
      <c r="R90" s="17"/>
      <c r="S90" s="17"/>
      <c r="T90" s="240"/>
    </row>
    <row r="91">
      <c r="I91" s="17"/>
      <c r="J91" s="369"/>
      <c r="K91" s="17"/>
      <c r="L91" s="17"/>
      <c r="M91" s="17"/>
      <c r="N91" s="17"/>
      <c r="O91" s="17"/>
      <c r="P91" s="17"/>
      <c r="Q91" s="17"/>
      <c r="R91" s="17"/>
      <c r="S91" s="17"/>
      <c r="T91" s="240"/>
    </row>
    <row r="92">
      <c r="I92" s="17"/>
      <c r="J92" s="369"/>
      <c r="K92" s="17"/>
      <c r="L92" s="17"/>
      <c r="M92" s="17"/>
      <c r="N92" s="17"/>
      <c r="O92" s="17"/>
      <c r="P92" s="17"/>
      <c r="Q92" s="17"/>
      <c r="R92" s="17"/>
      <c r="S92" s="17"/>
      <c r="T92" s="240"/>
    </row>
    <row r="93">
      <c r="I93" s="17"/>
      <c r="J93" s="369"/>
      <c r="K93" s="17"/>
      <c r="L93" s="17"/>
      <c r="M93" s="17"/>
      <c r="N93" s="17"/>
      <c r="O93" s="17"/>
      <c r="P93" s="17"/>
      <c r="Q93" s="17"/>
      <c r="R93" s="17"/>
      <c r="S93" s="17"/>
      <c r="T93" s="240"/>
    </row>
    <row r="94">
      <c r="I94" s="17"/>
      <c r="J94" s="369"/>
      <c r="K94" s="17"/>
      <c r="L94" s="17"/>
      <c r="M94" s="17"/>
      <c r="N94" s="17"/>
      <c r="O94" s="17"/>
      <c r="P94" s="17"/>
      <c r="Q94" s="17"/>
      <c r="R94" s="17"/>
      <c r="S94" s="17"/>
      <c r="T94" s="240"/>
    </row>
    <row r="95">
      <c r="I95" s="17"/>
      <c r="J95" s="369"/>
      <c r="K95" s="17"/>
      <c r="L95" s="17"/>
      <c r="M95" s="17"/>
      <c r="N95" s="17"/>
      <c r="O95" s="17"/>
      <c r="P95" s="17"/>
      <c r="Q95" s="17"/>
      <c r="R95" s="17"/>
      <c r="S95" s="17"/>
      <c r="T95" s="240"/>
    </row>
    <row r="96">
      <c r="I96" s="17"/>
      <c r="J96" s="369"/>
      <c r="K96" s="17"/>
      <c r="L96" s="17"/>
      <c r="M96" s="17"/>
      <c r="N96" s="17"/>
      <c r="O96" s="17"/>
      <c r="P96" s="17"/>
      <c r="Q96" s="17"/>
      <c r="R96" s="17"/>
      <c r="S96" s="17"/>
      <c r="T96" s="240"/>
    </row>
    <row r="97">
      <c r="I97" s="17"/>
      <c r="J97" s="369"/>
      <c r="K97" s="17"/>
      <c r="L97" s="17"/>
      <c r="M97" s="17"/>
      <c r="N97" s="17"/>
      <c r="O97" s="17"/>
      <c r="P97" s="17"/>
      <c r="Q97" s="17"/>
      <c r="R97" s="17"/>
      <c r="S97" s="17"/>
      <c r="T97" s="240"/>
    </row>
    <row r="98">
      <c r="I98" s="17"/>
      <c r="J98" s="369"/>
      <c r="K98" s="17"/>
      <c r="L98" s="17"/>
      <c r="M98" s="17"/>
      <c r="N98" s="17"/>
      <c r="O98" s="17"/>
      <c r="P98" s="17"/>
      <c r="Q98" s="17"/>
      <c r="R98" s="17"/>
      <c r="S98" s="17"/>
      <c r="T98" s="240"/>
    </row>
    <row r="99">
      <c r="I99" s="17"/>
      <c r="J99" s="369"/>
      <c r="K99" s="17"/>
      <c r="L99" s="17"/>
      <c r="M99" s="17"/>
      <c r="N99" s="17"/>
      <c r="O99" s="17"/>
      <c r="P99" s="17"/>
      <c r="Q99" s="17"/>
      <c r="R99" s="17"/>
      <c r="S99" s="17"/>
      <c r="T99" s="240"/>
    </row>
    <row r="100">
      <c r="I100" s="17"/>
      <c r="J100" s="369"/>
      <c r="K100" s="17"/>
      <c r="L100" s="17"/>
      <c r="M100" s="17"/>
      <c r="N100" s="17"/>
      <c r="O100" s="17"/>
      <c r="P100" s="17"/>
      <c r="Q100" s="17"/>
      <c r="R100" s="17"/>
      <c r="S100" s="17"/>
      <c r="T100" s="240"/>
    </row>
    <row r="101">
      <c r="I101" s="17"/>
      <c r="J101" s="369"/>
      <c r="K101" s="17"/>
      <c r="L101" s="17"/>
      <c r="M101" s="17"/>
      <c r="N101" s="17"/>
      <c r="O101" s="17"/>
      <c r="P101" s="17"/>
      <c r="Q101" s="17"/>
      <c r="R101" s="17"/>
      <c r="S101" s="17"/>
      <c r="T101" s="240"/>
    </row>
    <row r="102">
      <c r="I102" s="17"/>
      <c r="J102" s="369"/>
      <c r="K102" s="17"/>
      <c r="L102" s="17"/>
      <c r="M102" s="17"/>
      <c r="N102" s="17"/>
      <c r="O102" s="17"/>
      <c r="P102" s="17"/>
      <c r="Q102" s="17"/>
      <c r="R102" s="17"/>
      <c r="S102" s="17"/>
      <c r="T102" s="240"/>
    </row>
    <row r="103">
      <c r="I103" s="17"/>
      <c r="J103" s="369"/>
      <c r="K103" s="17"/>
      <c r="L103" s="17"/>
      <c r="M103" s="17"/>
      <c r="N103" s="17"/>
      <c r="O103" s="17"/>
      <c r="P103" s="17"/>
      <c r="Q103" s="17"/>
      <c r="R103" s="17"/>
      <c r="S103" s="17"/>
      <c r="T103" s="240"/>
    </row>
    <row r="104">
      <c r="I104" s="17"/>
      <c r="J104" s="369"/>
      <c r="K104" s="17"/>
      <c r="L104" s="17"/>
      <c r="M104" s="17"/>
      <c r="N104" s="17"/>
      <c r="O104" s="17"/>
      <c r="P104" s="17"/>
      <c r="Q104" s="17"/>
      <c r="R104" s="17"/>
      <c r="S104" s="17"/>
      <c r="T104" s="240"/>
    </row>
    <row r="105">
      <c r="I105" s="17"/>
      <c r="J105" s="369"/>
      <c r="K105" s="17"/>
      <c r="L105" s="17"/>
      <c r="M105" s="17"/>
      <c r="N105" s="17"/>
      <c r="O105" s="17"/>
      <c r="P105" s="17"/>
      <c r="Q105" s="17"/>
      <c r="R105" s="17"/>
      <c r="S105" s="17"/>
      <c r="T105" s="240"/>
    </row>
    <row r="106">
      <c r="I106" s="17"/>
      <c r="J106" s="369"/>
      <c r="K106" s="17"/>
      <c r="L106" s="17"/>
      <c r="M106" s="17"/>
      <c r="N106" s="17"/>
      <c r="O106" s="17"/>
      <c r="P106" s="17"/>
      <c r="Q106" s="17"/>
      <c r="R106" s="17"/>
      <c r="S106" s="17"/>
      <c r="T106" s="240"/>
    </row>
    <row r="107">
      <c r="I107" s="17"/>
      <c r="J107" s="369"/>
      <c r="K107" s="17"/>
      <c r="L107" s="17"/>
      <c r="M107" s="17"/>
      <c r="N107" s="17"/>
      <c r="O107" s="17"/>
      <c r="P107" s="17"/>
      <c r="Q107" s="17"/>
      <c r="R107" s="17"/>
      <c r="S107" s="17"/>
      <c r="T107" s="240"/>
    </row>
    <row r="108">
      <c r="I108" s="17"/>
      <c r="J108" s="369"/>
      <c r="K108" s="17"/>
      <c r="L108" s="17"/>
      <c r="M108" s="17"/>
      <c r="N108" s="17"/>
      <c r="O108" s="17"/>
      <c r="P108" s="17"/>
      <c r="Q108" s="17"/>
      <c r="R108" s="17"/>
      <c r="S108" s="17"/>
      <c r="T108" s="240"/>
    </row>
    <row r="109">
      <c r="I109" s="17"/>
      <c r="J109" s="369"/>
      <c r="K109" s="17"/>
      <c r="L109" s="17"/>
      <c r="M109" s="17"/>
      <c r="N109" s="17"/>
      <c r="O109" s="17"/>
      <c r="P109" s="17"/>
      <c r="Q109" s="17"/>
      <c r="R109" s="17"/>
      <c r="S109" s="17"/>
      <c r="T109" s="240"/>
    </row>
    <row r="110">
      <c r="I110" s="17"/>
      <c r="J110" s="369"/>
      <c r="K110" s="17"/>
      <c r="L110" s="17"/>
      <c r="M110" s="17"/>
      <c r="N110" s="17"/>
      <c r="O110" s="17"/>
      <c r="P110" s="17"/>
      <c r="Q110" s="17"/>
      <c r="R110" s="17"/>
      <c r="S110" s="17"/>
      <c r="T110" s="240"/>
    </row>
    <row r="111">
      <c r="I111" s="17"/>
      <c r="J111" s="369"/>
      <c r="K111" s="17"/>
      <c r="L111" s="17"/>
      <c r="M111" s="17"/>
      <c r="N111" s="17"/>
      <c r="O111" s="17"/>
      <c r="P111" s="17"/>
      <c r="Q111" s="17"/>
      <c r="R111" s="17"/>
      <c r="S111" s="17"/>
      <c r="T111" s="240"/>
    </row>
    <row r="112">
      <c r="I112" s="17"/>
      <c r="J112" s="369"/>
      <c r="K112" s="17"/>
      <c r="L112" s="17"/>
      <c r="M112" s="17"/>
      <c r="N112" s="17"/>
      <c r="O112" s="17"/>
      <c r="P112" s="17"/>
      <c r="Q112" s="17"/>
      <c r="R112" s="17"/>
      <c r="S112" s="17"/>
      <c r="T112" s="240"/>
    </row>
    <row r="113">
      <c r="I113" s="17"/>
      <c r="J113" s="369"/>
      <c r="K113" s="17"/>
      <c r="L113" s="17"/>
      <c r="M113" s="17"/>
      <c r="N113" s="17"/>
      <c r="O113" s="17"/>
      <c r="P113" s="17"/>
      <c r="Q113" s="17"/>
      <c r="R113" s="17"/>
      <c r="S113" s="17"/>
      <c r="T113" s="240"/>
    </row>
    <row r="114">
      <c r="I114" s="17"/>
      <c r="J114" s="369"/>
      <c r="K114" s="17"/>
      <c r="L114" s="17"/>
      <c r="M114" s="17"/>
      <c r="N114" s="17"/>
      <c r="O114" s="17"/>
      <c r="P114" s="17"/>
      <c r="Q114" s="17"/>
      <c r="R114" s="17"/>
      <c r="S114" s="17"/>
      <c r="T114" s="240"/>
    </row>
    <row r="115">
      <c r="I115" s="17"/>
      <c r="J115" s="369"/>
      <c r="K115" s="17"/>
      <c r="L115" s="17"/>
      <c r="M115" s="17"/>
      <c r="N115" s="17"/>
      <c r="O115" s="17"/>
      <c r="P115" s="17"/>
      <c r="Q115" s="17"/>
      <c r="R115" s="17"/>
      <c r="S115" s="17"/>
      <c r="T115" s="240"/>
    </row>
    <row r="116">
      <c r="I116" s="17"/>
      <c r="J116" s="369"/>
      <c r="K116" s="17"/>
      <c r="L116" s="17"/>
      <c r="M116" s="17"/>
      <c r="N116" s="17"/>
      <c r="O116" s="17"/>
      <c r="P116" s="17"/>
      <c r="Q116" s="17"/>
      <c r="R116" s="17"/>
      <c r="S116" s="17"/>
      <c r="T116" s="240"/>
    </row>
    <row r="117">
      <c r="I117" s="17"/>
      <c r="J117" s="369"/>
      <c r="K117" s="17"/>
      <c r="L117" s="17"/>
      <c r="M117" s="17"/>
      <c r="N117" s="17"/>
      <c r="O117" s="17"/>
      <c r="P117" s="17"/>
      <c r="Q117" s="17"/>
      <c r="R117" s="17"/>
      <c r="S117" s="17"/>
      <c r="T117" s="240"/>
    </row>
    <row r="118">
      <c r="I118" s="17"/>
      <c r="J118" s="369"/>
      <c r="K118" s="17"/>
      <c r="L118" s="17"/>
      <c r="M118" s="17"/>
      <c r="N118" s="17"/>
      <c r="O118" s="17"/>
      <c r="P118" s="17"/>
      <c r="Q118" s="17"/>
      <c r="R118" s="17"/>
      <c r="S118" s="17"/>
      <c r="T118" s="240"/>
    </row>
    <row r="119">
      <c r="I119" s="17"/>
      <c r="J119" s="369"/>
      <c r="K119" s="17"/>
      <c r="L119" s="17"/>
      <c r="M119" s="17"/>
      <c r="N119" s="17"/>
      <c r="O119" s="17"/>
      <c r="P119" s="17"/>
      <c r="Q119" s="17"/>
      <c r="R119" s="17"/>
      <c r="S119" s="17"/>
      <c r="T119" s="240"/>
    </row>
    <row r="120">
      <c r="I120" s="17"/>
      <c r="J120" s="369"/>
      <c r="K120" s="17"/>
      <c r="L120" s="17"/>
      <c r="M120" s="17"/>
      <c r="N120" s="17"/>
      <c r="O120" s="17"/>
      <c r="P120" s="17"/>
      <c r="Q120" s="17"/>
      <c r="R120" s="17"/>
      <c r="S120" s="17"/>
      <c r="T120" s="240"/>
    </row>
    <row r="121">
      <c r="I121" s="17"/>
      <c r="J121" s="369"/>
      <c r="K121" s="17"/>
      <c r="L121" s="17"/>
      <c r="M121" s="17"/>
      <c r="N121" s="17"/>
      <c r="O121" s="17"/>
      <c r="P121" s="17"/>
      <c r="Q121" s="17"/>
      <c r="R121" s="17"/>
      <c r="S121" s="17"/>
      <c r="T121" s="240"/>
    </row>
    <row r="122">
      <c r="I122" s="17"/>
      <c r="J122" s="369"/>
      <c r="K122" s="17"/>
      <c r="L122" s="17"/>
      <c r="M122" s="17"/>
      <c r="N122" s="17"/>
      <c r="O122" s="17"/>
      <c r="P122" s="17"/>
      <c r="Q122" s="17"/>
      <c r="R122" s="17"/>
      <c r="S122" s="17"/>
      <c r="T122" s="240"/>
    </row>
    <row r="123">
      <c r="I123" s="17"/>
      <c r="J123" s="369"/>
      <c r="K123" s="17"/>
      <c r="L123" s="17"/>
      <c r="M123" s="17"/>
      <c r="N123" s="17"/>
      <c r="O123" s="17"/>
      <c r="P123" s="17"/>
      <c r="Q123" s="17"/>
      <c r="R123" s="17"/>
      <c r="S123" s="17"/>
      <c r="T123" s="240"/>
    </row>
    <row r="124">
      <c r="I124" s="17"/>
      <c r="J124" s="369"/>
      <c r="K124" s="17"/>
      <c r="L124" s="17"/>
      <c r="M124" s="17"/>
      <c r="N124" s="17"/>
      <c r="O124" s="17"/>
      <c r="P124" s="17"/>
      <c r="Q124" s="17"/>
      <c r="R124" s="17"/>
      <c r="S124" s="17"/>
      <c r="T124" s="240"/>
    </row>
    <row r="125">
      <c r="I125" s="17"/>
      <c r="J125" s="369"/>
      <c r="K125" s="17"/>
      <c r="L125" s="17"/>
      <c r="M125" s="17"/>
      <c r="N125" s="17"/>
      <c r="O125" s="17"/>
      <c r="P125" s="17"/>
      <c r="Q125" s="17"/>
      <c r="R125" s="17"/>
      <c r="S125" s="17"/>
      <c r="T125" s="240"/>
    </row>
    <row r="126">
      <c r="I126" s="17"/>
      <c r="J126" s="369"/>
      <c r="K126" s="17"/>
      <c r="L126" s="17"/>
      <c r="M126" s="17"/>
      <c r="N126" s="17"/>
      <c r="O126" s="17"/>
      <c r="P126" s="17"/>
      <c r="Q126" s="17"/>
      <c r="R126" s="17"/>
      <c r="S126" s="17"/>
      <c r="T126" s="240"/>
    </row>
    <row r="127">
      <c r="I127" s="17"/>
      <c r="J127" s="369"/>
      <c r="K127" s="17"/>
      <c r="L127" s="17"/>
      <c r="M127" s="17"/>
      <c r="N127" s="17"/>
      <c r="O127" s="17"/>
      <c r="P127" s="17"/>
      <c r="Q127" s="17"/>
      <c r="R127" s="17"/>
      <c r="S127" s="17"/>
      <c r="T127" s="240"/>
    </row>
    <row r="128">
      <c r="I128" s="17"/>
      <c r="J128" s="369"/>
      <c r="K128" s="17"/>
      <c r="L128" s="17"/>
      <c r="M128" s="17"/>
      <c r="N128" s="17"/>
      <c r="O128" s="17"/>
      <c r="P128" s="17"/>
      <c r="Q128" s="17"/>
      <c r="R128" s="17"/>
      <c r="S128" s="17"/>
      <c r="T128" s="240"/>
    </row>
    <row r="129">
      <c r="I129" s="17"/>
      <c r="J129" s="369"/>
      <c r="K129" s="17"/>
      <c r="L129" s="17"/>
      <c r="M129" s="17"/>
      <c r="N129" s="17"/>
      <c r="O129" s="17"/>
      <c r="P129" s="17"/>
      <c r="Q129" s="17"/>
      <c r="R129" s="17"/>
      <c r="S129" s="17"/>
      <c r="T129" s="240"/>
    </row>
    <row r="130">
      <c r="I130" s="17"/>
      <c r="J130" s="369"/>
      <c r="K130" s="17"/>
      <c r="L130" s="17"/>
      <c r="M130" s="17"/>
      <c r="N130" s="17"/>
      <c r="O130" s="17"/>
      <c r="P130" s="17"/>
      <c r="Q130" s="17"/>
      <c r="R130" s="17"/>
      <c r="S130" s="17"/>
      <c r="T130" s="240"/>
    </row>
    <row r="131">
      <c r="I131" s="17"/>
      <c r="J131" s="369"/>
      <c r="K131" s="17"/>
      <c r="L131" s="17"/>
      <c r="M131" s="17"/>
      <c r="N131" s="17"/>
      <c r="O131" s="17"/>
      <c r="P131" s="17"/>
      <c r="Q131" s="17"/>
      <c r="R131" s="17"/>
      <c r="S131" s="17"/>
      <c r="T131" s="240"/>
    </row>
    <row r="132">
      <c r="I132" s="17"/>
      <c r="J132" s="369"/>
      <c r="K132" s="17"/>
      <c r="L132" s="17"/>
      <c r="M132" s="17"/>
      <c r="N132" s="17"/>
      <c r="O132" s="17"/>
      <c r="P132" s="17"/>
      <c r="Q132" s="17"/>
      <c r="R132" s="17"/>
      <c r="S132" s="17"/>
      <c r="T132" s="240"/>
    </row>
    <row r="133">
      <c r="I133" s="17"/>
      <c r="J133" s="369"/>
      <c r="K133" s="17"/>
      <c r="L133" s="17"/>
      <c r="M133" s="17"/>
      <c r="N133" s="17"/>
      <c r="O133" s="17"/>
      <c r="P133" s="17"/>
      <c r="Q133" s="17"/>
      <c r="R133" s="17"/>
      <c r="S133" s="17"/>
      <c r="T133" s="240"/>
    </row>
    <row r="134">
      <c r="I134" s="17"/>
      <c r="J134" s="369"/>
      <c r="K134" s="17"/>
      <c r="L134" s="17"/>
      <c r="M134" s="17"/>
      <c r="N134" s="17"/>
      <c r="O134" s="17"/>
      <c r="P134" s="17"/>
      <c r="Q134" s="17"/>
      <c r="R134" s="17"/>
      <c r="S134" s="17"/>
      <c r="T134" s="240"/>
    </row>
    <row r="135">
      <c r="I135" s="17"/>
      <c r="J135" s="369"/>
      <c r="K135" s="17"/>
      <c r="L135" s="17"/>
      <c r="M135" s="17"/>
      <c r="N135" s="17"/>
      <c r="O135" s="17"/>
      <c r="P135" s="17"/>
      <c r="Q135" s="17"/>
      <c r="R135" s="17"/>
      <c r="S135" s="17"/>
      <c r="T135" s="240"/>
    </row>
    <row r="136">
      <c r="I136" s="17"/>
      <c r="J136" s="369"/>
      <c r="K136" s="17"/>
      <c r="L136" s="17"/>
      <c r="M136" s="17"/>
      <c r="N136" s="17"/>
      <c r="O136" s="17"/>
      <c r="P136" s="17"/>
      <c r="Q136" s="17"/>
      <c r="R136" s="17"/>
      <c r="S136" s="17"/>
      <c r="T136" s="240"/>
    </row>
    <row r="137">
      <c r="I137" s="17"/>
      <c r="J137" s="369"/>
      <c r="K137" s="17"/>
      <c r="L137" s="17"/>
      <c r="M137" s="17"/>
      <c r="N137" s="17"/>
      <c r="O137" s="17"/>
      <c r="P137" s="17"/>
      <c r="Q137" s="17"/>
      <c r="R137" s="17"/>
      <c r="S137" s="17"/>
      <c r="T137" s="240"/>
    </row>
    <row r="138">
      <c r="I138" s="17"/>
      <c r="J138" s="369"/>
      <c r="K138" s="17"/>
      <c r="L138" s="17"/>
      <c r="M138" s="17"/>
      <c r="N138" s="17"/>
      <c r="O138" s="17"/>
      <c r="P138" s="17"/>
      <c r="Q138" s="17"/>
      <c r="R138" s="17"/>
      <c r="S138" s="17"/>
      <c r="T138" s="240"/>
    </row>
    <row r="139">
      <c r="I139" s="17"/>
      <c r="J139" s="369"/>
      <c r="K139" s="17"/>
      <c r="L139" s="17"/>
      <c r="M139" s="17"/>
      <c r="N139" s="17"/>
      <c r="O139" s="17"/>
      <c r="P139" s="17"/>
      <c r="Q139" s="17"/>
      <c r="R139" s="17"/>
      <c r="S139" s="17"/>
      <c r="T139" s="240"/>
    </row>
    <row r="140">
      <c r="I140" s="17"/>
      <c r="J140" s="369"/>
      <c r="K140" s="17"/>
      <c r="L140" s="17"/>
      <c r="M140" s="17"/>
      <c r="N140" s="17"/>
      <c r="O140" s="17"/>
      <c r="P140" s="17"/>
      <c r="Q140" s="17"/>
      <c r="R140" s="17"/>
      <c r="S140" s="17"/>
      <c r="T140" s="240"/>
    </row>
    <row r="141">
      <c r="I141" s="17"/>
      <c r="J141" s="369"/>
      <c r="K141" s="17"/>
      <c r="L141" s="17"/>
      <c r="M141" s="17"/>
      <c r="N141" s="17"/>
      <c r="O141" s="17"/>
      <c r="P141" s="17"/>
      <c r="Q141" s="17"/>
      <c r="R141" s="17"/>
      <c r="S141" s="17"/>
      <c r="T141" s="240"/>
    </row>
    <row r="142">
      <c r="I142" s="17"/>
      <c r="J142" s="369"/>
      <c r="K142" s="17"/>
      <c r="L142" s="17"/>
      <c r="M142" s="17"/>
      <c r="N142" s="17"/>
      <c r="O142" s="17"/>
      <c r="P142" s="17"/>
      <c r="Q142" s="17"/>
      <c r="R142" s="17"/>
      <c r="S142" s="17"/>
      <c r="T142" s="240"/>
    </row>
    <row r="143">
      <c r="I143" s="17"/>
      <c r="J143" s="369"/>
      <c r="K143" s="17"/>
      <c r="L143" s="17"/>
      <c r="M143" s="17"/>
      <c r="N143" s="17"/>
      <c r="O143" s="17"/>
      <c r="P143" s="17"/>
      <c r="Q143" s="17"/>
      <c r="R143" s="17"/>
      <c r="S143" s="17"/>
      <c r="T143" s="240"/>
    </row>
    <row r="144">
      <c r="I144" s="17"/>
      <c r="J144" s="369"/>
      <c r="K144" s="17"/>
      <c r="L144" s="17"/>
      <c r="M144" s="17"/>
      <c r="N144" s="17"/>
      <c r="O144" s="17"/>
      <c r="P144" s="17"/>
      <c r="Q144" s="17"/>
      <c r="R144" s="17"/>
      <c r="S144" s="17"/>
      <c r="T144" s="240"/>
    </row>
    <row r="145">
      <c r="I145" s="17"/>
      <c r="J145" s="369"/>
      <c r="K145" s="17"/>
      <c r="L145" s="17"/>
      <c r="M145" s="17"/>
      <c r="N145" s="17"/>
      <c r="O145" s="17"/>
      <c r="P145" s="17"/>
      <c r="Q145" s="17"/>
      <c r="R145" s="17"/>
      <c r="S145" s="17"/>
      <c r="T145" s="240"/>
    </row>
    <row r="146">
      <c r="I146" s="17"/>
      <c r="J146" s="369"/>
      <c r="K146" s="17"/>
      <c r="L146" s="17"/>
      <c r="M146" s="17"/>
      <c r="N146" s="17"/>
      <c r="O146" s="17"/>
      <c r="P146" s="17"/>
      <c r="Q146" s="17"/>
      <c r="R146" s="17"/>
      <c r="S146" s="17"/>
      <c r="T146" s="240"/>
    </row>
    <row r="147">
      <c r="I147" s="17"/>
      <c r="J147" s="369"/>
      <c r="K147" s="17"/>
      <c r="L147" s="17"/>
      <c r="M147" s="17"/>
      <c r="N147" s="17"/>
      <c r="O147" s="17"/>
      <c r="P147" s="17"/>
      <c r="Q147" s="17"/>
      <c r="R147" s="17"/>
      <c r="S147" s="17"/>
      <c r="T147" s="240"/>
    </row>
    <row r="148">
      <c r="I148" s="17"/>
      <c r="J148" s="369"/>
      <c r="K148" s="17"/>
      <c r="L148" s="17"/>
      <c r="M148" s="17"/>
      <c r="N148" s="17"/>
      <c r="O148" s="17"/>
      <c r="P148" s="17"/>
      <c r="Q148" s="17"/>
      <c r="R148" s="17"/>
      <c r="S148" s="17"/>
      <c r="T148" s="240"/>
    </row>
    <row r="149">
      <c r="I149" s="17"/>
      <c r="J149" s="369"/>
      <c r="K149" s="17"/>
      <c r="L149" s="17"/>
      <c r="M149" s="17"/>
      <c r="N149" s="17"/>
      <c r="O149" s="17"/>
      <c r="P149" s="17"/>
      <c r="Q149" s="17"/>
      <c r="R149" s="17"/>
      <c r="S149" s="17"/>
      <c r="T149" s="240"/>
    </row>
    <row r="150">
      <c r="I150" s="17"/>
      <c r="J150" s="369"/>
      <c r="K150" s="17"/>
      <c r="L150" s="17"/>
      <c r="M150" s="17"/>
      <c r="N150" s="17"/>
      <c r="O150" s="17"/>
      <c r="P150" s="17"/>
      <c r="Q150" s="17"/>
      <c r="R150" s="17"/>
      <c r="S150" s="17"/>
      <c r="T150" s="240"/>
    </row>
    <row r="151">
      <c r="I151" s="17"/>
      <c r="J151" s="369"/>
      <c r="K151" s="17"/>
      <c r="L151" s="17"/>
      <c r="M151" s="17"/>
      <c r="N151" s="17"/>
      <c r="O151" s="17"/>
      <c r="P151" s="17"/>
      <c r="Q151" s="17"/>
      <c r="R151" s="17"/>
      <c r="S151" s="17"/>
      <c r="T151" s="240"/>
    </row>
    <row r="152">
      <c r="I152" s="17"/>
      <c r="J152" s="369"/>
      <c r="K152" s="17"/>
      <c r="L152" s="17"/>
      <c r="M152" s="17"/>
      <c r="N152" s="17"/>
      <c r="O152" s="17"/>
      <c r="P152" s="17"/>
      <c r="Q152" s="17"/>
      <c r="R152" s="17"/>
      <c r="S152" s="17"/>
      <c r="T152" s="240"/>
    </row>
    <row r="153">
      <c r="I153" s="17"/>
      <c r="J153" s="369"/>
      <c r="K153" s="17"/>
      <c r="L153" s="17"/>
      <c r="M153" s="17"/>
      <c r="N153" s="17"/>
      <c r="O153" s="17"/>
      <c r="P153" s="17"/>
      <c r="Q153" s="17"/>
      <c r="R153" s="17"/>
      <c r="S153" s="17"/>
      <c r="T153" s="240"/>
    </row>
    <row r="154">
      <c r="I154" s="17"/>
      <c r="J154" s="369"/>
      <c r="K154" s="17"/>
      <c r="L154" s="17"/>
      <c r="M154" s="17"/>
      <c r="N154" s="17"/>
      <c r="O154" s="17"/>
      <c r="P154" s="17"/>
      <c r="Q154" s="17"/>
      <c r="R154" s="17"/>
      <c r="S154" s="17"/>
      <c r="T154" s="240"/>
    </row>
    <row r="155">
      <c r="I155" s="17"/>
      <c r="J155" s="369"/>
      <c r="K155" s="17"/>
      <c r="L155" s="17"/>
      <c r="M155" s="17"/>
      <c r="N155" s="17"/>
      <c r="O155" s="17"/>
      <c r="P155" s="17"/>
      <c r="Q155" s="17"/>
      <c r="R155" s="17"/>
      <c r="S155" s="17"/>
      <c r="T155" s="240"/>
    </row>
    <row r="156">
      <c r="I156" s="17"/>
      <c r="J156" s="369"/>
      <c r="K156" s="17"/>
      <c r="L156" s="17"/>
      <c r="M156" s="17"/>
      <c r="N156" s="17"/>
      <c r="O156" s="17"/>
      <c r="P156" s="17"/>
      <c r="Q156" s="17"/>
      <c r="R156" s="17"/>
      <c r="S156" s="17"/>
      <c r="T156" s="240"/>
    </row>
    <row r="157">
      <c r="I157" s="17"/>
      <c r="J157" s="369"/>
      <c r="K157" s="17"/>
      <c r="L157" s="17"/>
      <c r="M157" s="17"/>
      <c r="N157" s="17"/>
      <c r="O157" s="17"/>
      <c r="P157" s="17"/>
      <c r="Q157" s="17"/>
      <c r="R157" s="17"/>
      <c r="S157" s="17"/>
      <c r="T157" s="240"/>
    </row>
    <row r="158">
      <c r="I158" s="17"/>
      <c r="J158" s="369"/>
      <c r="K158" s="17"/>
      <c r="L158" s="17"/>
      <c r="M158" s="17"/>
      <c r="N158" s="17"/>
      <c r="O158" s="17"/>
      <c r="P158" s="17"/>
      <c r="Q158" s="17"/>
      <c r="R158" s="17"/>
      <c r="S158" s="17"/>
      <c r="T158" s="240"/>
    </row>
    <row r="159">
      <c r="I159" s="17"/>
      <c r="J159" s="369"/>
      <c r="K159" s="17"/>
      <c r="L159" s="17"/>
      <c r="M159" s="17"/>
      <c r="N159" s="17"/>
      <c r="O159" s="17"/>
      <c r="P159" s="17"/>
      <c r="Q159" s="17"/>
      <c r="R159" s="17"/>
      <c r="S159" s="17"/>
      <c r="T159" s="240"/>
    </row>
    <row r="160">
      <c r="I160" s="17"/>
      <c r="J160" s="369"/>
      <c r="K160" s="17"/>
      <c r="L160" s="17"/>
      <c r="M160" s="17"/>
      <c r="N160" s="17"/>
      <c r="O160" s="17"/>
      <c r="P160" s="17"/>
      <c r="Q160" s="17"/>
      <c r="R160" s="17"/>
      <c r="S160" s="17"/>
      <c r="T160" s="240"/>
    </row>
    <row r="161">
      <c r="I161" s="17"/>
      <c r="J161" s="369"/>
      <c r="K161" s="17"/>
      <c r="L161" s="17"/>
      <c r="M161" s="17"/>
      <c r="N161" s="17"/>
      <c r="O161" s="17"/>
      <c r="P161" s="17"/>
      <c r="Q161" s="17"/>
      <c r="R161" s="17"/>
      <c r="S161" s="17"/>
      <c r="T161" s="240"/>
    </row>
    <row r="162">
      <c r="I162" s="17"/>
      <c r="J162" s="369"/>
      <c r="K162" s="17"/>
      <c r="L162" s="17"/>
      <c r="M162" s="17"/>
      <c r="N162" s="17"/>
      <c r="O162" s="17"/>
      <c r="P162" s="17"/>
      <c r="Q162" s="17"/>
      <c r="R162" s="17"/>
      <c r="S162" s="17"/>
      <c r="T162" s="240"/>
    </row>
    <row r="163">
      <c r="I163" s="17"/>
      <c r="J163" s="369"/>
      <c r="K163" s="17"/>
      <c r="L163" s="17"/>
      <c r="M163" s="17"/>
      <c r="N163" s="17"/>
      <c r="O163" s="17"/>
      <c r="P163" s="17"/>
      <c r="Q163" s="17"/>
      <c r="R163" s="17"/>
      <c r="S163" s="17"/>
      <c r="T163" s="240"/>
    </row>
    <row r="164">
      <c r="I164" s="17"/>
      <c r="J164" s="369"/>
      <c r="K164" s="17"/>
      <c r="L164" s="17"/>
      <c r="M164" s="17"/>
      <c r="N164" s="17"/>
      <c r="O164" s="17"/>
      <c r="P164" s="17"/>
      <c r="Q164" s="17"/>
      <c r="R164" s="17"/>
      <c r="S164" s="17"/>
      <c r="T164" s="240"/>
    </row>
    <row r="165">
      <c r="I165" s="17"/>
      <c r="J165" s="369"/>
      <c r="K165" s="17"/>
      <c r="L165" s="17"/>
      <c r="M165" s="17"/>
      <c r="N165" s="17"/>
      <c r="O165" s="17"/>
      <c r="P165" s="17"/>
      <c r="Q165" s="17"/>
      <c r="R165" s="17"/>
      <c r="S165" s="17"/>
      <c r="T165" s="240"/>
    </row>
    <row r="166">
      <c r="I166" s="17"/>
      <c r="J166" s="369"/>
      <c r="K166" s="17"/>
      <c r="L166" s="17"/>
      <c r="M166" s="17"/>
      <c r="N166" s="17"/>
      <c r="O166" s="17"/>
      <c r="P166" s="17"/>
      <c r="Q166" s="17"/>
      <c r="R166" s="17"/>
      <c r="S166" s="17"/>
      <c r="T166" s="240"/>
    </row>
    <row r="167">
      <c r="I167" s="17"/>
      <c r="J167" s="369"/>
      <c r="K167" s="17"/>
      <c r="L167" s="17"/>
      <c r="M167" s="17"/>
      <c r="N167" s="17"/>
      <c r="O167" s="17"/>
      <c r="P167" s="17"/>
      <c r="Q167" s="17"/>
      <c r="R167" s="17"/>
      <c r="S167" s="17"/>
      <c r="T167" s="240"/>
    </row>
    <row r="168">
      <c r="I168" s="17"/>
      <c r="J168" s="369"/>
      <c r="K168" s="17"/>
      <c r="L168" s="17"/>
      <c r="M168" s="17"/>
      <c r="N168" s="17"/>
      <c r="O168" s="17"/>
      <c r="P168" s="17"/>
      <c r="Q168" s="17"/>
      <c r="R168" s="17"/>
      <c r="S168" s="17"/>
      <c r="T168" s="240"/>
    </row>
    <row r="169">
      <c r="I169" s="17"/>
      <c r="J169" s="369"/>
      <c r="K169" s="17"/>
      <c r="L169" s="17"/>
      <c r="M169" s="17"/>
      <c r="N169" s="17"/>
      <c r="O169" s="17"/>
      <c r="P169" s="17"/>
      <c r="Q169" s="17"/>
      <c r="R169" s="17"/>
      <c r="S169" s="17"/>
      <c r="T169" s="240"/>
    </row>
    <row r="170">
      <c r="I170" s="17"/>
      <c r="J170" s="369"/>
      <c r="K170" s="17"/>
      <c r="L170" s="17"/>
      <c r="M170" s="17"/>
      <c r="N170" s="17"/>
      <c r="O170" s="17"/>
      <c r="P170" s="17"/>
      <c r="Q170" s="17"/>
      <c r="R170" s="17"/>
      <c r="S170" s="17"/>
      <c r="T170" s="240"/>
    </row>
    <row r="171">
      <c r="I171" s="17"/>
      <c r="J171" s="369"/>
      <c r="K171" s="17"/>
      <c r="L171" s="17"/>
      <c r="M171" s="17"/>
      <c r="N171" s="17"/>
      <c r="O171" s="17"/>
      <c r="P171" s="17"/>
      <c r="Q171" s="17"/>
      <c r="R171" s="17"/>
      <c r="S171" s="17"/>
      <c r="T171" s="240"/>
    </row>
    <row r="172">
      <c r="I172" s="17"/>
      <c r="J172" s="369"/>
      <c r="K172" s="17"/>
      <c r="L172" s="17"/>
      <c r="M172" s="17"/>
      <c r="N172" s="17"/>
      <c r="O172" s="17"/>
      <c r="P172" s="17"/>
      <c r="Q172" s="17"/>
      <c r="R172" s="17"/>
      <c r="S172" s="17"/>
      <c r="T172" s="240"/>
    </row>
    <row r="173">
      <c r="I173" s="17"/>
      <c r="J173" s="369"/>
      <c r="K173" s="17"/>
      <c r="L173" s="17"/>
      <c r="M173" s="17"/>
      <c r="N173" s="17"/>
      <c r="O173" s="17"/>
      <c r="P173" s="17"/>
      <c r="Q173" s="17"/>
      <c r="R173" s="17"/>
      <c r="S173" s="17"/>
      <c r="T173" s="240"/>
    </row>
    <row r="174">
      <c r="I174" s="17"/>
      <c r="J174" s="369"/>
      <c r="K174" s="17"/>
      <c r="L174" s="17"/>
      <c r="M174" s="17"/>
      <c r="N174" s="17"/>
      <c r="O174" s="17"/>
      <c r="P174" s="17"/>
      <c r="Q174" s="17"/>
      <c r="R174" s="17"/>
      <c r="S174" s="17"/>
      <c r="T174" s="240"/>
    </row>
    <row r="175">
      <c r="I175" s="17"/>
      <c r="J175" s="369"/>
      <c r="K175" s="17"/>
      <c r="L175" s="17"/>
      <c r="M175" s="17"/>
      <c r="N175" s="17"/>
      <c r="O175" s="17"/>
      <c r="P175" s="17"/>
      <c r="Q175" s="17"/>
      <c r="R175" s="17"/>
      <c r="S175" s="17"/>
      <c r="T175" s="240"/>
    </row>
    <row r="176">
      <c r="I176" s="17"/>
      <c r="J176" s="369"/>
      <c r="K176" s="17"/>
      <c r="L176" s="17"/>
      <c r="M176" s="17"/>
      <c r="N176" s="17"/>
      <c r="O176" s="17"/>
      <c r="P176" s="17"/>
      <c r="Q176" s="17"/>
      <c r="R176" s="17"/>
      <c r="S176" s="17"/>
      <c r="T176" s="240"/>
    </row>
    <row r="177">
      <c r="I177" s="17"/>
      <c r="J177" s="369"/>
      <c r="K177" s="17"/>
      <c r="L177" s="17"/>
      <c r="M177" s="17"/>
      <c r="N177" s="17"/>
      <c r="O177" s="17"/>
      <c r="P177" s="17"/>
      <c r="Q177" s="17"/>
      <c r="R177" s="17"/>
      <c r="S177" s="17"/>
      <c r="T177" s="240"/>
    </row>
    <row r="178">
      <c r="I178" s="17"/>
      <c r="J178" s="369"/>
      <c r="K178" s="17"/>
      <c r="L178" s="17"/>
      <c r="M178" s="17"/>
      <c r="N178" s="17"/>
      <c r="O178" s="17"/>
      <c r="P178" s="17"/>
      <c r="Q178" s="17"/>
      <c r="R178" s="17"/>
      <c r="S178" s="17"/>
      <c r="T178" s="240"/>
    </row>
    <row r="179">
      <c r="I179" s="17"/>
      <c r="J179" s="369"/>
      <c r="K179" s="17"/>
      <c r="L179" s="17"/>
      <c r="M179" s="17"/>
      <c r="N179" s="17"/>
      <c r="O179" s="17"/>
      <c r="P179" s="17"/>
      <c r="Q179" s="17"/>
      <c r="R179" s="17"/>
      <c r="S179" s="17"/>
      <c r="T179" s="240"/>
    </row>
    <row r="180">
      <c r="I180" s="17"/>
      <c r="J180" s="369"/>
      <c r="K180" s="17"/>
      <c r="L180" s="17"/>
      <c r="M180" s="17"/>
      <c r="N180" s="17"/>
      <c r="O180" s="17"/>
      <c r="P180" s="17"/>
      <c r="Q180" s="17"/>
      <c r="R180" s="17"/>
      <c r="S180" s="17"/>
      <c r="T180" s="240"/>
    </row>
    <row r="181">
      <c r="I181" s="17"/>
      <c r="J181" s="369"/>
      <c r="K181" s="17"/>
      <c r="L181" s="17"/>
      <c r="M181" s="17"/>
      <c r="N181" s="17"/>
      <c r="O181" s="17"/>
      <c r="P181" s="17"/>
      <c r="Q181" s="17"/>
      <c r="R181" s="17"/>
      <c r="S181" s="17"/>
      <c r="T181" s="240"/>
    </row>
    <row r="182">
      <c r="I182" s="17"/>
      <c r="J182" s="369"/>
      <c r="K182" s="17"/>
      <c r="L182" s="17"/>
      <c r="M182" s="17"/>
      <c r="N182" s="17"/>
      <c r="O182" s="17"/>
      <c r="P182" s="17"/>
      <c r="Q182" s="17"/>
      <c r="R182" s="17"/>
      <c r="S182" s="17"/>
      <c r="T182" s="240"/>
    </row>
    <row r="183">
      <c r="I183" s="17"/>
      <c r="J183" s="369"/>
      <c r="K183" s="17"/>
      <c r="L183" s="17"/>
      <c r="M183" s="17"/>
      <c r="N183" s="17"/>
      <c r="O183" s="17"/>
      <c r="P183" s="17"/>
      <c r="Q183" s="17"/>
      <c r="R183" s="17"/>
      <c r="S183" s="17"/>
      <c r="T183" s="240"/>
    </row>
    <row r="184">
      <c r="I184" s="17"/>
      <c r="J184" s="369"/>
      <c r="K184" s="17"/>
      <c r="L184" s="17"/>
      <c r="M184" s="17"/>
      <c r="N184" s="17"/>
      <c r="O184" s="17"/>
      <c r="P184" s="17"/>
      <c r="Q184" s="17"/>
      <c r="R184" s="17"/>
      <c r="S184" s="17"/>
      <c r="T184" s="240"/>
    </row>
    <row r="185">
      <c r="I185" s="17"/>
      <c r="J185" s="369"/>
      <c r="K185" s="17"/>
      <c r="L185" s="17"/>
      <c r="M185" s="17"/>
      <c r="N185" s="17"/>
      <c r="O185" s="17"/>
      <c r="P185" s="17"/>
      <c r="Q185" s="17"/>
      <c r="R185" s="17"/>
      <c r="S185" s="17"/>
      <c r="T185" s="240"/>
    </row>
    <row r="186">
      <c r="I186" s="17"/>
      <c r="J186" s="369"/>
      <c r="K186" s="17"/>
      <c r="L186" s="17"/>
      <c r="M186" s="17"/>
      <c r="N186" s="17"/>
      <c r="O186" s="17"/>
      <c r="P186" s="17"/>
      <c r="Q186" s="17"/>
      <c r="R186" s="17"/>
      <c r="S186" s="17"/>
      <c r="T186" s="240"/>
    </row>
    <row r="187">
      <c r="I187" s="17"/>
      <c r="J187" s="369"/>
      <c r="K187" s="17"/>
      <c r="L187" s="17"/>
      <c r="M187" s="17"/>
      <c r="N187" s="17"/>
      <c r="O187" s="17"/>
      <c r="P187" s="17"/>
      <c r="Q187" s="17"/>
      <c r="R187" s="17"/>
      <c r="S187" s="17"/>
      <c r="T187" s="240"/>
    </row>
    <row r="188">
      <c r="I188" s="17"/>
      <c r="J188" s="369"/>
      <c r="K188" s="17"/>
      <c r="L188" s="17"/>
      <c r="M188" s="17"/>
      <c r="N188" s="17"/>
      <c r="O188" s="17"/>
      <c r="P188" s="17"/>
      <c r="Q188" s="17"/>
      <c r="R188" s="17"/>
      <c r="S188" s="17"/>
      <c r="T188" s="240"/>
    </row>
    <row r="189">
      <c r="I189" s="17"/>
      <c r="J189" s="369"/>
      <c r="K189" s="17"/>
      <c r="L189" s="17"/>
      <c r="M189" s="17"/>
      <c r="N189" s="17"/>
      <c r="O189" s="17"/>
      <c r="P189" s="17"/>
      <c r="Q189" s="17"/>
      <c r="R189" s="17"/>
      <c r="S189" s="17"/>
      <c r="T189" s="240"/>
    </row>
    <row r="190">
      <c r="I190" s="17"/>
      <c r="J190" s="369"/>
      <c r="K190" s="17"/>
      <c r="L190" s="17"/>
      <c r="M190" s="17"/>
      <c r="N190" s="17"/>
      <c r="O190" s="17"/>
      <c r="P190" s="17"/>
      <c r="Q190" s="17"/>
      <c r="R190" s="17"/>
      <c r="S190" s="17"/>
      <c r="T190" s="240"/>
    </row>
    <row r="191">
      <c r="I191" s="17"/>
      <c r="J191" s="369"/>
      <c r="K191" s="17"/>
      <c r="L191" s="17"/>
      <c r="M191" s="17"/>
      <c r="N191" s="17"/>
      <c r="O191" s="17"/>
      <c r="P191" s="17"/>
      <c r="Q191" s="17"/>
      <c r="R191" s="17"/>
      <c r="S191" s="17"/>
      <c r="T191" s="240"/>
    </row>
    <row r="192">
      <c r="I192" s="17"/>
      <c r="J192" s="369"/>
      <c r="K192" s="17"/>
      <c r="L192" s="17"/>
      <c r="M192" s="17"/>
      <c r="N192" s="17"/>
      <c r="O192" s="17"/>
      <c r="P192" s="17"/>
      <c r="Q192" s="17"/>
      <c r="R192" s="17"/>
      <c r="S192" s="17"/>
      <c r="T192" s="240"/>
    </row>
    <row r="193">
      <c r="I193" s="17"/>
      <c r="J193" s="369"/>
      <c r="K193" s="17"/>
      <c r="L193" s="17"/>
      <c r="M193" s="17"/>
      <c r="N193" s="17"/>
      <c r="O193" s="17"/>
      <c r="P193" s="17"/>
      <c r="Q193" s="17"/>
      <c r="R193" s="17"/>
      <c r="S193" s="17"/>
      <c r="T193" s="240"/>
    </row>
    <row r="194">
      <c r="I194" s="17"/>
      <c r="J194" s="369"/>
      <c r="K194" s="17"/>
      <c r="L194" s="17"/>
      <c r="M194" s="17"/>
      <c r="N194" s="17"/>
      <c r="O194" s="17"/>
      <c r="P194" s="17"/>
      <c r="Q194" s="17"/>
      <c r="R194" s="17"/>
      <c r="S194" s="17"/>
      <c r="T194" s="240"/>
    </row>
    <row r="195">
      <c r="I195" s="17"/>
      <c r="J195" s="369"/>
      <c r="K195" s="17"/>
      <c r="L195" s="17"/>
      <c r="M195" s="17"/>
      <c r="N195" s="17"/>
      <c r="O195" s="17"/>
      <c r="P195" s="17"/>
      <c r="Q195" s="17"/>
      <c r="R195" s="17"/>
      <c r="S195" s="17"/>
      <c r="T195" s="240"/>
    </row>
    <row r="196">
      <c r="I196" s="17"/>
      <c r="J196" s="369"/>
      <c r="K196" s="17"/>
      <c r="L196" s="17"/>
      <c r="M196" s="17"/>
      <c r="N196" s="17"/>
      <c r="O196" s="17"/>
      <c r="P196" s="17"/>
      <c r="Q196" s="17"/>
      <c r="R196" s="17"/>
      <c r="S196" s="17"/>
      <c r="T196" s="240"/>
    </row>
    <row r="197">
      <c r="I197" s="17"/>
      <c r="J197" s="369"/>
      <c r="K197" s="17"/>
      <c r="L197" s="17"/>
      <c r="M197" s="17"/>
      <c r="N197" s="17"/>
      <c r="O197" s="17"/>
      <c r="P197" s="17"/>
      <c r="Q197" s="17"/>
      <c r="R197" s="17"/>
      <c r="S197" s="17"/>
      <c r="T197" s="240"/>
    </row>
    <row r="198">
      <c r="I198" s="17"/>
      <c r="J198" s="369"/>
      <c r="K198" s="17"/>
      <c r="L198" s="17"/>
      <c r="M198" s="17"/>
      <c r="N198" s="17"/>
      <c r="O198" s="17"/>
      <c r="P198" s="17"/>
      <c r="Q198" s="17"/>
      <c r="R198" s="17"/>
      <c r="S198" s="17"/>
      <c r="T198" s="240"/>
    </row>
    <row r="199">
      <c r="I199" s="17"/>
      <c r="J199" s="369"/>
      <c r="K199" s="17"/>
      <c r="L199" s="17"/>
      <c r="M199" s="17"/>
      <c r="N199" s="17"/>
      <c r="O199" s="17"/>
      <c r="P199" s="17"/>
      <c r="Q199" s="17"/>
      <c r="R199" s="17"/>
      <c r="S199" s="17"/>
      <c r="T199" s="240"/>
    </row>
    <row r="200">
      <c r="I200" s="17"/>
      <c r="J200" s="369"/>
      <c r="K200" s="17"/>
      <c r="L200" s="17"/>
      <c r="M200" s="17"/>
      <c r="N200" s="17"/>
      <c r="O200" s="17"/>
      <c r="P200" s="17"/>
      <c r="Q200" s="17"/>
      <c r="R200" s="17"/>
      <c r="S200" s="17"/>
      <c r="T200" s="240"/>
    </row>
    <row r="201">
      <c r="I201" s="17"/>
      <c r="J201" s="369"/>
      <c r="K201" s="17"/>
      <c r="L201" s="17"/>
      <c r="M201" s="17"/>
      <c r="N201" s="17"/>
      <c r="O201" s="17"/>
      <c r="P201" s="17"/>
      <c r="Q201" s="17"/>
      <c r="R201" s="17"/>
      <c r="S201" s="17"/>
      <c r="T201" s="240"/>
    </row>
    <row r="202">
      <c r="I202" s="17"/>
      <c r="J202" s="369"/>
      <c r="K202" s="17"/>
      <c r="L202" s="17"/>
      <c r="M202" s="17"/>
      <c r="N202" s="17"/>
      <c r="O202" s="17"/>
      <c r="P202" s="17"/>
      <c r="Q202" s="17"/>
      <c r="R202" s="17"/>
      <c r="S202" s="17"/>
      <c r="T202" s="240"/>
    </row>
    <row r="203">
      <c r="I203" s="17"/>
      <c r="J203" s="369"/>
      <c r="K203" s="17"/>
      <c r="L203" s="17"/>
      <c r="M203" s="17"/>
      <c r="N203" s="17"/>
      <c r="O203" s="17"/>
      <c r="P203" s="17"/>
      <c r="Q203" s="17"/>
      <c r="R203" s="17"/>
      <c r="S203" s="17"/>
      <c r="T203" s="240"/>
    </row>
    <row r="204">
      <c r="I204" s="17"/>
      <c r="J204" s="369"/>
      <c r="K204" s="17"/>
      <c r="L204" s="17"/>
      <c r="M204" s="17"/>
      <c r="N204" s="17"/>
      <c r="O204" s="17"/>
      <c r="P204" s="17"/>
      <c r="Q204" s="17"/>
      <c r="R204" s="17"/>
      <c r="S204" s="17"/>
      <c r="T204" s="240"/>
    </row>
    <row r="205">
      <c r="I205" s="17"/>
      <c r="J205" s="369"/>
      <c r="K205" s="17"/>
      <c r="L205" s="17"/>
      <c r="M205" s="17"/>
      <c r="N205" s="17"/>
      <c r="O205" s="17"/>
      <c r="P205" s="17"/>
      <c r="Q205" s="17"/>
      <c r="R205" s="17"/>
      <c r="S205" s="17"/>
      <c r="T205" s="240"/>
    </row>
    <row r="206">
      <c r="I206" s="17"/>
      <c r="J206" s="369"/>
      <c r="K206" s="17"/>
      <c r="L206" s="17"/>
      <c r="M206" s="17"/>
      <c r="N206" s="17"/>
      <c r="O206" s="17"/>
      <c r="P206" s="17"/>
      <c r="Q206" s="17"/>
      <c r="R206" s="17"/>
      <c r="S206" s="17"/>
      <c r="T206" s="240"/>
    </row>
    <row r="207">
      <c r="I207" s="17"/>
      <c r="J207" s="369"/>
      <c r="K207" s="17"/>
      <c r="L207" s="17"/>
      <c r="M207" s="17"/>
      <c r="N207" s="17"/>
      <c r="O207" s="17"/>
      <c r="P207" s="17"/>
      <c r="Q207" s="17"/>
      <c r="R207" s="17"/>
      <c r="S207" s="17"/>
      <c r="T207" s="240"/>
    </row>
    <row r="208">
      <c r="I208" s="17"/>
      <c r="J208" s="369"/>
      <c r="K208" s="17"/>
      <c r="L208" s="17"/>
      <c r="M208" s="17"/>
      <c r="N208" s="17"/>
      <c r="O208" s="17"/>
      <c r="P208" s="17"/>
      <c r="Q208" s="17"/>
      <c r="R208" s="17"/>
      <c r="S208" s="17"/>
      <c r="T208" s="240"/>
    </row>
    <row r="209">
      <c r="I209" s="17"/>
      <c r="J209" s="369"/>
      <c r="K209" s="17"/>
      <c r="L209" s="17"/>
      <c r="M209" s="17"/>
      <c r="N209" s="17"/>
      <c r="O209" s="17"/>
      <c r="P209" s="17"/>
      <c r="Q209" s="17"/>
      <c r="R209" s="17"/>
      <c r="S209" s="17"/>
      <c r="T209" s="240"/>
    </row>
    <row r="210">
      <c r="I210" s="17"/>
      <c r="J210" s="369"/>
      <c r="K210" s="17"/>
      <c r="L210" s="17"/>
      <c r="M210" s="17"/>
      <c r="N210" s="17"/>
      <c r="O210" s="17"/>
      <c r="P210" s="17"/>
      <c r="Q210" s="17"/>
      <c r="R210" s="17"/>
      <c r="S210" s="17"/>
      <c r="T210" s="240"/>
    </row>
    <row r="211">
      <c r="I211" s="17"/>
      <c r="J211" s="369"/>
      <c r="K211" s="17"/>
      <c r="L211" s="17"/>
      <c r="M211" s="17"/>
      <c r="N211" s="17"/>
      <c r="O211" s="17"/>
      <c r="P211" s="17"/>
      <c r="Q211" s="17"/>
      <c r="R211" s="17"/>
      <c r="S211" s="17"/>
      <c r="T211" s="240"/>
    </row>
    <row r="212">
      <c r="I212" s="17"/>
      <c r="J212" s="369"/>
      <c r="K212" s="17"/>
      <c r="L212" s="17"/>
      <c r="M212" s="17"/>
      <c r="N212" s="17"/>
      <c r="O212" s="17"/>
      <c r="P212" s="17"/>
      <c r="Q212" s="17"/>
      <c r="R212" s="17"/>
      <c r="S212" s="17"/>
      <c r="T212" s="240"/>
    </row>
    <row r="213">
      <c r="I213" s="17"/>
      <c r="J213" s="369"/>
      <c r="K213" s="17"/>
      <c r="L213" s="17"/>
      <c r="M213" s="17"/>
      <c r="N213" s="17"/>
      <c r="O213" s="17"/>
      <c r="T213" s="240"/>
    </row>
    <row r="214">
      <c r="I214" s="17"/>
      <c r="J214" s="369"/>
      <c r="K214" s="17"/>
      <c r="L214" s="17"/>
      <c r="M214" s="17"/>
      <c r="N214" s="17"/>
      <c r="O214" s="17"/>
      <c r="T214" s="240"/>
    </row>
    <row r="215">
      <c r="I215" s="17"/>
      <c r="J215" s="369"/>
      <c r="K215" s="17"/>
      <c r="L215" s="17"/>
      <c r="M215" s="17"/>
      <c r="N215" s="17"/>
      <c r="O215" s="17"/>
      <c r="T215" s="240"/>
    </row>
    <row r="216">
      <c r="I216" s="17"/>
      <c r="J216" s="369"/>
      <c r="K216" s="17"/>
      <c r="L216" s="17"/>
      <c r="M216" s="17"/>
      <c r="N216" s="17"/>
      <c r="O216" s="17"/>
      <c r="T216" s="240"/>
    </row>
    <row r="217">
      <c r="I217" s="17"/>
      <c r="J217" s="369"/>
      <c r="K217" s="17"/>
      <c r="L217" s="17"/>
      <c r="M217" s="17"/>
      <c r="N217" s="17"/>
      <c r="O217" s="17"/>
      <c r="T217" s="240"/>
    </row>
    <row r="218">
      <c r="I218" s="17"/>
      <c r="J218" s="369"/>
      <c r="K218" s="17"/>
      <c r="L218" s="17"/>
      <c r="M218" s="17"/>
      <c r="N218" s="17"/>
      <c r="O218" s="17"/>
      <c r="T218" s="240"/>
    </row>
    <row r="219">
      <c r="I219" s="17"/>
      <c r="J219" s="369"/>
      <c r="K219" s="17"/>
      <c r="L219" s="17"/>
      <c r="M219" s="17"/>
      <c r="N219" s="17"/>
      <c r="O219" s="17"/>
      <c r="T219" s="240"/>
    </row>
    <row r="220">
      <c r="I220" s="17"/>
      <c r="J220" s="369"/>
      <c r="K220" s="17"/>
      <c r="L220" s="17"/>
      <c r="M220" s="17"/>
      <c r="N220" s="17"/>
      <c r="O220" s="17"/>
      <c r="T220" s="240"/>
    </row>
    <row r="221">
      <c r="I221" s="17"/>
      <c r="J221" s="369"/>
      <c r="K221" s="17"/>
      <c r="L221" s="17"/>
      <c r="M221" s="17"/>
      <c r="N221" s="17"/>
      <c r="O221" s="17"/>
      <c r="T221" s="240"/>
    </row>
    <row r="222">
      <c r="I222" s="17"/>
      <c r="J222" s="369"/>
      <c r="K222" s="17"/>
      <c r="L222" s="17"/>
      <c r="M222" s="17"/>
      <c r="N222" s="17"/>
      <c r="O222" s="17"/>
      <c r="T222" s="240"/>
    </row>
    <row r="223">
      <c r="I223" s="17"/>
      <c r="J223" s="369"/>
      <c r="K223" s="17"/>
      <c r="L223" s="17"/>
      <c r="M223" s="17"/>
      <c r="N223" s="17"/>
      <c r="O223" s="17"/>
      <c r="T223" s="240"/>
    </row>
    <row r="224">
      <c r="I224" s="17"/>
      <c r="J224" s="369"/>
      <c r="K224" s="17"/>
      <c r="L224" s="17"/>
      <c r="M224" s="17"/>
      <c r="N224" s="17"/>
      <c r="O224" s="17"/>
      <c r="T224" s="240"/>
    </row>
    <row r="225">
      <c r="I225" s="17"/>
      <c r="J225" s="369"/>
      <c r="K225" s="17"/>
      <c r="L225" s="17"/>
      <c r="M225" s="17"/>
      <c r="N225" s="17"/>
      <c r="O225" s="17"/>
      <c r="T225" s="240"/>
    </row>
    <row r="226">
      <c r="I226" s="17"/>
      <c r="J226" s="369"/>
      <c r="K226" s="17"/>
      <c r="L226" s="17"/>
      <c r="M226" s="17"/>
      <c r="N226" s="17"/>
      <c r="O226" s="17"/>
      <c r="T226" s="240"/>
    </row>
    <row r="227">
      <c r="I227" s="17"/>
      <c r="J227" s="369"/>
      <c r="K227" s="17"/>
      <c r="L227" s="17"/>
      <c r="M227" s="17"/>
      <c r="N227" s="17"/>
      <c r="O227" s="17"/>
      <c r="T227" s="240"/>
    </row>
    <row r="228">
      <c r="I228" s="17"/>
      <c r="J228" s="369"/>
      <c r="K228" s="17"/>
      <c r="L228" s="17"/>
      <c r="M228" s="17"/>
      <c r="N228" s="17"/>
      <c r="O228" s="17"/>
      <c r="T228" s="240"/>
    </row>
    <row r="229">
      <c r="I229" s="17"/>
      <c r="J229" s="369"/>
      <c r="K229" s="17"/>
      <c r="L229" s="17"/>
      <c r="M229" s="17"/>
      <c r="N229" s="17"/>
      <c r="O229" s="17"/>
      <c r="T229" s="240"/>
    </row>
    <row r="230">
      <c r="I230" s="17"/>
      <c r="J230" s="369"/>
      <c r="K230" s="17"/>
      <c r="L230" s="17"/>
      <c r="M230" s="17"/>
      <c r="N230" s="17"/>
      <c r="O230" s="17"/>
      <c r="T230" s="240"/>
    </row>
    <row r="231">
      <c r="I231" s="17"/>
      <c r="J231" s="369"/>
      <c r="K231" s="17"/>
      <c r="L231" s="17"/>
      <c r="M231" s="17"/>
      <c r="N231" s="17"/>
      <c r="O231" s="17"/>
      <c r="T231" s="240"/>
    </row>
    <row r="232">
      <c r="I232" s="17"/>
      <c r="J232" s="369"/>
      <c r="K232" s="17"/>
      <c r="L232" s="17"/>
      <c r="M232" s="17"/>
      <c r="N232" s="17"/>
      <c r="O232" s="17"/>
      <c r="T232" s="240"/>
    </row>
    <row r="233">
      <c r="I233" s="17"/>
      <c r="J233" s="369"/>
      <c r="K233" s="17"/>
      <c r="L233" s="17"/>
      <c r="M233" s="17"/>
      <c r="N233" s="17"/>
      <c r="O233" s="17"/>
      <c r="T233" s="240"/>
    </row>
    <row r="234">
      <c r="I234" s="17"/>
      <c r="J234" s="369"/>
      <c r="K234" s="17"/>
      <c r="L234" s="17"/>
      <c r="M234" s="17"/>
      <c r="N234" s="17"/>
      <c r="O234" s="17"/>
      <c r="T234" s="240"/>
    </row>
    <row r="235">
      <c r="I235" s="17"/>
      <c r="J235" s="369"/>
      <c r="K235" s="17"/>
      <c r="L235" s="17"/>
      <c r="M235" s="17"/>
      <c r="N235" s="17"/>
      <c r="O235" s="17"/>
      <c r="T235" s="240"/>
    </row>
    <row r="236">
      <c r="I236" s="17"/>
      <c r="J236" s="369"/>
      <c r="K236" s="17"/>
      <c r="L236" s="17"/>
      <c r="M236" s="17"/>
      <c r="N236" s="17"/>
      <c r="O236" s="17"/>
      <c r="T236" s="240"/>
    </row>
    <row r="237">
      <c r="I237" s="17"/>
      <c r="J237" s="369"/>
      <c r="K237" s="17"/>
      <c r="L237" s="17"/>
      <c r="M237" s="17"/>
      <c r="N237" s="17"/>
      <c r="O237" s="17"/>
      <c r="T237" s="240"/>
    </row>
    <row r="238">
      <c r="I238" s="17"/>
      <c r="J238" s="369"/>
      <c r="K238" s="17"/>
      <c r="L238" s="17"/>
      <c r="M238" s="17"/>
      <c r="N238" s="17"/>
      <c r="O238" s="17"/>
      <c r="T238" s="240"/>
    </row>
    <row r="239">
      <c r="I239" s="17"/>
      <c r="J239" s="369"/>
      <c r="K239" s="17"/>
      <c r="L239" s="17"/>
      <c r="M239" s="17"/>
      <c r="N239" s="17"/>
      <c r="O239" s="17"/>
      <c r="T239" s="240"/>
    </row>
    <row r="240">
      <c r="I240" s="17"/>
      <c r="J240" s="369"/>
      <c r="K240" s="17"/>
      <c r="L240" s="17"/>
      <c r="M240" s="17"/>
      <c r="N240" s="17"/>
      <c r="O240" s="17"/>
      <c r="T240" s="240"/>
    </row>
    <row r="241">
      <c r="I241" s="17"/>
      <c r="J241" s="369"/>
      <c r="K241" s="17"/>
      <c r="L241" s="17"/>
      <c r="M241" s="17"/>
      <c r="N241" s="17"/>
      <c r="O241" s="17"/>
      <c r="T241" s="240"/>
    </row>
    <row r="242">
      <c r="I242" s="17"/>
      <c r="J242" s="369"/>
      <c r="K242" s="17"/>
      <c r="L242" s="17"/>
      <c r="M242" s="17"/>
      <c r="N242" s="17"/>
      <c r="O242" s="17"/>
      <c r="T242" s="240"/>
    </row>
    <row r="243">
      <c r="I243" s="17"/>
      <c r="J243" s="369"/>
      <c r="K243" s="17"/>
      <c r="L243" s="17"/>
      <c r="M243" s="17"/>
      <c r="N243" s="17"/>
      <c r="O243" s="17"/>
      <c r="T243" s="240"/>
    </row>
    <row r="244">
      <c r="I244" s="17"/>
      <c r="J244" s="369"/>
      <c r="K244" s="17"/>
      <c r="L244" s="17"/>
      <c r="M244" s="17"/>
      <c r="N244" s="17"/>
      <c r="O244" s="17"/>
      <c r="T244" s="240"/>
    </row>
    <row r="245">
      <c r="I245" s="17"/>
      <c r="J245" s="369"/>
      <c r="K245" s="17"/>
      <c r="L245" s="17"/>
      <c r="M245" s="17"/>
      <c r="N245" s="17"/>
      <c r="O245" s="17"/>
      <c r="T245" s="240"/>
    </row>
    <row r="246">
      <c r="I246" s="17"/>
      <c r="J246" s="369"/>
      <c r="K246" s="17"/>
      <c r="L246" s="17"/>
      <c r="M246" s="17"/>
      <c r="N246" s="17"/>
      <c r="O246" s="17"/>
      <c r="T246" s="240"/>
    </row>
    <row r="247">
      <c r="I247" s="17"/>
      <c r="J247" s="369"/>
      <c r="K247" s="17"/>
      <c r="L247" s="17"/>
      <c r="M247" s="17"/>
      <c r="N247" s="17"/>
      <c r="O247" s="17"/>
      <c r="T247" s="240"/>
    </row>
    <row r="248">
      <c r="I248" s="17"/>
      <c r="J248" s="369"/>
      <c r="K248" s="17"/>
      <c r="L248" s="17"/>
      <c r="M248" s="17"/>
      <c r="N248" s="17"/>
      <c r="O248" s="17"/>
      <c r="T248" s="240"/>
    </row>
    <row r="249">
      <c r="I249" s="17"/>
      <c r="J249" s="369"/>
      <c r="K249" s="17"/>
      <c r="L249" s="17"/>
      <c r="M249" s="17"/>
      <c r="N249" s="17"/>
      <c r="O249" s="17"/>
      <c r="T249" s="240"/>
    </row>
    <row r="250">
      <c r="I250" s="17"/>
      <c r="J250" s="369"/>
      <c r="K250" s="17"/>
      <c r="L250" s="17"/>
      <c r="M250" s="17"/>
      <c r="N250" s="17"/>
      <c r="O250" s="17"/>
      <c r="T250" s="240"/>
    </row>
    <row r="251">
      <c r="I251" s="17"/>
      <c r="J251" s="369"/>
      <c r="K251" s="17"/>
      <c r="L251" s="17"/>
      <c r="M251" s="17"/>
      <c r="N251" s="17"/>
      <c r="O251" s="17"/>
      <c r="T251" s="240"/>
    </row>
    <row r="252">
      <c r="I252" s="17"/>
      <c r="J252" s="369"/>
      <c r="K252" s="17"/>
      <c r="L252" s="17"/>
      <c r="M252" s="17"/>
      <c r="N252" s="17"/>
      <c r="O252" s="17"/>
      <c r="T252" s="240"/>
    </row>
    <row r="253">
      <c r="I253" s="17"/>
      <c r="J253" s="369"/>
      <c r="K253" s="17"/>
      <c r="L253" s="17"/>
      <c r="M253" s="17"/>
      <c r="N253" s="17"/>
      <c r="O253" s="17"/>
      <c r="T253" s="240"/>
    </row>
    <row r="254">
      <c r="I254" s="17"/>
      <c r="J254" s="369"/>
      <c r="K254" s="17"/>
      <c r="L254" s="17"/>
      <c r="M254" s="17"/>
      <c r="N254" s="17"/>
      <c r="O254" s="17"/>
      <c r="T254" s="240"/>
    </row>
    <row r="255">
      <c r="I255" s="17"/>
      <c r="J255" s="369"/>
      <c r="K255" s="17"/>
      <c r="L255" s="17"/>
      <c r="M255" s="17"/>
      <c r="N255" s="17"/>
      <c r="O255" s="17"/>
      <c r="T255" s="240"/>
    </row>
    <row r="256">
      <c r="I256" s="17"/>
      <c r="J256" s="369"/>
      <c r="K256" s="17"/>
      <c r="L256" s="17"/>
      <c r="M256" s="17"/>
      <c r="N256" s="17"/>
      <c r="O256" s="17"/>
      <c r="T256" s="240"/>
    </row>
    <row r="257">
      <c r="I257" s="17"/>
      <c r="J257" s="369"/>
      <c r="K257" s="17"/>
      <c r="L257" s="17"/>
      <c r="M257" s="17"/>
      <c r="N257" s="17"/>
      <c r="O257" s="17"/>
      <c r="T257" s="240"/>
    </row>
    <row r="258">
      <c r="I258" s="17"/>
      <c r="J258" s="369"/>
      <c r="K258" s="17"/>
      <c r="L258" s="17"/>
      <c r="M258" s="17"/>
      <c r="N258" s="17"/>
      <c r="O258" s="17"/>
      <c r="T258" s="240"/>
    </row>
    <row r="259">
      <c r="I259" s="17"/>
      <c r="J259" s="369"/>
      <c r="K259" s="17"/>
      <c r="L259" s="17"/>
      <c r="M259" s="17"/>
      <c r="N259" s="17"/>
      <c r="O259" s="17"/>
      <c r="T259" s="240"/>
    </row>
    <row r="260">
      <c r="I260" s="17"/>
      <c r="J260" s="369"/>
      <c r="K260" s="17"/>
      <c r="L260" s="17"/>
      <c r="M260" s="17"/>
      <c r="N260" s="17"/>
      <c r="O260" s="17"/>
      <c r="T260" s="240"/>
    </row>
    <row r="261">
      <c r="I261" s="17"/>
      <c r="J261" s="369"/>
      <c r="K261" s="17"/>
      <c r="L261" s="17"/>
      <c r="M261" s="17"/>
      <c r="N261" s="17"/>
      <c r="O261" s="17"/>
      <c r="T261" s="240"/>
    </row>
    <row r="262">
      <c r="I262" s="17"/>
      <c r="J262" s="369"/>
      <c r="K262" s="17"/>
      <c r="L262" s="17"/>
      <c r="M262" s="17"/>
      <c r="N262" s="17"/>
      <c r="O262" s="17"/>
      <c r="T262" s="240"/>
    </row>
    <row r="263">
      <c r="I263" s="17"/>
      <c r="J263" s="369"/>
      <c r="K263" s="17"/>
      <c r="L263" s="17"/>
      <c r="M263" s="17"/>
      <c r="N263" s="17"/>
      <c r="O263" s="17"/>
      <c r="T263" s="240"/>
    </row>
    <row r="264">
      <c r="I264" s="17"/>
      <c r="J264" s="369"/>
      <c r="K264" s="17"/>
      <c r="L264" s="17"/>
      <c r="M264" s="17"/>
      <c r="N264" s="17"/>
      <c r="O264" s="17"/>
      <c r="T264" s="240"/>
    </row>
    <row r="265">
      <c r="I265" s="17"/>
      <c r="J265" s="369"/>
      <c r="K265" s="17"/>
      <c r="L265" s="17"/>
      <c r="M265" s="17"/>
      <c r="N265" s="17"/>
      <c r="O265" s="17"/>
      <c r="T265" s="240"/>
    </row>
    <row r="266">
      <c r="I266" s="17"/>
      <c r="J266" s="369"/>
      <c r="K266" s="17"/>
      <c r="L266" s="17"/>
      <c r="M266" s="17"/>
      <c r="N266" s="17"/>
      <c r="O266" s="17"/>
      <c r="T266" s="240"/>
    </row>
    <row r="267">
      <c r="I267" s="17"/>
      <c r="J267" s="369"/>
      <c r="K267" s="17"/>
      <c r="L267" s="17"/>
      <c r="M267" s="17"/>
      <c r="N267" s="17"/>
      <c r="O267" s="17"/>
      <c r="T267" s="240"/>
    </row>
    <row r="268">
      <c r="I268" s="17"/>
      <c r="J268" s="369"/>
      <c r="K268" s="17"/>
      <c r="L268" s="17"/>
      <c r="M268" s="17"/>
      <c r="N268" s="17"/>
      <c r="O268" s="17"/>
      <c r="T268" s="240"/>
    </row>
    <row r="269">
      <c r="I269" s="17"/>
      <c r="J269" s="369"/>
      <c r="K269" s="17"/>
      <c r="L269" s="17"/>
      <c r="M269" s="17"/>
      <c r="N269" s="17"/>
      <c r="O269" s="17"/>
      <c r="T269" s="240"/>
    </row>
    <row r="270">
      <c r="I270" s="17"/>
      <c r="J270" s="369"/>
      <c r="K270" s="17"/>
      <c r="L270" s="17"/>
      <c r="M270" s="17"/>
      <c r="N270" s="17"/>
      <c r="O270" s="17"/>
      <c r="T270" s="240"/>
    </row>
    <row r="271">
      <c r="I271" s="17"/>
      <c r="J271" s="369"/>
      <c r="K271" s="17"/>
      <c r="L271" s="17"/>
      <c r="M271" s="17"/>
      <c r="N271" s="17"/>
      <c r="O271" s="17"/>
      <c r="T271" s="240"/>
    </row>
    <row r="272">
      <c r="I272" s="17"/>
      <c r="J272" s="369"/>
      <c r="K272" s="17"/>
      <c r="L272" s="17"/>
      <c r="M272" s="17"/>
      <c r="N272" s="17"/>
      <c r="O272" s="17"/>
      <c r="T272" s="240"/>
    </row>
    <row r="273">
      <c r="I273" s="17"/>
      <c r="J273" s="369"/>
      <c r="K273" s="17"/>
      <c r="L273" s="17"/>
      <c r="M273" s="17"/>
      <c r="N273" s="17"/>
      <c r="O273" s="17"/>
      <c r="T273" s="240"/>
    </row>
    <row r="274">
      <c r="I274" s="17"/>
      <c r="J274" s="369"/>
      <c r="K274" s="17"/>
      <c r="L274" s="17"/>
      <c r="M274" s="17"/>
      <c r="N274" s="17"/>
      <c r="O274" s="17"/>
      <c r="T274" s="240"/>
    </row>
    <row r="275">
      <c r="I275" s="17"/>
      <c r="J275" s="369"/>
      <c r="K275" s="17"/>
      <c r="L275" s="17"/>
      <c r="M275" s="17"/>
      <c r="N275" s="17"/>
      <c r="O275" s="17"/>
      <c r="T275" s="240"/>
    </row>
    <row r="276">
      <c r="I276" s="17"/>
      <c r="J276" s="369"/>
      <c r="K276" s="17"/>
      <c r="L276" s="17"/>
      <c r="M276" s="17"/>
      <c r="N276" s="17"/>
      <c r="O276" s="17"/>
      <c r="T276" s="240"/>
    </row>
    <row r="277">
      <c r="I277" s="17"/>
      <c r="J277" s="369"/>
      <c r="K277" s="17"/>
      <c r="L277" s="17"/>
      <c r="M277" s="17"/>
      <c r="N277" s="17"/>
      <c r="O277" s="17"/>
      <c r="T277" s="240"/>
    </row>
    <row r="278">
      <c r="I278" s="17"/>
      <c r="J278" s="369"/>
      <c r="K278" s="17"/>
      <c r="L278" s="17"/>
      <c r="M278" s="17"/>
      <c r="N278" s="17"/>
      <c r="O278" s="17"/>
      <c r="T278" s="240"/>
    </row>
    <row r="279">
      <c r="I279" s="17"/>
      <c r="J279" s="369"/>
      <c r="K279" s="17"/>
      <c r="L279" s="17"/>
      <c r="M279" s="17"/>
      <c r="N279" s="17"/>
      <c r="O279" s="17"/>
      <c r="T279" s="240"/>
    </row>
    <row r="280">
      <c r="I280" s="17"/>
      <c r="J280" s="369"/>
      <c r="K280" s="17"/>
      <c r="L280" s="17"/>
      <c r="M280" s="17"/>
      <c r="N280" s="17"/>
      <c r="O280" s="17"/>
      <c r="T280" s="240"/>
    </row>
    <row r="281">
      <c r="I281" s="17"/>
      <c r="J281" s="369"/>
      <c r="K281" s="17"/>
      <c r="L281" s="17"/>
      <c r="M281" s="17"/>
      <c r="N281" s="17"/>
      <c r="O281" s="17"/>
      <c r="T281" s="240"/>
    </row>
    <row r="282">
      <c r="I282" s="17"/>
      <c r="J282" s="369"/>
      <c r="K282" s="17"/>
      <c r="L282" s="17"/>
      <c r="M282" s="17"/>
      <c r="N282" s="17"/>
      <c r="O282" s="17"/>
      <c r="T282" s="240"/>
    </row>
    <row r="283">
      <c r="I283" s="17"/>
      <c r="J283" s="369"/>
      <c r="K283" s="17"/>
      <c r="L283" s="17"/>
      <c r="M283" s="17"/>
      <c r="N283" s="17"/>
      <c r="O283" s="17"/>
      <c r="T283" s="240"/>
    </row>
    <row r="284">
      <c r="I284" s="17"/>
      <c r="J284" s="369"/>
      <c r="K284" s="17"/>
      <c r="L284" s="17"/>
      <c r="M284" s="17"/>
      <c r="N284" s="17"/>
      <c r="O284" s="17"/>
      <c r="T284" s="240"/>
    </row>
    <row r="285">
      <c r="I285" s="17"/>
      <c r="J285" s="369"/>
      <c r="K285" s="17"/>
      <c r="L285" s="17"/>
      <c r="M285" s="17"/>
      <c r="N285" s="17"/>
      <c r="O285" s="17"/>
      <c r="T285" s="240"/>
    </row>
    <row r="286">
      <c r="I286" s="17"/>
      <c r="J286" s="369"/>
      <c r="K286" s="17"/>
      <c r="L286" s="17"/>
      <c r="M286" s="17"/>
      <c r="N286" s="17"/>
      <c r="O286" s="17"/>
      <c r="T286" s="240"/>
    </row>
    <row r="287">
      <c r="I287" s="17"/>
      <c r="J287" s="369"/>
      <c r="K287" s="17"/>
      <c r="L287" s="17"/>
      <c r="M287" s="17"/>
      <c r="N287" s="17"/>
      <c r="O287" s="17"/>
      <c r="T287" s="240"/>
    </row>
    <row r="288">
      <c r="I288" s="17"/>
      <c r="J288" s="369"/>
      <c r="K288" s="17"/>
      <c r="L288" s="17"/>
      <c r="M288" s="17"/>
      <c r="N288" s="17"/>
      <c r="O288" s="17"/>
      <c r="T288" s="240"/>
    </row>
    <row r="289">
      <c r="I289" s="17"/>
      <c r="J289" s="369"/>
      <c r="K289" s="17"/>
      <c r="L289" s="17"/>
      <c r="M289" s="17"/>
      <c r="N289" s="17"/>
      <c r="O289" s="17"/>
      <c r="T289" s="240"/>
    </row>
    <row r="290">
      <c r="I290" s="17"/>
      <c r="J290" s="369"/>
      <c r="K290" s="17"/>
      <c r="L290" s="17"/>
      <c r="M290" s="17"/>
      <c r="N290" s="17"/>
      <c r="O290" s="17"/>
      <c r="T290" s="240"/>
    </row>
    <row r="291">
      <c r="I291" s="17"/>
      <c r="J291" s="369"/>
      <c r="K291" s="17"/>
      <c r="L291" s="17"/>
      <c r="M291" s="17"/>
      <c r="N291" s="17"/>
      <c r="O291" s="17"/>
      <c r="T291" s="240"/>
    </row>
    <row r="292">
      <c r="I292" s="17"/>
      <c r="J292" s="369"/>
      <c r="K292" s="17"/>
      <c r="L292" s="17"/>
      <c r="M292" s="17"/>
      <c r="N292" s="17"/>
      <c r="O292" s="17"/>
      <c r="T292" s="240"/>
    </row>
    <row r="293">
      <c r="I293" s="17"/>
      <c r="J293" s="369"/>
      <c r="K293" s="17"/>
      <c r="L293" s="17"/>
      <c r="M293" s="17"/>
      <c r="N293" s="17"/>
      <c r="O293" s="17"/>
      <c r="T293" s="240"/>
    </row>
    <row r="294">
      <c r="I294" s="17"/>
      <c r="J294" s="369"/>
      <c r="K294" s="17"/>
      <c r="L294" s="17"/>
      <c r="M294" s="17"/>
      <c r="N294" s="17"/>
      <c r="O294" s="17"/>
      <c r="T294" s="240"/>
    </row>
    <row r="295">
      <c r="I295" s="17"/>
      <c r="J295" s="369"/>
      <c r="K295" s="17"/>
      <c r="L295" s="17"/>
      <c r="M295" s="17"/>
      <c r="N295" s="17"/>
      <c r="O295" s="17"/>
      <c r="T295" s="240"/>
    </row>
    <row r="296">
      <c r="I296" s="17"/>
      <c r="J296" s="369"/>
      <c r="K296" s="17"/>
      <c r="L296" s="17"/>
      <c r="M296" s="17"/>
      <c r="N296" s="17"/>
      <c r="O296" s="17"/>
      <c r="T296" s="240"/>
    </row>
    <row r="297">
      <c r="I297" s="17"/>
      <c r="J297" s="369"/>
      <c r="K297" s="17"/>
      <c r="L297" s="17"/>
      <c r="M297" s="17"/>
      <c r="N297" s="17"/>
      <c r="O297" s="17"/>
      <c r="T297" s="240"/>
    </row>
    <row r="298">
      <c r="I298" s="17"/>
      <c r="J298" s="369"/>
      <c r="K298" s="17"/>
      <c r="L298" s="17"/>
      <c r="M298" s="17"/>
      <c r="N298" s="17"/>
      <c r="O298" s="17"/>
      <c r="T298" s="240"/>
    </row>
    <row r="299">
      <c r="I299" s="17"/>
      <c r="J299" s="369"/>
      <c r="K299" s="17"/>
      <c r="L299" s="17"/>
      <c r="M299" s="17"/>
      <c r="N299" s="17"/>
      <c r="O299" s="17"/>
      <c r="T299" s="240"/>
    </row>
    <row r="300">
      <c r="I300" s="17"/>
      <c r="J300" s="369"/>
      <c r="K300" s="17"/>
      <c r="L300" s="17"/>
      <c r="M300" s="17"/>
      <c r="N300" s="17"/>
      <c r="O300" s="17"/>
      <c r="T300" s="240"/>
    </row>
    <row r="301">
      <c r="I301" s="17"/>
      <c r="J301" s="369"/>
      <c r="K301" s="17"/>
      <c r="L301" s="17"/>
      <c r="M301" s="17"/>
      <c r="N301" s="17"/>
      <c r="O301" s="17"/>
      <c r="T301" s="240"/>
    </row>
    <row r="302">
      <c r="I302" s="17"/>
      <c r="J302" s="369"/>
      <c r="K302" s="17"/>
      <c r="L302" s="17"/>
      <c r="M302" s="17"/>
      <c r="N302" s="17"/>
      <c r="O302" s="17"/>
      <c r="T302" s="240"/>
    </row>
    <row r="303">
      <c r="I303" s="17"/>
      <c r="J303" s="369"/>
      <c r="K303" s="17"/>
      <c r="L303" s="17"/>
      <c r="M303" s="17"/>
      <c r="N303" s="17"/>
      <c r="O303" s="17"/>
      <c r="T303" s="240"/>
    </row>
    <row r="304">
      <c r="I304" s="17"/>
      <c r="J304" s="369"/>
      <c r="K304" s="17"/>
      <c r="L304" s="17"/>
      <c r="M304" s="17"/>
      <c r="N304" s="17"/>
      <c r="O304" s="17"/>
      <c r="T304" s="240"/>
    </row>
    <row r="305">
      <c r="I305" s="17"/>
      <c r="J305" s="369"/>
      <c r="K305" s="17"/>
      <c r="L305" s="17"/>
      <c r="M305" s="17"/>
      <c r="N305" s="17"/>
      <c r="O305" s="17"/>
      <c r="T305" s="240"/>
    </row>
    <row r="306">
      <c r="I306" s="17"/>
      <c r="J306" s="369"/>
      <c r="K306" s="17"/>
      <c r="L306" s="17"/>
      <c r="M306" s="17"/>
      <c r="N306" s="17"/>
      <c r="O306" s="17"/>
      <c r="T306" s="240"/>
    </row>
    <row r="307">
      <c r="I307" s="17"/>
      <c r="J307" s="369"/>
      <c r="K307" s="17"/>
      <c r="L307" s="17"/>
      <c r="M307" s="17"/>
      <c r="N307" s="17"/>
      <c r="O307" s="17"/>
      <c r="T307" s="240"/>
    </row>
    <row r="308">
      <c r="I308" s="17"/>
      <c r="J308" s="369"/>
      <c r="K308" s="17"/>
      <c r="L308" s="17"/>
      <c r="M308" s="17"/>
      <c r="N308" s="17"/>
      <c r="O308" s="17"/>
      <c r="T308" s="240"/>
    </row>
    <row r="309">
      <c r="I309" s="17"/>
      <c r="J309" s="369"/>
      <c r="K309" s="17"/>
      <c r="L309" s="17"/>
      <c r="M309" s="17"/>
      <c r="N309" s="17"/>
      <c r="O309" s="17"/>
      <c r="T309" s="240"/>
    </row>
    <row r="310">
      <c r="I310" s="17"/>
      <c r="J310" s="369"/>
      <c r="K310" s="17"/>
      <c r="L310" s="17"/>
      <c r="M310" s="17"/>
      <c r="N310" s="17"/>
      <c r="O310" s="17"/>
      <c r="T310" s="240"/>
    </row>
    <row r="311">
      <c r="I311" s="17"/>
      <c r="J311" s="369"/>
      <c r="K311" s="17"/>
      <c r="L311" s="17"/>
      <c r="M311" s="17"/>
      <c r="N311" s="17"/>
      <c r="O311" s="17"/>
      <c r="T311" s="240"/>
    </row>
    <row r="312">
      <c r="I312" s="17"/>
      <c r="J312" s="369"/>
      <c r="K312" s="17"/>
      <c r="L312" s="17"/>
      <c r="M312" s="17"/>
      <c r="N312" s="17"/>
      <c r="O312" s="17"/>
      <c r="T312" s="240"/>
    </row>
    <row r="313">
      <c r="I313" s="17"/>
      <c r="J313" s="369"/>
      <c r="K313" s="17"/>
      <c r="L313" s="17"/>
      <c r="M313" s="17"/>
      <c r="N313" s="17"/>
      <c r="O313" s="17"/>
      <c r="T313" s="240"/>
    </row>
    <row r="314">
      <c r="I314" s="17"/>
      <c r="J314" s="369"/>
      <c r="K314" s="17"/>
      <c r="L314" s="17"/>
      <c r="M314" s="17"/>
      <c r="N314" s="17"/>
      <c r="O314" s="17"/>
      <c r="T314" s="240"/>
    </row>
    <row r="315">
      <c r="I315" s="17"/>
      <c r="J315" s="369"/>
      <c r="K315" s="17"/>
      <c r="L315" s="17"/>
      <c r="M315" s="17"/>
      <c r="N315" s="17"/>
      <c r="O315" s="17"/>
      <c r="T315" s="240"/>
    </row>
    <row r="316">
      <c r="I316" s="17"/>
      <c r="J316" s="369"/>
      <c r="K316" s="17"/>
      <c r="L316" s="17"/>
      <c r="M316" s="17"/>
      <c r="N316" s="17"/>
      <c r="O316" s="17"/>
      <c r="T316" s="240"/>
    </row>
    <row r="317">
      <c r="I317" s="17"/>
      <c r="J317" s="369"/>
      <c r="K317" s="17"/>
      <c r="L317" s="17"/>
      <c r="M317" s="17"/>
      <c r="N317" s="17"/>
      <c r="O317" s="17"/>
      <c r="T317" s="240"/>
    </row>
    <row r="318">
      <c r="I318" s="17"/>
      <c r="J318" s="369"/>
      <c r="K318" s="17"/>
      <c r="L318" s="17"/>
      <c r="M318" s="17"/>
      <c r="N318" s="17"/>
      <c r="O318" s="17"/>
      <c r="T318" s="240"/>
    </row>
    <row r="319">
      <c r="I319" s="17"/>
      <c r="J319" s="369"/>
      <c r="K319" s="17"/>
      <c r="L319" s="17"/>
      <c r="M319" s="17"/>
      <c r="N319" s="17"/>
      <c r="O319" s="17"/>
      <c r="T319" s="240"/>
    </row>
    <row r="320">
      <c r="I320" s="17"/>
      <c r="J320" s="369"/>
      <c r="K320" s="17"/>
      <c r="L320" s="17"/>
      <c r="M320" s="17"/>
      <c r="N320" s="17"/>
      <c r="O320" s="17"/>
      <c r="T320" s="240"/>
    </row>
    <row r="321">
      <c r="I321" s="17"/>
      <c r="J321" s="369"/>
      <c r="K321" s="17"/>
      <c r="L321" s="17"/>
      <c r="M321" s="17"/>
      <c r="N321" s="17"/>
      <c r="O321" s="17"/>
      <c r="T321" s="240"/>
    </row>
    <row r="322">
      <c r="I322" s="17"/>
      <c r="J322" s="369"/>
      <c r="K322" s="17"/>
      <c r="L322" s="17"/>
      <c r="M322" s="17"/>
      <c r="N322" s="17"/>
      <c r="O322" s="17"/>
      <c r="T322" s="240"/>
    </row>
    <row r="323">
      <c r="I323" s="17"/>
      <c r="J323" s="369"/>
      <c r="K323" s="17"/>
      <c r="L323" s="17"/>
      <c r="M323" s="17"/>
      <c r="N323" s="17"/>
      <c r="O323" s="17"/>
      <c r="T323" s="240"/>
    </row>
    <row r="324">
      <c r="I324" s="17"/>
      <c r="J324" s="369"/>
      <c r="K324" s="17"/>
      <c r="L324" s="17"/>
      <c r="M324" s="17"/>
      <c r="N324" s="17"/>
      <c r="O324" s="17"/>
      <c r="T324" s="240"/>
    </row>
    <row r="325">
      <c r="I325" s="17"/>
      <c r="J325" s="369"/>
      <c r="K325" s="17"/>
      <c r="L325" s="17"/>
      <c r="M325" s="17"/>
      <c r="N325" s="17"/>
      <c r="O325" s="17"/>
      <c r="T325" s="240"/>
    </row>
    <row r="326">
      <c r="I326" s="17"/>
      <c r="J326" s="369"/>
      <c r="K326" s="17"/>
      <c r="L326" s="17"/>
      <c r="M326" s="17"/>
      <c r="N326" s="17"/>
      <c r="O326" s="17"/>
      <c r="T326" s="240"/>
    </row>
    <row r="327">
      <c r="I327" s="17"/>
      <c r="J327" s="369"/>
      <c r="K327" s="17"/>
      <c r="L327" s="17"/>
      <c r="M327" s="17"/>
      <c r="N327" s="17"/>
      <c r="O327" s="17"/>
      <c r="T327" s="240"/>
    </row>
    <row r="328">
      <c r="I328" s="17"/>
      <c r="J328" s="369"/>
      <c r="K328" s="17"/>
      <c r="L328" s="17"/>
      <c r="M328" s="17"/>
      <c r="N328" s="17"/>
      <c r="O328" s="17"/>
      <c r="T328" s="240"/>
    </row>
    <row r="329">
      <c r="I329" s="17"/>
      <c r="J329" s="369"/>
      <c r="K329" s="17"/>
      <c r="L329" s="17"/>
      <c r="M329" s="17"/>
      <c r="N329" s="17"/>
      <c r="O329" s="17"/>
      <c r="T329" s="240"/>
    </row>
    <row r="330">
      <c r="I330" s="17"/>
      <c r="J330" s="369"/>
      <c r="K330" s="17"/>
      <c r="L330" s="17"/>
      <c r="M330" s="17"/>
      <c r="N330" s="17"/>
      <c r="O330" s="17"/>
      <c r="T330" s="240"/>
    </row>
    <row r="331">
      <c r="I331" s="17"/>
      <c r="J331" s="369"/>
      <c r="K331" s="17"/>
      <c r="L331" s="17"/>
      <c r="M331" s="17"/>
      <c r="N331" s="17"/>
      <c r="O331" s="17"/>
      <c r="T331" s="240"/>
    </row>
    <row r="332">
      <c r="I332" s="17"/>
      <c r="J332" s="369"/>
      <c r="K332" s="17"/>
      <c r="L332" s="17"/>
      <c r="M332" s="17"/>
      <c r="N332" s="17"/>
      <c r="O332" s="17"/>
      <c r="T332" s="240"/>
    </row>
    <row r="333">
      <c r="I333" s="17"/>
      <c r="J333" s="369"/>
      <c r="K333" s="17"/>
      <c r="L333" s="17"/>
      <c r="M333" s="17"/>
      <c r="N333" s="17"/>
      <c r="O333" s="17"/>
      <c r="T333" s="240"/>
    </row>
    <row r="334">
      <c r="I334" s="17"/>
      <c r="J334" s="369"/>
      <c r="K334" s="17"/>
      <c r="L334" s="17"/>
      <c r="M334" s="17"/>
      <c r="N334" s="17"/>
      <c r="O334" s="17"/>
      <c r="T334" s="240"/>
    </row>
    <row r="335">
      <c r="I335" s="17"/>
      <c r="J335" s="369"/>
      <c r="K335" s="17"/>
      <c r="L335" s="17"/>
      <c r="M335" s="17"/>
      <c r="N335" s="17"/>
      <c r="O335" s="17"/>
      <c r="T335" s="240"/>
    </row>
    <row r="336">
      <c r="I336" s="17"/>
      <c r="J336" s="369"/>
      <c r="K336" s="17"/>
      <c r="L336" s="17"/>
      <c r="M336" s="17"/>
      <c r="N336" s="17"/>
      <c r="O336" s="17"/>
      <c r="T336" s="240"/>
    </row>
    <row r="337">
      <c r="I337" s="17"/>
      <c r="J337" s="369"/>
      <c r="K337" s="17"/>
      <c r="L337" s="17"/>
      <c r="M337" s="17"/>
      <c r="N337" s="17"/>
      <c r="O337" s="17"/>
      <c r="T337" s="240"/>
    </row>
    <row r="338">
      <c r="I338" s="17"/>
      <c r="J338" s="369"/>
      <c r="K338" s="17"/>
      <c r="L338" s="17"/>
      <c r="M338" s="17"/>
      <c r="N338" s="17"/>
      <c r="O338" s="17"/>
      <c r="T338" s="240"/>
    </row>
    <row r="339">
      <c r="I339" s="17"/>
      <c r="J339" s="369"/>
      <c r="K339" s="17"/>
      <c r="L339" s="17"/>
      <c r="M339" s="17"/>
      <c r="N339" s="17"/>
      <c r="O339" s="17"/>
      <c r="T339" s="240"/>
    </row>
    <row r="340">
      <c r="I340" s="17"/>
      <c r="J340" s="369"/>
      <c r="K340" s="17"/>
      <c r="L340" s="17"/>
      <c r="M340" s="17"/>
      <c r="N340" s="17"/>
      <c r="O340" s="17"/>
      <c r="T340" s="240"/>
    </row>
    <row r="341">
      <c r="I341" s="17"/>
      <c r="J341" s="369"/>
      <c r="K341" s="17"/>
      <c r="L341" s="17"/>
      <c r="M341" s="17"/>
      <c r="N341" s="17"/>
      <c r="O341" s="17"/>
      <c r="T341" s="240"/>
    </row>
    <row r="342">
      <c r="I342" s="17"/>
      <c r="J342" s="369"/>
      <c r="K342" s="17"/>
      <c r="L342" s="17"/>
      <c r="M342" s="17"/>
      <c r="N342" s="17"/>
      <c r="O342" s="17"/>
      <c r="T342" s="240"/>
    </row>
    <row r="343">
      <c r="I343" s="17"/>
      <c r="J343" s="369"/>
      <c r="K343" s="17"/>
      <c r="L343" s="17"/>
      <c r="M343" s="17"/>
      <c r="N343" s="17"/>
      <c r="O343" s="17"/>
      <c r="T343" s="240"/>
    </row>
    <row r="344">
      <c r="I344" s="17"/>
      <c r="J344" s="369"/>
      <c r="K344" s="17"/>
      <c r="L344" s="17"/>
      <c r="M344" s="17"/>
      <c r="N344" s="17"/>
      <c r="O344" s="17"/>
      <c r="T344" s="240"/>
    </row>
    <row r="345">
      <c r="I345" s="17"/>
      <c r="J345" s="369"/>
      <c r="K345" s="17"/>
      <c r="L345" s="17"/>
      <c r="M345" s="17"/>
      <c r="N345" s="17"/>
      <c r="O345" s="17"/>
      <c r="T345" s="240"/>
    </row>
    <row r="346">
      <c r="I346" s="17"/>
      <c r="J346" s="369"/>
      <c r="K346" s="17"/>
      <c r="L346" s="17"/>
      <c r="M346" s="17"/>
      <c r="N346" s="17"/>
      <c r="O346" s="17"/>
      <c r="T346" s="240"/>
    </row>
    <row r="347">
      <c r="I347" s="17"/>
      <c r="J347" s="369"/>
      <c r="K347" s="17"/>
      <c r="L347" s="17"/>
      <c r="M347" s="17"/>
      <c r="N347" s="17"/>
      <c r="O347" s="17"/>
      <c r="T347" s="240"/>
    </row>
    <row r="348">
      <c r="I348" s="17"/>
      <c r="J348" s="369"/>
      <c r="K348" s="17"/>
      <c r="L348" s="17"/>
      <c r="M348" s="17"/>
      <c r="N348" s="17"/>
      <c r="O348" s="17"/>
      <c r="T348" s="240"/>
    </row>
    <row r="349">
      <c r="I349" s="17"/>
      <c r="J349" s="369"/>
      <c r="K349" s="17"/>
      <c r="L349" s="17"/>
      <c r="M349" s="17"/>
      <c r="N349" s="17"/>
      <c r="O349" s="17"/>
      <c r="T349" s="240"/>
    </row>
    <row r="350">
      <c r="I350" s="17"/>
      <c r="J350" s="369"/>
      <c r="K350" s="17"/>
      <c r="L350" s="17"/>
      <c r="M350" s="17"/>
      <c r="N350" s="17"/>
      <c r="O350" s="17"/>
      <c r="T350" s="240"/>
    </row>
    <row r="351">
      <c r="I351" s="17"/>
      <c r="J351" s="369"/>
      <c r="K351" s="17"/>
      <c r="L351" s="17"/>
      <c r="M351" s="17"/>
      <c r="N351" s="17"/>
      <c r="O351" s="17"/>
      <c r="T351" s="240"/>
    </row>
    <row r="352">
      <c r="I352" s="17"/>
      <c r="J352" s="369"/>
      <c r="K352" s="17"/>
      <c r="L352" s="17"/>
      <c r="M352" s="17"/>
      <c r="N352" s="17"/>
      <c r="O352" s="17"/>
      <c r="T352" s="240"/>
    </row>
    <row r="353">
      <c r="I353" s="17"/>
      <c r="J353" s="369"/>
      <c r="K353" s="17"/>
      <c r="L353" s="17"/>
      <c r="M353" s="17"/>
      <c r="N353" s="17"/>
      <c r="O353" s="17"/>
      <c r="T353" s="240"/>
    </row>
    <row r="354">
      <c r="I354" s="17"/>
      <c r="J354" s="369"/>
      <c r="K354" s="17"/>
      <c r="L354" s="17"/>
      <c r="M354" s="17"/>
      <c r="N354" s="17"/>
      <c r="O354" s="17"/>
      <c r="T354" s="240"/>
    </row>
    <row r="355">
      <c r="I355" s="17"/>
      <c r="J355" s="369"/>
      <c r="K355" s="17"/>
      <c r="L355" s="17"/>
      <c r="M355" s="17"/>
      <c r="N355" s="17"/>
      <c r="O355" s="17"/>
      <c r="T355" s="240"/>
    </row>
    <row r="356">
      <c r="I356" s="17"/>
      <c r="J356" s="369"/>
      <c r="K356" s="17"/>
      <c r="L356" s="17"/>
      <c r="M356" s="17"/>
      <c r="N356" s="17"/>
      <c r="O356" s="17"/>
      <c r="T356" s="240"/>
    </row>
    <row r="357">
      <c r="I357" s="17"/>
      <c r="J357" s="369"/>
      <c r="K357" s="17"/>
      <c r="L357" s="17"/>
      <c r="M357" s="17"/>
      <c r="N357" s="17"/>
      <c r="O357" s="17"/>
      <c r="T357" s="240"/>
    </row>
    <row r="358">
      <c r="I358" s="17"/>
      <c r="J358" s="369"/>
      <c r="K358" s="17"/>
      <c r="L358" s="17"/>
      <c r="M358" s="17"/>
      <c r="N358" s="17"/>
      <c r="O358" s="17"/>
      <c r="T358" s="240"/>
    </row>
    <row r="359">
      <c r="I359" s="17"/>
      <c r="J359" s="369"/>
      <c r="K359" s="17"/>
      <c r="L359" s="17"/>
      <c r="M359" s="17"/>
      <c r="N359" s="17"/>
      <c r="O359" s="17"/>
      <c r="T359" s="240"/>
    </row>
    <row r="360">
      <c r="I360" s="17"/>
      <c r="J360" s="369"/>
      <c r="K360" s="17"/>
      <c r="L360" s="17"/>
      <c r="M360" s="17"/>
      <c r="N360" s="17"/>
      <c r="O360" s="17"/>
      <c r="T360" s="240"/>
    </row>
    <row r="361">
      <c r="I361" s="17"/>
      <c r="J361" s="369"/>
      <c r="K361" s="17"/>
      <c r="L361" s="17"/>
      <c r="M361" s="17"/>
      <c r="N361" s="17"/>
      <c r="O361" s="17"/>
      <c r="T361" s="240"/>
    </row>
    <row r="362">
      <c r="I362" s="17"/>
      <c r="J362" s="369"/>
      <c r="K362" s="17"/>
      <c r="L362" s="17"/>
      <c r="M362" s="17"/>
      <c r="N362" s="17"/>
      <c r="O362" s="17"/>
      <c r="T362" s="240"/>
    </row>
    <row r="363">
      <c r="I363" s="17"/>
      <c r="J363" s="369"/>
      <c r="K363" s="17"/>
      <c r="L363" s="17"/>
      <c r="M363" s="17"/>
      <c r="N363" s="17"/>
      <c r="O363" s="17"/>
      <c r="T363" s="240"/>
    </row>
    <row r="364">
      <c r="I364" s="17"/>
      <c r="J364" s="369"/>
      <c r="K364" s="17"/>
      <c r="L364" s="17"/>
      <c r="M364" s="17"/>
      <c r="N364" s="17"/>
      <c r="O364" s="17"/>
      <c r="T364" s="240"/>
    </row>
    <row r="365">
      <c r="I365" s="17"/>
      <c r="J365" s="369"/>
      <c r="K365" s="17"/>
      <c r="L365" s="17"/>
      <c r="M365" s="17"/>
      <c r="N365" s="17"/>
      <c r="O365" s="17"/>
      <c r="T365" s="240"/>
    </row>
    <row r="366">
      <c r="I366" s="17"/>
      <c r="J366" s="369"/>
      <c r="K366" s="17"/>
      <c r="L366" s="17"/>
      <c r="M366" s="17"/>
      <c r="N366" s="17"/>
      <c r="O366" s="17"/>
      <c r="T366" s="240"/>
    </row>
    <row r="367">
      <c r="I367" s="17"/>
      <c r="J367" s="369"/>
      <c r="K367" s="17"/>
      <c r="L367" s="17"/>
      <c r="M367" s="17"/>
      <c r="N367" s="17"/>
      <c r="O367" s="17"/>
      <c r="T367" s="240"/>
    </row>
    <row r="368">
      <c r="I368" s="17"/>
      <c r="J368" s="369"/>
      <c r="K368" s="17"/>
      <c r="L368" s="17"/>
      <c r="M368" s="17"/>
      <c r="N368" s="17"/>
      <c r="O368" s="17"/>
      <c r="T368" s="240"/>
    </row>
    <row r="369">
      <c r="I369" s="17"/>
      <c r="J369" s="369"/>
      <c r="K369" s="17"/>
      <c r="L369" s="17"/>
      <c r="M369" s="17"/>
      <c r="N369" s="17"/>
      <c r="O369" s="17"/>
      <c r="T369" s="240"/>
    </row>
    <row r="370">
      <c r="I370" s="17"/>
      <c r="J370" s="369"/>
      <c r="K370" s="17"/>
      <c r="L370" s="17"/>
      <c r="M370" s="17"/>
      <c r="N370" s="17"/>
      <c r="O370" s="17"/>
      <c r="T370" s="240"/>
    </row>
    <row r="371">
      <c r="I371" s="17"/>
      <c r="J371" s="369"/>
      <c r="K371" s="17"/>
      <c r="L371" s="17"/>
      <c r="M371" s="17"/>
      <c r="N371" s="17"/>
      <c r="O371" s="17"/>
      <c r="T371" s="240"/>
    </row>
    <row r="372">
      <c r="I372" s="17"/>
      <c r="J372" s="369"/>
      <c r="K372" s="17"/>
      <c r="L372" s="17"/>
      <c r="M372" s="17"/>
      <c r="N372" s="17"/>
      <c r="O372" s="17"/>
      <c r="T372" s="240"/>
    </row>
    <row r="373">
      <c r="I373" s="17"/>
      <c r="J373" s="369"/>
      <c r="K373" s="17"/>
      <c r="L373" s="17"/>
      <c r="M373" s="17"/>
      <c r="N373" s="17"/>
      <c r="O373" s="17"/>
      <c r="T373" s="240"/>
    </row>
    <row r="374">
      <c r="I374" s="17"/>
      <c r="J374" s="369"/>
      <c r="K374" s="17"/>
      <c r="L374" s="17"/>
      <c r="M374" s="17"/>
      <c r="N374" s="17"/>
      <c r="O374" s="17"/>
      <c r="T374" s="240"/>
    </row>
    <row r="375">
      <c r="I375" s="17"/>
      <c r="J375" s="369"/>
      <c r="K375" s="17"/>
      <c r="L375" s="17"/>
      <c r="M375" s="17"/>
      <c r="N375" s="17"/>
      <c r="O375" s="17"/>
      <c r="T375" s="240"/>
    </row>
    <row r="376">
      <c r="I376" s="17"/>
      <c r="J376" s="369"/>
      <c r="K376" s="17"/>
      <c r="L376" s="17"/>
      <c r="M376" s="17"/>
      <c r="N376" s="17"/>
      <c r="O376" s="17"/>
      <c r="T376" s="240"/>
    </row>
    <row r="377">
      <c r="I377" s="17"/>
      <c r="J377" s="369"/>
      <c r="K377" s="17"/>
      <c r="L377" s="17"/>
      <c r="M377" s="17"/>
      <c r="N377" s="17"/>
      <c r="O377" s="17"/>
      <c r="T377" s="240"/>
    </row>
    <row r="378">
      <c r="I378" s="17"/>
      <c r="J378" s="369"/>
      <c r="K378" s="17"/>
      <c r="L378" s="17"/>
      <c r="M378" s="17"/>
      <c r="N378" s="17"/>
      <c r="O378" s="17"/>
      <c r="T378" s="240"/>
    </row>
    <row r="379">
      <c r="I379" s="17"/>
      <c r="J379" s="369"/>
      <c r="K379" s="17"/>
      <c r="L379" s="17"/>
      <c r="M379" s="17"/>
      <c r="N379" s="17"/>
      <c r="O379" s="17"/>
      <c r="T379" s="240"/>
    </row>
    <row r="380">
      <c r="I380" s="17"/>
      <c r="J380" s="369"/>
      <c r="K380" s="17"/>
      <c r="L380" s="17"/>
      <c r="M380" s="17"/>
      <c r="N380" s="17"/>
      <c r="O380" s="17"/>
      <c r="T380" s="240"/>
    </row>
    <row r="381">
      <c r="I381" s="17"/>
      <c r="J381" s="369"/>
      <c r="K381" s="17"/>
      <c r="L381" s="17"/>
      <c r="M381" s="17"/>
      <c r="N381" s="17"/>
      <c r="O381" s="17"/>
      <c r="T381" s="240"/>
    </row>
    <row r="382">
      <c r="I382" s="17"/>
      <c r="J382" s="369"/>
      <c r="K382" s="17"/>
      <c r="L382" s="17"/>
      <c r="M382" s="17"/>
      <c r="N382" s="17"/>
      <c r="O382" s="17"/>
      <c r="T382" s="240"/>
    </row>
    <row r="383">
      <c r="I383" s="17"/>
      <c r="J383" s="369"/>
      <c r="K383" s="17"/>
      <c r="L383" s="17"/>
      <c r="M383" s="17"/>
      <c r="N383" s="17"/>
      <c r="O383" s="17"/>
      <c r="T383" s="240"/>
    </row>
    <row r="384">
      <c r="I384" s="17"/>
      <c r="J384" s="369"/>
      <c r="K384" s="17"/>
      <c r="L384" s="17"/>
      <c r="M384" s="17"/>
      <c r="N384" s="17"/>
      <c r="O384" s="17"/>
      <c r="T384" s="240"/>
    </row>
    <row r="385">
      <c r="I385" s="17"/>
      <c r="J385" s="369"/>
      <c r="K385" s="17"/>
      <c r="L385" s="17"/>
      <c r="M385" s="17"/>
      <c r="N385" s="17"/>
      <c r="O385" s="17"/>
      <c r="T385" s="240"/>
    </row>
    <row r="386">
      <c r="I386" s="17"/>
      <c r="J386" s="369"/>
      <c r="K386" s="17"/>
      <c r="L386" s="17"/>
      <c r="M386" s="17"/>
      <c r="N386" s="17"/>
      <c r="O386" s="17"/>
      <c r="T386" s="240"/>
    </row>
    <row r="387">
      <c r="I387" s="17"/>
      <c r="J387" s="369"/>
      <c r="K387" s="17"/>
      <c r="L387" s="17"/>
      <c r="M387" s="17"/>
      <c r="N387" s="17"/>
      <c r="O387" s="17"/>
      <c r="T387" s="240"/>
    </row>
    <row r="388">
      <c r="I388" s="17"/>
      <c r="J388" s="369"/>
      <c r="K388" s="17"/>
      <c r="L388" s="17"/>
      <c r="M388" s="17"/>
      <c r="N388" s="17"/>
      <c r="O388" s="17"/>
      <c r="T388" s="240"/>
    </row>
    <row r="389">
      <c r="I389" s="17"/>
      <c r="J389" s="369"/>
      <c r="K389" s="17"/>
      <c r="L389" s="17"/>
      <c r="M389" s="17"/>
      <c r="N389" s="17"/>
      <c r="O389" s="17"/>
      <c r="T389" s="240"/>
    </row>
    <row r="390">
      <c r="I390" s="17"/>
      <c r="J390" s="369"/>
      <c r="K390" s="17"/>
      <c r="L390" s="17"/>
      <c r="M390" s="17"/>
      <c r="N390" s="17"/>
      <c r="O390" s="17"/>
      <c r="T390" s="240"/>
    </row>
    <row r="391">
      <c r="I391" s="17"/>
      <c r="J391" s="369"/>
      <c r="K391" s="17"/>
      <c r="L391" s="17"/>
      <c r="M391" s="17"/>
      <c r="N391" s="17"/>
      <c r="O391" s="17"/>
      <c r="T391" s="240"/>
    </row>
    <row r="392">
      <c r="I392" s="17"/>
      <c r="J392" s="369"/>
      <c r="K392" s="17"/>
      <c r="L392" s="17"/>
      <c r="M392" s="17"/>
      <c r="N392" s="17"/>
      <c r="O392" s="17"/>
      <c r="T392" s="240"/>
    </row>
    <row r="393">
      <c r="I393" s="17"/>
      <c r="J393" s="369"/>
      <c r="K393" s="17"/>
      <c r="L393" s="17"/>
      <c r="M393" s="17"/>
      <c r="N393" s="17"/>
      <c r="O393" s="17"/>
      <c r="T393" s="240"/>
    </row>
    <row r="394">
      <c r="I394" s="17"/>
      <c r="J394" s="369"/>
      <c r="K394" s="17"/>
      <c r="L394" s="17"/>
      <c r="M394" s="17"/>
      <c r="N394" s="17"/>
      <c r="O394" s="17"/>
      <c r="T394" s="240"/>
    </row>
    <row r="395">
      <c r="I395" s="17"/>
      <c r="J395" s="369"/>
      <c r="K395" s="17"/>
      <c r="L395" s="17"/>
      <c r="M395" s="17"/>
      <c r="N395" s="17"/>
      <c r="O395" s="17"/>
      <c r="T395" s="240"/>
    </row>
    <row r="396">
      <c r="I396" s="17"/>
      <c r="J396" s="369"/>
      <c r="K396" s="17"/>
      <c r="L396" s="17"/>
      <c r="M396" s="17"/>
      <c r="N396" s="17"/>
      <c r="O396" s="17"/>
      <c r="T396" s="240"/>
    </row>
    <row r="397">
      <c r="I397" s="17"/>
      <c r="J397" s="369"/>
      <c r="K397" s="17"/>
      <c r="L397" s="17"/>
      <c r="M397" s="17"/>
      <c r="N397" s="17"/>
      <c r="O397" s="17"/>
      <c r="T397" s="240"/>
    </row>
    <row r="398">
      <c r="I398" s="17"/>
      <c r="J398" s="369"/>
      <c r="K398" s="17"/>
      <c r="L398" s="17"/>
      <c r="M398" s="17"/>
      <c r="N398" s="17"/>
      <c r="O398" s="17"/>
      <c r="T398" s="240"/>
    </row>
    <row r="399">
      <c r="I399" s="17"/>
      <c r="J399" s="369"/>
      <c r="K399" s="17"/>
      <c r="L399" s="17"/>
      <c r="M399" s="17"/>
      <c r="N399" s="17"/>
      <c r="O399" s="17"/>
      <c r="T399" s="240"/>
    </row>
    <row r="400">
      <c r="I400" s="17"/>
      <c r="J400" s="369"/>
      <c r="K400" s="17"/>
      <c r="L400" s="17"/>
      <c r="M400" s="17"/>
      <c r="N400" s="17"/>
      <c r="O400" s="17"/>
      <c r="T400" s="240"/>
    </row>
    <row r="401">
      <c r="I401" s="17"/>
      <c r="J401" s="369"/>
      <c r="K401" s="17"/>
      <c r="L401" s="17"/>
      <c r="M401" s="17"/>
      <c r="N401" s="17"/>
      <c r="O401" s="17"/>
      <c r="T401" s="240"/>
    </row>
    <row r="402">
      <c r="I402" s="17"/>
      <c r="J402" s="369"/>
      <c r="K402" s="17"/>
      <c r="L402" s="17"/>
      <c r="M402" s="17"/>
      <c r="N402" s="17"/>
      <c r="O402" s="17"/>
      <c r="T402" s="240"/>
    </row>
    <row r="403">
      <c r="I403" s="17"/>
      <c r="J403" s="369"/>
      <c r="K403" s="17"/>
      <c r="L403" s="17"/>
      <c r="M403" s="17"/>
      <c r="N403" s="17"/>
      <c r="O403" s="17"/>
      <c r="T403" s="240"/>
    </row>
    <row r="404">
      <c r="I404" s="17"/>
      <c r="J404" s="369"/>
      <c r="K404" s="17"/>
      <c r="L404" s="17"/>
      <c r="M404" s="17"/>
      <c r="N404" s="17"/>
      <c r="O404" s="17"/>
      <c r="T404" s="240"/>
    </row>
    <row r="405">
      <c r="I405" s="17"/>
      <c r="J405" s="369"/>
      <c r="K405" s="17"/>
      <c r="L405" s="17"/>
      <c r="M405" s="17"/>
      <c r="N405" s="17"/>
      <c r="O405" s="17"/>
      <c r="T405" s="240"/>
    </row>
    <row r="406">
      <c r="I406" s="17"/>
      <c r="J406" s="369"/>
      <c r="K406" s="17"/>
      <c r="L406" s="17"/>
      <c r="M406" s="17"/>
      <c r="N406" s="17"/>
      <c r="O406" s="17"/>
      <c r="T406" s="240"/>
    </row>
    <row r="407">
      <c r="I407" s="17"/>
      <c r="J407" s="369"/>
      <c r="K407" s="17"/>
      <c r="L407" s="17"/>
      <c r="M407" s="17"/>
      <c r="N407" s="17"/>
      <c r="O407" s="17"/>
      <c r="T407" s="240"/>
    </row>
    <row r="408">
      <c r="I408" s="17"/>
      <c r="J408" s="369"/>
      <c r="K408" s="17"/>
      <c r="L408" s="17"/>
      <c r="M408" s="17"/>
      <c r="N408" s="17"/>
      <c r="O408" s="17"/>
      <c r="T408" s="240"/>
    </row>
    <row r="409">
      <c r="I409" s="17"/>
      <c r="J409" s="369"/>
      <c r="K409" s="17"/>
      <c r="L409" s="17"/>
      <c r="M409" s="17"/>
      <c r="N409" s="17"/>
      <c r="O409" s="17"/>
      <c r="T409" s="240"/>
    </row>
    <row r="410">
      <c r="I410" s="17"/>
      <c r="J410" s="369"/>
      <c r="K410" s="17"/>
      <c r="L410" s="17"/>
      <c r="M410" s="17"/>
      <c r="N410" s="17"/>
      <c r="O410" s="17"/>
      <c r="T410" s="240"/>
    </row>
    <row r="411">
      <c r="I411" s="17"/>
      <c r="J411" s="369"/>
      <c r="K411" s="17"/>
      <c r="L411" s="17"/>
      <c r="M411" s="17"/>
      <c r="N411" s="17"/>
      <c r="O411" s="17"/>
      <c r="T411" s="240"/>
    </row>
    <row r="412">
      <c r="I412" s="17"/>
      <c r="J412" s="369"/>
      <c r="K412" s="17"/>
      <c r="L412" s="17"/>
      <c r="M412" s="17"/>
      <c r="N412" s="17"/>
      <c r="O412" s="17"/>
      <c r="T412" s="240"/>
    </row>
    <row r="413">
      <c r="I413" s="17"/>
      <c r="J413" s="369"/>
      <c r="K413" s="17"/>
      <c r="L413" s="17"/>
      <c r="M413" s="17"/>
      <c r="N413" s="17"/>
      <c r="O413" s="17"/>
      <c r="T413" s="240"/>
    </row>
    <row r="414">
      <c r="J414" s="370"/>
      <c r="K414" s="17"/>
      <c r="L414" s="17"/>
      <c r="M414" s="17"/>
      <c r="N414" s="17"/>
      <c r="O414" s="17"/>
      <c r="T414" s="240"/>
    </row>
    <row r="415">
      <c r="J415" s="370"/>
      <c r="K415" s="17"/>
      <c r="L415" s="17"/>
      <c r="M415" s="17"/>
      <c r="N415" s="17"/>
      <c r="O415" s="17"/>
      <c r="T415" s="240"/>
    </row>
    <row r="416">
      <c r="J416" s="370"/>
      <c r="K416" s="17"/>
      <c r="L416" s="17"/>
      <c r="M416" s="17"/>
      <c r="N416" s="17"/>
      <c r="O416" s="17"/>
      <c r="T416" s="240"/>
    </row>
    <row r="417">
      <c r="J417" s="370"/>
      <c r="K417" s="17"/>
      <c r="L417" s="17"/>
      <c r="M417" s="17"/>
      <c r="N417" s="17"/>
      <c r="O417" s="17"/>
      <c r="T417" s="240"/>
    </row>
    <row r="418">
      <c r="J418" s="370"/>
      <c r="K418" s="17"/>
      <c r="L418" s="17"/>
      <c r="M418" s="17"/>
      <c r="N418" s="17"/>
      <c r="O418" s="17"/>
      <c r="T418" s="240"/>
    </row>
    <row r="419">
      <c r="J419" s="370"/>
      <c r="K419" s="17"/>
      <c r="L419" s="17"/>
      <c r="M419" s="17"/>
      <c r="N419" s="17"/>
      <c r="O419" s="17"/>
      <c r="T419" s="240"/>
    </row>
    <row r="420">
      <c r="J420" s="370"/>
      <c r="K420" s="17"/>
      <c r="L420" s="17"/>
      <c r="M420" s="17"/>
      <c r="N420" s="17"/>
      <c r="O420" s="17"/>
      <c r="T420" s="240"/>
    </row>
    <row r="421">
      <c r="J421" s="370"/>
      <c r="K421" s="17"/>
      <c r="L421" s="17"/>
      <c r="M421" s="17"/>
      <c r="N421" s="17"/>
      <c r="O421" s="17"/>
      <c r="T421" s="240"/>
    </row>
    <row r="422">
      <c r="J422" s="370"/>
      <c r="K422" s="17"/>
      <c r="L422" s="17"/>
      <c r="M422" s="17"/>
      <c r="N422" s="17"/>
      <c r="O422" s="17"/>
      <c r="T422" s="240"/>
    </row>
    <row r="423">
      <c r="J423" s="370"/>
      <c r="K423" s="17"/>
      <c r="L423" s="17"/>
      <c r="M423" s="17"/>
      <c r="N423" s="17"/>
      <c r="O423" s="17"/>
      <c r="T423" s="240"/>
    </row>
    <row r="424">
      <c r="J424" s="370"/>
      <c r="K424" s="17"/>
      <c r="L424" s="17"/>
      <c r="M424" s="17"/>
      <c r="N424" s="17"/>
      <c r="O424" s="17"/>
      <c r="T424" s="240"/>
    </row>
    <row r="425">
      <c r="J425" s="370"/>
      <c r="K425" s="17"/>
      <c r="L425" s="17"/>
      <c r="M425" s="17"/>
      <c r="N425" s="17"/>
      <c r="O425" s="17"/>
      <c r="T425" s="240"/>
    </row>
    <row r="426">
      <c r="J426" s="370"/>
      <c r="K426" s="17"/>
      <c r="L426" s="17"/>
      <c r="M426" s="17"/>
      <c r="N426" s="17"/>
      <c r="O426" s="17"/>
      <c r="T426" s="240"/>
    </row>
    <row r="427">
      <c r="J427" s="370"/>
      <c r="K427" s="17"/>
      <c r="L427" s="17"/>
      <c r="M427" s="17"/>
      <c r="N427" s="17"/>
      <c r="O427" s="17"/>
      <c r="T427" s="240"/>
    </row>
    <row r="428">
      <c r="J428" s="370"/>
      <c r="K428" s="17"/>
      <c r="L428" s="17"/>
      <c r="M428" s="17"/>
      <c r="N428" s="17"/>
      <c r="O428" s="17"/>
      <c r="T428" s="240"/>
    </row>
    <row r="429">
      <c r="J429" s="370"/>
      <c r="K429" s="17"/>
      <c r="L429" s="17"/>
      <c r="M429" s="17"/>
      <c r="N429" s="17"/>
      <c r="O429" s="17"/>
      <c r="T429" s="240"/>
    </row>
    <row r="430">
      <c r="J430" s="370"/>
      <c r="K430" s="17"/>
      <c r="L430" s="17"/>
      <c r="M430" s="17"/>
      <c r="N430" s="17"/>
      <c r="O430" s="17"/>
      <c r="T430" s="240"/>
    </row>
    <row r="431">
      <c r="J431" s="370"/>
      <c r="K431" s="17"/>
      <c r="L431" s="17"/>
      <c r="M431" s="17"/>
      <c r="N431" s="17"/>
      <c r="O431" s="17"/>
      <c r="T431" s="240"/>
    </row>
    <row r="432">
      <c r="J432" s="370"/>
      <c r="K432" s="17"/>
      <c r="L432" s="17"/>
      <c r="M432" s="17"/>
      <c r="N432" s="17"/>
      <c r="O432" s="17"/>
      <c r="T432" s="240"/>
    </row>
    <row r="433">
      <c r="J433" s="370"/>
      <c r="K433" s="17"/>
      <c r="L433" s="17"/>
      <c r="M433" s="17"/>
      <c r="N433" s="17"/>
      <c r="O433" s="17"/>
      <c r="T433" s="240"/>
    </row>
    <row r="434">
      <c r="J434" s="370"/>
      <c r="K434" s="17"/>
      <c r="L434" s="17"/>
      <c r="M434" s="17"/>
      <c r="N434" s="17"/>
      <c r="O434" s="17"/>
      <c r="T434" s="240"/>
    </row>
    <row r="435">
      <c r="J435" s="370"/>
      <c r="K435" s="17"/>
      <c r="L435" s="17"/>
      <c r="M435" s="17"/>
      <c r="N435" s="17"/>
      <c r="O435" s="17"/>
      <c r="T435" s="240"/>
    </row>
    <row r="436">
      <c r="J436" s="370"/>
      <c r="K436" s="17"/>
      <c r="L436" s="17"/>
      <c r="M436" s="17"/>
      <c r="N436" s="17"/>
      <c r="O436" s="17"/>
      <c r="T436" s="240"/>
    </row>
    <row r="437">
      <c r="J437" s="370"/>
      <c r="K437" s="17"/>
      <c r="L437" s="17"/>
      <c r="M437" s="17"/>
      <c r="N437" s="17"/>
      <c r="O437" s="17"/>
      <c r="T437" s="240"/>
    </row>
    <row r="438">
      <c r="J438" s="370"/>
      <c r="K438" s="17"/>
      <c r="L438" s="17"/>
      <c r="M438" s="17"/>
      <c r="N438" s="17"/>
      <c r="O438" s="17"/>
      <c r="T438" s="240"/>
    </row>
    <row r="439">
      <c r="J439" s="370"/>
      <c r="K439" s="17"/>
      <c r="L439" s="17"/>
      <c r="M439" s="17"/>
      <c r="N439" s="17"/>
      <c r="O439" s="17"/>
      <c r="T439" s="240"/>
    </row>
    <row r="440">
      <c r="J440" s="370"/>
      <c r="K440" s="17"/>
      <c r="L440" s="17"/>
      <c r="M440" s="17"/>
      <c r="N440" s="17"/>
      <c r="O440" s="17"/>
      <c r="T440" s="240"/>
    </row>
    <row r="441">
      <c r="J441" s="370"/>
      <c r="K441" s="17"/>
      <c r="L441" s="17"/>
      <c r="M441" s="17"/>
      <c r="N441" s="17"/>
      <c r="O441" s="17"/>
      <c r="T441" s="240"/>
    </row>
    <row r="442">
      <c r="J442" s="370"/>
      <c r="K442" s="17"/>
      <c r="L442" s="17"/>
      <c r="M442" s="17"/>
      <c r="N442" s="17"/>
      <c r="O442" s="17"/>
      <c r="T442" s="240"/>
    </row>
    <row r="443">
      <c r="J443" s="370"/>
      <c r="K443" s="17"/>
      <c r="L443" s="17"/>
      <c r="M443" s="17"/>
      <c r="N443" s="17"/>
      <c r="O443" s="17"/>
      <c r="T443" s="240"/>
    </row>
    <row r="444">
      <c r="J444" s="370"/>
      <c r="K444" s="17"/>
      <c r="L444" s="17"/>
      <c r="M444" s="17"/>
      <c r="N444" s="17"/>
      <c r="O444" s="17"/>
      <c r="T444" s="240"/>
    </row>
    <row r="445">
      <c r="J445" s="370"/>
      <c r="K445" s="17"/>
      <c r="L445" s="17"/>
      <c r="M445" s="17"/>
      <c r="N445" s="17"/>
      <c r="O445" s="17"/>
      <c r="T445" s="240"/>
    </row>
    <row r="446">
      <c r="J446" s="370"/>
      <c r="K446" s="17"/>
      <c r="L446" s="17"/>
      <c r="M446" s="17"/>
      <c r="N446" s="17"/>
      <c r="O446" s="17"/>
      <c r="T446" s="240"/>
    </row>
    <row r="447">
      <c r="J447" s="370"/>
      <c r="K447" s="17"/>
      <c r="L447" s="17"/>
      <c r="M447" s="17"/>
      <c r="N447" s="17"/>
      <c r="O447" s="17"/>
      <c r="T447" s="240"/>
    </row>
    <row r="448">
      <c r="J448" s="370"/>
      <c r="K448" s="17"/>
      <c r="L448" s="17"/>
      <c r="M448" s="17"/>
      <c r="N448" s="17"/>
      <c r="O448" s="17"/>
      <c r="T448" s="240"/>
    </row>
    <row r="449">
      <c r="J449" s="370"/>
      <c r="K449" s="17"/>
      <c r="L449" s="17"/>
      <c r="M449" s="17"/>
      <c r="N449" s="17"/>
      <c r="O449" s="17"/>
      <c r="T449" s="240"/>
    </row>
    <row r="450">
      <c r="J450" s="370"/>
      <c r="K450" s="17"/>
      <c r="L450" s="17"/>
      <c r="M450" s="17"/>
      <c r="N450" s="17"/>
      <c r="O450" s="17"/>
      <c r="T450" s="240"/>
    </row>
    <row r="451">
      <c r="J451" s="370"/>
      <c r="K451" s="17"/>
      <c r="L451" s="17"/>
      <c r="M451" s="17"/>
      <c r="N451" s="17"/>
      <c r="O451" s="17"/>
      <c r="T451" s="240"/>
    </row>
    <row r="452">
      <c r="J452" s="370"/>
      <c r="K452" s="17"/>
      <c r="L452" s="17"/>
      <c r="M452" s="17"/>
      <c r="N452" s="17"/>
      <c r="O452" s="17"/>
      <c r="T452" s="240"/>
    </row>
    <row r="453">
      <c r="J453" s="370"/>
      <c r="K453" s="17"/>
      <c r="L453" s="17"/>
      <c r="M453" s="17"/>
      <c r="N453" s="17"/>
      <c r="O453" s="17"/>
      <c r="T453" s="240"/>
    </row>
    <row r="454">
      <c r="J454" s="370"/>
      <c r="K454" s="17"/>
      <c r="L454" s="17"/>
      <c r="M454" s="17"/>
      <c r="N454" s="17"/>
      <c r="O454" s="17"/>
      <c r="T454" s="240"/>
    </row>
    <row r="455">
      <c r="J455" s="370"/>
      <c r="K455" s="17"/>
      <c r="L455" s="17"/>
      <c r="M455" s="17"/>
      <c r="N455" s="17"/>
      <c r="O455" s="17"/>
      <c r="T455" s="240"/>
    </row>
    <row r="456">
      <c r="J456" s="370"/>
      <c r="K456" s="17"/>
      <c r="L456" s="17"/>
      <c r="M456" s="17"/>
      <c r="N456" s="17"/>
      <c r="O456" s="17"/>
      <c r="T456" s="240"/>
    </row>
    <row r="457">
      <c r="J457" s="370"/>
      <c r="K457" s="17"/>
      <c r="L457" s="17"/>
      <c r="M457" s="17"/>
      <c r="N457" s="17"/>
      <c r="O457" s="17"/>
      <c r="T457" s="240"/>
    </row>
    <row r="458">
      <c r="J458" s="370"/>
      <c r="K458" s="17"/>
      <c r="L458" s="17"/>
      <c r="M458" s="17"/>
      <c r="N458" s="17"/>
      <c r="O458" s="17"/>
      <c r="T458" s="240"/>
    </row>
    <row r="459">
      <c r="J459" s="370"/>
      <c r="K459" s="17"/>
      <c r="L459" s="17"/>
      <c r="M459" s="17"/>
      <c r="N459" s="17"/>
      <c r="O459" s="17"/>
      <c r="T459" s="240"/>
    </row>
    <row r="460">
      <c r="J460" s="370"/>
      <c r="K460" s="17"/>
      <c r="L460" s="17"/>
      <c r="M460" s="17"/>
      <c r="N460" s="17"/>
      <c r="O460" s="17"/>
      <c r="T460" s="240"/>
    </row>
    <row r="461">
      <c r="J461" s="370"/>
      <c r="K461" s="17"/>
      <c r="L461" s="17"/>
      <c r="M461" s="17"/>
      <c r="N461" s="17"/>
      <c r="O461" s="17"/>
      <c r="T461" s="240"/>
    </row>
    <row r="462">
      <c r="J462" s="370"/>
      <c r="K462" s="17"/>
      <c r="L462" s="17"/>
      <c r="M462" s="17"/>
      <c r="N462" s="17"/>
      <c r="O462" s="17"/>
      <c r="T462" s="240"/>
    </row>
    <row r="463">
      <c r="J463" s="370"/>
      <c r="K463" s="17"/>
      <c r="L463" s="17"/>
      <c r="M463" s="17"/>
      <c r="N463" s="17"/>
      <c r="O463" s="17"/>
      <c r="T463" s="240"/>
    </row>
    <row r="464">
      <c r="J464" s="370"/>
      <c r="K464" s="17"/>
      <c r="L464" s="17"/>
      <c r="M464" s="17"/>
      <c r="N464" s="17"/>
      <c r="O464" s="17"/>
      <c r="T464" s="240"/>
    </row>
    <row r="465">
      <c r="J465" s="370"/>
      <c r="K465" s="17"/>
      <c r="L465" s="17"/>
      <c r="M465" s="17"/>
      <c r="N465" s="17"/>
      <c r="O465" s="17"/>
      <c r="T465" s="240"/>
    </row>
    <row r="466">
      <c r="J466" s="370"/>
      <c r="K466" s="17"/>
      <c r="L466" s="17"/>
      <c r="M466" s="17"/>
      <c r="N466" s="17"/>
      <c r="O466" s="17"/>
      <c r="T466" s="240"/>
    </row>
    <row r="467">
      <c r="J467" s="370"/>
      <c r="K467" s="17"/>
      <c r="L467" s="17"/>
      <c r="M467" s="17"/>
      <c r="N467" s="17"/>
      <c r="O467" s="17"/>
      <c r="T467" s="240"/>
    </row>
    <row r="468">
      <c r="J468" s="370"/>
      <c r="K468" s="17"/>
      <c r="L468" s="17"/>
      <c r="M468" s="17"/>
      <c r="N468" s="17"/>
      <c r="O468" s="17"/>
      <c r="T468" s="240"/>
    </row>
    <row r="469">
      <c r="J469" s="370"/>
      <c r="K469" s="17"/>
      <c r="L469" s="17"/>
      <c r="M469" s="17"/>
      <c r="N469" s="17"/>
      <c r="O469" s="17"/>
      <c r="T469" s="240"/>
    </row>
    <row r="470">
      <c r="J470" s="370"/>
      <c r="K470" s="17"/>
      <c r="L470" s="17"/>
      <c r="M470" s="17"/>
      <c r="N470" s="17"/>
      <c r="O470" s="17"/>
      <c r="T470" s="240"/>
    </row>
    <row r="471">
      <c r="J471" s="370"/>
      <c r="K471" s="17"/>
      <c r="L471" s="17"/>
      <c r="M471" s="17"/>
      <c r="N471" s="17"/>
      <c r="O471" s="17"/>
      <c r="T471" s="240"/>
    </row>
    <row r="472">
      <c r="J472" s="370"/>
      <c r="K472" s="17"/>
      <c r="L472" s="17"/>
      <c r="M472" s="17"/>
      <c r="N472" s="17"/>
      <c r="O472" s="17"/>
      <c r="T472" s="240"/>
    </row>
    <row r="473">
      <c r="J473" s="370"/>
      <c r="K473" s="17"/>
      <c r="L473" s="17"/>
      <c r="M473" s="17"/>
      <c r="N473" s="17"/>
      <c r="O473" s="17"/>
      <c r="T473" s="240"/>
    </row>
    <row r="474">
      <c r="J474" s="370"/>
      <c r="K474" s="17"/>
      <c r="L474" s="17"/>
      <c r="M474" s="17"/>
      <c r="N474" s="17"/>
      <c r="O474" s="17"/>
      <c r="T474" s="240"/>
    </row>
    <row r="475">
      <c r="J475" s="370"/>
      <c r="K475" s="17"/>
      <c r="L475" s="17"/>
      <c r="M475" s="17"/>
      <c r="N475" s="17"/>
      <c r="O475" s="17"/>
      <c r="T475" s="240"/>
    </row>
    <row r="476">
      <c r="J476" s="370"/>
      <c r="K476" s="17"/>
      <c r="L476" s="17"/>
      <c r="M476" s="17"/>
      <c r="N476" s="17"/>
      <c r="O476" s="17"/>
      <c r="T476" s="240"/>
    </row>
    <row r="477">
      <c r="J477" s="370"/>
      <c r="K477" s="17"/>
      <c r="L477" s="17"/>
      <c r="M477" s="17"/>
      <c r="N477" s="17"/>
      <c r="O477" s="17"/>
      <c r="T477" s="240"/>
    </row>
    <row r="478">
      <c r="J478" s="370"/>
      <c r="K478" s="17"/>
      <c r="L478" s="17"/>
      <c r="M478" s="17"/>
      <c r="N478" s="17"/>
      <c r="O478" s="17"/>
      <c r="T478" s="240"/>
    </row>
    <row r="479">
      <c r="J479" s="370"/>
      <c r="K479" s="17"/>
      <c r="L479" s="17"/>
      <c r="M479" s="17"/>
      <c r="N479" s="17"/>
      <c r="O479" s="17"/>
      <c r="T479" s="240"/>
    </row>
    <row r="480">
      <c r="J480" s="370"/>
      <c r="K480" s="17"/>
      <c r="L480" s="17"/>
      <c r="M480" s="17"/>
      <c r="N480" s="17"/>
      <c r="O480" s="17"/>
      <c r="T480" s="240"/>
    </row>
    <row r="481">
      <c r="J481" s="370"/>
      <c r="K481" s="17"/>
      <c r="L481" s="17"/>
      <c r="M481" s="17"/>
      <c r="N481" s="17"/>
      <c r="O481" s="17"/>
      <c r="T481" s="240"/>
    </row>
    <row r="482">
      <c r="J482" s="370"/>
      <c r="K482" s="17"/>
      <c r="L482" s="17"/>
      <c r="M482" s="17"/>
      <c r="N482" s="17"/>
      <c r="O482" s="17"/>
      <c r="T482" s="240"/>
    </row>
    <row r="483">
      <c r="J483" s="370"/>
      <c r="K483" s="17"/>
      <c r="L483" s="17"/>
      <c r="M483" s="17"/>
      <c r="N483" s="17"/>
      <c r="O483" s="17"/>
      <c r="T483" s="240"/>
    </row>
    <row r="484">
      <c r="J484" s="370"/>
      <c r="K484" s="17"/>
      <c r="L484" s="17"/>
      <c r="M484" s="17"/>
      <c r="N484" s="17"/>
      <c r="O484" s="17"/>
      <c r="T484" s="240"/>
    </row>
    <row r="485">
      <c r="J485" s="370"/>
      <c r="K485" s="17"/>
      <c r="L485" s="17"/>
      <c r="M485" s="17"/>
      <c r="N485" s="17"/>
      <c r="O485" s="17"/>
      <c r="T485" s="240"/>
    </row>
    <row r="486">
      <c r="J486" s="370"/>
      <c r="K486" s="17"/>
      <c r="L486" s="17"/>
      <c r="M486" s="17"/>
      <c r="N486" s="17"/>
      <c r="O486" s="17"/>
      <c r="T486" s="240"/>
    </row>
    <row r="487">
      <c r="J487" s="370"/>
      <c r="K487" s="17"/>
      <c r="L487" s="17"/>
      <c r="M487" s="17"/>
      <c r="N487" s="17"/>
      <c r="O487" s="17"/>
      <c r="T487" s="240"/>
    </row>
    <row r="488">
      <c r="J488" s="370"/>
      <c r="K488" s="17"/>
      <c r="L488" s="17"/>
      <c r="M488" s="17"/>
      <c r="N488" s="17"/>
      <c r="O488" s="17"/>
      <c r="T488" s="240"/>
    </row>
    <row r="489">
      <c r="J489" s="370"/>
      <c r="K489" s="17"/>
      <c r="L489" s="17"/>
      <c r="M489" s="17"/>
      <c r="N489" s="17"/>
      <c r="O489" s="17"/>
      <c r="T489" s="240"/>
    </row>
    <row r="490">
      <c r="J490" s="370"/>
      <c r="K490" s="17"/>
      <c r="L490" s="17"/>
      <c r="M490" s="17"/>
      <c r="N490" s="17"/>
      <c r="O490" s="17"/>
      <c r="T490" s="240"/>
    </row>
    <row r="491">
      <c r="J491" s="370"/>
      <c r="K491" s="17"/>
      <c r="L491" s="17"/>
      <c r="M491" s="17"/>
      <c r="N491" s="17"/>
      <c r="O491" s="17"/>
      <c r="T491" s="240"/>
    </row>
    <row r="492">
      <c r="J492" s="370"/>
      <c r="K492" s="17"/>
      <c r="L492" s="17"/>
      <c r="M492" s="17"/>
      <c r="N492" s="17"/>
      <c r="O492" s="17"/>
      <c r="T492" s="240"/>
    </row>
    <row r="493">
      <c r="J493" s="370"/>
      <c r="K493" s="17"/>
      <c r="L493" s="17"/>
      <c r="M493" s="17"/>
      <c r="N493" s="17"/>
      <c r="O493" s="17"/>
      <c r="T493" s="240"/>
    </row>
    <row r="494">
      <c r="J494" s="370"/>
      <c r="K494" s="17"/>
      <c r="L494" s="17"/>
      <c r="M494" s="17"/>
      <c r="N494" s="17"/>
      <c r="O494" s="17"/>
      <c r="T494" s="240"/>
    </row>
    <row r="495">
      <c r="J495" s="370"/>
      <c r="K495" s="17"/>
      <c r="L495" s="17"/>
      <c r="M495" s="17"/>
      <c r="N495" s="17"/>
      <c r="O495" s="17"/>
      <c r="T495" s="240"/>
    </row>
    <row r="496">
      <c r="J496" s="370"/>
      <c r="K496" s="17"/>
      <c r="L496" s="17"/>
      <c r="M496" s="17"/>
      <c r="N496" s="17"/>
      <c r="O496" s="17"/>
      <c r="T496" s="240"/>
    </row>
    <row r="497">
      <c r="J497" s="370"/>
      <c r="K497" s="17"/>
      <c r="L497" s="17"/>
      <c r="M497" s="17"/>
      <c r="N497" s="17"/>
      <c r="O497" s="17"/>
      <c r="T497" s="240"/>
    </row>
    <row r="498">
      <c r="J498" s="370"/>
      <c r="K498" s="17"/>
      <c r="L498" s="17"/>
      <c r="M498" s="17"/>
      <c r="N498" s="17"/>
      <c r="O498" s="17"/>
      <c r="T498" s="240"/>
    </row>
    <row r="499">
      <c r="J499" s="370"/>
      <c r="K499" s="17"/>
      <c r="L499" s="17"/>
      <c r="M499" s="17"/>
      <c r="N499" s="17"/>
      <c r="O499" s="17"/>
      <c r="T499" s="240"/>
    </row>
    <row r="500">
      <c r="J500" s="370"/>
      <c r="K500" s="17"/>
      <c r="L500" s="17"/>
      <c r="M500" s="17"/>
      <c r="N500" s="17"/>
      <c r="O500" s="17"/>
      <c r="T500" s="240"/>
    </row>
    <row r="501">
      <c r="J501" s="370"/>
      <c r="K501" s="17"/>
      <c r="L501" s="17"/>
      <c r="M501" s="17"/>
      <c r="N501" s="17"/>
      <c r="O501" s="17"/>
      <c r="T501" s="240"/>
    </row>
    <row r="502">
      <c r="J502" s="370"/>
      <c r="K502" s="17"/>
      <c r="L502" s="17"/>
      <c r="M502" s="17"/>
      <c r="N502" s="17"/>
      <c r="O502" s="17"/>
      <c r="T502" s="240"/>
    </row>
    <row r="503">
      <c r="J503" s="370"/>
      <c r="K503" s="17"/>
      <c r="L503" s="17"/>
      <c r="M503" s="17"/>
      <c r="N503" s="17"/>
      <c r="O503" s="17"/>
      <c r="T503" s="240"/>
    </row>
    <row r="504">
      <c r="J504" s="370"/>
      <c r="K504" s="17"/>
      <c r="L504" s="17"/>
      <c r="M504" s="17"/>
      <c r="N504" s="17"/>
      <c r="O504" s="17"/>
      <c r="T504" s="240"/>
    </row>
    <row r="505">
      <c r="J505" s="370"/>
      <c r="K505" s="17"/>
      <c r="L505" s="17"/>
      <c r="M505" s="17"/>
      <c r="N505" s="17"/>
      <c r="O505" s="17"/>
      <c r="T505" s="240"/>
    </row>
    <row r="506">
      <c r="J506" s="370"/>
      <c r="K506" s="17"/>
      <c r="L506" s="17"/>
      <c r="M506" s="17"/>
      <c r="N506" s="17"/>
      <c r="O506" s="17"/>
      <c r="T506" s="240"/>
    </row>
    <row r="507">
      <c r="J507" s="370"/>
      <c r="K507" s="17"/>
      <c r="L507" s="17"/>
      <c r="M507" s="17"/>
      <c r="N507" s="17"/>
      <c r="O507" s="17"/>
      <c r="T507" s="240"/>
    </row>
    <row r="508">
      <c r="J508" s="370"/>
      <c r="K508" s="17"/>
      <c r="L508" s="17"/>
      <c r="M508" s="17"/>
      <c r="N508" s="17"/>
      <c r="O508" s="17"/>
      <c r="T508" s="240"/>
    </row>
    <row r="509">
      <c r="J509" s="370"/>
      <c r="K509" s="17"/>
      <c r="L509" s="17"/>
      <c r="M509" s="17"/>
      <c r="N509" s="17"/>
      <c r="O509" s="17"/>
      <c r="T509" s="240"/>
    </row>
    <row r="510">
      <c r="J510" s="370"/>
      <c r="K510" s="17"/>
      <c r="L510" s="17"/>
      <c r="M510" s="17"/>
      <c r="N510" s="17"/>
      <c r="O510" s="17"/>
      <c r="T510" s="240"/>
    </row>
    <row r="511">
      <c r="J511" s="370"/>
      <c r="K511" s="17"/>
      <c r="L511" s="17"/>
      <c r="M511" s="17"/>
      <c r="N511" s="17"/>
      <c r="O511" s="17"/>
      <c r="T511" s="240"/>
    </row>
    <row r="512">
      <c r="J512" s="370"/>
      <c r="K512" s="17"/>
      <c r="L512" s="17"/>
      <c r="M512" s="17"/>
      <c r="N512" s="17"/>
      <c r="O512" s="17"/>
      <c r="T512" s="240"/>
    </row>
    <row r="513">
      <c r="J513" s="370"/>
      <c r="K513" s="17"/>
      <c r="L513" s="17"/>
      <c r="M513" s="17"/>
      <c r="N513" s="17"/>
      <c r="O513" s="17"/>
      <c r="T513" s="240"/>
    </row>
    <row r="514">
      <c r="J514" s="370"/>
      <c r="K514" s="17"/>
      <c r="L514" s="17"/>
      <c r="M514" s="17"/>
      <c r="N514" s="17"/>
      <c r="O514" s="17"/>
      <c r="T514" s="240"/>
    </row>
    <row r="515">
      <c r="J515" s="370"/>
      <c r="K515" s="17"/>
      <c r="L515" s="17"/>
      <c r="M515" s="17"/>
      <c r="N515" s="17"/>
      <c r="O515" s="17"/>
      <c r="T515" s="240"/>
    </row>
    <row r="516">
      <c r="J516" s="370"/>
      <c r="K516" s="17"/>
      <c r="L516" s="17"/>
      <c r="M516" s="17"/>
      <c r="N516" s="17"/>
      <c r="O516" s="17"/>
      <c r="T516" s="240"/>
    </row>
    <row r="517">
      <c r="J517" s="370"/>
      <c r="K517" s="17"/>
      <c r="L517" s="17"/>
      <c r="M517" s="17"/>
      <c r="N517" s="17"/>
      <c r="O517" s="17"/>
      <c r="T517" s="240"/>
    </row>
    <row r="518">
      <c r="J518" s="370"/>
      <c r="K518" s="17"/>
      <c r="L518" s="17"/>
      <c r="M518" s="17"/>
      <c r="N518" s="17"/>
      <c r="O518" s="17"/>
      <c r="T518" s="240"/>
    </row>
    <row r="519">
      <c r="J519" s="370"/>
      <c r="K519" s="17"/>
      <c r="L519" s="17"/>
      <c r="M519" s="17"/>
      <c r="N519" s="17"/>
      <c r="O519" s="17"/>
      <c r="T519" s="240"/>
    </row>
    <row r="520">
      <c r="J520" s="370"/>
      <c r="K520" s="17"/>
      <c r="L520" s="17"/>
      <c r="M520" s="17"/>
      <c r="N520" s="17"/>
      <c r="O520" s="17"/>
      <c r="T520" s="240"/>
    </row>
    <row r="521">
      <c r="J521" s="370"/>
      <c r="K521" s="17"/>
      <c r="L521" s="17"/>
      <c r="M521" s="17"/>
      <c r="N521" s="17"/>
      <c r="O521" s="17"/>
      <c r="T521" s="240"/>
    </row>
    <row r="522">
      <c r="J522" s="370"/>
      <c r="K522" s="17"/>
      <c r="L522" s="17"/>
      <c r="M522" s="17"/>
      <c r="N522" s="17"/>
      <c r="O522" s="17"/>
      <c r="T522" s="240"/>
    </row>
    <row r="523">
      <c r="J523" s="370"/>
      <c r="K523" s="17"/>
      <c r="L523" s="17"/>
      <c r="M523" s="17"/>
      <c r="N523" s="17"/>
      <c r="O523" s="17"/>
      <c r="T523" s="240"/>
    </row>
    <row r="524">
      <c r="J524" s="370"/>
      <c r="K524" s="17"/>
      <c r="L524" s="17"/>
      <c r="M524" s="17"/>
      <c r="N524" s="17"/>
      <c r="O524" s="17"/>
      <c r="T524" s="240"/>
    </row>
    <row r="525">
      <c r="J525" s="370"/>
      <c r="K525" s="17"/>
      <c r="L525" s="17"/>
      <c r="M525" s="17"/>
      <c r="N525" s="17"/>
      <c r="O525" s="17"/>
      <c r="T525" s="240"/>
    </row>
    <row r="526">
      <c r="J526" s="370"/>
      <c r="K526" s="17"/>
      <c r="L526" s="17"/>
      <c r="M526" s="17"/>
      <c r="N526" s="17"/>
      <c r="O526" s="17"/>
      <c r="T526" s="240"/>
    </row>
    <row r="527">
      <c r="J527" s="370"/>
      <c r="K527" s="17"/>
      <c r="L527" s="17"/>
      <c r="M527" s="17"/>
      <c r="N527" s="17"/>
      <c r="O527" s="17"/>
      <c r="T527" s="240"/>
    </row>
    <row r="528">
      <c r="J528" s="370"/>
      <c r="K528" s="17"/>
      <c r="L528" s="17"/>
      <c r="M528" s="17"/>
      <c r="N528" s="17"/>
      <c r="O528" s="17"/>
      <c r="T528" s="240"/>
    </row>
    <row r="529">
      <c r="J529" s="370"/>
      <c r="K529" s="17"/>
      <c r="L529" s="17"/>
      <c r="M529" s="17"/>
      <c r="N529" s="17"/>
      <c r="O529" s="17"/>
      <c r="T529" s="240"/>
    </row>
    <row r="530">
      <c r="J530" s="370"/>
      <c r="K530" s="17"/>
      <c r="L530" s="17"/>
      <c r="M530" s="17"/>
      <c r="N530" s="17"/>
      <c r="O530" s="17"/>
      <c r="T530" s="240"/>
    </row>
    <row r="531">
      <c r="J531" s="370"/>
      <c r="K531" s="17"/>
      <c r="L531" s="17"/>
      <c r="M531" s="17"/>
      <c r="N531" s="17"/>
      <c r="O531" s="17"/>
      <c r="T531" s="240"/>
    </row>
    <row r="532">
      <c r="J532" s="370"/>
      <c r="K532" s="17"/>
      <c r="L532" s="17"/>
      <c r="M532" s="17"/>
      <c r="N532" s="17"/>
      <c r="O532" s="17"/>
      <c r="T532" s="240"/>
    </row>
    <row r="533">
      <c r="J533" s="370"/>
      <c r="K533" s="17"/>
      <c r="L533" s="17"/>
      <c r="M533" s="17"/>
      <c r="N533" s="17"/>
      <c r="O533" s="17"/>
      <c r="T533" s="240"/>
    </row>
    <row r="534">
      <c r="J534" s="370"/>
      <c r="K534" s="17"/>
      <c r="L534" s="17"/>
      <c r="M534" s="17"/>
      <c r="N534" s="17"/>
      <c r="O534" s="17"/>
      <c r="T534" s="240"/>
    </row>
    <row r="535">
      <c r="J535" s="370"/>
      <c r="K535" s="17"/>
      <c r="L535" s="17"/>
      <c r="M535" s="17"/>
      <c r="N535" s="17"/>
      <c r="O535" s="17"/>
      <c r="T535" s="240"/>
    </row>
    <row r="536">
      <c r="J536" s="370"/>
      <c r="K536" s="17"/>
      <c r="L536" s="17"/>
      <c r="M536" s="17"/>
      <c r="N536" s="17"/>
      <c r="O536" s="17"/>
      <c r="T536" s="240"/>
    </row>
    <row r="537">
      <c r="J537" s="370"/>
      <c r="K537" s="17"/>
      <c r="L537" s="17"/>
      <c r="M537" s="17"/>
      <c r="N537" s="17"/>
      <c r="O537" s="17"/>
      <c r="T537" s="240"/>
    </row>
    <row r="538">
      <c r="J538" s="370"/>
      <c r="K538" s="17"/>
      <c r="L538" s="17"/>
      <c r="M538" s="17"/>
      <c r="N538" s="17"/>
      <c r="O538" s="17"/>
      <c r="T538" s="240"/>
    </row>
    <row r="539">
      <c r="J539" s="370"/>
      <c r="K539" s="17"/>
      <c r="L539" s="17"/>
      <c r="M539" s="17"/>
      <c r="N539" s="17"/>
      <c r="O539" s="17"/>
      <c r="T539" s="240"/>
    </row>
    <row r="540">
      <c r="J540" s="370"/>
      <c r="K540" s="17"/>
      <c r="L540" s="17"/>
      <c r="M540" s="17"/>
      <c r="N540" s="17"/>
      <c r="O540" s="17"/>
      <c r="T540" s="240"/>
    </row>
    <row r="541">
      <c r="J541" s="370"/>
      <c r="K541" s="17"/>
      <c r="L541" s="17"/>
      <c r="M541" s="17"/>
      <c r="N541" s="17"/>
      <c r="O541" s="17"/>
      <c r="T541" s="240"/>
    </row>
    <row r="542">
      <c r="J542" s="370"/>
      <c r="K542" s="17"/>
      <c r="L542" s="17"/>
      <c r="M542" s="17"/>
      <c r="N542" s="17"/>
      <c r="O542" s="17"/>
      <c r="T542" s="240"/>
    </row>
    <row r="543">
      <c r="J543" s="370"/>
      <c r="K543" s="17"/>
      <c r="L543" s="17"/>
      <c r="M543" s="17"/>
      <c r="N543" s="17"/>
      <c r="O543" s="17"/>
      <c r="T543" s="240"/>
    </row>
    <row r="544">
      <c r="J544" s="370"/>
      <c r="K544" s="17"/>
      <c r="L544" s="17"/>
      <c r="M544" s="17"/>
      <c r="N544" s="17"/>
      <c r="O544" s="17"/>
      <c r="T544" s="240"/>
    </row>
    <row r="545">
      <c r="J545" s="370"/>
      <c r="K545" s="17"/>
      <c r="L545" s="17"/>
      <c r="M545" s="17"/>
      <c r="N545" s="17"/>
      <c r="O545" s="17"/>
      <c r="T545" s="240"/>
    </row>
    <row r="546">
      <c r="J546" s="370"/>
      <c r="K546" s="17"/>
      <c r="L546" s="17"/>
      <c r="M546" s="17"/>
      <c r="N546" s="17"/>
      <c r="O546" s="17"/>
      <c r="T546" s="240"/>
    </row>
    <row r="547">
      <c r="J547" s="370"/>
      <c r="K547" s="17"/>
      <c r="L547" s="17"/>
      <c r="M547" s="17"/>
      <c r="N547" s="17"/>
      <c r="O547" s="17"/>
      <c r="T547" s="240"/>
    </row>
    <row r="548">
      <c r="J548" s="370"/>
      <c r="K548" s="17"/>
      <c r="L548" s="17"/>
      <c r="M548" s="17"/>
      <c r="N548" s="17"/>
      <c r="O548" s="17"/>
      <c r="T548" s="240"/>
    </row>
    <row r="549">
      <c r="J549" s="370"/>
      <c r="K549" s="17"/>
      <c r="L549" s="17"/>
      <c r="M549" s="17"/>
      <c r="N549" s="17"/>
      <c r="O549" s="17"/>
      <c r="T549" s="240"/>
    </row>
    <row r="550">
      <c r="J550" s="370"/>
      <c r="K550" s="17"/>
      <c r="L550" s="17"/>
      <c r="M550" s="17"/>
      <c r="N550" s="17"/>
      <c r="O550" s="17"/>
      <c r="T550" s="240"/>
    </row>
    <row r="551">
      <c r="J551" s="370"/>
      <c r="K551" s="17"/>
      <c r="L551" s="17"/>
      <c r="M551" s="17"/>
      <c r="N551" s="17"/>
      <c r="O551" s="17"/>
      <c r="T551" s="240"/>
    </row>
    <row r="552">
      <c r="J552" s="370"/>
      <c r="K552" s="17"/>
      <c r="L552" s="17"/>
      <c r="M552" s="17"/>
      <c r="N552" s="17"/>
      <c r="O552" s="17"/>
      <c r="T552" s="240"/>
    </row>
    <row r="553">
      <c r="J553" s="370"/>
      <c r="K553" s="17"/>
      <c r="L553" s="17"/>
      <c r="M553" s="17"/>
      <c r="N553" s="17"/>
      <c r="O553" s="17"/>
      <c r="T553" s="240"/>
    </row>
    <row r="554">
      <c r="J554" s="370"/>
      <c r="K554" s="17"/>
      <c r="L554" s="17"/>
      <c r="M554" s="17"/>
      <c r="N554" s="17"/>
      <c r="O554" s="17"/>
      <c r="T554" s="240"/>
    </row>
    <row r="555">
      <c r="J555" s="370"/>
      <c r="K555" s="17"/>
      <c r="L555" s="17"/>
      <c r="M555" s="17"/>
      <c r="N555" s="17"/>
      <c r="O555" s="17"/>
      <c r="T555" s="240"/>
    </row>
    <row r="556">
      <c r="J556" s="370"/>
      <c r="K556" s="17"/>
      <c r="L556" s="17"/>
      <c r="M556" s="17"/>
      <c r="N556" s="17"/>
      <c r="O556" s="17"/>
      <c r="T556" s="240"/>
    </row>
    <row r="557">
      <c r="J557" s="370"/>
      <c r="K557" s="17"/>
      <c r="L557" s="17"/>
      <c r="M557" s="17"/>
      <c r="N557" s="17"/>
      <c r="O557" s="17"/>
      <c r="T557" s="240"/>
    </row>
    <row r="558">
      <c r="J558" s="370"/>
      <c r="K558" s="17"/>
      <c r="L558" s="17"/>
      <c r="M558" s="17"/>
      <c r="N558" s="17"/>
      <c r="O558" s="17"/>
      <c r="T558" s="240"/>
    </row>
    <row r="559">
      <c r="J559" s="370"/>
      <c r="K559" s="17"/>
      <c r="L559" s="17"/>
      <c r="M559" s="17"/>
      <c r="N559" s="17"/>
      <c r="O559" s="17"/>
      <c r="T559" s="240"/>
    </row>
    <row r="560">
      <c r="J560" s="370"/>
      <c r="K560" s="17"/>
      <c r="L560" s="17"/>
      <c r="M560" s="17"/>
      <c r="N560" s="17"/>
      <c r="O560" s="17"/>
      <c r="T560" s="240"/>
    </row>
    <row r="561">
      <c r="J561" s="370"/>
      <c r="K561" s="17"/>
      <c r="L561" s="17"/>
      <c r="M561" s="17"/>
      <c r="N561" s="17"/>
      <c r="O561" s="17"/>
      <c r="T561" s="240"/>
    </row>
    <row r="562">
      <c r="J562" s="370"/>
      <c r="K562" s="17"/>
      <c r="L562" s="17"/>
      <c r="M562" s="17"/>
      <c r="N562" s="17"/>
      <c r="O562" s="17"/>
      <c r="T562" s="240"/>
    </row>
    <row r="563">
      <c r="J563" s="370"/>
      <c r="K563" s="17"/>
      <c r="L563" s="17"/>
      <c r="M563" s="17"/>
      <c r="N563" s="17"/>
      <c r="O563" s="17"/>
      <c r="T563" s="240"/>
    </row>
    <row r="564">
      <c r="J564" s="370"/>
      <c r="K564" s="17"/>
      <c r="L564" s="17"/>
      <c r="M564" s="17"/>
      <c r="N564" s="17"/>
      <c r="O564" s="17"/>
      <c r="T564" s="240"/>
    </row>
    <row r="565">
      <c r="J565" s="370"/>
      <c r="K565" s="17"/>
      <c r="L565" s="17"/>
      <c r="M565" s="17"/>
      <c r="N565" s="17"/>
      <c r="O565" s="17"/>
      <c r="T565" s="240"/>
    </row>
    <row r="566">
      <c r="J566" s="370"/>
      <c r="K566" s="17"/>
      <c r="L566" s="17"/>
      <c r="M566" s="17"/>
      <c r="N566" s="17"/>
      <c r="O566" s="17"/>
      <c r="T566" s="240"/>
    </row>
    <row r="567">
      <c r="J567" s="370"/>
      <c r="K567" s="17"/>
      <c r="L567" s="17"/>
      <c r="M567" s="17"/>
      <c r="N567" s="17"/>
      <c r="O567" s="17"/>
      <c r="T567" s="240"/>
    </row>
    <row r="568">
      <c r="J568" s="370"/>
      <c r="K568" s="17"/>
      <c r="L568" s="17"/>
      <c r="M568" s="17"/>
      <c r="N568" s="17"/>
      <c r="O568" s="17"/>
      <c r="T568" s="240"/>
    </row>
    <row r="569">
      <c r="J569" s="370"/>
      <c r="K569" s="17"/>
      <c r="L569" s="17"/>
      <c r="M569" s="17"/>
      <c r="N569" s="17"/>
      <c r="O569" s="17"/>
      <c r="T569" s="240"/>
    </row>
    <row r="570">
      <c r="J570" s="370"/>
      <c r="K570" s="17"/>
      <c r="L570" s="17"/>
      <c r="M570" s="17"/>
      <c r="N570" s="17"/>
      <c r="O570" s="17"/>
      <c r="T570" s="240"/>
    </row>
    <row r="571">
      <c r="J571" s="370"/>
      <c r="K571" s="17"/>
      <c r="L571" s="17"/>
      <c r="M571" s="17"/>
      <c r="N571" s="17"/>
      <c r="O571" s="17"/>
      <c r="T571" s="240"/>
    </row>
    <row r="572">
      <c r="J572" s="370"/>
      <c r="K572" s="17"/>
      <c r="L572" s="17"/>
      <c r="M572" s="17"/>
      <c r="N572" s="17"/>
      <c r="O572" s="17"/>
      <c r="T572" s="240"/>
    </row>
    <row r="573">
      <c r="J573" s="370"/>
      <c r="K573" s="17"/>
      <c r="L573" s="17"/>
      <c r="M573" s="17"/>
      <c r="N573" s="17"/>
      <c r="O573" s="17"/>
      <c r="T573" s="240"/>
    </row>
    <row r="574">
      <c r="J574" s="370"/>
      <c r="K574" s="17"/>
      <c r="L574" s="17"/>
      <c r="M574" s="17"/>
      <c r="N574" s="17"/>
      <c r="O574" s="17"/>
      <c r="T574" s="240"/>
    </row>
    <row r="575">
      <c r="J575" s="370"/>
      <c r="K575" s="17"/>
      <c r="L575" s="17"/>
      <c r="M575" s="17"/>
      <c r="N575" s="17"/>
      <c r="O575" s="17"/>
      <c r="T575" s="240"/>
    </row>
    <row r="576">
      <c r="J576" s="370"/>
      <c r="K576" s="17"/>
      <c r="L576" s="17"/>
      <c r="M576" s="17"/>
      <c r="N576" s="17"/>
      <c r="O576" s="17"/>
      <c r="T576" s="240"/>
    </row>
    <row r="577">
      <c r="J577" s="370"/>
      <c r="K577" s="17"/>
      <c r="L577" s="17"/>
      <c r="M577" s="17"/>
      <c r="N577" s="17"/>
      <c r="O577" s="17"/>
      <c r="T577" s="240"/>
    </row>
    <row r="578">
      <c r="J578" s="370"/>
      <c r="K578" s="17"/>
      <c r="L578" s="17"/>
      <c r="M578" s="17"/>
      <c r="N578" s="17"/>
      <c r="O578" s="17"/>
      <c r="T578" s="240"/>
    </row>
    <row r="579">
      <c r="J579" s="370"/>
      <c r="K579" s="17"/>
      <c r="L579" s="17"/>
      <c r="M579" s="17"/>
      <c r="N579" s="17"/>
      <c r="O579" s="17"/>
      <c r="T579" s="240"/>
    </row>
    <row r="580">
      <c r="J580" s="370"/>
      <c r="K580" s="17"/>
      <c r="L580" s="17"/>
      <c r="M580" s="17"/>
      <c r="N580" s="17"/>
      <c r="O580" s="17"/>
      <c r="T580" s="240"/>
    </row>
    <row r="581">
      <c r="J581" s="370"/>
      <c r="K581" s="17"/>
      <c r="L581" s="17"/>
      <c r="M581" s="17"/>
      <c r="N581" s="17"/>
      <c r="O581" s="17"/>
      <c r="T581" s="240"/>
    </row>
    <row r="582">
      <c r="J582" s="370"/>
      <c r="K582" s="17"/>
      <c r="L582" s="17"/>
      <c r="M582" s="17"/>
      <c r="N582" s="17"/>
      <c r="O582" s="17"/>
      <c r="T582" s="240"/>
    </row>
    <row r="583">
      <c r="J583" s="370"/>
      <c r="K583" s="17"/>
      <c r="L583" s="17"/>
      <c r="M583" s="17"/>
      <c r="N583" s="17"/>
      <c r="O583" s="17"/>
      <c r="T583" s="240"/>
    </row>
    <row r="584">
      <c r="J584" s="370"/>
      <c r="K584" s="17"/>
      <c r="L584" s="17"/>
      <c r="M584" s="17"/>
      <c r="N584" s="17"/>
      <c r="O584" s="17"/>
      <c r="T584" s="240"/>
    </row>
    <row r="585">
      <c r="J585" s="370"/>
      <c r="K585" s="17"/>
      <c r="L585" s="17"/>
      <c r="M585" s="17"/>
      <c r="N585" s="17"/>
      <c r="O585" s="17"/>
      <c r="T585" s="240"/>
    </row>
    <row r="586">
      <c r="J586" s="370"/>
      <c r="K586" s="17"/>
      <c r="L586" s="17"/>
      <c r="M586" s="17"/>
      <c r="N586" s="17"/>
      <c r="O586" s="17"/>
      <c r="T586" s="240"/>
    </row>
    <row r="587">
      <c r="J587" s="370"/>
      <c r="K587" s="17"/>
      <c r="L587" s="17"/>
      <c r="M587" s="17"/>
      <c r="N587" s="17"/>
      <c r="O587" s="17"/>
      <c r="T587" s="240"/>
    </row>
    <row r="588">
      <c r="J588" s="370"/>
      <c r="K588" s="17"/>
      <c r="L588" s="17"/>
      <c r="M588" s="17"/>
      <c r="N588" s="17"/>
      <c r="O588" s="17"/>
      <c r="T588" s="240"/>
    </row>
    <row r="589">
      <c r="J589" s="370"/>
      <c r="K589" s="17"/>
      <c r="L589" s="17"/>
      <c r="M589" s="17"/>
      <c r="N589" s="17"/>
      <c r="O589" s="17"/>
      <c r="T589" s="240"/>
    </row>
    <row r="590">
      <c r="J590" s="370"/>
      <c r="K590" s="17"/>
      <c r="L590" s="17"/>
      <c r="M590" s="17"/>
      <c r="N590" s="17"/>
      <c r="O590" s="17"/>
      <c r="T590" s="240"/>
    </row>
    <row r="591">
      <c r="J591" s="370"/>
      <c r="K591" s="17"/>
      <c r="L591" s="17"/>
      <c r="M591" s="17"/>
      <c r="N591" s="17"/>
      <c r="O591" s="17"/>
      <c r="T591" s="240"/>
    </row>
    <row r="592">
      <c r="J592" s="370"/>
      <c r="K592" s="17"/>
      <c r="L592" s="17"/>
      <c r="M592" s="17"/>
      <c r="N592" s="17"/>
      <c r="O592" s="17"/>
      <c r="T592" s="240"/>
    </row>
    <row r="593">
      <c r="J593" s="370"/>
      <c r="K593" s="17"/>
      <c r="L593" s="17"/>
      <c r="M593" s="17"/>
      <c r="N593" s="17"/>
      <c r="O593" s="17"/>
      <c r="T593" s="240"/>
    </row>
    <row r="594">
      <c r="J594" s="370"/>
      <c r="K594" s="17"/>
      <c r="L594" s="17"/>
      <c r="M594" s="17"/>
      <c r="N594" s="17"/>
      <c r="O594" s="17"/>
      <c r="T594" s="240"/>
    </row>
    <row r="595">
      <c r="J595" s="370"/>
      <c r="K595" s="17"/>
      <c r="L595" s="17"/>
      <c r="M595" s="17"/>
      <c r="N595" s="17"/>
      <c r="O595" s="17"/>
      <c r="T595" s="240"/>
    </row>
    <row r="596">
      <c r="J596" s="370"/>
      <c r="K596" s="17"/>
      <c r="L596" s="17"/>
      <c r="M596" s="17"/>
      <c r="N596" s="17"/>
      <c r="O596" s="17"/>
      <c r="T596" s="240"/>
    </row>
    <row r="597">
      <c r="J597" s="370"/>
      <c r="K597" s="17"/>
      <c r="L597" s="17"/>
      <c r="M597" s="17"/>
      <c r="N597" s="17"/>
      <c r="O597" s="17"/>
      <c r="T597" s="240"/>
    </row>
    <row r="598">
      <c r="J598" s="370"/>
      <c r="K598" s="17"/>
      <c r="L598" s="17"/>
      <c r="M598" s="17"/>
      <c r="N598" s="17"/>
      <c r="O598" s="17"/>
      <c r="T598" s="240"/>
    </row>
    <row r="599">
      <c r="J599" s="370"/>
      <c r="K599" s="17"/>
      <c r="L599" s="17"/>
      <c r="M599" s="17"/>
      <c r="N599" s="17"/>
      <c r="O599" s="17"/>
      <c r="T599" s="240"/>
    </row>
    <row r="600">
      <c r="J600" s="370"/>
      <c r="K600" s="17"/>
      <c r="L600" s="17"/>
      <c r="M600" s="17"/>
      <c r="N600" s="17"/>
      <c r="O600" s="17"/>
      <c r="T600" s="240"/>
    </row>
    <row r="601">
      <c r="J601" s="370"/>
      <c r="K601" s="17"/>
      <c r="L601" s="17"/>
      <c r="M601" s="17"/>
      <c r="N601" s="17"/>
      <c r="O601" s="17"/>
      <c r="T601" s="240"/>
    </row>
    <row r="602">
      <c r="J602" s="370"/>
      <c r="K602" s="17"/>
      <c r="L602" s="17"/>
      <c r="M602" s="17"/>
      <c r="N602" s="17"/>
      <c r="O602" s="17"/>
      <c r="T602" s="240"/>
    </row>
    <row r="603">
      <c r="J603" s="370"/>
      <c r="K603" s="17"/>
      <c r="L603" s="17"/>
      <c r="M603" s="17"/>
      <c r="N603" s="17"/>
      <c r="O603" s="17"/>
      <c r="T603" s="240"/>
    </row>
    <row r="604">
      <c r="J604" s="370"/>
      <c r="K604" s="17"/>
      <c r="L604" s="17"/>
      <c r="M604" s="17"/>
      <c r="N604" s="17"/>
      <c r="O604" s="17"/>
      <c r="T604" s="240"/>
    </row>
    <row r="605">
      <c r="J605" s="370"/>
      <c r="K605" s="17"/>
      <c r="L605" s="17"/>
      <c r="M605" s="17"/>
      <c r="N605" s="17"/>
      <c r="O605" s="17"/>
      <c r="T605" s="240"/>
    </row>
    <row r="606">
      <c r="J606" s="370"/>
      <c r="K606" s="17"/>
      <c r="L606" s="17"/>
      <c r="M606" s="17"/>
      <c r="N606" s="17"/>
      <c r="O606" s="17"/>
      <c r="T606" s="240"/>
    </row>
    <row r="607">
      <c r="J607" s="370"/>
      <c r="K607" s="17"/>
      <c r="L607" s="17"/>
      <c r="M607" s="17"/>
      <c r="N607" s="17"/>
      <c r="O607" s="17"/>
      <c r="T607" s="240"/>
    </row>
    <row r="608">
      <c r="J608" s="370"/>
      <c r="K608" s="17"/>
      <c r="L608" s="17"/>
      <c r="M608" s="17"/>
      <c r="N608" s="17"/>
      <c r="O608" s="17"/>
      <c r="T608" s="240"/>
    </row>
    <row r="609">
      <c r="J609" s="370"/>
      <c r="K609" s="17"/>
      <c r="L609" s="17"/>
      <c r="M609" s="17"/>
      <c r="N609" s="17"/>
      <c r="O609" s="17"/>
      <c r="T609" s="240"/>
    </row>
    <row r="610">
      <c r="J610" s="370"/>
      <c r="K610" s="17"/>
      <c r="L610" s="17"/>
      <c r="M610" s="17"/>
      <c r="N610" s="17"/>
      <c r="O610" s="17"/>
      <c r="T610" s="240"/>
    </row>
    <row r="611">
      <c r="J611" s="370"/>
      <c r="K611" s="17"/>
      <c r="L611" s="17"/>
      <c r="M611" s="17"/>
      <c r="N611" s="17"/>
      <c r="O611" s="17"/>
      <c r="T611" s="240"/>
    </row>
    <row r="612">
      <c r="J612" s="370"/>
      <c r="K612" s="17"/>
      <c r="L612" s="17"/>
      <c r="M612" s="17"/>
      <c r="N612" s="17"/>
      <c r="O612" s="17"/>
      <c r="T612" s="240"/>
    </row>
    <row r="613">
      <c r="J613" s="370"/>
      <c r="K613" s="17"/>
      <c r="L613" s="17"/>
      <c r="M613" s="17"/>
      <c r="N613" s="17"/>
      <c r="O613" s="17"/>
      <c r="T613" s="240"/>
    </row>
    <row r="614">
      <c r="J614" s="370"/>
      <c r="K614" s="17"/>
      <c r="L614" s="17"/>
      <c r="M614" s="17"/>
      <c r="N614" s="17"/>
      <c r="O614" s="17"/>
      <c r="T614" s="240"/>
    </row>
    <row r="615">
      <c r="J615" s="370"/>
      <c r="K615" s="17"/>
      <c r="L615" s="17"/>
      <c r="M615" s="17"/>
      <c r="N615" s="17"/>
      <c r="O615" s="17"/>
      <c r="T615" s="240"/>
    </row>
    <row r="616">
      <c r="J616" s="370"/>
      <c r="K616" s="17"/>
      <c r="L616" s="17"/>
      <c r="M616" s="17"/>
      <c r="N616" s="17"/>
      <c r="O616" s="17"/>
      <c r="T616" s="240"/>
    </row>
    <row r="617">
      <c r="J617" s="370"/>
      <c r="K617" s="17"/>
      <c r="L617" s="17"/>
      <c r="M617" s="17"/>
      <c r="N617" s="17"/>
      <c r="O617" s="17"/>
      <c r="T617" s="240"/>
    </row>
    <row r="618">
      <c r="J618" s="370"/>
      <c r="K618" s="17"/>
      <c r="L618" s="17"/>
      <c r="M618" s="17"/>
      <c r="N618" s="17"/>
      <c r="O618" s="17"/>
      <c r="T618" s="240"/>
    </row>
    <row r="619">
      <c r="J619" s="370"/>
      <c r="K619" s="17"/>
      <c r="L619" s="17"/>
      <c r="M619" s="17"/>
      <c r="N619" s="17"/>
      <c r="O619" s="17"/>
      <c r="T619" s="240"/>
    </row>
    <row r="620">
      <c r="J620" s="370"/>
      <c r="K620" s="17"/>
      <c r="L620" s="17"/>
      <c r="M620" s="17"/>
      <c r="N620" s="17"/>
      <c r="O620" s="17"/>
      <c r="T620" s="240"/>
    </row>
    <row r="621">
      <c r="J621" s="370"/>
      <c r="K621" s="17"/>
      <c r="L621" s="17"/>
      <c r="M621" s="17"/>
      <c r="N621" s="17"/>
      <c r="O621" s="17"/>
      <c r="T621" s="240"/>
    </row>
    <row r="622">
      <c r="J622" s="370"/>
      <c r="K622" s="17"/>
      <c r="L622" s="17"/>
      <c r="M622" s="17"/>
      <c r="N622" s="17"/>
      <c r="O622" s="17"/>
      <c r="T622" s="240"/>
    </row>
    <row r="623">
      <c r="J623" s="370"/>
      <c r="K623" s="17"/>
      <c r="L623" s="17"/>
      <c r="M623" s="17"/>
      <c r="N623" s="17"/>
      <c r="O623" s="17"/>
      <c r="T623" s="240"/>
    </row>
    <row r="624">
      <c r="J624" s="370"/>
      <c r="K624" s="17"/>
      <c r="L624" s="17"/>
      <c r="M624" s="17"/>
      <c r="N624" s="17"/>
      <c r="O624" s="17"/>
      <c r="T624" s="240"/>
    </row>
    <row r="625">
      <c r="J625" s="370"/>
      <c r="K625" s="17"/>
      <c r="L625" s="17"/>
      <c r="M625" s="17"/>
      <c r="N625" s="17"/>
      <c r="O625" s="17"/>
      <c r="T625" s="240"/>
    </row>
    <row r="626">
      <c r="J626" s="370"/>
      <c r="K626" s="17"/>
      <c r="L626" s="17"/>
      <c r="M626" s="17"/>
      <c r="N626" s="17"/>
      <c r="O626" s="17"/>
      <c r="T626" s="240"/>
    </row>
    <row r="627">
      <c r="J627" s="370"/>
      <c r="K627" s="17"/>
      <c r="L627" s="17"/>
      <c r="M627" s="17"/>
      <c r="N627" s="17"/>
      <c r="O627" s="17"/>
      <c r="T627" s="240"/>
    </row>
    <row r="628">
      <c r="J628" s="370"/>
      <c r="K628" s="17"/>
      <c r="L628" s="17"/>
      <c r="M628" s="17"/>
      <c r="N628" s="17"/>
      <c r="O628" s="17"/>
      <c r="T628" s="240"/>
    </row>
    <row r="629">
      <c r="J629" s="370"/>
      <c r="K629" s="17"/>
      <c r="L629" s="17"/>
      <c r="M629" s="17"/>
      <c r="N629" s="17"/>
      <c r="O629" s="17"/>
      <c r="T629" s="240"/>
    </row>
    <row r="630">
      <c r="J630" s="370"/>
      <c r="K630" s="17"/>
      <c r="L630" s="17"/>
      <c r="M630" s="17"/>
      <c r="N630" s="17"/>
      <c r="O630" s="17"/>
      <c r="T630" s="240"/>
    </row>
    <row r="631">
      <c r="J631" s="370"/>
      <c r="K631" s="17"/>
      <c r="L631" s="17"/>
      <c r="M631" s="17"/>
      <c r="N631" s="17"/>
      <c r="O631" s="17"/>
      <c r="T631" s="240"/>
    </row>
    <row r="632">
      <c r="J632" s="370"/>
      <c r="K632" s="17"/>
      <c r="L632" s="17"/>
      <c r="M632" s="17"/>
      <c r="N632" s="17"/>
      <c r="O632" s="17"/>
      <c r="T632" s="240"/>
    </row>
    <row r="633">
      <c r="J633" s="370"/>
      <c r="K633" s="17"/>
      <c r="L633" s="17"/>
      <c r="M633" s="17"/>
      <c r="N633" s="17"/>
      <c r="O633" s="17"/>
      <c r="T633" s="240"/>
    </row>
    <row r="634">
      <c r="J634" s="370"/>
      <c r="K634" s="17"/>
      <c r="L634" s="17"/>
      <c r="M634" s="17"/>
      <c r="N634" s="17"/>
      <c r="O634" s="17"/>
      <c r="T634" s="240"/>
    </row>
    <row r="635">
      <c r="J635" s="370"/>
      <c r="K635" s="17"/>
      <c r="L635" s="17"/>
      <c r="M635" s="17"/>
      <c r="N635" s="17"/>
      <c r="O635" s="17"/>
      <c r="T635" s="240"/>
    </row>
    <row r="636">
      <c r="J636" s="370"/>
      <c r="K636" s="17"/>
      <c r="L636" s="17"/>
      <c r="M636" s="17"/>
      <c r="N636" s="17"/>
      <c r="O636" s="17"/>
      <c r="T636" s="240"/>
    </row>
    <row r="637">
      <c r="J637" s="370"/>
      <c r="K637" s="17"/>
      <c r="L637" s="17"/>
      <c r="M637" s="17"/>
      <c r="N637" s="17"/>
      <c r="O637" s="17"/>
      <c r="T637" s="240"/>
    </row>
    <row r="638">
      <c r="J638" s="370"/>
      <c r="K638" s="17"/>
      <c r="L638" s="17"/>
      <c r="M638" s="17"/>
      <c r="N638" s="17"/>
      <c r="O638" s="17"/>
      <c r="T638" s="240"/>
    </row>
    <row r="639">
      <c r="J639" s="370"/>
      <c r="K639" s="17"/>
      <c r="L639" s="17"/>
      <c r="M639" s="17"/>
      <c r="N639" s="17"/>
      <c r="O639" s="17"/>
      <c r="T639" s="240"/>
    </row>
    <row r="640">
      <c r="J640" s="370"/>
      <c r="K640" s="17"/>
      <c r="L640" s="17"/>
      <c r="M640" s="17"/>
      <c r="N640" s="17"/>
      <c r="O640" s="17"/>
      <c r="T640" s="240"/>
    </row>
    <row r="641">
      <c r="J641" s="370"/>
      <c r="K641" s="17"/>
      <c r="L641" s="17"/>
      <c r="M641" s="17"/>
      <c r="N641" s="17"/>
      <c r="O641" s="17"/>
      <c r="T641" s="240"/>
    </row>
    <row r="642">
      <c r="J642" s="370"/>
      <c r="K642" s="17"/>
      <c r="L642" s="17"/>
      <c r="M642" s="17"/>
      <c r="N642" s="17"/>
      <c r="O642" s="17"/>
      <c r="T642" s="240"/>
    </row>
    <row r="643">
      <c r="J643" s="370"/>
      <c r="K643" s="17"/>
      <c r="L643" s="17"/>
      <c r="M643" s="17"/>
      <c r="N643" s="17"/>
      <c r="O643" s="17"/>
      <c r="T643" s="240"/>
    </row>
    <row r="644">
      <c r="J644" s="370"/>
      <c r="K644" s="17"/>
      <c r="L644" s="17"/>
      <c r="M644" s="17"/>
      <c r="N644" s="17"/>
      <c r="O644" s="17"/>
      <c r="T644" s="240"/>
    </row>
    <row r="645">
      <c r="J645" s="370"/>
      <c r="K645" s="17"/>
      <c r="L645" s="17"/>
      <c r="M645" s="17"/>
      <c r="N645" s="17"/>
      <c r="O645" s="17"/>
      <c r="T645" s="240"/>
    </row>
    <row r="646">
      <c r="J646" s="370"/>
      <c r="K646" s="17"/>
      <c r="L646" s="17"/>
      <c r="M646" s="17"/>
      <c r="N646" s="17"/>
      <c r="O646" s="17"/>
      <c r="T646" s="240"/>
    </row>
    <row r="647">
      <c r="J647" s="370"/>
      <c r="K647" s="17"/>
      <c r="L647" s="17"/>
      <c r="M647" s="17"/>
      <c r="N647" s="17"/>
      <c r="O647" s="17"/>
      <c r="T647" s="240"/>
    </row>
    <row r="648">
      <c r="J648" s="370"/>
      <c r="K648" s="17"/>
      <c r="L648" s="17"/>
      <c r="M648" s="17"/>
      <c r="N648" s="17"/>
      <c r="O648" s="17"/>
      <c r="T648" s="240"/>
    </row>
    <row r="649">
      <c r="J649" s="370"/>
      <c r="K649" s="17"/>
      <c r="L649" s="17"/>
      <c r="M649" s="17"/>
      <c r="N649" s="17"/>
      <c r="O649" s="17"/>
      <c r="T649" s="240"/>
    </row>
    <row r="650">
      <c r="J650" s="370"/>
      <c r="K650" s="17"/>
      <c r="L650" s="17"/>
      <c r="M650" s="17"/>
      <c r="N650" s="17"/>
      <c r="O650" s="17"/>
      <c r="T650" s="240"/>
    </row>
    <row r="651">
      <c r="J651" s="370"/>
      <c r="K651" s="17"/>
      <c r="L651" s="17"/>
      <c r="M651" s="17"/>
      <c r="N651" s="17"/>
      <c r="O651" s="17"/>
      <c r="T651" s="240"/>
    </row>
    <row r="652">
      <c r="J652" s="370"/>
      <c r="K652" s="17"/>
      <c r="L652" s="17"/>
      <c r="M652" s="17"/>
      <c r="N652" s="17"/>
      <c r="O652" s="17"/>
      <c r="T652" s="240"/>
    </row>
    <row r="653">
      <c r="J653" s="370"/>
      <c r="K653" s="17"/>
      <c r="L653" s="17"/>
      <c r="M653" s="17"/>
      <c r="N653" s="17"/>
      <c r="O653" s="17"/>
      <c r="T653" s="240"/>
    </row>
    <row r="654">
      <c r="J654" s="370"/>
      <c r="K654" s="17"/>
      <c r="L654" s="17"/>
      <c r="M654" s="17"/>
      <c r="N654" s="17"/>
      <c r="O654" s="17"/>
      <c r="T654" s="240"/>
    </row>
    <row r="655">
      <c r="J655" s="370"/>
      <c r="K655" s="17"/>
      <c r="L655" s="17"/>
      <c r="M655" s="17"/>
      <c r="N655" s="17"/>
      <c r="O655" s="17"/>
      <c r="T655" s="240"/>
    </row>
    <row r="656">
      <c r="J656" s="370"/>
      <c r="K656" s="17"/>
      <c r="L656" s="17"/>
      <c r="M656" s="17"/>
      <c r="N656" s="17"/>
      <c r="O656" s="17"/>
      <c r="T656" s="240"/>
    </row>
    <row r="657">
      <c r="J657" s="370"/>
      <c r="K657" s="17"/>
      <c r="L657" s="17"/>
      <c r="M657" s="17"/>
      <c r="N657" s="17"/>
      <c r="O657" s="17"/>
      <c r="T657" s="240"/>
    </row>
    <row r="658">
      <c r="J658" s="370"/>
      <c r="K658" s="17"/>
      <c r="L658" s="17"/>
      <c r="M658" s="17"/>
      <c r="N658" s="17"/>
      <c r="O658" s="17"/>
      <c r="T658" s="240"/>
    </row>
    <row r="659">
      <c r="J659" s="370"/>
      <c r="K659" s="17"/>
      <c r="L659" s="17"/>
      <c r="M659" s="17"/>
      <c r="N659" s="17"/>
      <c r="O659" s="17"/>
      <c r="T659" s="240"/>
    </row>
    <row r="660">
      <c r="J660" s="370"/>
      <c r="K660" s="17"/>
      <c r="L660" s="17"/>
      <c r="M660" s="17"/>
      <c r="N660" s="17"/>
      <c r="O660" s="17"/>
      <c r="T660" s="240"/>
    </row>
    <row r="661">
      <c r="J661" s="370"/>
      <c r="K661" s="17"/>
      <c r="L661" s="17"/>
      <c r="M661" s="17"/>
      <c r="N661" s="17"/>
      <c r="O661" s="17"/>
      <c r="T661" s="240"/>
    </row>
    <row r="662">
      <c r="J662" s="370"/>
      <c r="K662" s="17"/>
      <c r="L662" s="17"/>
      <c r="M662" s="17"/>
      <c r="N662" s="17"/>
      <c r="O662" s="17"/>
      <c r="T662" s="240"/>
    </row>
    <row r="663">
      <c r="J663" s="370"/>
      <c r="K663" s="17"/>
      <c r="L663" s="17"/>
      <c r="M663" s="17"/>
      <c r="N663" s="17"/>
      <c r="O663" s="17"/>
      <c r="T663" s="240"/>
    </row>
    <row r="664">
      <c r="J664" s="370"/>
      <c r="K664" s="17"/>
      <c r="L664" s="17"/>
      <c r="M664" s="17"/>
      <c r="N664" s="17"/>
      <c r="O664" s="17"/>
      <c r="T664" s="240"/>
    </row>
    <row r="665">
      <c r="J665" s="370"/>
      <c r="K665" s="17"/>
      <c r="L665" s="17"/>
      <c r="M665" s="17"/>
      <c r="N665" s="17"/>
      <c r="O665" s="17"/>
      <c r="T665" s="240"/>
    </row>
    <row r="666">
      <c r="J666" s="370"/>
      <c r="K666" s="17"/>
      <c r="L666" s="17"/>
      <c r="M666" s="17"/>
      <c r="N666" s="17"/>
      <c r="O666" s="17"/>
      <c r="T666" s="240"/>
    </row>
    <row r="667">
      <c r="J667" s="370"/>
      <c r="K667" s="17"/>
      <c r="L667" s="17"/>
      <c r="M667" s="17"/>
      <c r="N667" s="17"/>
      <c r="O667" s="17"/>
      <c r="T667" s="240"/>
    </row>
    <row r="668">
      <c r="J668" s="370"/>
      <c r="K668" s="17"/>
      <c r="L668" s="17"/>
      <c r="M668" s="17"/>
      <c r="N668" s="17"/>
      <c r="O668" s="17"/>
      <c r="T668" s="240"/>
    </row>
    <row r="669">
      <c r="J669" s="370"/>
      <c r="K669" s="17"/>
      <c r="L669" s="17"/>
      <c r="M669" s="17"/>
      <c r="N669" s="17"/>
      <c r="O669" s="17"/>
      <c r="T669" s="240"/>
    </row>
    <row r="670">
      <c r="J670" s="370"/>
      <c r="K670" s="17"/>
      <c r="L670" s="17"/>
      <c r="M670" s="17"/>
      <c r="N670" s="17"/>
      <c r="O670" s="17"/>
      <c r="T670" s="240"/>
    </row>
    <row r="671">
      <c r="J671" s="370"/>
      <c r="K671" s="17"/>
      <c r="L671" s="17"/>
      <c r="M671" s="17"/>
      <c r="N671" s="17"/>
      <c r="O671" s="17"/>
      <c r="T671" s="240"/>
    </row>
    <row r="672">
      <c r="J672" s="370"/>
      <c r="K672" s="17"/>
      <c r="L672" s="17"/>
      <c r="M672" s="17"/>
      <c r="N672" s="17"/>
      <c r="O672" s="17"/>
      <c r="T672" s="240"/>
    </row>
    <row r="673">
      <c r="J673" s="370"/>
      <c r="K673" s="17"/>
      <c r="L673" s="17"/>
      <c r="M673" s="17"/>
      <c r="N673" s="17"/>
      <c r="O673" s="17"/>
      <c r="T673" s="240"/>
    </row>
    <row r="674">
      <c r="J674" s="370"/>
      <c r="K674" s="17"/>
      <c r="L674" s="17"/>
      <c r="M674" s="17"/>
      <c r="N674" s="17"/>
      <c r="O674" s="17"/>
      <c r="T674" s="240"/>
    </row>
    <row r="675">
      <c r="J675" s="370"/>
      <c r="K675" s="17"/>
      <c r="L675" s="17"/>
      <c r="M675" s="17"/>
      <c r="N675" s="17"/>
      <c r="O675" s="17"/>
      <c r="T675" s="240"/>
    </row>
    <row r="676">
      <c r="J676" s="370"/>
      <c r="K676" s="17"/>
      <c r="L676" s="17"/>
      <c r="M676" s="17"/>
      <c r="N676" s="17"/>
      <c r="O676" s="17"/>
      <c r="T676" s="240"/>
    </row>
    <row r="677">
      <c r="J677" s="370"/>
      <c r="K677" s="17"/>
      <c r="L677" s="17"/>
      <c r="M677" s="17"/>
      <c r="N677" s="17"/>
      <c r="O677" s="17"/>
      <c r="T677" s="240"/>
    </row>
    <row r="678">
      <c r="J678" s="370"/>
      <c r="K678" s="17"/>
      <c r="L678" s="17"/>
      <c r="M678" s="17"/>
      <c r="N678" s="17"/>
      <c r="O678" s="17"/>
      <c r="T678" s="240"/>
    </row>
    <row r="679">
      <c r="J679" s="370"/>
      <c r="K679" s="17"/>
      <c r="L679" s="17"/>
      <c r="M679" s="17"/>
      <c r="N679" s="17"/>
      <c r="O679" s="17"/>
      <c r="T679" s="240"/>
    </row>
    <row r="680">
      <c r="J680" s="370"/>
      <c r="K680" s="17"/>
      <c r="L680" s="17"/>
      <c r="M680" s="17"/>
      <c r="N680" s="17"/>
      <c r="O680" s="17"/>
      <c r="T680" s="240"/>
    </row>
    <row r="681">
      <c r="J681" s="370"/>
      <c r="K681" s="17"/>
      <c r="L681" s="17"/>
      <c r="M681" s="17"/>
      <c r="N681" s="17"/>
      <c r="O681" s="17"/>
      <c r="T681" s="240"/>
    </row>
    <row r="682">
      <c r="J682" s="370"/>
      <c r="K682" s="17"/>
      <c r="L682" s="17"/>
      <c r="M682" s="17"/>
      <c r="N682" s="17"/>
      <c r="O682" s="17"/>
      <c r="T682" s="240"/>
    </row>
    <row r="683">
      <c r="J683" s="370"/>
      <c r="K683" s="17"/>
      <c r="L683" s="17"/>
      <c r="M683" s="17"/>
      <c r="N683" s="17"/>
      <c r="O683" s="17"/>
      <c r="T683" s="240"/>
    </row>
    <row r="684">
      <c r="J684" s="370"/>
      <c r="K684" s="17"/>
      <c r="L684" s="17"/>
      <c r="M684" s="17"/>
      <c r="N684" s="17"/>
      <c r="O684" s="17"/>
      <c r="T684" s="240"/>
    </row>
    <row r="685">
      <c r="J685" s="370"/>
      <c r="K685" s="17"/>
      <c r="L685" s="17"/>
      <c r="M685" s="17"/>
      <c r="N685" s="17"/>
      <c r="O685" s="17"/>
      <c r="T685" s="240"/>
    </row>
    <row r="686">
      <c r="J686" s="370"/>
      <c r="K686" s="17"/>
      <c r="L686" s="17"/>
      <c r="M686" s="17"/>
      <c r="N686" s="17"/>
      <c r="O686" s="17"/>
      <c r="T686" s="240"/>
    </row>
    <row r="687">
      <c r="J687" s="370"/>
      <c r="K687" s="17"/>
      <c r="L687" s="17"/>
      <c r="M687" s="17"/>
      <c r="N687" s="17"/>
      <c r="O687" s="17"/>
      <c r="T687" s="240"/>
    </row>
    <row r="688">
      <c r="J688" s="370"/>
      <c r="K688" s="17"/>
      <c r="L688" s="17"/>
      <c r="M688" s="17"/>
      <c r="N688" s="17"/>
      <c r="O688" s="17"/>
      <c r="T688" s="240"/>
    </row>
    <row r="689">
      <c r="J689" s="370"/>
      <c r="K689" s="17"/>
      <c r="L689" s="17"/>
      <c r="M689" s="17"/>
      <c r="N689" s="17"/>
      <c r="O689" s="17"/>
      <c r="T689" s="240"/>
    </row>
    <row r="690">
      <c r="J690" s="370"/>
      <c r="K690" s="17"/>
      <c r="L690" s="17"/>
      <c r="M690" s="17"/>
      <c r="N690" s="17"/>
      <c r="O690" s="17"/>
      <c r="T690" s="240"/>
    </row>
    <row r="691">
      <c r="J691" s="370"/>
      <c r="K691" s="17"/>
      <c r="L691" s="17"/>
      <c r="M691" s="17"/>
      <c r="N691" s="17"/>
      <c r="O691" s="17"/>
      <c r="T691" s="240"/>
    </row>
    <row r="692">
      <c r="J692" s="370"/>
      <c r="K692" s="17"/>
      <c r="L692" s="17"/>
      <c r="M692" s="17"/>
      <c r="N692" s="17"/>
      <c r="O692" s="17"/>
      <c r="T692" s="240"/>
    </row>
    <row r="693">
      <c r="J693" s="370"/>
      <c r="K693" s="17"/>
      <c r="L693" s="17"/>
      <c r="M693" s="17"/>
      <c r="N693" s="17"/>
      <c r="O693" s="17"/>
      <c r="T693" s="240"/>
    </row>
    <row r="694">
      <c r="J694" s="370"/>
      <c r="K694" s="17"/>
      <c r="L694" s="17"/>
      <c r="M694" s="17"/>
      <c r="N694" s="17"/>
      <c r="O694" s="17"/>
      <c r="T694" s="240"/>
    </row>
    <row r="695">
      <c r="J695" s="370"/>
      <c r="K695" s="17"/>
      <c r="L695" s="17"/>
      <c r="M695" s="17"/>
      <c r="N695" s="17"/>
      <c r="O695" s="17"/>
      <c r="T695" s="240"/>
    </row>
    <row r="696">
      <c r="J696" s="370"/>
      <c r="K696" s="17"/>
      <c r="L696" s="17"/>
      <c r="M696" s="17"/>
      <c r="N696" s="17"/>
      <c r="O696" s="17"/>
      <c r="T696" s="240"/>
    </row>
    <row r="697">
      <c r="J697" s="370"/>
      <c r="K697" s="17"/>
      <c r="L697" s="17"/>
      <c r="M697" s="17"/>
      <c r="N697" s="17"/>
      <c r="O697" s="17"/>
      <c r="T697" s="240"/>
    </row>
    <row r="698">
      <c r="J698" s="370"/>
      <c r="K698" s="17"/>
      <c r="L698" s="17"/>
      <c r="M698" s="17"/>
      <c r="N698" s="17"/>
      <c r="O698" s="17"/>
      <c r="T698" s="240"/>
    </row>
    <row r="699">
      <c r="J699" s="370"/>
      <c r="K699" s="17"/>
      <c r="L699" s="17"/>
      <c r="M699" s="17"/>
      <c r="N699" s="17"/>
      <c r="O699" s="17"/>
      <c r="T699" s="240"/>
    </row>
    <row r="700">
      <c r="J700" s="370"/>
      <c r="K700" s="17"/>
      <c r="L700" s="17"/>
      <c r="M700" s="17"/>
      <c r="N700" s="17"/>
      <c r="O700" s="17"/>
      <c r="T700" s="240"/>
    </row>
    <row r="701">
      <c r="J701" s="370"/>
      <c r="K701" s="17"/>
      <c r="L701" s="17"/>
      <c r="M701" s="17"/>
      <c r="N701" s="17"/>
      <c r="O701" s="17"/>
      <c r="T701" s="240"/>
    </row>
    <row r="702">
      <c r="J702" s="370"/>
      <c r="K702" s="17"/>
      <c r="L702" s="17"/>
      <c r="M702" s="17"/>
      <c r="N702" s="17"/>
      <c r="O702" s="17"/>
      <c r="T702" s="240"/>
    </row>
    <row r="703">
      <c r="J703" s="370"/>
      <c r="K703" s="17"/>
      <c r="L703" s="17"/>
      <c r="M703" s="17"/>
      <c r="N703" s="17"/>
      <c r="O703" s="17"/>
      <c r="T703" s="240"/>
    </row>
    <row r="704">
      <c r="J704" s="370"/>
      <c r="K704" s="17"/>
      <c r="L704" s="17"/>
      <c r="M704" s="17"/>
      <c r="N704" s="17"/>
      <c r="O704" s="17"/>
      <c r="T704" s="240"/>
    </row>
    <row r="705">
      <c r="J705" s="370"/>
      <c r="K705" s="17"/>
      <c r="L705" s="17"/>
      <c r="M705" s="17"/>
      <c r="N705" s="17"/>
      <c r="O705" s="17"/>
      <c r="T705" s="240"/>
    </row>
    <row r="706">
      <c r="J706" s="370"/>
      <c r="K706" s="17"/>
      <c r="L706" s="17"/>
      <c r="M706" s="17"/>
      <c r="N706" s="17"/>
      <c r="O706" s="17"/>
      <c r="T706" s="240"/>
    </row>
    <row r="707">
      <c r="J707" s="370"/>
      <c r="K707" s="17"/>
      <c r="L707" s="17"/>
      <c r="M707" s="17"/>
      <c r="N707" s="17"/>
      <c r="O707" s="17"/>
      <c r="T707" s="240"/>
    </row>
    <row r="708">
      <c r="J708" s="370"/>
      <c r="K708" s="17"/>
      <c r="L708" s="17"/>
      <c r="M708" s="17"/>
      <c r="N708" s="17"/>
      <c r="O708" s="17"/>
      <c r="T708" s="240"/>
    </row>
    <row r="709">
      <c r="J709" s="370"/>
      <c r="K709" s="17"/>
      <c r="L709" s="17"/>
      <c r="M709" s="17"/>
      <c r="N709" s="17"/>
      <c r="O709" s="17"/>
      <c r="T709" s="240"/>
    </row>
    <row r="710">
      <c r="J710" s="370"/>
      <c r="K710" s="17"/>
      <c r="L710" s="17"/>
      <c r="M710" s="17"/>
      <c r="N710" s="17"/>
      <c r="O710" s="17"/>
      <c r="T710" s="240"/>
    </row>
    <row r="711">
      <c r="J711" s="370"/>
      <c r="K711" s="17"/>
      <c r="L711" s="17"/>
      <c r="M711" s="17"/>
      <c r="N711" s="17"/>
      <c r="O711" s="17"/>
      <c r="T711" s="240"/>
    </row>
    <row r="712">
      <c r="J712" s="370"/>
      <c r="K712" s="17"/>
      <c r="L712" s="17"/>
      <c r="M712" s="17"/>
      <c r="N712" s="17"/>
      <c r="O712" s="17"/>
      <c r="T712" s="240"/>
    </row>
    <row r="713">
      <c r="J713" s="370"/>
      <c r="K713" s="17"/>
      <c r="L713" s="17"/>
      <c r="M713" s="17"/>
      <c r="N713" s="17"/>
      <c r="O713" s="17"/>
      <c r="T713" s="240"/>
    </row>
    <row r="714">
      <c r="J714" s="370"/>
      <c r="K714" s="17"/>
      <c r="L714" s="17"/>
      <c r="M714" s="17"/>
      <c r="N714" s="17"/>
      <c r="O714" s="17"/>
      <c r="T714" s="240"/>
    </row>
    <row r="715">
      <c r="J715" s="370"/>
      <c r="K715" s="17"/>
      <c r="L715" s="17"/>
      <c r="M715" s="17"/>
      <c r="N715" s="17"/>
      <c r="O715" s="17"/>
      <c r="T715" s="240"/>
    </row>
    <row r="716">
      <c r="J716" s="370"/>
      <c r="K716" s="17"/>
      <c r="L716" s="17"/>
      <c r="M716" s="17"/>
      <c r="N716" s="17"/>
      <c r="O716" s="17"/>
      <c r="T716" s="240"/>
    </row>
    <row r="717">
      <c r="J717" s="370"/>
      <c r="K717" s="17"/>
      <c r="L717" s="17"/>
      <c r="M717" s="17"/>
      <c r="N717" s="17"/>
      <c r="O717" s="17"/>
      <c r="T717" s="240"/>
    </row>
    <row r="718">
      <c r="J718" s="370"/>
      <c r="K718" s="17"/>
      <c r="L718" s="17"/>
      <c r="M718" s="17"/>
      <c r="N718" s="17"/>
      <c r="O718" s="17"/>
      <c r="T718" s="240"/>
    </row>
    <row r="719">
      <c r="J719" s="370"/>
      <c r="K719" s="17"/>
      <c r="L719" s="17"/>
      <c r="M719" s="17"/>
      <c r="N719" s="17"/>
      <c r="O719" s="17"/>
      <c r="T719" s="240"/>
    </row>
    <row r="720">
      <c r="J720" s="370"/>
      <c r="K720" s="17"/>
      <c r="L720" s="17"/>
      <c r="M720" s="17"/>
      <c r="N720" s="17"/>
      <c r="O720" s="17"/>
      <c r="T720" s="240"/>
    </row>
    <row r="721">
      <c r="J721" s="370"/>
      <c r="K721" s="17"/>
      <c r="L721" s="17"/>
      <c r="M721" s="17"/>
      <c r="N721" s="17"/>
      <c r="O721" s="17"/>
      <c r="T721" s="240"/>
    </row>
    <row r="722">
      <c r="J722" s="370"/>
      <c r="K722" s="17"/>
      <c r="L722" s="17"/>
      <c r="M722" s="17"/>
      <c r="N722" s="17"/>
      <c r="O722" s="17"/>
      <c r="T722" s="240"/>
    </row>
    <row r="723">
      <c r="J723" s="370"/>
      <c r="K723" s="17"/>
      <c r="L723" s="17"/>
      <c r="M723" s="17"/>
      <c r="N723" s="17"/>
      <c r="O723" s="17"/>
      <c r="T723" s="240"/>
    </row>
    <row r="724">
      <c r="J724" s="370"/>
      <c r="K724" s="17"/>
      <c r="L724" s="17"/>
      <c r="M724" s="17"/>
      <c r="N724" s="17"/>
      <c r="O724" s="17"/>
      <c r="T724" s="240"/>
    </row>
    <row r="725">
      <c r="J725" s="370"/>
      <c r="K725" s="17"/>
      <c r="L725" s="17"/>
      <c r="M725" s="17"/>
      <c r="N725" s="17"/>
      <c r="O725" s="17"/>
      <c r="T725" s="240"/>
    </row>
    <row r="726">
      <c r="J726" s="370"/>
      <c r="K726" s="17"/>
      <c r="L726" s="17"/>
      <c r="M726" s="17"/>
      <c r="N726" s="17"/>
      <c r="O726" s="17"/>
      <c r="T726" s="240"/>
    </row>
    <row r="727">
      <c r="J727" s="370"/>
      <c r="K727" s="17"/>
      <c r="L727" s="17"/>
      <c r="M727" s="17"/>
      <c r="N727" s="17"/>
      <c r="O727" s="17"/>
      <c r="T727" s="240"/>
    </row>
    <row r="728">
      <c r="J728" s="370"/>
      <c r="K728" s="17"/>
      <c r="L728" s="17"/>
      <c r="M728" s="17"/>
      <c r="N728" s="17"/>
      <c r="O728" s="17"/>
      <c r="T728" s="240"/>
    </row>
    <row r="729">
      <c r="J729" s="370"/>
      <c r="K729" s="17"/>
      <c r="L729" s="17"/>
      <c r="M729" s="17"/>
      <c r="N729" s="17"/>
      <c r="O729" s="17"/>
      <c r="T729" s="240"/>
    </row>
    <row r="730">
      <c r="J730" s="370"/>
      <c r="K730" s="17"/>
      <c r="L730" s="17"/>
      <c r="M730" s="17"/>
      <c r="N730" s="17"/>
      <c r="O730" s="17"/>
      <c r="T730" s="240"/>
    </row>
    <row r="731">
      <c r="J731" s="370"/>
      <c r="K731" s="17"/>
      <c r="L731" s="17"/>
      <c r="M731" s="17"/>
      <c r="N731" s="17"/>
      <c r="O731" s="17"/>
      <c r="T731" s="240"/>
    </row>
    <row r="732">
      <c r="J732" s="370"/>
      <c r="K732" s="17"/>
      <c r="L732" s="17"/>
      <c r="M732" s="17"/>
      <c r="N732" s="17"/>
      <c r="O732" s="17"/>
      <c r="T732" s="240"/>
    </row>
    <row r="733">
      <c r="J733" s="370"/>
      <c r="K733" s="17"/>
      <c r="L733" s="17"/>
      <c r="M733" s="17"/>
      <c r="N733" s="17"/>
      <c r="O733" s="17"/>
      <c r="T733" s="240"/>
    </row>
    <row r="734">
      <c r="J734" s="370"/>
      <c r="K734" s="17"/>
      <c r="L734" s="17"/>
      <c r="M734" s="17"/>
      <c r="N734" s="17"/>
      <c r="O734" s="17"/>
      <c r="T734" s="240"/>
    </row>
    <row r="735">
      <c r="J735" s="370"/>
      <c r="K735" s="17"/>
      <c r="L735" s="17"/>
      <c r="M735" s="17"/>
      <c r="N735" s="17"/>
      <c r="O735" s="17"/>
      <c r="T735" s="240"/>
    </row>
    <row r="736">
      <c r="J736" s="370"/>
      <c r="K736" s="17"/>
      <c r="L736" s="17"/>
      <c r="M736" s="17"/>
      <c r="N736" s="17"/>
      <c r="O736" s="17"/>
      <c r="T736" s="240"/>
    </row>
    <row r="737">
      <c r="J737" s="370"/>
      <c r="K737" s="17"/>
      <c r="L737" s="17"/>
      <c r="M737" s="17"/>
      <c r="N737" s="17"/>
      <c r="O737" s="17"/>
      <c r="T737" s="240"/>
    </row>
    <row r="738">
      <c r="J738" s="370"/>
      <c r="K738" s="17"/>
      <c r="L738" s="17"/>
      <c r="M738" s="17"/>
      <c r="N738" s="17"/>
      <c r="O738" s="17"/>
      <c r="T738" s="240"/>
    </row>
    <row r="739">
      <c r="J739" s="370"/>
      <c r="K739" s="17"/>
      <c r="L739" s="17"/>
      <c r="M739" s="17"/>
      <c r="N739" s="17"/>
      <c r="O739" s="17"/>
      <c r="T739" s="240"/>
    </row>
    <row r="740">
      <c r="J740" s="370"/>
      <c r="K740" s="17"/>
      <c r="L740" s="17"/>
      <c r="M740" s="17"/>
      <c r="N740" s="17"/>
      <c r="O740" s="17"/>
      <c r="T740" s="240"/>
    </row>
    <row r="741">
      <c r="J741" s="370"/>
      <c r="K741" s="17"/>
      <c r="L741" s="17"/>
      <c r="M741" s="17"/>
      <c r="N741" s="17"/>
      <c r="O741" s="17"/>
      <c r="T741" s="240"/>
    </row>
    <row r="742">
      <c r="J742" s="370"/>
      <c r="K742" s="17"/>
      <c r="L742" s="17"/>
      <c r="M742" s="17"/>
      <c r="N742" s="17"/>
      <c r="O742" s="17"/>
      <c r="T742" s="240"/>
    </row>
    <row r="743">
      <c r="J743" s="370"/>
      <c r="K743" s="17"/>
      <c r="L743" s="17"/>
      <c r="M743" s="17"/>
      <c r="N743" s="17"/>
      <c r="O743" s="17"/>
      <c r="T743" s="240"/>
    </row>
    <row r="744">
      <c r="J744" s="370"/>
      <c r="K744" s="17"/>
      <c r="L744" s="17"/>
      <c r="M744" s="17"/>
      <c r="N744" s="17"/>
      <c r="O744" s="17"/>
      <c r="T744" s="240"/>
    </row>
    <row r="745">
      <c r="J745" s="370"/>
      <c r="K745" s="17"/>
      <c r="L745" s="17"/>
      <c r="M745" s="17"/>
      <c r="N745" s="17"/>
      <c r="O745" s="17"/>
      <c r="T745" s="240"/>
    </row>
    <row r="746">
      <c r="J746" s="370"/>
      <c r="K746" s="17"/>
      <c r="L746" s="17"/>
      <c r="M746" s="17"/>
      <c r="N746" s="17"/>
      <c r="O746" s="17"/>
      <c r="T746" s="240"/>
    </row>
    <row r="747">
      <c r="J747" s="370"/>
      <c r="K747" s="17"/>
      <c r="L747" s="17"/>
      <c r="M747" s="17"/>
      <c r="N747" s="17"/>
      <c r="O747" s="17"/>
      <c r="T747" s="240"/>
    </row>
    <row r="748">
      <c r="J748" s="370"/>
      <c r="K748" s="17"/>
      <c r="L748" s="17"/>
      <c r="M748" s="17"/>
      <c r="N748" s="17"/>
      <c r="O748" s="17"/>
      <c r="T748" s="240"/>
    </row>
    <row r="749">
      <c r="J749" s="370"/>
      <c r="K749" s="17"/>
      <c r="L749" s="17"/>
      <c r="M749" s="17"/>
      <c r="N749" s="17"/>
      <c r="O749" s="17"/>
      <c r="T749" s="240"/>
    </row>
    <row r="750">
      <c r="J750" s="370"/>
      <c r="K750" s="17"/>
      <c r="L750" s="17"/>
      <c r="M750" s="17"/>
      <c r="N750" s="17"/>
      <c r="O750" s="17"/>
      <c r="T750" s="240"/>
    </row>
    <row r="751">
      <c r="J751" s="370"/>
      <c r="K751" s="17"/>
      <c r="L751" s="17"/>
      <c r="M751" s="17"/>
      <c r="N751" s="17"/>
      <c r="O751" s="17"/>
      <c r="T751" s="240"/>
    </row>
    <row r="752">
      <c r="J752" s="370"/>
      <c r="K752" s="17"/>
      <c r="L752" s="17"/>
      <c r="M752" s="17"/>
      <c r="N752" s="17"/>
      <c r="O752" s="17"/>
      <c r="T752" s="240"/>
    </row>
    <row r="753">
      <c r="J753" s="370"/>
      <c r="K753" s="17"/>
      <c r="L753" s="17"/>
      <c r="M753" s="17"/>
      <c r="N753" s="17"/>
      <c r="O753" s="17"/>
      <c r="T753" s="240"/>
    </row>
    <row r="754">
      <c r="J754" s="370"/>
      <c r="K754" s="17"/>
      <c r="L754" s="17"/>
      <c r="M754" s="17"/>
      <c r="N754" s="17"/>
      <c r="O754" s="17"/>
      <c r="T754" s="240"/>
    </row>
    <row r="755">
      <c r="J755" s="370"/>
      <c r="K755" s="17"/>
      <c r="L755" s="17"/>
      <c r="M755" s="17"/>
      <c r="N755" s="17"/>
      <c r="O755" s="17"/>
      <c r="T755" s="240"/>
    </row>
    <row r="756">
      <c r="J756" s="370"/>
      <c r="K756" s="17"/>
      <c r="L756" s="17"/>
      <c r="M756" s="17"/>
      <c r="N756" s="17"/>
      <c r="O756" s="17"/>
      <c r="T756" s="240"/>
    </row>
    <row r="757">
      <c r="J757" s="370"/>
      <c r="K757" s="17"/>
      <c r="L757" s="17"/>
      <c r="M757" s="17"/>
      <c r="N757" s="17"/>
      <c r="O757" s="17"/>
      <c r="T757" s="240"/>
    </row>
    <row r="758">
      <c r="J758" s="370"/>
      <c r="K758" s="17"/>
      <c r="L758" s="17"/>
      <c r="M758" s="17"/>
      <c r="N758" s="17"/>
      <c r="O758" s="17"/>
      <c r="T758" s="240"/>
    </row>
    <row r="759">
      <c r="J759" s="370"/>
      <c r="K759" s="17"/>
      <c r="L759" s="17"/>
      <c r="M759" s="17"/>
      <c r="N759" s="17"/>
      <c r="O759" s="17"/>
      <c r="T759" s="240"/>
    </row>
    <row r="760">
      <c r="J760" s="370"/>
      <c r="K760" s="17"/>
      <c r="L760" s="17"/>
      <c r="M760" s="17"/>
      <c r="N760" s="17"/>
      <c r="O760" s="17"/>
      <c r="T760" s="240"/>
    </row>
    <row r="761">
      <c r="J761" s="370"/>
      <c r="K761" s="17"/>
      <c r="L761" s="17"/>
      <c r="M761" s="17"/>
      <c r="N761" s="17"/>
      <c r="O761" s="17"/>
      <c r="T761" s="240"/>
    </row>
    <row r="762">
      <c r="J762" s="370"/>
      <c r="K762" s="17"/>
      <c r="L762" s="17"/>
      <c r="M762" s="17"/>
      <c r="N762" s="17"/>
      <c r="O762" s="17"/>
      <c r="T762" s="240"/>
    </row>
    <row r="763">
      <c r="J763" s="370"/>
      <c r="K763" s="17"/>
      <c r="L763" s="17"/>
      <c r="M763" s="17"/>
      <c r="N763" s="17"/>
      <c r="O763" s="17"/>
      <c r="T763" s="240"/>
    </row>
    <row r="764">
      <c r="J764" s="370"/>
      <c r="K764" s="17"/>
      <c r="L764" s="17"/>
      <c r="M764" s="17"/>
      <c r="N764" s="17"/>
      <c r="O764" s="17"/>
      <c r="T764" s="240"/>
    </row>
    <row r="765">
      <c r="J765" s="370"/>
      <c r="K765" s="17"/>
      <c r="L765" s="17"/>
      <c r="M765" s="17"/>
      <c r="N765" s="17"/>
      <c r="O765" s="17"/>
      <c r="T765" s="240"/>
    </row>
    <row r="766">
      <c r="J766" s="370"/>
      <c r="K766" s="17"/>
      <c r="L766" s="17"/>
      <c r="M766" s="17"/>
      <c r="N766" s="17"/>
      <c r="O766" s="17"/>
      <c r="T766" s="240"/>
    </row>
    <row r="767">
      <c r="J767" s="370"/>
      <c r="K767" s="17"/>
      <c r="L767" s="17"/>
      <c r="M767" s="17"/>
      <c r="N767" s="17"/>
      <c r="O767" s="17"/>
      <c r="T767" s="240"/>
    </row>
    <row r="768">
      <c r="J768" s="370"/>
      <c r="K768" s="17"/>
      <c r="L768" s="17"/>
      <c r="M768" s="17"/>
      <c r="N768" s="17"/>
      <c r="O768" s="17"/>
      <c r="T768" s="240"/>
    </row>
    <row r="769">
      <c r="J769" s="370"/>
      <c r="K769" s="17"/>
      <c r="L769" s="17"/>
      <c r="M769" s="17"/>
      <c r="N769" s="17"/>
      <c r="O769" s="17"/>
      <c r="T769" s="240"/>
    </row>
    <row r="770">
      <c r="J770" s="370"/>
      <c r="K770" s="17"/>
      <c r="L770" s="17"/>
      <c r="M770" s="17"/>
      <c r="N770" s="17"/>
      <c r="O770" s="17"/>
      <c r="T770" s="240"/>
    </row>
    <row r="771">
      <c r="J771" s="370"/>
      <c r="K771" s="17"/>
      <c r="L771" s="17"/>
      <c r="M771" s="17"/>
      <c r="N771" s="17"/>
      <c r="O771" s="17"/>
      <c r="T771" s="240"/>
    </row>
    <row r="772">
      <c r="J772" s="370"/>
      <c r="K772" s="17"/>
      <c r="L772" s="17"/>
      <c r="M772" s="17"/>
      <c r="N772" s="17"/>
      <c r="O772" s="17"/>
      <c r="T772" s="240"/>
    </row>
    <row r="773">
      <c r="J773" s="370"/>
      <c r="K773" s="17"/>
      <c r="L773" s="17"/>
      <c r="M773" s="17"/>
      <c r="N773" s="17"/>
      <c r="O773" s="17"/>
      <c r="T773" s="240"/>
    </row>
    <row r="774">
      <c r="J774" s="370"/>
      <c r="K774" s="17"/>
      <c r="L774" s="17"/>
      <c r="M774" s="17"/>
      <c r="N774" s="17"/>
      <c r="O774" s="17"/>
      <c r="T774" s="240"/>
    </row>
    <row r="775">
      <c r="J775" s="370"/>
      <c r="K775" s="17"/>
      <c r="L775" s="17"/>
      <c r="M775" s="17"/>
      <c r="N775" s="17"/>
      <c r="O775" s="17"/>
      <c r="T775" s="240"/>
    </row>
    <row r="776">
      <c r="J776" s="370"/>
      <c r="K776" s="17"/>
      <c r="L776" s="17"/>
      <c r="M776" s="17"/>
      <c r="N776" s="17"/>
      <c r="O776" s="17"/>
      <c r="T776" s="240"/>
    </row>
    <row r="777">
      <c r="J777" s="370"/>
      <c r="K777" s="17"/>
      <c r="L777" s="17"/>
      <c r="M777" s="17"/>
      <c r="N777" s="17"/>
      <c r="O777" s="17"/>
      <c r="T777" s="240"/>
    </row>
    <row r="778">
      <c r="J778" s="370"/>
      <c r="K778" s="17"/>
      <c r="L778" s="17"/>
      <c r="M778" s="17"/>
      <c r="N778" s="17"/>
      <c r="O778" s="17"/>
      <c r="T778" s="240"/>
    </row>
    <row r="779">
      <c r="J779" s="370"/>
      <c r="K779" s="17"/>
      <c r="L779" s="17"/>
      <c r="M779" s="17"/>
      <c r="N779" s="17"/>
      <c r="O779" s="17"/>
      <c r="T779" s="240"/>
    </row>
    <row r="780">
      <c r="J780" s="370"/>
      <c r="K780" s="17"/>
      <c r="L780" s="17"/>
      <c r="M780" s="17"/>
      <c r="N780" s="17"/>
      <c r="O780" s="17"/>
      <c r="T780" s="240"/>
    </row>
    <row r="781">
      <c r="J781" s="370"/>
      <c r="K781" s="17"/>
      <c r="L781" s="17"/>
      <c r="M781" s="17"/>
      <c r="N781" s="17"/>
      <c r="O781" s="17"/>
      <c r="T781" s="240"/>
    </row>
    <row r="782">
      <c r="J782" s="370"/>
      <c r="K782" s="17"/>
      <c r="L782" s="17"/>
      <c r="M782" s="17"/>
      <c r="N782" s="17"/>
      <c r="O782" s="17"/>
      <c r="T782" s="240"/>
    </row>
    <row r="783">
      <c r="J783" s="370"/>
      <c r="K783" s="17"/>
      <c r="L783" s="17"/>
      <c r="M783" s="17"/>
      <c r="N783" s="17"/>
      <c r="O783" s="17"/>
      <c r="T783" s="240"/>
    </row>
    <row r="784">
      <c r="J784" s="370"/>
      <c r="K784" s="17"/>
      <c r="L784" s="17"/>
      <c r="M784" s="17"/>
      <c r="N784" s="17"/>
      <c r="O784" s="17"/>
      <c r="T784" s="240"/>
    </row>
    <row r="785">
      <c r="J785" s="370"/>
      <c r="K785" s="17"/>
      <c r="L785" s="17"/>
      <c r="M785" s="17"/>
      <c r="N785" s="17"/>
      <c r="O785" s="17"/>
      <c r="T785" s="240"/>
    </row>
    <row r="786">
      <c r="J786" s="370"/>
      <c r="K786" s="17"/>
      <c r="L786" s="17"/>
      <c r="M786" s="17"/>
      <c r="N786" s="17"/>
      <c r="O786" s="17"/>
      <c r="T786" s="240"/>
    </row>
    <row r="787">
      <c r="J787" s="370"/>
      <c r="K787" s="17"/>
      <c r="L787" s="17"/>
      <c r="M787" s="17"/>
      <c r="N787" s="17"/>
      <c r="O787" s="17"/>
      <c r="T787" s="240"/>
    </row>
    <row r="788">
      <c r="J788" s="370"/>
      <c r="K788" s="17"/>
      <c r="L788" s="17"/>
      <c r="M788" s="17"/>
      <c r="N788" s="17"/>
      <c r="O788" s="17"/>
      <c r="T788" s="240"/>
    </row>
    <row r="789">
      <c r="J789" s="370"/>
      <c r="K789" s="17"/>
      <c r="L789" s="17"/>
      <c r="M789" s="17"/>
      <c r="N789" s="17"/>
      <c r="O789" s="17"/>
      <c r="T789" s="240"/>
    </row>
    <row r="790">
      <c r="J790" s="370"/>
      <c r="K790" s="17"/>
      <c r="L790" s="17"/>
      <c r="M790" s="17"/>
      <c r="N790" s="17"/>
      <c r="O790" s="17"/>
      <c r="T790" s="240"/>
    </row>
    <row r="791">
      <c r="J791" s="370"/>
      <c r="K791" s="17"/>
      <c r="L791" s="17"/>
      <c r="M791" s="17"/>
      <c r="N791" s="17"/>
      <c r="O791" s="17"/>
      <c r="T791" s="240"/>
    </row>
    <row r="792">
      <c r="J792" s="370"/>
      <c r="K792" s="17"/>
      <c r="L792" s="17"/>
      <c r="M792" s="17"/>
      <c r="N792" s="17"/>
      <c r="O792" s="17"/>
      <c r="T792" s="240"/>
    </row>
    <row r="793">
      <c r="J793" s="370"/>
      <c r="K793" s="17"/>
      <c r="L793" s="17"/>
      <c r="M793" s="17"/>
      <c r="N793" s="17"/>
      <c r="O793" s="17"/>
      <c r="T793" s="240"/>
    </row>
    <row r="794">
      <c r="J794" s="370"/>
      <c r="K794" s="17"/>
      <c r="L794" s="17"/>
      <c r="M794" s="17"/>
      <c r="N794" s="17"/>
      <c r="O794" s="17"/>
      <c r="T794" s="240"/>
    </row>
    <row r="795">
      <c r="J795" s="370"/>
      <c r="K795" s="17"/>
      <c r="L795" s="17"/>
      <c r="M795" s="17"/>
      <c r="N795" s="17"/>
      <c r="O795" s="17"/>
      <c r="T795" s="240"/>
    </row>
    <row r="796">
      <c r="J796" s="370"/>
      <c r="K796" s="17"/>
      <c r="L796" s="17"/>
      <c r="M796" s="17"/>
      <c r="N796" s="17"/>
      <c r="O796" s="17"/>
      <c r="T796" s="240"/>
    </row>
    <row r="797">
      <c r="J797" s="370"/>
      <c r="K797" s="17"/>
      <c r="L797" s="17"/>
      <c r="M797" s="17"/>
      <c r="N797" s="17"/>
      <c r="O797" s="17"/>
      <c r="T797" s="240"/>
    </row>
    <row r="798">
      <c r="J798" s="370"/>
      <c r="K798" s="17"/>
      <c r="L798" s="17"/>
      <c r="M798" s="17"/>
      <c r="N798" s="17"/>
      <c r="O798" s="17"/>
      <c r="T798" s="240"/>
    </row>
    <row r="799">
      <c r="J799" s="370"/>
      <c r="K799" s="17"/>
      <c r="L799" s="17"/>
      <c r="M799" s="17"/>
      <c r="N799" s="17"/>
      <c r="O799" s="17"/>
      <c r="T799" s="240"/>
    </row>
    <row r="800">
      <c r="J800" s="370"/>
      <c r="K800" s="17"/>
      <c r="L800" s="17"/>
      <c r="M800" s="17"/>
      <c r="N800" s="17"/>
      <c r="O800" s="17"/>
      <c r="T800" s="240"/>
    </row>
    <row r="801">
      <c r="J801" s="370"/>
      <c r="K801" s="17"/>
      <c r="L801" s="17"/>
      <c r="M801" s="17"/>
      <c r="N801" s="17"/>
      <c r="O801" s="17"/>
      <c r="T801" s="240"/>
    </row>
    <row r="802">
      <c r="J802" s="370"/>
      <c r="K802" s="17"/>
      <c r="L802" s="17"/>
      <c r="M802" s="17"/>
      <c r="N802" s="17"/>
      <c r="O802" s="17"/>
      <c r="T802" s="240"/>
    </row>
    <row r="803">
      <c r="J803" s="370"/>
      <c r="K803" s="17"/>
      <c r="L803" s="17"/>
      <c r="M803" s="17"/>
      <c r="N803" s="17"/>
      <c r="O803" s="17"/>
      <c r="T803" s="240"/>
    </row>
    <row r="804">
      <c r="J804" s="370"/>
      <c r="K804" s="17"/>
      <c r="L804" s="17"/>
      <c r="M804" s="17"/>
      <c r="N804" s="17"/>
      <c r="O804" s="17"/>
      <c r="T804" s="240"/>
    </row>
    <row r="805">
      <c r="J805" s="370"/>
      <c r="K805" s="17"/>
      <c r="L805" s="17"/>
      <c r="M805" s="17"/>
      <c r="N805" s="17"/>
      <c r="O805" s="17"/>
      <c r="T805" s="240"/>
    </row>
    <row r="806">
      <c r="J806" s="370"/>
      <c r="K806" s="17"/>
      <c r="L806" s="17"/>
      <c r="M806" s="17"/>
      <c r="N806" s="17"/>
      <c r="O806" s="17"/>
      <c r="T806" s="240"/>
    </row>
    <row r="807">
      <c r="J807" s="370"/>
      <c r="K807" s="17"/>
      <c r="L807" s="17"/>
      <c r="M807" s="17"/>
      <c r="N807" s="17"/>
      <c r="O807" s="17"/>
      <c r="T807" s="240"/>
    </row>
    <row r="808">
      <c r="J808" s="370"/>
      <c r="K808" s="17"/>
      <c r="L808" s="17"/>
      <c r="M808" s="17"/>
      <c r="N808" s="17"/>
      <c r="O808" s="17"/>
      <c r="T808" s="240"/>
    </row>
    <row r="809">
      <c r="J809" s="370"/>
      <c r="K809" s="17"/>
      <c r="L809" s="17"/>
      <c r="M809" s="17"/>
      <c r="N809" s="17"/>
      <c r="O809" s="17"/>
      <c r="T809" s="240"/>
    </row>
    <row r="810">
      <c r="J810" s="370"/>
      <c r="K810" s="17"/>
      <c r="L810" s="17"/>
      <c r="M810" s="17"/>
      <c r="N810" s="17"/>
      <c r="O810" s="17"/>
      <c r="T810" s="240"/>
    </row>
    <row r="811">
      <c r="J811" s="370"/>
      <c r="K811" s="17"/>
      <c r="L811" s="17"/>
      <c r="M811" s="17"/>
      <c r="N811" s="17"/>
      <c r="O811" s="17"/>
      <c r="T811" s="240"/>
    </row>
    <row r="812">
      <c r="J812" s="370"/>
      <c r="K812" s="17"/>
      <c r="L812" s="17"/>
      <c r="M812" s="17"/>
      <c r="N812" s="17"/>
      <c r="O812" s="17"/>
      <c r="T812" s="240"/>
    </row>
    <row r="813">
      <c r="J813" s="370"/>
      <c r="K813" s="17"/>
      <c r="L813" s="17"/>
      <c r="M813" s="17"/>
      <c r="N813" s="17"/>
      <c r="O813" s="17"/>
      <c r="T813" s="240"/>
    </row>
    <row r="814">
      <c r="J814" s="370"/>
      <c r="K814" s="17"/>
      <c r="L814" s="17"/>
      <c r="M814" s="17"/>
      <c r="N814" s="17"/>
      <c r="O814" s="17"/>
      <c r="T814" s="240"/>
    </row>
    <row r="815">
      <c r="J815" s="370"/>
      <c r="K815" s="17"/>
      <c r="L815" s="17"/>
      <c r="M815" s="17"/>
      <c r="N815" s="17"/>
      <c r="O815" s="17"/>
      <c r="T815" s="240"/>
    </row>
    <row r="816">
      <c r="J816" s="370"/>
      <c r="K816" s="17"/>
      <c r="L816" s="17"/>
      <c r="M816" s="17"/>
      <c r="N816" s="17"/>
      <c r="O816" s="17"/>
      <c r="T816" s="240"/>
    </row>
    <row r="817">
      <c r="J817" s="370"/>
      <c r="K817" s="17"/>
      <c r="L817" s="17"/>
      <c r="M817" s="17"/>
      <c r="N817" s="17"/>
      <c r="O817" s="17"/>
      <c r="T817" s="240"/>
    </row>
    <row r="818">
      <c r="J818" s="370"/>
      <c r="K818" s="17"/>
      <c r="L818" s="17"/>
      <c r="M818" s="17"/>
      <c r="N818" s="17"/>
      <c r="O818" s="17"/>
      <c r="T818" s="240"/>
    </row>
    <row r="819">
      <c r="J819" s="370"/>
      <c r="K819" s="17"/>
      <c r="L819" s="17"/>
      <c r="M819" s="17"/>
      <c r="N819" s="17"/>
      <c r="O819" s="17"/>
      <c r="T819" s="240"/>
    </row>
    <row r="820">
      <c r="J820" s="370"/>
      <c r="K820" s="17"/>
      <c r="L820" s="17"/>
      <c r="M820" s="17"/>
      <c r="N820" s="17"/>
      <c r="O820" s="17"/>
      <c r="T820" s="240"/>
    </row>
    <row r="821">
      <c r="J821" s="370"/>
      <c r="K821" s="17"/>
      <c r="L821" s="17"/>
      <c r="M821" s="17"/>
      <c r="N821" s="17"/>
      <c r="O821" s="17"/>
      <c r="T821" s="240"/>
    </row>
    <row r="822">
      <c r="J822" s="370"/>
      <c r="K822" s="17"/>
      <c r="L822" s="17"/>
      <c r="M822" s="17"/>
      <c r="N822" s="17"/>
      <c r="O822" s="17"/>
      <c r="T822" s="240"/>
    </row>
    <row r="823">
      <c r="J823" s="370"/>
      <c r="K823" s="17"/>
      <c r="L823" s="17"/>
      <c r="M823" s="17"/>
      <c r="N823" s="17"/>
      <c r="O823" s="17"/>
      <c r="T823" s="240"/>
    </row>
    <row r="824">
      <c r="J824" s="370"/>
      <c r="K824" s="17"/>
      <c r="L824" s="17"/>
      <c r="M824" s="17"/>
      <c r="N824" s="17"/>
      <c r="O824" s="17"/>
      <c r="T824" s="240"/>
    </row>
    <row r="825">
      <c r="J825" s="370"/>
      <c r="K825" s="17"/>
      <c r="L825" s="17"/>
      <c r="M825" s="17"/>
      <c r="N825" s="17"/>
      <c r="O825" s="17"/>
      <c r="T825" s="240"/>
    </row>
    <row r="826">
      <c r="J826" s="370"/>
      <c r="K826" s="17"/>
      <c r="L826" s="17"/>
      <c r="M826" s="17"/>
      <c r="N826" s="17"/>
      <c r="O826" s="17"/>
      <c r="T826" s="240"/>
    </row>
    <row r="827">
      <c r="J827" s="370"/>
      <c r="K827" s="17"/>
      <c r="L827" s="17"/>
      <c r="M827" s="17"/>
      <c r="N827" s="17"/>
      <c r="O827" s="17"/>
      <c r="T827" s="240"/>
    </row>
    <row r="828">
      <c r="J828" s="370"/>
      <c r="K828" s="17"/>
      <c r="L828" s="17"/>
      <c r="M828" s="17"/>
      <c r="N828" s="17"/>
      <c r="O828" s="17"/>
      <c r="T828" s="240"/>
    </row>
    <row r="829">
      <c r="J829" s="370"/>
      <c r="K829" s="17"/>
      <c r="L829" s="17"/>
      <c r="M829" s="17"/>
      <c r="N829" s="17"/>
      <c r="O829" s="17"/>
      <c r="T829" s="240"/>
    </row>
    <row r="830">
      <c r="J830" s="370"/>
      <c r="K830" s="17"/>
      <c r="L830" s="17"/>
      <c r="M830" s="17"/>
      <c r="N830" s="17"/>
      <c r="O830" s="17"/>
      <c r="T830" s="240"/>
    </row>
    <row r="831">
      <c r="J831" s="370"/>
      <c r="K831" s="17"/>
      <c r="L831" s="17"/>
      <c r="M831" s="17"/>
      <c r="N831" s="17"/>
      <c r="O831" s="17"/>
      <c r="T831" s="240"/>
    </row>
    <row r="832">
      <c r="J832" s="370"/>
      <c r="K832" s="17"/>
      <c r="L832" s="17"/>
      <c r="M832" s="17"/>
      <c r="N832" s="17"/>
      <c r="O832" s="17"/>
      <c r="T832" s="240"/>
    </row>
    <row r="833">
      <c r="J833" s="370"/>
      <c r="K833" s="17"/>
      <c r="L833" s="17"/>
      <c r="M833" s="17"/>
      <c r="N833" s="17"/>
      <c r="O833" s="17"/>
      <c r="T833" s="240"/>
    </row>
    <row r="834">
      <c r="J834" s="370"/>
      <c r="K834" s="17"/>
      <c r="L834" s="17"/>
      <c r="M834" s="17"/>
      <c r="N834" s="17"/>
      <c r="O834" s="17"/>
      <c r="T834" s="240"/>
    </row>
    <row r="835">
      <c r="J835" s="370"/>
      <c r="K835" s="17"/>
      <c r="L835" s="17"/>
      <c r="M835" s="17"/>
      <c r="N835" s="17"/>
      <c r="O835" s="17"/>
      <c r="T835" s="240"/>
    </row>
    <row r="836">
      <c r="J836" s="370"/>
      <c r="K836" s="17"/>
      <c r="L836" s="17"/>
      <c r="M836" s="17"/>
      <c r="N836" s="17"/>
      <c r="O836" s="17"/>
      <c r="T836" s="240"/>
    </row>
    <row r="837">
      <c r="J837" s="370"/>
      <c r="K837" s="17"/>
      <c r="L837" s="17"/>
      <c r="M837" s="17"/>
      <c r="N837" s="17"/>
      <c r="O837" s="17"/>
      <c r="T837" s="240"/>
    </row>
    <row r="838">
      <c r="J838" s="370"/>
      <c r="K838" s="17"/>
      <c r="L838" s="17"/>
      <c r="M838" s="17"/>
      <c r="N838" s="17"/>
      <c r="O838" s="17"/>
      <c r="T838" s="240"/>
    </row>
    <row r="839">
      <c r="J839" s="370"/>
      <c r="K839" s="17"/>
      <c r="L839" s="17"/>
      <c r="M839" s="17"/>
      <c r="N839" s="17"/>
      <c r="O839" s="17"/>
      <c r="T839" s="240"/>
    </row>
    <row r="840">
      <c r="J840" s="370"/>
      <c r="K840" s="17"/>
      <c r="L840" s="17"/>
      <c r="M840" s="17"/>
      <c r="N840" s="17"/>
      <c r="O840" s="17"/>
      <c r="T840" s="240"/>
    </row>
    <row r="841">
      <c r="J841" s="370"/>
      <c r="K841" s="17"/>
      <c r="L841" s="17"/>
      <c r="M841" s="17"/>
      <c r="N841" s="17"/>
      <c r="O841" s="17"/>
      <c r="T841" s="240"/>
    </row>
    <row r="842">
      <c r="J842" s="370"/>
      <c r="K842" s="17"/>
      <c r="L842" s="17"/>
      <c r="M842" s="17"/>
      <c r="N842" s="17"/>
      <c r="O842" s="17"/>
      <c r="T842" s="240"/>
    </row>
    <row r="843">
      <c r="J843" s="370"/>
      <c r="K843" s="17"/>
      <c r="L843" s="17"/>
      <c r="M843" s="17"/>
      <c r="N843" s="17"/>
      <c r="O843" s="17"/>
      <c r="T843" s="240"/>
    </row>
    <row r="844">
      <c r="J844" s="370"/>
      <c r="K844" s="17"/>
      <c r="L844" s="17"/>
      <c r="M844" s="17"/>
      <c r="N844" s="17"/>
      <c r="O844" s="17"/>
      <c r="T844" s="240"/>
    </row>
    <row r="845">
      <c r="J845" s="370"/>
      <c r="K845" s="17"/>
      <c r="L845" s="17"/>
      <c r="M845" s="17"/>
      <c r="N845" s="17"/>
      <c r="O845" s="17"/>
      <c r="T845" s="240"/>
    </row>
    <row r="846">
      <c r="J846" s="370"/>
      <c r="K846" s="17"/>
      <c r="L846" s="17"/>
      <c r="M846" s="17"/>
      <c r="N846" s="17"/>
      <c r="O846" s="17"/>
      <c r="T846" s="240"/>
    </row>
    <row r="847">
      <c r="J847" s="370"/>
      <c r="K847" s="17"/>
      <c r="L847" s="17"/>
      <c r="M847" s="17"/>
      <c r="N847" s="17"/>
      <c r="O847" s="17"/>
      <c r="T847" s="240"/>
    </row>
    <row r="848">
      <c r="J848" s="370"/>
      <c r="K848" s="17"/>
      <c r="L848" s="17"/>
      <c r="M848" s="17"/>
      <c r="N848" s="17"/>
      <c r="O848" s="17"/>
      <c r="T848" s="240"/>
    </row>
    <row r="849">
      <c r="J849" s="370"/>
      <c r="K849" s="17"/>
      <c r="L849" s="17"/>
      <c r="M849" s="17"/>
      <c r="N849" s="17"/>
      <c r="O849" s="17"/>
      <c r="T849" s="240"/>
    </row>
    <row r="850">
      <c r="J850" s="370"/>
      <c r="K850" s="17"/>
      <c r="L850" s="17"/>
      <c r="M850" s="17"/>
      <c r="N850" s="17"/>
      <c r="O850" s="17"/>
      <c r="T850" s="240"/>
    </row>
    <row r="851">
      <c r="J851" s="370"/>
      <c r="K851" s="17"/>
      <c r="L851" s="17"/>
      <c r="M851" s="17"/>
      <c r="N851" s="17"/>
      <c r="O851" s="17"/>
      <c r="T851" s="240"/>
    </row>
    <row r="852">
      <c r="J852" s="370"/>
      <c r="K852" s="17"/>
      <c r="L852" s="17"/>
      <c r="M852" s="17"/>
      <c r="N852" s="17"/>
      <c r="O852" s="17"/>
      <c r="T852" s="240"/>
    </row>
    <row r="853">
      <c r="J853" s="370"/>
      <c r="K853" s="17"/>
      <c r="L853" s="17"/>
      <c r="M853" s="17"/>
      <c r="N853" s="17"/>
      <c r="O853" s="17"/>
      <c r="T853" s="240"/>
    </row>
    <row r="854">
      <c r="J854" s="370"/>
      <c r="K854" s="17"/>
      <c r="L854" s="17"/>
      <c r="M854" s="17"/>
      <c r="N854" s="17"/>
      <c r="O854" s="17"/>
      <c r="T854" s="240"/>
    </row>
    <row r="855">
      <c r="J855" s="370"/>
      <c r="K855" s="17"/>
      <c r="L855" s="17"/>
      <c r="M855" s="17"/>
      <c r="N855" s="17"/>
      <c r="O855" s="17"/>
      <c r="T855" s="240"/>
    </row>
    <row r="856">
      <c r="J856" s="370"/>
      <c r="K856" s="17"/>
      <c r="L856" s="17"/>
      <c r="M856" s="17"/>
      <c r="N856" s="17"/>
      <c r="O856" s="17"/>
      <c r="T856" s="240"/>
    </row>
    <row r="857">
      <c r="J857" s="370"/>
      <c r="K857" s="17"/>
      <c r="L857" s="17"/>
      <c r="M857" s="17"/>
      <c r="N857" s="17"/>
      <c r="O857" s="17"/>
      <c r="T857" s="240"/>
    </row>
    <row r="858">
      <c r="J858" s="370"/>
      <c r="K858" s="17"/>
      <c r="L858" s="17"/>
      <c r="M858" s="17"/>
      <c r="N858" s="17"/>
      <c r="O858" s="17"/>
      <c r="T858" s="240"/>
    </row>
    <row r="859">
      <c r="J859" s="370"/>
      <c r="K859" s="17"/>
      <c r="L859" s="17"/>
      <c r="M859" s="17"/>
      <c r="N859" s="17"/>
      <c r="O859" s="17"/>
      <c r="T859" s="240"/>
    </row>
    <row r="860">
      <c r="J860" s="370"/>
      <c r="K860" s="17"/>
      <c r="L860" s="17"/>
      <c r="M860" s="17"/>
      <c r="N860" s="17"/>
      <c r="O860" s="17"/>
      <c r="T860" s="240"/>
    </row>
    <row r="861">
      <c r="J861" s="370"/>
      <c r="K861" s="17"/>
      <c r="L861" s="17"/>
      <c r="M861" s="17"/>
      <c r="N861" s="17"/>
      <c r="O861" s="17"/>
      <c r="T861" s="240"/>
    </row>
    <row r="862">
      <c r="J862" s="370"/>
      <c r="K862" s="17"/>
      <c r="L862" s="17"/>
      <c r="M862" s="17"/>
      <c r="N862" s="17"/>
      <c r="O862" s="17"/>
      <c r="T862" s="240"/>
    </row>
    <row r="863">
      <c r="J863" s="370"/>
      <c r="K863" s="17"/>
      <c r="L863" s="17"/>
      <c r="M863" s="17"/>
      <c r="N863" s="17"/>
      <c r="O863" s="17"/>
      <c r="T863" s="240"/>
    </row>
    <row r="864">
      <c r="J864" s="370"/>
      <c r="K864" s="17"/>
      <c r="L864" s="17"/>
      <c r="M864" s="17"/>
      <c r="N864" s="17"/>
      <c r="O864" s="17"/>
      <c r="T864" s="240"/>
    </row>
    <row r="865">
      <c r="J865" s="370"/>
      <c r="K865" s="17"/>
      <c r="L865" s="17"/>
      <c r="M865" s="17"/>
      <c r="N865" s="17"/>
      <c r="O865" s="17"/>
      <c r="T865" s="240"/>
    </row>
    <row r="866">
      <c r="J866" s="370"/>
      <c r="K866" s="17"/>
      <c r="L866" s="17"/>
      <c r="M866" s="17"/>
      <c r="N866" s="17"/>
      <c r="O866" s="17"/>
      <c r="T866" s="240"/>
    </row>
    <row r="867">
      <c r="J867" s="370"/>
      <c r="K867" s="17"/>
      <c r="L867" s="17"/>
      <c r="M867" s="17"/>
      <c r="N867" s="17"/>
      <c r="O867" s="17"/>
      <c r="T867" s="240"/>
    </row>
    <row r="868">
      <c r="J868" s="370"/>
      <c r="K868" s="17"/>
      <c r="L868" s="17"/>
      <c r="M868" s="17"/>
      <c r="N868" s="17"/>
      <c r="O868" s="17"/>
      <c r="T868" s="240"/>
    </row>
    <row r="869">
      <c r="J869" s="370"/>
      <c r="K869" s="17"/>
      <c r="L869" s="17"/>
      <c r="M869" s="17"/>
      <c r="N869" s="17"/>
      <c r="O869" s="17"/>
      <c r="T869" s="240"/>
    </row>
    <row r="870">
      <c r="J870" s="370"/>
      <c r="K870" s="17"/>
      <c r="L870" s="17"/>
      <c r="M870" s="17"/>
      <c r="N870" s="17"/>
      <c r="O870" s="17"/>
      <c r="T870" s="240"/>
    </row>
    <row r="871">
      <c r="J871" s="370"/>
      <c r="K871" s="17"/>
      <c r="L871" s="17"/>
      <c r="M871" s="17"/>
      <c r="N871" s="17"/>
      <c r="O871" s="17"/>
      <c r="T871" s="240"/>
    </row>
    <row r="872">
      <c r="J872" s="370"/>
      <c r="K872" s="17"/>
      <c r="L872" s="17"/>
      <c r="M872" s="17"/>
      <c r="N872" s="17"/>
      <c r="O872" s="17"/>
      <c r="T872" s="240"/>
    </row>
    <row r="873">
      <c r="J873" s="370"/>
      <c r="K873" s="17"/>
      <c r="L873" s="17"/>
      <c r="M873" s="17"/>
      <c r="N873" s="17"/>
      <c r="O873" s="17"/>
      <c r="T873" s="240"/>
    </row>
    <row r="874">
      <c r="J874" s="370"/>
      <c r="K874" s="17"/>
      <c r="L874" s="17"/>
      <c r="M874" s="17"/>
      <c r="N874" s="17"/>
      <c r="O874" s="17"/>
      <c r="T874" s="240"/>
    </row>
    <row r="875">
      <c r="J875" s="370"/>
      <c r="K875" s="17"/>
      <c r="L875" s="17"/>
      <c r="M875" s="17"/>
      <c r="N875" s="17"/>
      <c r="O875" s="17"/>
      <c r="T875" s="240"/>
    </row>
    <row r="876">
      <c r="J876" s="370"/>
      <c r="K876" s="17"/>
      <c r="L876" s="17"/>
      <c r="M876" s="17"/>
      <c r="N876" s="17"/>
      <c r="O876" s="17"/>
      <c r="T876" s="240"/>
    </row>
    <row r="877">
      <c r="J877" s="370"/>
      <c r="K877" s="17"/>
      <c r="L877" s="17"/>
      <c r="M877" s="17"/>
      <c r="N877" s="17"/>
      <c r="O877" s="17"/>
      <c r="T877" s="240"/>
    </row>
    <row r="878">
      <c r="J878" s="370"/>
      <c r="K878" s="17"/>
      <c r="L878" s="17"/>
      <c r="M878" s="17"/>
      <c r="N878" s="17"/>
      <c r="O878" s="17"/>
      <c r="T878" s="240"/>
    </row>
    <row r="879">
      <c r="J879" s="370"/>
      <c r="K879" s="17"/>
      <c r="L879" s="17"/>
      <c r="M879" s="17"/>
      <c r="N879" s="17"/>
      <c r="O879" s="17"/>
      <c r="T879" s="240"/>
    </row>
    <row r="880">
      <c r="J880" s="370"/>
      <c r="K880" s="17"/>
      <c r="L880" s="17"/>
      <c r="M880" s="17"/>
      <c r="N880" s="17"/>
      <c r="O880" s="17"/>
      <c r="T880" s="240"/>
    </row>
    <row r="881">
      <c r="J881" s="370"/>
      <c r="K881" s="17"/>
      <c r="L881" s="17"/>
      <c r="M881" s="17"/>
      <c r="N881" s="17"/>
      <c r="O881" s="17"/>
      <c r="T881" s="240"/>
    </row>
    <row r="882">
      <c r="J882" s="370"/>
      <c r="K882" s="17"/>
      <c r="L882" s="17"/>
      <c r="M882" s="17"/>
      <c r="N882" s="17"/>
      <c r="O882" s="17"/>
      <c r="T882" s="240"/>
    </row>
    <row r="883">
      <c r="J883" s="370"/>
      <c r="K883" s="17"/>
      <c r="L883" s="17"/>
      <c r="M883" s="17"/>
      <c r="N883" s="17"/>
      <c r="O883" s="17"/>
      <c r="T883" s="240"/>
    </row>
    <row r="884">
      <c r="J884" s="370"/>
      <c r="K884" s="17"/>
      <c r="L884" s="17"/>
      <c r="M884" s="17"/>
      <c r="N884" s="17"/>
      <c r="O884" s="17"/>
      <c r="T884" s="240"/>
    </row>
    <row r="885">
      <c r="J885" s="370"/>
      <c r="K885" s="17"/>
      <c r="L885" s="17"/>
      <c r="M885" s="17"/>
      <c r="N885" s="17"/>
      <c r="O885" s="17"/>
      <c r="T885" s="240"/>
    </row>
    <row r="886">
      <c r="J886" s="370"/>
      <c r="K886" s="17"/>
      <c r="L886" s="17"/>
      <c r="M886" s="17"/>
      <c r="N886" s="17"/>
      <c r="O886" s="17"/>
      <c r="T886" s="240"/>
    </row>
    <row r="887">
      <c r="J887" s="370"/>
      <c r="K887" s="17"/>
      <c r="L887" s="17"/>
      <c r="M887" s="17"/>
      <c r="N887" s="17"/>
      <c r="O887" s="17"/>
      <c r="T887" s="240"/>
    </row>
    <row r="888">
      <c r="J888" s="370"/>
      <c r="K888" s="17"/>
      <c r="L888" s="17"/>
      <c r="M888" s="17"/>
      <c r="N888" s="17"/>
      <c r="O888" s="17"/>
      <c r="T888" s="240"/>
    </row>
    <row r="889">
      <c r="J889" s="370"/>
      <c r="K889" s="17"/>
      <c r="L889" s="17"/>
      <c r="M889" s="17"/>
      <c r="N889" s="17"/>
      <c r="O889" s="17"/>
      <c r="T889" s="240"/>
    </row>
    <row r="890">
      <c r="J890" s="370"/>
      <c r="K890" s="17"/>
      <c r="L890" s="17"/>
      <c r="M890" s="17"/>
      <c r="N890" s="17"/>
      <c r="O890" s="17"/>
      <c r="T890" s="240"/>
    </row>
    <row r="891">
      <c r="J891" s="370"/>
      <c r="K891" s="17"/>
      <c r="L891" s="17"/>
      <c r="M891" s="17"/>
      <c r="N891" s="17"/>
      <c r="O891" s="17"/>
      <c r="T891" s="240"/>
    </row>
    <row r="892">
      <c r="J892" s="370"/>
      <c r="K892" s="17"/>
      <c r="L892" s="17"/>
      <c r="M892" s="17"/>
      <c r="N892" s="17"/>
      <c r="O892" s="17"/>
      <c r="T892" s="240"/>
    </row>
    <row r="893">
      <c r="J893" s="370"/>
      <c r="K893" s="17"/>
      <c r="L893" s="17"/>
      <c r="M893" s="17"/>
      <c r="N893" s="17"/>
      <c r="O893" s="17"/>
      <c r="T893" s="240"/>
    </row>
    <row r="894">
      <c r="J894" s="370"/>
      <c r="K894" s="17"/>
      <c r="L894" s="17"/>
      <c r="M894" s="17"/>
      <c r="N894" s="17"/>
      <c r="O894" s="17"/>
      <c r="T894" s="240"/>
    </row>
    <row r="895">
      <c r="J895" s="370"/>
      <c r="K895" s="17"/>
      <c r="L895" s="17"/>
      <c r="M895" s="17"/>
      <c r="N895" s="17"/>
      <c r="O895" s="17"/>
      <c r="T895" s="240"/>
    </row>
    <row r="896">
      <c r="J896" s="370"/>
      <c r="K896" s="17"/>
      <c r="L896" s="17"/>
      <c r="M896" s="17"/>
      <c r="N896" s="17"/>
      <c r="O896" s="17"/>
      <c r="T896" s="240"/>
    </row>
    <row r="897">
      <c r="J897" s="370"/>
      <c r="K897" s="17"/>
      <c r="L897" s="17"/>
      <c r="M897" s="17"/>
      <c r="N897" s="17"/>
      <c r="O897" s="17"/>
      <c r="T897" s="240"/>
    </row>
    <row r="898">
      <c r="J898" s="370"/>
      <c r="K898" s="17"/>
      <c r="L898" s="17"/>
      <c r="M898" s="17"/>
      <c r="N898" s="17"/>
      <c r="O898" s="17"/>
      <c r="T898" s="240"/>
    </row>
    <row r="899">
      <c r="J899" s="370"/>
      <c r="K899" s="17"/>
      <c r="L899" s="17"/>
      <c r="M899" s="17"/>
      <c r="N899" s="17"/>
      <c r="O899" s="17"/>
      <c r="T899" s="240"/>
    </row>
    <row r="900">
      <c r="J900" s="370"/>
      <c r="K900" s="17"/>
      <c r="L900" s="17"/>
      <c r="M900" s="17"/>
      <c r="N900" s="17"/>
      <c r="O900" s="17"/>
      <c r="T900" s="240"/>
    </row>
    <row r="901">
      <c r="J901" s="370"/>
      <c r="K901" s="17"/>
      <c r="L901" s="17"/>
      <c r="M901" s="17"/>
      <c r="N901" s="17"/>
      <c r="O901" s="17"/>
      <c r="T901" s="240"/>
    </row>
    <row r="902">
      <c r="J902" s="370"/>
      <c r="K902" s="17"/>
      <c r="L902" s="17"/>
      <c r="M902" s="17"/>
      <c r="N902" s="17"/>
      <c r="O902" s="17"/>
      <c r="T902" s="240"/>
    </row>
    <row r="903">
      <c r="J903" s="370"/>
      <c r="K903" s="17"/>
      <c r="L903" s="17"/>
      <c r="M903" s="17"/>
      <c r="N903" s="17"/>
      <c r="O903" s="17"/>
      <c r="T903" s="240"/>
    </row>
    <row r="904">
      <c r="J904" s="370"/>
      <c r="K904" s="17"/>
      <c r="L904" s="17"/>
      <c r="M904" s="17"/>
      <c r="N904" s="17"/>
      <c r="O904" s="17"/>
      <c r="T904" s="240"/>
    </row>
    <row r="905">
      <c r="J905" s="370"/>
      <c r="K905" s="17"/>
      <c r="L905" s="17"/>
      <c r="M905" s="17"/>
      <c r="N905" s="17"/>
      <c r="O905" s="17"/>
      <c r="T905" s="240"/>
    </row>
    <row r="906">
      <c r="J906" s="370"/>
      <c r="K906" s="17"/>
      <c r="L906" s="17"/>
      <c r="M906" s="17"/>
      <c r="N906" s="17"/>
      <c r="O906" s="17"/>
      <c r="T906" s="240"/>
    </row>
    <row r="907">
      <c r="J907" s="370"/>
      <c r="K907" s="17"/>
      <c r="L907" s="17"/>
      <c r="M907" s="17"/>
      <c r="N907" s="17"/>
      <c r="O907" s="17"/>
      <c r="T907" s="240"/>
    </row>
    <row r="908">
      <c r="J908" s="370"/>
      <c r="K908" s="17"/>
      <c r="L908" s="17"/>
      <c r="M908" s="17"/>
      <c r="N908" s="17"/>
      <c r="O908" s="17"/>
      <c r="T908" s="240"/>
    </row>
    <row r="909">
      <c r="J909" s="370"/>
      <c r="K909" s="17"/>
      <c r="L909" s="17"/>
      <c r="M909" s="17"/>
      <c r="N909" s="17"/>
      <c r="O909" s="17"/>
      <c r="T909" s="240"/>
    </row>
    <row r="910">
      <c r="J910" s="370"/>
      <c r="K910" s="17"/>
      <c r="L910" s="17"/>
      <c r="M910" s="17"/>
      <c r="N910" s="17"/>
      <c r="O910" s="17"/>
      <c r="T910" s="240"/>
    </row>
    <row r="911">
      <c r="J911" s="370"/>
      <c r="K911" s="17"/>
      <c r="L911" s="17"/>
      <c r="M911" s="17"/>
      <c r="N911" s="17"/>
      <c r="O911" s="17"/>
      <c r="T911" s="240"/>
    </row>
    <row r="912">
      <c r="J912" s="370"/>
      <c r="K912" s="17"/>
      <c r="L912" s="17"/>
      <c r="M912" s="17"/>
      <c r="N912" s="17"/>
      <c r="O912" s="17"/>
      <c r="T912" s="240"/>
    </row>
    <row r="913">
      <c r="J913" s="370"/>
      <c r="K913" s="17"/>
      <c r="L913" s="17"/>
      <c r="M913" s="17"/>
      <c r="N913" s="17"/>
      <c r="O913" s="17"/>
      <c r="T913" s="240"/>
    </row>
    <row r="914">
      <c r="J914" s="370"/>
      <c r="K914" s="17"/>
      <c r="L914" s="17"/>
      <c r="M914" s="17"/>
      <c r="N914" s="17"/>
      <c r="O914" s="17"/>
      <c r="T914" s="240"/>
    </row>
    <row r="915">
      <c r="J915" s="370"/>
      <c r="K915" s="17"/>
      <c r="L915" s="17"/>
      <c r="M915" s="17"/>
      <c r="N915" s="17"/>
      <c r="O915" s="17"/>
      <c r="T915" s="240"/>
    </row>
    <row r="916">
      <c r="J916" s="370"/>
      <c r="K916" s="17"/>
      <c r="L916" s="17"/>
      <c r="M916" s="17"/>
      <c r="N916" s="17"/>
      <c r="O916" s="17"/>
      <c r="T916" s="240"/>
    </row>
    <row r="917">
      <c r="J917" s="370"/>
      <c r="K917" s="17"/>
      <c r="L917" s="17"/>
      <c r="M917" s="17"/>
      <c r="N917" s="17"/>
      <c r="O917" s="17"/>
      <c r="T917" s="240"/>
    </row>
    <row r="918">
      <c r="J918" s="370"/>
      <c r="K918" s="17"/>
      <c r="L918" s="17"/>
      <c r="M918" s="17"/>
      <c r="N918" s="17"/>
      <c r="O918" s="17"/>
      <c r="T918" s="240"/>
    </row>
    <row r="919">
      <c r="J919" s="370"/>
      <c r="K919" s="17"/>
      <c r="L919" s="17"/>
      <c r="M919" s="17"/>
      <c r="N919" s="17"/>
      <c r="O919" s="17"/>
      <c r="T919" s="240"/>
    </row>
    <row r="920">
      <c r="J920" s="370"/>
      <c r="K920" s="17"/>
      <c r="L920" s="17"/>
      <c r="M920" s="17"/>
      <c r="N920" s="17"/>
      <c r="O920" s="17"/>
      <c r="T920" s="240"/>
    </row>
    <row r="921">
      <c r="J921" s="370"/>
      <c r="K921" s="17"/>
      <c r="L921" s="17"/>
      <c r="M921" s="17"/>
      <c r="N921" s="17"/>
      <c r="O921" s="17"/>
      <c r="T921" s="240"/>
    </row>
    <row r="922">
      <c r="J922" s="370"/>
      <c r="K922" s="17"/>
      <c r="L922" s="17"/>
      <c r="M922" s="17"/>
      <c r="N922" s="17"/>
      <c r="O922" s="17"/>
      <c r="T922" s="240"/>
    </row>
    <row r="923">
      <c r="J923" s="370"/>
      <c r="K923" s="17"/>
      <c r="L923" s="17"/>
      <c r="M923" s="17"/>
      <c r="N923" s="17"/>
      <c r="O923" s="17"/>
      <c r="T923" s="240"/>
    </row>
    <row r="924">
      <c r="J924" s="370"/>
      <c r="K924" s="17"/>
      <c r="L924" s="17"/>
      <c r="M924" s="17"/>
      <c r="N924" s="17"/>
      <c r="O924" s="17"/>
      <c r="T924" s="240"/>
    </row>
    <row r="925">
      <c r="J925" s="370"/>
      <c r="K925" s="17"/>
      <c r="L925" s="17"/>
      <c r="M925" s="17"/>
      <c r="N925" s="17"/>
      <c r="O925" s="17"/>
      <c r="T925" s="240"/>
    </row>
    <row r="926">
      <c r="J926" s="370"/>
      <c r="K926" s="17"/>
      <c r="L926" s="17"/>
      <c r="M926" s="17"/>
      <c r="N926" s="17"/>
      <c r="O926" s="17"/>
      <c r="T926" s="240"/>
    </row>
    <row r="927">
      <c r="J927" s="370"/>
      <c r="K927" s="17"/>
      <c r="L927" s="17"/>
      <c r="M927" s="17"/>
      <c r="N927" s="17"/>
      <c r="O927" s="17"/>
      <c r="T927" s="240"/>
    </row>
    <row r="928">
      <c r="J928" s="370"/>
      <c r="K928" s="17"/>
      <c r="L928" s="17"/>
      <c r="M928" s="17"/>
      <c r="N928" s="17"/>
      <c r="O928" s="17"/>
      <c r="T928" s="240"/>
    </row>
    <row r="929">
      <c r="J929" s="370"/>
      <c r="K929" s="17"/>
      <c r="L929" s="17"/>
      <c r="M929" s="17"/>
      <c r="N929" s="17"/>
      <c r="O929" s="17"/>
      <c r="T929" s="240"/>
    </row>
    <row r="930">
      <c r="J930" s="370"/>
      <c r="K930" s="17"/>
      <c r="L930" s="17"/>
      <c r="M930" s="17"/>
      <c r="N930" s="17"/>
      <c r="O930" s="17"/>
      <c r="T930" s="240"/>
    </row>
    <row r="931">
      <c r="J931" s="370"/>
      <c r="K931" s="17"/>
      <c r="L931" s="17"/>
      <c r="M931" s="17"/>
      <c r="N931" s="17"/>
      <c r="O931" s="17"/>
      <c r="T931" s="240"/>
    </row>
    <row r="932">
      <c r="J932" s="370"/>
      <c r="K932" s="17"/>
      <c r="L932" s="17"/>
      <c r="M932" s="17"/>
      <c r="N932" s="17"/>
      <c r="O932" s="17"/>
      <c r="T932" s="240"/>
    </row>
    <row r="933">
      <c r="J933" s="370"/>
      <c r="K933" s="17"/>
      <c r="L933" s="17"/>
      <c r="M933" s="17"/>
      <c r="N933" s="17"/>
      <c r="O933" s="17"/>
      <c r="T933" s="240"/>
    </row>
    <row r="934">
      <c r="J934" s="370"/>
      <c r="K934" s="17"/>
      <c r="L934" s="17"/>
      <c r="M934" s="17"/>
      <c r="N934" s="17"/>
      <c r="O934" s="17"/>
      <c r="T934" s="240"/>
    </row>
    <row r="935">
      <c r="J935" s="370"/>
      <c r="K935" s="17"/>
      <c r="L935" s="17"/>
      <c r="M935" s="17"/>
      <c r="N935" s="17"/>
      <c r="O935" s="17"/>
      <c r="T935" s="240"/>
    </row>
    <row r="936">
      <c r="J936" s="370"/>
      <c r="K936" s="17"/>
      <c r="L936" s="17"/>
      <c r="M936" s="17"/>
      <c r="N936" s="17"/>
      <c r="O936" s="17"/>
      <c r="T936" s="240"/>
    </row>
    <row r="937">
      <c r="J937" s="370"/>
      <c r="K937" s="17"/>
      <c r="L937" s="17"/>
      <c r="M937" s="17"/>
      <c r="N937" s="17"/>
      <c r="O937" s="17"/>
      <c r="T937" s="240"/>
    </row>
    <row r="938">
      <c r="J938" s="370"/>
      <c r="K938" s="17"/>
      <c r="L938" s="17"/>
      <c r="M938" s="17"/>
      <c r="N938" s="17"/>
      <c r="O938" s="17"/>
      <c r="T938" s="240"/>
    </row>
    <row r="939">
      <c r="J939" s="370"/>
      <c r="K939" s="17"/>
      <c r="L939" s="17"/>
      <c r="M939" s="17"/>
      <c r="N939" s="17"/>
      <c r="O939" s="17"/>
      <c r="T939" s="240"/>
    </row>
    <row r="940">
      <c r="J940" s="370"/>
      <c r="K940" s="17"/>
      <c r="L940" s="17"/>
      <c r="M940" s="17"/>
      <c r="N940" s="17"/>
      <c r="O940" s="17"/>
      <c r="T940" s="240"/>
    </row>
    <row r="941">
      <c r="J941" s="370"/>
      <c r="K941" s="17"/>
      <c r="L941" s="17"/>
      <c r="M941" s="17"/>
      <c r="N941" s="17"/>
      <c r="O941" s="17"/>
      <c r="T941" s="240"/>
    </row>
    <row r="942">
      <c r="J942" s="370"/>
      <c r="K942" s="17"/>
      <c r="L942" s="17"/>
      <c r="M942" s="17"/>
      <c r="N942" s="17"/>
      <c r="O942" s="17"/>
      <c r="T942" s="240"/>
    </row>
    <row r="943">
      <c r="J943" s="370"/>
      <c r="K943" s="17"/>
      <c r="L943" s="17"/>
      <c r="M943" s="17"/>
      <c r="N943" s="17"/>
      <c r="O943" s="17"/>
      <c r="T943" s="240"/>
    </row>
    <row r="944">
      <c r="J944" s="370"/>
      <c r="K944" s="17"/>
      <c r="L944" s="17"/>
      <c r="M944" s="17"/>
      <c r="N944" s="17"/>
      <c r="O944" s="17"/>
      <c r="T944" s="240"/>
    </row>
    <row r="945">
      <c r="J945" s="370"/>
      <c r="K945" s="17"/>
      <c r="L945" s="17"/>
      <c r="M945" s="17"/>
      <c r="N945" s="17"/>
      <c r="O945" s="17"/>
      <c r="T945" s="240"/>
    </row>
    <row r="946">
      <c r="J946" s="370"/>
      <c r="K946" s="17"/>
      <c r="L946" s="17"/>
      <c r="M946" s="17"/>
      <c r="N946" s="17"/>
      <c r="O946" s="17"/>
      <c r="T946" s="240"/>
    </row>
    <row r="947">
      <c r="J947" s="370"/>
      <c r="K947" s="17"/>
      <c r="L947" s="17"/>
      <c r="M947" s="17"/>
      <c r="N947" s="17"/>
      <c r="O947" s="17"/>
      <c r="T947" s="240"/>
    </row>
    <row r="948">
      <c r="J948" s="370"/>
      <c r="K948" s="17"/>
      <c r="L948" s="17"/>
      <c r="M948" s="17"/>
      <c r="N948" s="17"/>
      <c r="O948" s="17"/>
      <c r="T948" s="240"/>
    </row>
    <row r="949">
      <c r="J949" s="370"/>
      <c r="K949" s="17"/>
      <c r="L949" s="17"/>
      <c r="M949" s="17"/>
      <c r="N949" s="17"/>
      <c r="O949" s="17"/>
      <c r="T949" s="240"/>
    </row>
    <row r="950">
      <c r="J950" s="370"/>
      <c r="K950" s="17"/>
      <c r="L950" s="17"/>
      <c r="M950" s="17"/>
      <c r="N950" s="17"/>
      <c r="O950" s="17"/>
      <c r="T950" s="240"/>
    </row>
    <row r="951">
      <c r="J951" s="370"/>
      <c r="K951" s="17"/>
      <c r="L951" s="17"/>
      <c r="M951" s="17"/>
      <c r="N951" s="17"/>
      <c r="O951" s="17"/>
      <c r="T951" s="240"/>
    </row>
    <row r="952">
      <c r="J952" s="370"/>
      <c r="K952" s="17"/>
      <c r="L952" s="17"/>
      <c r="M952" s="17"/>
      <c r="N952" s="17"/>
      <c r="O952" s="17"/>
      <c r="T952" s="240"/>
    </row>
    <row r="953">
      <c r="J953" s="370"/>
      <c r="K953" s="17"/>
      <c r="L953" s="17"/>
      <c r="M953" s="17"/>
      <c r="N953" s="17"/>
      <c r="O953" s="17"/>
      <c r="T953" s="240"/>
    </row>
    <row r="954">
      <c r="J954" s="370"/>
      <c r="K954" s="17"/>
      <c r="L954" s="17"/>
      <c r="M954" s="17"/>
      <c r="N954" s="17"/>
      <c r="O954" s="17"/>
      <c r="T954" s="240"/>
    </row>
    <row r="955">
      <c r="J955" s="370"/>
      <c r="K955" s="17"/>
      <c r="L955" s="17"/>
      <c r="M955" s="17"/>
      <c r="N955" s="17"/>
      <c r="O955" s="17"/>
      <c r="T955" s="240"/>
    </row>
    <row r="956">
      <c r="J956" s="370"/>
      <c r="K956" s="17"/>
      <c r="L956" s="17"/>
      <c r="M956" s="17"/>
      <c r="N956" s="17"/>
      <c r="O956" s="17"/>
      <c r="T956" s="240"/>
    </row>
    <row r="957">
      <c r="J957" s="370"/>
      <c r="K957" s="17"/>
      <c r="L957" s="17"/>
      <c r="M957" s="17"/>
      <c r="N957" s="17"/>
      <c r="O957" s="17"/>
      <c r="T957" s="240"/>
    </row>
    <row r="958">
      <c r="J958" s="370"/>
      <c r="K958" s="17"/>
      <c r="L958" s="17"/>
      <c r="M958" s="17"/>
      <c r="N958" s="17"/>
      <c r="O958" s="17"/>
      <c r="T958" s="240"/>
    </row>
    <row r="959">
      <c r="J959" s="370"/>
      <c r="K959" s="17"/>
      <c r="L959" s="17"/>
      <c r="M959" s="17"/>
      <c r="N959" s="17"/>
      <c r="O959" s="17"/>
      <c r="T959" s="240"/>
    </row>
    <row r="960">
      <c r="J960" s="370"/>
      <c r="K960" s="17"/>
      <c r="L960" s="17"/>
      <c r="M960" s="17"/>
      <c r="N960" s="17"/>
      <c r="O960" s="17"/>
      <c r="T960" s="240"/>
    </row>
    <row r="961">
      <c r="J961" s="370"/>
      <c r="K961" s="17"/>
      <c r="L961" s="17"/>
      <c r="M961" s="17"/>
      <c r="N961" s="17"/>
      <c r="O961" s="17"/>
      <c r="T961" s="240"/>
    </row>
    <row r="962">
      <c r="J962" s="370"/>
      <c r="K962" s="17"/>
      <c r="L962" s="17"/>
      <c r="M962" s="17"/>
      <c r="N962" s="17"/>
      <c r="O962" s="17"/>
      <c r="T962" s="240"/>
    </row>
    <row r="963">
      <c r="J963" s="370"/>
      <c r="K963" s="17"/>
      <c r="L963" s="17"/>
      <c r="M963" s="17"/>
      <c r="N963" s="17"/>
      <c r="O963" s="17"/>
      <c r="T963" s="240"/>
    </row>
    <row r="964">
      <c r="J964" s="370"/>
      <c r="K964" s="17"/>
      <c r="L964" s="17"/>
      <c r="M964" s="17"/>
      <c r="N964" s="17"/>
      <c r="O964" s="17"/>
      <c r="T964" s="240"/>
    </row>
    <row r="965">
      <c r="J965" s="370"/>
      <c r="K965" s="17"/>
      <c r="L965" s="17"/>
      <c r="M965" s="17"/>
      <c r="N965" s="17"/>
      <c r="O965" s="17"/>
      <c r="T965" s="240"/>
    </row>
    <row r="966">
      <c r="J966" s="370"/>
      <c r="K966" s="17"/>
      <c r="L966" s="17"/>
      <c r="M966" s="17"/>
      <c r="N966" s="17"/>
      <c r="O966" s="17"/>
      <c r="T966" s="240"/>
    </row>
    <row r="967">
      <c r="J967" s="370"/>
      <c r="K967" s="17"/>
      <c r="L967" s="17"/>
      <c r="M967" s="17"/>
      <c r="N967" s="17"/>
      <c r="O967" s="17"/>
      <c r="T967" s="240"/>
    </row>
    <row r="968">
      <c r="J968" s="370"/>
      <c r="K968" s="17"/>
      <c r="L968" s="17"/>
      <c r="M968" s="17"/>
      <c r="N968" s="17"/>
      <c r="O968" s="17"/>
      <c r="T968" s="240"/>
    </row>
    <row r="969">
      <c r="J969" s="370"/>
      <c r="K969" s="17"/>
      <c r="L969" s="17"/>
      <c r="M969" s="17"/>
      <c r="N969" s="17"/>
      <c r="O969" s="17"/>
      <c r="T969" s="240"/>
    </row>
    <row r="970">
      <c r="J970" s="370"/>
      <c r="K970" s="17"/>
      <c r="L970" s="17"/>
      <c r="M970" s="17"/>
      <c r="N970" s="17"/>
      <c r="O970" s="17"/>
      <c r="T970" s="240"/>
    </row>
    <row r="971">
      <c r="J971" s="370"/>
      <c r="K971" s="17"/>
      <c r="L971" s="17"/>
      <c r="M971" s="17"/>
      <c r="N971" s="17"/>
      <c r="O971" s="17"/>
      <c r="T971" s="240"/>
    </row>
    <row r="972">
      <c r="J972" s="370"/>
      <c r="K972" s="17"/>
      <c r="L972" s="17"/>
      <c r="M972" s="17"/>
      <c r="N972" s="17"/>
      <c r="O972" s="17"/>
      <c r="T972" s="240"/>
    </row>
    <row r="973">
      <c r="J973" s="370"/>
      <c r="K973" s="17"/>
      <c r="L973" s="17"/>
      <c r="M973" s="17"/>
      <c r="N973" s="17"/>
      <c r="O973" s="17"/>
      <c r="T973" s="240"/>
    </row>
    <row r="974">
      <c r="J974" s="370"/>
      <c r="K974" s="17"/>
      <c r="L974" s="17"/>
      <c r="M974" s="17"/>
      <c r="N974" s="17"/>
      <c r="O974" s="17"/>
      <c r="T974" s="240"/>
    </row>
    <row r="975">
      <c r="J975" s="370"/>
      <c r="K975" s="17"/>
      <c r="L975" s="17"/>
      <c r="M975" s="17"/>
      <c r="N975" s="17"/>
      <c r="O975" s="17"/>
      <c r="T975" s="240"/>
    </row>
    <row r="976">
      <c r="J976" s="370"/>
      <c r="K976" s="17"/>
      <c r="L976" s="17"/>
      <c r="M976" s="17"/>
      <c r="N976" s="17"/>
      <c r="O976" s="17"/>
      <c r="T976" s="240"/>
    </row>
    <row r="977">
      <c r="J977" s="370"/>
      <c r="K977" s="17"/>
      <c r="L977" s="17"/>
      <c r="M977" s="17"/>
      <c r="N977" s="17"/>
      <c r="O977" s="17"/>
      <c r="T977" s="240"/>
    </row>
    <row r="978">
      <c r="J978" s="370"/>
      <c r="K978" s="17"/>
      <c r="L978" s="17"/>
      <c r="M978" s="17"/>
      <c r="N978" s="17"/>
      <c r="O978" s="17"/>
      <c r="T978" s="240"/>
    </row>
    <row r="979">
      <c r="J979" s="370"/>
      <c r="K979" s="17"/>
      <c r="L979" s="17"/>
      <c r="M979" s="17"/>
      <c r="N979" s="17"/>
      <c r="O979" s="17"/>
      <c r="T979" s="240"/>
    </row>
    <row r="980">
      <c r="J980" s="370"/>
      <c r="K980" s="17"/>
      <c r="L980" s="17"/>
      <c r="M980" s="17"/>
      <c r="N980" s="17"/>
      <c r="O980" s="17"/>
      <c r="T980" s="240"/>
    </row>
    <row r="981">
      <c r="J981" s="370"/>
      <c r="K981" s="17"/>
      <c r="L981" s="17"/>
      <c r="M981" s="17"/>
      <c r="N981" s="17"/>
      <c r="O981" s="17"/>
      <c r="T981" s="240"/>
    </row>
    <row r="982">
      <c r="J982" s="370"/>
      <c r="K982" s="17"/>
      <c r="L982" s="17"/>
      <c r="M982" s="17"/>
      <c r="N982" s="17"/>
      <c r="O982" s="17"/>
      <c r="T982" s="240"/>
    </row>
    <row r="983">
      <c r="J983" s="370"/>
      <c r="K983" s="17"/>
      <c r="L983" s="17"/>
      <c r="M983" s="17"/>
      <c r="N983" s="17"/>
      <c r="O983" s="17"/>
      <c r="T983" s="240"/>
    </row>
    <row r="984">
      <c r="J984" s="370"/>
      <c r="K984" s="17"/>
      <c r="L984" s="17"/>
      <c r="M984" s="17"/>
      <c r="N984" s="17"/>
      <c r="O984" s="17"/>
      <c r="T984" s="240"/>
    </row>
    <row r="985">
      <c r="J985" s="370"/>
      <c r="K985" s="17"/>
      <c r="L985" s="17"/>
      <c r="M985" s="17"/>
      <c r="N985" s="17"/>
      <c r="O985" s="17"/>
      <c r="T985" s="240"/>
    </row>
    <row r="986">
      <c r="J986" s="370"/>
      <c r="K986" s="17"/>
      <c r="L986" s="17"/>
      <c r="M986" s="17"/>
      <c r="N986" s="17"/>
      <c r="O986" s="17"/>
      <c r="T986" s="240"/>
    </row>
    <row r="987">
      <c r="J987" s="370"/>
      <c r="K987" s="17"/>
      <c r="L987" s="17"/>
      <c r="M987" s="17"/>
      <c r="N987" s="17"/>
      <c r="O987" s="17"/>
      <c r="T987" s="240"/>
    </row>
    <row r="988">
      <c r="J988" s="370"/>
      <c r="K988" s="17"/>
      <c r="L988" s="17"/>
      <c r="M988" s="17"/>
      <c r="N988" s="17"/>
      <c r="O988" s="17"/>
      <c r="T988" s="240"/>
    </row>
    <row r="989">
      <c r="J989" s="370"/>
      <c r="K989" s="17"/>
      <c r="L989" s="17"/>
      <c r="M989" s="17"/>
      <c r="N989" s="17"/>
      <c r="O989" s="17"/>
      <c r="T989" s="240"/>
    </row>
    <row r="990">
      <c r="J990" s="370"/>
      <c r="K990" s="17"/>
      <c r="L990" s="17"/>
      <c r="M990" s="17"/>
      <c r="N990" s="17"/>
      <c r="O990" s="17"/>
      <c r="T990" s="240"/>
    </row>
    <row r="991">
      <c r="J991" s="370"/>
      <c r="K991" s="17"/>
      <c r="L991" s="17"/>
      <c r="M991" s="17"/>
      <c r="N991" s="17"/>
      <c r="O991" s="17"/>
      <c r="T991" s="240"/>
    </row>
    <row r="992">
      <c r="J992" s="370"/>
      <c r="K992" s="17"/>
      <c r="L992" s="17"/>
      <c r="M992" s="17"/>
      <c r="N992" s="17"/>
      <c r="O992" s="17"/>
      <c r="T992" s="240"/>
    </row>
    <row r="993">
      <c r="J993" s="370"/>
      <c r="K993" s="17"/>
      <c r="L993" s="17"/>
      <c r="M993" s="17"/>
      <c r="N993" s="17"/>
      <c r="O993" s="17"/>
      <c r="T993" s="240"/>
    </row>
    <row r="994">
      <c r="J994" s="370"/>
      <c r="K994" s="17"/>
      <c r="L994" s="17"/>
      <c r="M994" s="17"/>
      <c r="N994" s="17"/>
      <c r="O994" s="17"/>
      <c r="T994" s="240"/>
    </row>
    <row r="995">
      <c r="J995" s="370"/>
      <c r="K995" s="17"/>
      <c r="L995" s="17"/>
      <c r="M995" s="17"/>
      <c r="N995" s="17"/>
      <c r="O995" s="17"/>
      <c r="T995" s="240"/>
    </row>
    <row r="996">
      <c r="J996" s="370"/>
      <c r="K996" s="17"/>
      <c r="L996" s="17"/>
      <c r="M996" s="17"/>
      <c r="N996" s="17"/>
      <c r="O996" s="17"/>
      <c r="T996" s="240"/>
    </row>
    <row r="997">
      <c r="J997" s="370"/>
      <c r="K997" s="17"/>
      <c r="L997" s="17"/>
      <c r="M997" s="17"/>
      <c r="N997" s="17"/>
      <c r="O997" s="17"/>
      <c r="T997" s="240"/>
    </row>
    <row r="998">
      <c r="J998" s="370"/>
      <c r="K998" s="17"/>
      <c r="L998" s="17"/>
      <c r="M998" s="17"/>
      <c r="N998" s="17"/>
      <c r="O998" s="17"/>
      <c r="T998" s="240"/>
    </row>
  </sheetData>
  <dataValidations>
    <dataValidation type="list" allowBlank="1" showErrorMessage="1" sqref="T2:T998">
      <formula1>"SIMRAN,AMIRUN,ANJALI,DHAVAL"</formula1>
    </dataValidation>
    <dataValidation type="list" allowBlank="1" showErrorMessage="1" sqref="O2:O998">
      <formula1>"MANUAL,TRACING"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  <col customWidth="1" min="6" max="6" width="15.25"/>
  </cols>
  <sheetData>
    <row r="1">
      <c r="A1" s="238" t="s">
        <v>1</v>
      </c>
      <c r="B1" s="150" t="s">
        <v>656</v>
      </c>
      <c r="C1" s="150" t="s">
        <v>657</v>
      </c>
      <c r="D1" s="150" t="s">
        <v>658</v>
      </c>
      <c r="E1" s="150" t="s">
        <v>659</v>
      </c>
      <c r="F1" s="150" t="s">
        <v>660</v>
      </c>
      <c r="G1" s="150" t="s">
        <v>4</v>
      </c>
      <c r="H1" s="150" t="s">
        <v>5</v>
      </c>
      <c r="I1" s="371" t="s">
        <v>7</v>
      </c>
      <c r="J1" s="372" t="s">
        <v>8</v>
      </c>
      <c r="K1" s="372" t="s">
        <v>9</v>
      </c>
      <c r="L1" s="372" t="s">
        <v>10</v>
      </c>
      <c r="M1" s="372" t="s">
        <v>11</v>
      </c>
      <c r="N1" s="372" t="s">
        <v>12</v>
      </c>
      <c r="O1" s="371" t="s">
        <v>13</v>
      </c>
      <c r="P1" s="372" t="s">
        <v>14</v>
      </c>
      <c r="Q1" s="372" t="s">
        <v>15</v>
      </c>
      <c r="R1" s="373" t="s">
        <v>17</v>
      </c>
      <c r="S1" s="371" t="s">
        <v>16</v>
      </c>
      <c r="T1" s="374" t="s">
        <v>6</v>
      </c>
    </row>
    <row r="2">
      <c r="A2" s="375">
        <v>227571.0</v>
      </c>
      <c r="B2" s="106" t="s">
        <v>94</v>
      </c>
      <c r="C2" s="106">
        <v>53.0</v>
      </c>
      <c r="D2" s="106">
        <v>37.0</v>
      </c>
      <c r="E2" s="106">
        <v>25.0</v>
      </c>
      <c r="F2" s="105">
        <v>0.676</v>
      </c>
      <c r="G2" s="106" t="s">
        <v>19</v>
      </c>
      <c r="H2" s="105">
        <v>0.568</v>
      </c>
      <c r="I2" s="106">
        <v>50.3</v>
      </c>
      <c r="J2" s="106">
        <v>41.96</v>
      </c>
      <c r="K2" s="106">
        <v>153.16</v>
      </c>
      <c r="L2" s="106">
        <v>151.95</v>
      </c>
      <c r="M2" s="170" t="s">
        <v>1249</v>
      </c>
      <c r="N2" s="106">
        <v>50.5</v>
      </c>
      <c r="O2" s="106">
        <v>42.2</v>
      </c>
      <c r="P2" s="106">
        <v>153.89</v>
      </c>
      <c r="Q2" s="106">
        <v>152.71</v>
      </c>
      <c r="R2" s="170" t="s">
        <v>22</v>
      </c>
      <c r="S2" s="214"/>
      <c r="T2" s="215" t="s">
        <v>662</v>
      </c>
    </row>
    <row r="3">
      <c r="A3" s="376">
        <v>234765.0</v>
      </c>
      <c r="B3" s="109" t="s">
        <v>1285</v>
      </c>
      <c r="C3" s="109">
        <v>34.0</v>
      </c>
      <c r="D3" s="109">
        <v>29.0</v>
      </c>
      <c r="E3" s="109">
        <v>18.0</v>
      </c>
      <c r="F3" s="103">
        <v>0.621</v>
      </c>
      <c r="G3" s="109" t="s">
        <v>19</v>
      </c>
      <c r="H3" s="103">
        <v>0.483</v>
      </c>
      <c r="I3" s="109">
        <v>55.1</v>
      </c>
      <c r="J3" s="109">
        <v>38.97</v>
      </c>
      <c r="K3" s="109">
        <v>160.1</v>
      </c>
      <c r="L3" s="109">
        <v>160.43</v>
      </c>
      <c r="M3" s="170" t="s">
        <v>1249</v>
      </c>
      <c r="N3" s="109">
        <v>55.31</v>
      </c>
      <c r="O3" s="109">
        <v>39.2</v>
      </c>
      <c r="P3" s="109">
        <v>160.8</v>
      </c>
      <c r="Q3" s="109">
        <v>161.32</v>
      </c>
      <c r="R3" s="170" t="s">
        <v>22</v>
      </c>
      <c r="S3" s="217"/>
      <c r="T3" s="218" t="s">
        <v>662</v>
      </c>
    </row>
    <row r="4">
      <c r="A4" s="375">
        <v>146613.0</v>
      </c>
      <c r="B4" s="106" t="s">
        <v>1286</v>
      </c>
      <c r="C4" s="106">
        <v>178.0</v>
      </c>
      <c r="D4" s="106">
        <v>170.0</v>
      </c>
      <c r="E4" s="106">
        <v>14.0</v>
      </c>
      <c r="F4" s="105">
        <v>0.082</v>
      </c>
      <c r="G4" s="106" t="s">
        <v>43</v>
      </c>
      <c r="H4" s="105">
        <v>0.018</v>
      </c>
      <c r="I4" s="106">
        <v>50.58</v>
      </c>
      <c r="J4" s="106">
        <v>45.97</v>
      </c>
      <c r="K4" s="106">
        <v>156.75</v>
      </c>
      <c r="L4" s="106">
        <v>157.2</v>
      </c>
      <c r="M4" s="170" t="s">
        <v>1249</v>
      </c>
      <c r="N4" s="106">
        <v>50.37</v>
      </c>
      <c r="O4" s="106">
        <v>45.77</v>
      </c>
      <c r="P4" s="106">
        <v>156.1</v>
      </c>
      <c r="Q4" s="106">
        <v>156.44</v>
      </c>
      <c r="R4" s="170" t="s">
        <v>22</v>
      </c>
      <c r="S4" s="214"/>
      <c r="T4" s="215" t="s">
        <v>662</v>
      </c>
    </row>
    <row r="5">
      <c r="A5" s="376">
        <v>225336.0</v>
      </c>
      <c r="B5" s="109" t="s">
        <v>270</v>
      </c>
      <c r="C5" s="109">
        <v>24.0</v>
      </c>
      <c r="D5" s="109">
        <v>23.0</v>
      </c>
      <c r="E5" s="109">
        <v>11.0</v>
      </c>
      <c r="F5" s="103">
        <v>0.478</v>
      </c>
      <c r="G5" s="109" t="s">
        <v>19</v>
      </c>
      <c r="H5" s="103">
        <v>0.391</v>
      </c>
      <c r="I5" s="109">
        <v>47.69</v>
      </c>
      <c r="J5" s="109">
        <v>41.42</v>
      </c>
      <c r="K5" s="109">
        <v>144.46</v>
      </c>
      <c r="L5" s="109">
        <v>144.86</v>
      </c>
      <c r="M5" s="170" t="s">
        <v>1249</v>
      </c>
      <c r="N5" s="109">
        <v>47.9</v>
      </c>
      <c r="O5" s="109">
        <v>41.62</v>
      </c>
      <c r="P5" s="109">
        <v>145.12</v>
      </c>
      <c r="Q5" s="109">
        <v>145.47</v>
      </c>
      <c r="R5" s="170" t="s">
        <v>22</v>
      </c>
      <c r="S5" s="217"/>
      <c r="T5" s="218" t="s">
        <v>662</v>
      </c>
    </row>
    <row r="6">
      <c r="A6" s="375">
        <v>227609.0</v>
      </c>
      <c r="B6" s="106" t="s">
        <v>1287</v>
      </c>
      <c r="C6" s="106">
        <v>169.0</v>
      </c>
      <c r="D6" s="106">
        <v>166.0</v>
      </c>
      <c r="E6" s="106">
        <v>11.0</v>
      </c>
      <c r="F6" s="105">
        <v>0.066</v>
      </c>
      <c r="G6" s="106" t="s">
        <v>19</v>
      </c>
      <c r="H6" s="377"/>
      <c r="I6" s="106">
        <v>49.87</v>
      </c>
      <c r="J6" s="106">
        <v>38.93</v>
      </c>
      <c r="K6" s="106">
        <v>146.92</v>
      </c>
      <c r="L6" s="106">
        <v>147.16</v>
      </c>
      <c r="M6" s="170" t="s">
        <v>21</v>
      </c>
      <c r="N6" s="106">
        <v>50.16</v>
      </c>
      <c r="O6" s="106">
        <v>39.68</v>
      </c>
      <c r="P6" s="106">
        <v>148.36</v>
      </c>
      <c r="Q6" s="106">
        <v>148.36</v>
      </c>
      <c r="R6" s="170" t="s">
        <v>22</v>
      </c>
      <c r="S6" s="214"/>
      <c r="T6" s="215" t="s">
        <v>662</v>
      </c>
    </row>
    <row r="7">
      <c r="A7" s="376">
        <v>134949.0</v>
      </c>
      <c r="B7" s="109" t="s">
        <v>48</v>
      </c>
      <c r="C7" s="109">
        <v>30.0</v>
      </c>
      <c r="D7" s="109">
        <v>23.0</v>
      </c>
      <c r="E7" s="109">
        <v>9.0</v>
      </c>
      <c r="F7" s="103">
        <v>0.391</v>
      </c>
      <c r="G7" s="339"/>
      <c r="H7" s="378"/>
      <c r="I7" s="339"/>
      <c r="J7" s="339"/>
      <c r="K7" s="339"/>
      <c r="L7" s="339"/>
      <c r="M7" s="170"/>
      <c r="N7" s="339"/>
      <c r="O7" s="339"/>
      <c r="P7" s="339"/>
      <c r="Q7" s="339"/>
      <c r="R7" s="170"/>
      <c r="S7" s="217"/>
      <c r="T7" s="218" t="s">
        <v>694</v>
      </c>
    </row>
    <row r="8">
      <c r="A8" s="375">
        <v>134949.0</v>
      </c>
      <c r="B8" s="106" t="s">
        <v>1073</v>
      </c>
      <c r="C8" s="106">
        <v>50.0</v>
      </c>
      <c r="D8" s="106">
        <v>41.0</v>
      </c>
      <c r="E8" s="106">
        <v>9.0</v>
      </c>
      <c r="F8" s="105">
        <v>0.22</v>
      </c>
      <c r="G8" s="336"/>
      <c r="H8" s="336"/>
      <c r="I8" s="336"/>
      <c r="J8" s="336"/>
      <c r="K8" s="336"/>
      <c r="L8" s="336"/>
      <c r="M8" s="170"/>
      <c r="N8" s="336"/>
      <c r="O8" s="336"/>
      <c r="P8" s="336"/>
      <c r="Q8" s="336"/>
      <c r="R8" s="170"/>
      <c r="S8" s="214"/>
      <c r="T8" s="218" t="s">
        <v>694</v>
      </c>
    </row>
    <row r="9">
      <c r="A9" s="376">
        <v>241933.0</v>
      </c>
      <c r="B9" s="109" t="s">
        <v>1288</v>
      </c>
      <c r="C9" s="109">
        <v>134.0</v>
      </c>
      <c r="D9" s="109">
        <v>128.0</v>
      </c>
      <c r="E9" s="109">
        <v>9.0</v>
      </c>
      <c r="F9" s="103">
        <v>0.07</v>
      </c>
      <c r="G9" s="109" t="s">
        <v>1289</v>
      </c>
      <c r="H9" s="339"/>
      <c r="I9" s="339"/>
      <c r="J9" s="339"/>
      <c r="K9" s="339"/>
      <c r="L9" s="339"/>
      <c r="M9" s="170"/>
      <c r="N9" s="339"/>
      <c r="O9" s="339"/>
      <c r="P9" s="339"/>
      <c r="Q9" s="339"/>
      <c r="R9" s="170"/>
      <c r="S9" s="217"/>
      <c r="T9" s="218" t="s">
        <v>662</v>
      </c>
    </row>
    <row r="10">
      <c r="A10" s="375">
        <v>224841.0</v>
      </c>
      <c r="B10" s="106" t="s">
        <v>773</v>
      </c>
      <c r="C10" s="106">
        <v>95.0</v>
      </c>
      <c r="D10" s="106">
        <v>88.0</v>
      </c>
      <c r="E10" s="106">
        <v>8.0</v>
      </c>
      <c r="F10" s="105">
        <v>0.091</v>
      </c>
      <c r="G10" s="106" t="s">
        <v>43</v>
      </c>
      <c r="H10" s="106"/>
      <c r="I10" s="106">
        <v>49.9</v>
      </c>
      <c r="J10" s="106">
        <v>46.16</v>
      </c>
      <c r="K10" s="106">
        <v>154.75</v>
      </c>
      <c r="L10" s="106">
        <v>154.89</v>
      </c>
      <c r="M10" s="170" t="s">
        <v>1249</v>
      </c>
      <c r="N10" s="106">
        <v>49.71</v>
      </c>
      <c r="O10" s="106">
        <v>45.95</v>
      </c>
      <c r="P10" s="106">
        <v>154.0</v>
      </c>
      <c r="Q10" s="106">
        <v>153.76</v>
      </c>
      <c r="R10" s="170" t="s">
        <v>22</v>
      </c>
      <c r="S10" s="214"/>
      <c r="T10" s="215" t="s">
        <v>662</v>
      </c>
    </row>
    <row r="11">
      <c r="A11" s="376">
        <v>221172.0</v>
      </c>
      <c r="B11" s="109" t="s">
        <v>1290</v>
      </c>
      <c r="C11" s="109">
        <v>106.0</v>
      </c>
      <c r="D11" s="109">
        <v>104.0</v>
      </c>
      <c r="E11" s="109">
        <v>8.0</v>
      </c>
      <c r="F11" s="103">
        <v>0.077</v>
      </c>
      <c r="G11" s="106" t="s">
        <v>43</v>
      </c>
      <c r="H11" s="339"/>
      <c r="I11" s="109">
        <v>52.7</v>
      </c>
      <c r="J11" s="109">
        <v>37.82</v>
      </c>
      <c r="K11" s="109">
        <v>151.46</v>
      </c>
      <c r="L11" s="109">
        <v>151.59</v>
      </c>
      <c r="M11" s="170" t="s">
        <v>1249</v>
      </c>
      <c r="N11" s="109">
        <v>52.6</v>
      </c>
      <c r="O11" s="109">
        <v>37.76</v>
      </c>
      <c r="P11" s="109">
        <v>151.06</v>
      </c>
      <c r="Q11" s="109">
        <v>150.86</v>
      </c>
      <c r="R11" s="170" t="s">
        <v>22</v>
      </c>
      <c r="S11" s="217"/>
      <c r="T11" s="218" t="s">
        <v>662</v>
      </c>
    </row>
    <row r="12">
      <c r="A12" s="375">
        <v>229137.0</v>
      </c>
      <c r="B12" s="106" t="s">
        <v>552</v>
      </c>
      <c r="C12" s="106">
        <v>148.0</v>
      </c>
      <c r="D12" s="106">
        <v>134.0</v>
      </c>
      <c r="E12" s="106">
        <v>8.0</v>
      </c>
      <c r="F12" s="105">
        <v>0.06</v>
      </c>
      <c r="G12" s="106" t="s">
        <v>1289</v>
      </c>
      <c r="H12" s="336"/>
      <c r="I12" s="336"/>
      <c r="J12" s="336"/>
      <c r="K12" s="336"/>
      <c r="L12" s="336"/>
      <c r="M12" s="170"/>
      <c r="N12" s="336"/>
      <c r="O12" s="336"/>
      <c r="P12" s="336"/>
      <c r="Q12" s="336"/>
      <c r="R12" s="170"/>
      <c r="S12" s="214"/>
      <c r="T12" s="215" t="s">
        <v>662</v>
      </c>
    </row>
    <row r="13">
      <c r="A13" s="376">
        <v>143018.0</v>
      </c>
      <c r="B13" s="109" t="s">
        <v>1116</v>
      </c>
      <c r="C13" s="109">
        <v>43.0</v>
      </c>
      <c r="D13" s="109">
        <v>42.0</v>
      </c>
      <c r="E13" s="109">
        <v>7.0</v>
      </c>
      <c r="F13" s="103">
        <v>0.167</v>
      </c>
      <c r="G13" s="109" t="s">
        <v>336</v>
      </c>
      <c r="H13" s="103">
        <v>0.139</v>
      </c>
      <c r="I13" s="339"/>
      <c r="J13" s="339"/>
      <c r="K13" s="339"/>
      <c r="L13" s="339"/>
      <c r="M13" s="170"/>
      <c r="N13" s="339"/>
      <c r="O13" s="339"/>
      <c r="P13" s="339"/>
      <c r="Q13" s="339"/>
      <c r="R13" s="170"/>
      <c r="S13" s="217"/>
      <c r="T13" s="218" t="s">
        <v>694</v>
      </c>
    </row>
    <row r="14">
      <c r="A14" s="375">
        <v>134826.0</v>
      </c>
      <c r="B14" s="106" t="s">
        <v>1291</v>
      </c>
      <c r="C14" s="106">
        <v>45.0</v>
      </c>
      <c r="D14" s="106">
        <v>43.0</v>
      </c>
      <c r="E14" s="106">
        <v>7.0</v>
      </c>
      <c r="F14" s="105">
        <v>0.163</v>
      </c>
      <c r="G14" s="336"/>
      <c r="H14" s="336"/>
      <c r="I14" s="336"/>
      <c r="J14" s="336"/>
      <c r="K14" s="336"/>
      <c r="L14" s="336"/>
      <c r="M14" s="170"/>
      <c r="N14" s="336"/>
      <c r="O14" s="336"/>
      <c r="P14" s="336"/>
      <c r="Q14" s="336"/>
      <c r="R14" s="170"/>
      <c r="S14" s="214"/>
      <c r="T14" s="215" t="s">
        <v>662</v>
      </c>
    </row>
    <row r="15">
      <c r="A15" s="376">
        <v>142997.0</v>
      </c>
      <c r="B15" s="109" t="s">
        <v>1292</v>
      </c>
      <c r="C15" s="109">
        <v>79.0</v>
      </c>
      <c r="D15" s="109">
        <v>77.0</v>
      </c>
      <c r="E15" s="109">
        <v>7.0</v>
      </c>
      <c r="F15" s="103">
        <v>0.091</v>
      </c>
      <c r="G15" s="109" t="s">
        <v>1293</v>
      </c>
      <c r="H15" s="339"/>
      <c r="I15" s="339"/>
      <c r="J15" s="339"/>
      <c r="K15" s="339"/>
      <c r="L15" s="339"/>
      <c r="M15" s="170"/>
      <c r="N15" s="339"/>
      <c r="O15" s="339"/>
      <c r="P15" s="339"/>
      <c r="Q15" s="339"/>
      <c r="R15" s="170"/>
      <c r="S15" s="217"/>
      <c r="T15" s="218" t="s">
        <v>694</v>
      </c>
    </row>
    <row r="16">
      <c r="A16" s="375">
        <v>219363.0</v>
      </c>
      <c r="B16" s="106" t="s">
        <v>1294</v>
      </c>
      <c r="C16" s="106">
        <v>118.0</v>
      </c>
      <c r="D16" s="106">
        <v>109.0</v>
      </c>
      <c r="E16" s="106">
        <v>7.0</v>
      </c>
      <c r="F16" s="105">
        <v>0.064</v>
      </c>
      <c r="G16" s="106" t="s">
        <v>25</v>
      </c>
      <c r="H16" s="336"/>
      <c r="I16" s="336"/>
      <c r="J16" s="336"/>
      <c r="K16" s="336"/>
      <c r="L16" s="336"/>
      <c r="M16" s="170"/>
      <c r="N16" s="336"/>
      <c r="O16" s="336"/>
      <c r="P16" s="336"/>
      <c r="Q16" s="336"/>
      <c r="R16" s="170"/>
      <c r="S16" s="214"/>
      <c r="T16" s="215" t="s">
        <v>694</v>
      </c>
    </row>
    <row r="17">
      <c r="A17" s="376">
        <v>235326.0</v>
      </c>
      <c r="B17" s="109" t="s">
        <v>1295</v>
      </c>
      <c r="C17" s="109">
        <v>118.0</v>
      </c>
      <c r="D17" s="109">
        <v>114.0</v>
      </c>
      <c r="E17" s="109">
        <v>7.0</v>
      </c>
      <c r="F17" s="103">
        <v>0.061</v>
      </c>
      <c r="G17" s="109" t="s">
        <v>19</v>
      </c>
      <c r="H17" s="339"/>
      <c r="I17" s="109">
        <v>52.76</v>
      </c>
      <c r="J17" s="109">
        <v>42.97</v>
      </c>
      <c r="K17" s="109">
        <v>160.95</v>
      </c>
      <c r="L17" s="109">
        <v>160.87</v>
      </c>
      <c r="M17" s="170" t="s">
        <v>1249</v>
      </c>
      <c r="N17" s="109">
        <v>53.09</v>
      </c>
      <c r="O17" s="109">
        <v>43.21</v>
      </c>
      <c r="P17" s="109">
        <v>161.7</v>
      </c>
      <c r="Q17" s="109">
        <v>161.67</v>
      </c>
      <c r="R17" s="170" t="s">
        <v>22</v>
      </c>
      <c r="S17" s="217"/>
      <c r="T17" s="218" t="s">
        <v>662</v>
      </c>
    </row>
    <row r="18">
      <c r="A18" s="375">
        <v>137971.0</v>
      </c>
      <c r="B18" s="106" t="s">
        <v>1296</v>
      </c>
      <c r="C18" s="106">
        <v>121.0</v>
      </c>
      <c r="D18" s="106">
        <v>118.0</v>
      </c>
      <c r="E18" s="106">
        <v>7.0</v>
      </c>
      <c r="F18" s="105">
        <v>0.059</v>
      </c>
      <c r="G18" s="106" t="s">
        <v>1293</v>
      </c>
      <c r="H18" s="336"/>
      <c r="I18" s="336"/>
      <c r="J18" s="336"/>
      <c r="K18" s="336"/>
      <c r="L18" s="336"/>
      <c r="M18" s="170"/>
      <c r="N18" s="336"/>
      <c r="O18" s="336"/>
      <c r="P18" s="336"/>
      <c r="Q18" s="336"/>
      <c r="R18" s="170"/>
      <c r="S18" s="214"/>
      <c r="T18" s="215" t="s">
        <v>662</v>
      </c>
    </row>
    <row r="19">
      <c r="A19" s="376">
        <v>241119.0</v>
      </c>
      <c r="B19" s="109" t="s">
        <v>1297</v>
      </c>
      <c r="C19" s="109">
        <v>19.0</v>
      </c>
      <c r="D19" s="109">
        <v>17.0</v>
      </c>
      <c r="E19" s="109">
        <v>6.0</v>
      </c>
      <c r="F19" s="103">
        <v>0.353</v>
      </c>
      <c r="G19" s="109" t="s">
        <v>1289</v>
      </c>
      <c r="H19" s="339"/>
      <c r="I19" s="339"/>
      <c r="J19" s="339"/>
      <c r="K19" s="339"/>
      <c r="L19" s="339"/>
      <c r="M19" s="170"/>
      <c r="N19" s="339"/>
      <c r="O19" s="339"/>
      <c r="P19" s="339"/>
      <c r="Q19" s="339"/>
      <c r="R19" s="170"/>
      <c r="S19" s="217"/>
      <c r="T19" s="218" t="s">
        <v>662</v>
      </c>
    </row>
    <row r="20">
      <c r="A20" s="375">
        <v>245975.0</v>
      </c>
      <c r="B20" s="106" t="s">
        <v>1110</v>
      </c>
      <c r="C20" s="106">
        <v>28.0</v>
      </c>
      <c r="D20" s="106">
        <v>28.0</v>
      </c>
      <c r="E20" s="106">
        <v>6.0</v>
      </c>
      <c r="F20" s="105">
        <v>0.214</v>
      </c>
      <c r="G20" s="106" t="s">
        <v>43</v>
      </c>
      <c r="H20" s="336"/>
      <c r="I20" s="106">
        <v>53.5</v>
      </c>
      <c r="J20" s="106">
        <v>47.11</v>
      </c>
      <c r="K20" s="106">
        <v>164.81</v>
      </c>
      <c r="L20" s="106">
        <v>165.26</v>
      </c>
      <c r="M20" s="170" t="s">
        <v>1249</v>
      </c>
      <c r="N20" s="106">
        <v>53.3</v>
      </c>
      <c r="O20" s="106">
        <v>46.91</v>
      </c>
      <c r="P20" s="106">
        <v>164.14</v>
      </c>
      <c r="Q20" s="106">
        <v>164.45</v>
      </c>
      <c r="R20" s="170" t="s">
        <v>22</v>
      </c>
      <c r="S20" s="214"/>
      <c r="T20" s="215" t="s">
        <v>662</v>
      </c>
    </row>
    <row r="21">
      <c r="A21" s="376">
        <v>241189.0</v>
      </c>
      <c r="B21" s="109" t="s">
        <v>1248</v>
      </c>
      <c r="C21" s="109">
        <v>37.0</v>
      </c>
      <c r="D21" s="109">
        <v>33.0</v>
      </c>
      <c r="E21" s="109">
        <v>6.0</v>
      </c>
      <c r="F21" s="103">
        <v>0.182</v>
      </c>
      <c r="G21" s="339"/>
      <c r="H21" s="339"/>
      <c r="I21" s="339"/>
      <c r="J21" s="339"/>
      <c r="K21" s="339"/>
      <c r="L21" s="339"/>
      <c r="M21" s="170"/>
      <c r="N21" s="339"/>
      <c r="O21" s="339"/>
      <c r="P21" s="339"/>
      <c r="Q21" s="339"/>
      <c r="R21" s="170"/>
      <c r="S21" s="217"/>
      <c r="T21" s="218" t="s">
        <v>662</v>
      </c>
    </row>
    <row r="22">
      <c r="A22" s="375">
        <v>239839.0</v>
      </c>
      <c r="B22" s="106" t="s">
        <v>103</v>
      </c>
      <c r="C22" s="106">
        <v>47.0</v>
      </c>
      <c r="D22" s="106">
        <v>36.0</v>
      </c>
      <c r="E22" s="106">
        <v>6.0</v>
      </c>
      <c r="F22" s="105">
        <v>0.167</v>
      </c>
      <c r="G22" s="336"/>
      <c r="H22" s="336"/>
      <c r="I22" s="336"/>
      <c r="J22" s="336"/>
      <c r="K22" s="336"/>
      <c r="L22" s="336"/>
      <c r="M22" s="170"/>
      <c r="N22" s="336"/>
      <c r="O22" s="336"/>
      <c r="P22" s="336"/>
      <c r="Q22" s="336"/>
      <c r="R22" s="170"/>
      <c r="S22" s="214"/>
      <c r="T22" s="215" t="s">
        <v>662</v>
      </c>
    </row>
    <row r="23">
      <c r="A23" s="376">
        <v>220126.0</v>
      </c>
      <c r="B23" s="109" t="s">
        <v>888</v>
      </c>
      <c r="C23" s="109">
        <v>47.0</v>
      </c>
      <c r="D23" s="109">
        <v>42.0</v>
      </c>
      <c r="E23" s="109">
        <v>6.0</v>
      </c>
      <c r="F23" s="103">
        <v>0.143</v>
      </c>
      <c r="G23" s="339"/>
      <c r="H23" s="339"/>
      <c r="I23" s="339"/>
      <c r="J23" s="339"/>
      <c r="K23" s="339"/>
      <c r="L23" s="339"/>
      <c r="M23" s="170"/>
      <c r="N23" s="339"/>
      <c r="O23" s="339"/>
      <c r="P23" s="339"/>
      <c r="Q23" s="339"/>
      <c r="R23" s="170"/>
      <c r="S23" s="217"/>
      <c r="T23" s="218" t="s">
        <v>662</v>
      </c>
    </row>
    <row r="24">
      <c r="A24" s="375">
        <v>224849.0</v>
      </c>
      <c r="B24" s="106" t="s">
        <v>1136</v>
      </c>
      <c r="C24" s="106">
        <v>83.0</v>
      </c>
      <c r="D24" s="106">
        <v>66.0</v>
      </c>
      <c r="E24" s="106">
        <v>6.0</v>
      </c>
      <c r="F24" s="105">
        <v>0.091</v>
      </c>
      <c r="G24" s="336"/>
      <c r="H24" s="336"/>
      <c r="I24" s="336"/>
      <c r="J24" s="336"/>
      <c r="K24" s="336"/>
      <c r="L24" s="336"/>
      <c r="M24" s="170"/>
      <c r="N24" s="336"/>
      <c r="O24" s="336"/>
      <c r="P24" s="336"/>
      <c r="Q24" s="336"/>
      <c r="R24" s="170"/>
      <c r="S24" s="214"/>
      <c r="T24" s="215" t="s">
        <v>662</v>
      </c>
    </row>
    <row r="25">
      <c r="A25" s="376">
        <v>151889.0</v>
      </c>
      <c r="B25" s="109" t="s">
        <v>93</v>
      </c>
      <c r="C25" s="109">
        <v>13.0</v>
      </c>
      <c r="D25" s="109">
        <v>12.0</v>
      </c>
      <c r="E25" s="109">
        <v>5.0</v>
      </c>
      <c r="F25" s="103">
        <v>0.417</v>
      </c>
      <c r="G25" s="339"/>
      <c r="H25" s="339"/>
      <c r="I25" s="339"/>
      <c r="J25" s="339"/>
      <c r="K25" s="339"/>
      <c r="L25" s="339"/>
      <c r="M25" s="170"/>
      <c r="N25" s="339"/>
      <c r="O25" s="339"/>
      <c r="P25" s="339"/>
      <c r="Q25" s="339"/>
      <c r="R25" s="170"/>
      <c r="S25" s="217"/>
      <c r="T25" s="218" t="s">
        <v>662</v>
      </c>
    </row>
    <row r="26">
      <c r="A26" s="375">
        <v>218966.0</v>
      </c>
      <c r="B26" s="106" t="s">
        <v>920</v>
      </c>
      <c r="C26" s="106">
        <v>14.0</v>
      </c>
      <c r="D26" s="106">
        <v>12.0</v>
      </c>
      <c r="E26" s="106">
        <v>5.0</v>
      </c>
      <c r="F26" s="105">
        <v>0.417</v>
      </c>
      <c r="G26" s="336"/>
      <c r="H26" s="336"/>
      <c r="I26" s="336"/>
      <c r="J26" s="336"/>
      <c r="K26" s="336"/>
      <c r="L26" s="336"/>
      <c r="M26" s="170"/>
      <c r="N26" s="336"/>
      <c r="O26" s="336"/>
      <c r="P26" s="336"/>
      <c r="Q26" s="336"/>
      <c r="R26" s="170"/>
      <c r="S26" s="214"/>
      <c r="T26" s="215" t="s">
        <v>662</v>
      </c>
    </row>
    <row r="27">
      <c r="A27" s="376">
        <v>225336.0</v>
      </c>
      <c r="B27" s="109" t="s">
        <v>151</v>
      </c>
      <c r="C27" s="109">
        <v>16.0</v>
      </c>
      <c r="D27" s="109">
        <v>16.0</v>
      </c>
      <c r="E27" s="109">
        <v>5.0</v>
      </c>
      <c r="F27" s="103">
        <v>0.313</v>
      </c>
      <c r="G27" s="339"/>
      <c r="H27" s="339"/>
      <c r="I27" s="339"/>
      <c r="J27" s="339"/>
      <c r="K27" s="339"/>
      <c r="L27" s="339"/>
      <c r="M27" s="170"/>
      <c r="N27" s="339"/>
      <c r="O27" s="339"/>
      <c r="P27" s="339"/>
      <c r="Q27" s="339"/>
      <c r="R27" s="170"/>
      <c r="S27" s="217"/>
      <c r="T27" s="218" t="s">
        <v>662</v>
      </c>
    </row>
    <row r="28">
      <c r="A28" s="375">
        <v>224849.0</v>
      </c>
      <c r="B28" s="106" t="s">
        <v>1298</v>
      </c>
      <c r="C28" s="106">
        <v>20.0</v>
      </c>
      <c r="D28" s="106">
        <v>18.0</v>
      </c>
      <c r="E28" s="106">
        <v>5.0</v>
      </c>
      <c r="F28" s="105">
        <v>0.278</v>
      </c>
      <c r="G28" s="336"/>
      <c r="H28" s="336"/>
      <c r="I28" s="336"/>
      <c r="J28" s="336"/>
      <c r="K28" s="336"/>
      <c r="L28" s="336"/>
      <c r="M28" s="170"/>
      <c r="N28" s="336"/>
      <c r="O28" s="336"/>
      <c r="P28" s="336"/>
      <c r="Q28" s="336"/>
      <c r="R28" s="170"/>
      <c r="S28" s="214"/>
      <c r="T28" s="215" t="s">
        <v>662</v>
      </c>
    </row>
    <row r="29">
      <c r="A29" s="376">
        <v>146653.0</v>
      </c>
      <c r="B29" s="109" t="s">
        <v>951</v>
      </c>
      <c r="C29" s="109">
        <v>21.0</v>
      </c>
      <c r="D29" s="109">
        <v>19.0</v>
      </c>
      <c r="E29" s="109">
        <v>5.0</v>
      </c>
      <c r="F29" s="103">
        <v>0.263</v>
      </c>
      <c r="G29" s="339"/>
      <c r="H29" s="339"/>
      <c r="I29" s="339"/>
      <c r="J29" s="339"/>
      <c r="K29" s="339"/>
      <c r="L29" s="339"/>
      <c r="M29" s="170"/>
      <c r="N29" s="339"/>
      <c r="O29" s="339"/>
      <c r="P29" s="339"/>
      <c r="Q29" s="339"/>
      <c r="R29" s="170"/>
      <c r="S29" s="217"/>
      <c r="T29" s="218" t="s">
        <v>662</v>
      </c>
    </row>
    <row r="30">
      <c r="A30" s="375">
        <v>134951.0</v>
      </c>
      <c r="B30" s="106" t="s">
        <v>1066</v>
      </c>
      <c r="C30" s="106">
        <v>29.0</v>
      </c>
      <c r="D30" s="106">
        <v>20.0</v>
      </c>
      <c r="E30" s="106">
        <v>5.0</v>
      </c>
      <c r="F30" s="105">
        <v>0.25</v>
      </c>
      <c r="G30" s="336"/>
      <c r="H30" s="336"/>
      <c r="I30" s="336"/>
      <c r="J30" s="336"/>
      <c r="K30" s="336"/>
      <c r="L30" s="336"/>
      <c r="M30" s="170"/>
      <c r="N30" s="336"/>
      <c r="O30" s="336"/>
      <c r="P30" s="336"/>
      <c r="Q30" s="336"/>
      <c r="R30" s="170"/>
      <c r="S30" s="214"/>
      <c r="T30" s="215" t="s">
        <v>662</v>
      </c>
    </row>
    <row r="31">
      <c r="A31" s="376">
        <v>225336.0</v>
      </c>
      <c r="B31" s="109" t="s">
        <v>195</v>
      </c>
      <c r="C31" s="109">
        <v>27.0</v>
      </c>
      <c r="D31" s="109">
        <v>25.0</v>
      </c>
      <c r="E31" s="109">
        <v>5.0</v>
      </c>
      <c r="F31" s="103">
        <v>0.2</v>
      </c>
      <c r="G31" s="339"/>
      <c r="H31" s="339"/>
      <c r="I31" s="339"/>
      <c r="J31" s="339"/>
      <c r="K31" s="339"/>
      <c r="L31" s="339"/>
      <c r="M31" s="170"/>
      <c r="N31" s="339"/>
      <c r="O31" s="339"/>
      <c r="P31" s="339"/>
      <c r="Q31" s="339"/>
      <c r="R31" s="170"/>
      <c r="S31" s="217"/>
      <c r="T31" s="218" t="s">
        <v>662</v>
      </c>
    </row>
    <row r="32">
      <c r="A32" s="375">
        <v>241117.0</v>
      </c>
      <c r="B32" s="106" t="s">
        <v>1276</v>
      </c>
      <c r="C32" s="106">
        <v>59.0</v>
      </c>
      <c r="D32" s="106">
        <v>56.0</v>
      </c>
      <c r="E32" s="106">
        <v>5.0</v>
      </c>
      <c r="F32" s="105">
        <v>0.089</v>
      </c>
      <c r="G32" s="336"/>
      <c r="H32" s="336"/>
      <c r="I32" s="336"/>
      <c r="J32" s="336"/>
      <c r="K32" s="336"/>
      <c r="L32" s="336"/>
      <c r="M32" s="170"/>
      <c r="N32" s="336"/>
      <c r="O32" s="336"/>
      <c r="P32" s="336"/>
      <c r="Q32" s="336"/>
      <c r="R32" s="170"/>
      <c r="S32" s="214"/>
      <c r="T32" s="215" t="s">
        <v>662</v>
      </c>
    </row>
    <row r="33">
      <c r="A33" s="376">
        <v>221174.0</v>
      </c>
      <c r="B33" s="109" t="s">
        <v>1299</v>
      </c>
      <c r="C33" s="109">
        <v>70.0</v>
      </c>
      <c r="D33" s="109">
        <v>68.0</v>
      </c>
      <c r="E33" s="109">
        <v>5.0</v>
      </c>
      <c r="F33" s="103">
        <v>0.074</v>
      </c>
      <c r="G33" s="339"/>
      <c r="H33" s="339"/>
      <c r="I33" s="339"/>
      <c r="J33" s="339"/>
      <c r="K33" s="339"/>
      <c r="L33" s="339"/>
      <c r="M33" s="170"/>
      <c r="N33" s="339"/>
      <c r="O33" s="339"/>
      <c r="P33" s="339"/>
      <c r="Q33" s="339"/>
      <c r="R33" s="170"/>
      <c r="S33" s="217"/>
      <c r="T33" s="218" t="s">
        <v>662</v>
      </c>
    </row>
    <row r="34">
      <c r="A34" s="375">
        <v>220595.0</v>
      </c>
      <c r="B34" s="106" t="s">
        <v>1300</v>
      </c>
      <c r="C34" s="106">
        <v>86.0</v>
      </c>
      <c r="D34" s="106">
        <v>80.0</v>
      </c>
      <c r="E34" s="106">
        <v>5.0</v>
      </c>
      <c r="F34" s="105">
        <v>0.063</v>
      </c>
      <c r="G34" s="336"/>
      <c r="H34" s="336"/>
      <c r="I34" s="336"/>
      <c r="J34" s="336"/>
      <c r="K34" s="336"/>
      <c r="L34" s="336"/>
      <c r="M34" s="170"/>
      <c r="N34" s="336"/>
      <c r="O34" s="336"/>
      <c r="P34" s="336"/>
      <c r="Q34" s="336"/>
      <c r="R34" s="170"/>
      <c r="S34" s="214"/>
      <c r="T34" s="215" t="s">
        <v>694</v>
      </c>
    </row>
    <row r="35">
      <c r="A35" s="376">
        <v>137971.0</v>
      </c>
      <c r="B35" s="109" t="s">
        <v>936</v>
      </c>
      <c r="C35" s="109">
        <v>83.0</v>
      </c>
      <c r="D35" s="109">
        <v>81.0</v>
      </c>
      <c r="E35" s="109">
        <v>5.0</v>
      </c>
      <c r="F35" s="103">
        <v>0.062</v>
      </c>
      <c r="G35" s="339"/>
      <c r="H35" s="339"/>
      <c r="I35" s="339"/>
      <c r="J35" s="339"/>
      <c r="K35" s="339"/>
      <c r="L35" s="339"/>
      <c r="M35" s="170"/>
      <c r="N35" s="217"/>
      <c r="O35" s="217"/>
      <c r="P35" s="217"/>
      <c r="Q35" s="217"/>
      <c r="R35" s="170"/>
      <c r="S35" s="217"/>
      <c r="T35" s="218" t="s">
        <v>662</v>
      </c>
    </row>
    <row r="36">
      <c r="A36" s="17"/>
      <c r="B36" s="17"/>
    </row>
  </sheetData>
  <dataValidations>
    <dataValidation type="list" allowBlank="1" showErrorMessage="1" sqref="M2:M35">
      <formula1>"MANUALLY,TRACING"</formula1>
    </dataValidation>
    <dataValidation type="list" allowBlank="1" showErrorMessage="1" sqref="R2:R35">
      <formula1>"AMIRUN,DHAVAL,DIPANSHU"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75"/>
  </cols>
  <sheetData>
    <row r="1">
      <c r="A1" s="379" t="s">
        <v>1</v>
      </c>
      <c r="B1" s="373" t="s">
        <v>2</v>
      </c>
      <c r="C1" s="373" t="s">
        <v>656</v>
      </c>
      <c r="D1" s="373" t="s">
        <v>657</v>
      </c>
      <c r="E1" s="373" t="s">
        <v>658</v>
      </c>
      <c r="F1" s="373" t="s">
        <v>659</v>
      </c>
      <c r="G1" s="373" t="s">
        <v>660</v>
      </c>
      <c r="H1" s="373" t="s">
        <v>4</v>
      </c>
      <c r="I1" s="373" t="s">
        <v>5</v>
      </c>
      <c r="J1" s="371" t="s">
        <v>7</v>
      </c>
      <c r="K1" s="372" t="s">
        <v>8</v>
      </c>
      <c r="L1" s="372" t="s">
        <v>9</v>
      </c>
      <c r="M1" s="372" t="s">
        <v>10</v>
      </c>
      <c r="N1" s="372" t="s">
        <v>11</v>
      </c>
      <c r="O1" s="372" t="s">
        <v>12</v>
      </c>
      <c r="P1" s="371" t="s">
        <v>13</v>
      </c>
      <c r="Q1" s="372" t="s">
        <v>14</v>
      </c>
      <c r="R1" s="372" t="s">
        <v>15</v>
      </c>
      <c r="S1" s="373" t="s">
        <v>17</v>
      </c>
      <c r="T1" s="371" t="s">
        <v>16</v>
      </c>
      <c r="U1" s="6" t="s">
        <v>661</v>
      </c>
      <c r="V1" s="380"/>
      <c r="W1" s="380"/>
      <c r="X1" s="380"/>
    </row>
    <row r="2">
      <c r="A2" s="335">
        <v>228997.0</v>
      </c>
      <c r="B2" s="170" t="s">
        <v>1301</v>
      </c>
      <c r="C2" s="170" t="s">
        <v>60</v>
      </c>
      <c r="D2" s="171">
        <v>368.0</v>
      </c>
      <c r="E2" s="171">
        <v>349.0</v>
      </c>
      <c r="F2" s="171">
        <v>22.0</v>
      </c>
      <c r="G2" s="172">
        <v>0.063</v>
      </c>
      <c r="H2" s="170" t="s">
        <v>43</v>
      </c>
      <c r="I2" s="170">
        <v>2.9</v>
      </c>
      <c r="J2" s="106">
        <v>52.73</v>
      </c>
      <c r="K2" s="106">
        <v>36.42</v>
      </c>
      <c r="L2" s="106">
        <v>151.74</v>
      </c>
      <c r="M2" s="106">
        <v>151.74</v>
      </c>
      <c r="N2" s="336"/>
      <c r="O2" s="106">
        <v>52.5</v>
      </c>
      <c r="P2" s="106">
        <v>36.22</v>
      </c>
      <c r="Q2" s="106">
        <v>151.04</v>
      </c>
      <c r="R2" s="106">
        <v>150.83</v>
      </c>
      <c r="S2" s="214"/>
      <c r="T2" s="170" t="s">
        <v>885</v>
      </c>
      <c r="U2" s="337" t="s">
        <v>662</v>
      </c>
      <c r="V2" s="242"/>
      <c r="W2" s="242"/>
      <c r="X2" s="242"/>
    </row>
    <row r="3">
      <c r="A3" s="338">
        <v>143018.0</v>
      </c>
      <c r="B3" s="173" t="s">
        <v>1117</v>
      </c>
      <c r="C3" s="173" t="s">
        <v>1116</v>
      </c>
      <c r="D3" s="174">
        <v>103.0</v>
      </c>
      <c r="E3" s="174">
        <v>94.0</v>
      </c>
      <c r="F3" s="174">
        <v>16.0</v>
      </c>
      <c r="G3" s="175">
        <v>0.17</v>
      </c>
      <c r="H3" s="173" t="s">
        <v>336</v>
      </c>
      <c r="I3" s="217"/>
      <c r="J3" s="109" t="s">
        <v>1302</v>
      </c>
      <c r="K3" s="339"/>
      <c r="L3" s="109"/>
      <c r="M3" s="339"/>
      <c r="N3" s="339"/>
      <c r="O3" s="339"/>
      <c r="P3" s="339"/>
      <c r="Q3" s="339"/>
      <c r="R3" s="339"/>
      <c r="S3" s="217"/>
      <c r="T3" s="170"/>
      <c r="U3" s="340" t="s">
        <v>694</v>
      </c>
      <c r="V3" s="242"/>
      <c r="W3" s="242"/>
      <c r="X3" s="242"/>
    </row>
    <row r="4">
      <c r="A4" s="335">
        <v>234796.0</v>
      </c>
      <c r="B4" s="170" t="s">
        <v>1303</v>
      </c>
      <c r="C4" s="170" t="s">
        <v>59</v>
      </c>
      <c r="D4" s="171">
        <v>31.0</v>
      </c>
      <c r="E4" s="171">
        <v>30.0</v>
      </c>
      <c r="F4" s="171">
        <v>16.0</v>
      </c>
      <c r="G4" s="172">
        <v>0.533</v>
      </c>
      <c r="H4" s="170" t="s">
        <v>19</v>
      </c>
      <c r="I4" s="214"/>
      <c r="J4" s="170">
        <v>49.81</v>
      </c>
      <c r="K4" s="106">
        <v>47.29</v>
      </c>
      <c r="L4" s="106">
        <v>158.13</v>
      </c>
      <c r="M4" s="106">
        <v>158.24</v>
      </c>
      <c r="N4" s="336"/>
      <c r="O4" s="106">
        <v>50.2</v>
      </c>
      <c r="P4" s="106">
        <v>47.4</v>
      </c>
      <c r="Q4" s="106">
        <v>158.99</v>
      </c>
      <c r="R4" s="106">
        <v>158.98</v>
      </c>
      <c r="S4" s="214"/>
      <c r="T4" s="170" t="s">
        <v>885</v>
      </c>
      <c r="U4" s="337" t="s">
        <v>662</v>
      </c>
      <c r="V4" s="242"/>
      <c r="W4" s="242"/>
      <c r="X4" s="242"/>
    </row>
    <row r="5">
      <c r="A5" s="335">
        <v>219825.0</v>
      </c>
      <c r="B5" s="170" t="s">
        <v>1304</v>
      </c>
      <c r="C5" s="170" t="s">
        <v>573</v>
      </c>
      <c r="D5" s="171">
        <v>190.0</v>
      </c>
      <c r="E5" s="171">
        <v>177.0</v>
      </c>
      <c r="F5" s="171">
        <v>14.0</v>
      </c>
      <c r="G5" s="172">
        <v>0.079</v>
      </c>
      <c r="H5" s="170" t="s">
        <v>43</v>
      </c>
      <c r="I5" s="214"/>
      <c r="J5" s="109">
        <v>55.36</v>
      </c>
      <c r="K5" s="109">
        <v>37.61</v>
      </c>
      <c r="L5" s="109">
        <v>157.26</v>
      </c>
      <c r="M5" s="109">
        <v>157.07</v>
      </c>
      <c r="N5" s="336"/>
      <c r="O5" s="106">
        <v>55.16</v>
      </c>
      <c r="P5" s="106">
        <v>37.4</v>
      </c>
      <c r="Q5" s="106">
        <v>156.35</v>
      </c>
      <c r="R5" s="106">
        <v>156.01</v>
      </c>
      <c r="S5" s="214"/>
      <c r="T5" s="170" t="s">
        <v>885</v>
      </c>
      <c r="U5" s="337" t="s">
        <v>662</v>
      </c>
      <c r="V5" s="242"/>
      <c r="W5" s="242"/>
      <c r="X5" s="242"/>
    </row>
    <row r="6">
      <c r="A6" s="338">
        <v>221282.0</v>
      </c>
      <c r="B6" s="173" t="s">
        <v>1305</v>
      </c>
      <c r="C6" s="173" t="s">
        <v>1306</v>
      </c>
      <c r="D6" s="174">
        <v>114.0</v>
      </c>
      <c r="E6" s="174">
        <v>109.0</v>
      </c>
      <c r="F6" s="174">
        <v>13.0</v>
      </c>
      <c r="G6" s="175">
        <v>0.119</v>
      </c>
      <c r="H6" s="170" t="s">
        <v>43</v>
      </c>
      <c r="I6" s="217"/>
      <c r="J6" s="109">
        <v>54.57</v>
      </c>
      <c r="K6" s="109">
        <v>41.98</v>
      </c>
      <c r="L6" s="109">
        <v>162.17</v>
      </c>
      <c r="M6" s="109">
        <v>162.27</v>
      </c>
      <c r="N6" s="339"/>
      <c r="O6" s="109">
        <v>54.37</v>
      </c>
      <c r="P6" s="109">
        <v>41.7</v>
      </c>
      <c r="Q6" s="109">
        <v>161.16</v>
      </c>
      <c r="R6" s="109">
        <v>161.07</v>
      </c>
      <c r="S6" s="217"/>
      <c r="T6" s="170" t="s">
        <v>885</v>
      </c>
      <c r="U6" s="340" t="s">
        <v>662</v>
      </c>
      <c r="V6" s="242"/>
      <c r="W6" s="242"/>
      <c r="X6" s="242"/>
    </row>
    <row r="7">
      <c r="A7" s="335">
        <v>241079.0</v>
      </c>
      <c r="B7" s="170" t="s">
        <v>1307</v>
      </c>
      <c r="C7" s="170" t="s">
        <v>1308</v>
      </c>
      <c r="D7" s="171">
        <v>16.0</v>
      </c>
      <c r="E7" s="171">
        <v>16.0</v>
      </c>
      <c r="F7" s="171">
        <v>13.0</v>
      </c>
      <c r="G7" s="172">
        <v>0.813</v>
      </c>
      <c r="H7" s="170" t="s">
        <v>43</v>
      </c>
      <c r="I7" s="214"/>
      <c r="J7" s="106">
        <v>55.15</v>
      </c>
      <c r="K7" s="106">
        <v>34.79</v>
      </c>
      <c r="L7" s="106">
        <v>149.57</v>
      </c>
      <c r="M7" s="106">
        <v>149.55</v>
      </c>
      <c r="N7" s="336"/>
      <c r="O7" s="106">
        <v>54.98</v>
      </c>
      <c r="P7" s="106">
        <v>34.59</v>
      </c>
      <c r="Q7" s="106">
        <v>148.84</v>
      </c>
      <c r="R7" s="106">
        <v>148.9</v>
      </c>
      <c r="S7" s="214"/>
      <c r="T7" s="170" t="s">
        <v>885</v>
      </c>
      <c r="U7" s="337" t="s">
        <v>662</v>
      </c>
      <c r="V7" s="242"/>
      <c r="W7" s="242"/>
      <c r="X7" s="242"/>
    </row>
    <row r="8">
      <c r="A8" s="338">
        <v>146653.0</v>
      </c>
      <c r="B8" s="173" t="s">
        <v>1309</v>
      </c>
      <c r="C8" s="173" t="s">
        <v>309</v>
      </c>
      <c r="D8" s="174">
        <v>176.0</v>
      </c>
      <c r="E8" s="174">
        <v>166.0</v>
      </c>
      <c r="F8" s="174">
        <v>12.0</v>
      </c>
      <c r="G8" s="175">
        <v>0.072</v>
      </c>
      <c r="H8" s="173" t="s">
        <v>1289</v>
      </c>
      <c r="I8" s="217"/>
      <c r="J8" s="339"/>
      <c r="K8" s="339"/>
      <c r="L8" s="339"/>
      <c r="M8" s="339"/>
      <c r="N8" s="339"/>
      <c r="O8" s="339"/>
      <c r="P8" s="339"/>
      <c r="Q8" s="339"/>
      <c r="R8" s="339"/>
      <c r="S8" s="217"/>
      <c r="T8" s="170"/>
      <c r="U8" s="340" t="s">
        <v>662</v>
      </c>
      <c r="V8" s="242"/>
      <c r="W8" s="242"/>
      <c r="X8" s="242"/>
    </row>
    <row r="9">
      <c r="A9" s="335">
        <v>149022.0</v>
      </c>
      <c r="B9" s="170" t="s">
        <v>1310</v>
      </c>
      <c r="C9" s="170" t="s">
        <v>955</v>
      </c>
      <c r="D9" s="171">
        <v>218.0</v>
      </c>
      <c r="E9" s="171">
        <v>206.0</v>
      </c>
      <c r="F9" s="171">
        <v>12.0</v>
      </c>
      <c r="G9" s="172">
        <v>0.058</v>
      </c>
      <c r="H9" s="170" t="s">
        <v>19</v>
      </c>
      <c r="I9" s="214"/>
      <c r="J9" s="106">
        <v>51.74</v>
      </c>
      <c r="K9" s="106">
        <v>41.65</v>
      </c>
      <c r="L9" s="106">
        <v>153.91</v>
      </c>
      <c r="M9" s="106">
        <v>153.91</v>
      </c>
      <c r="N9" s="336"/>
      <c r="O9" s="106">
        <v>51.95</v>
      </c>
      <c r="P9" s="106">
        <v>41.9</v>
      </c>
      <c r="Q9" s="106">
        <v>154.67</v>
      </c>
      <c r="R9" s="106">
        <v>154.75</v>
      </c>
      <c r="S9" s="214"/>
      <c r="T9" s="170" t="s">
        <v>885</v>
      </c>
      <c r="U9" s="337" t="s">
        <v>662</v>
      </c>
      <c r="V9" s="242"/>
      <c r="W9" s="242"/>
      <c r="X9" s="242"/>
    </row>
    <row r="10">
      <c r="A10" s="338">
        <v>207671.0</v>
      </c>
      <c r="B10" s="173" t="s">
        <v>1311</v>
      </c>
      <c r="C10" s="173" t="s">
        <v>939</v>
      </c>
      <c r="D10" s="174">
        <v>147.0</v>
      </c>
      <c r="E10" s="174">
        <v>139.0</v>
      </c>
      <c r="F10" s="174">
        <v>12.0</v>
      </c>
      <c r="G10" s="175">
        <v>0.086</v>
      </c>
      <c r="H10" s="173" t="s">
        <v>19</v>
      </c>
      <c r="I10" s="217"/>
      <c r="J10" s="109">
        <v>51.38</v>
      </c>
      <c r="K10" s="109">
        <v>43.84</v>
      </c>
      <c r="L10" s="109">
        <v>155.77</v>
      </c>
      <c r="M10" s="109">
        <v>155.6</v>
      </c>
      <c r="N10" s="339"/>
      <c r="O10" s="109">
        <v>51.61</v>
      </c>
      <c r="P10" s="109">
        <v>44.1</v>
      </c>
      <c r="Q10" s="109">
        <v>156.49</v>
      </c>
      <c r="R10" s="109">
        <v>156.73</v>
      </c>
      <c r="S10" s="217"/>
      <c r="T10" s="170" t="s">
        <v>885</v>
      </c>
      <c r="U10" s="340" t="s">
        <v>662</v>
      </c>
      <c r="V10" s="242"/>
      <c r="W10" s="242"/>
      <c r="X10" s="242"/>
    </row>
    <row r="11">
      <c r="A11" s="335">
        <v>227571.0</v>
      </c>
      <c r="B11" s="170" t="s">
        <v>1094</v>
      </c>
      <c r="C11" s="170" t="s">
        <v>94</v>
      </c>
      <c r="D11" s="171">
        <v>52.0</v>
      </c>
      <c r="E11" s="171">
        <v>46.0</v>
      </c>
      <c r="F11" s="171">
        <v>12.0</v>
      </c>
      <c r="G11" s="172">
        <v>0.261</v>
      </c>
      <c r="H11" s="170" t="s">
        <v>19</v>
      </c>
      <c r="I11" s="381">
        <v>0.224</v>
      </c>
      <c r="J11" s="336"/>
      <c r="K11" s="336"/>
      <c r="L11" s="336"/>
      <c r="M11" s="336"/>
      <c r="N11" s="336"/>
      <c r="O11" s="336"/>
      <c r="P11" s="336"/>
      <c r="Q11" s="336"/>
      <c r="R11" s="336"/>
      <c r="S11" s="214"/>
      <c r="T11" s="170"/>
      <c r="U11" s="337" t="s">
        <v>662</v>
      </c>
      <c r="V11" s="242"/>
      <c r="W11" s="242"/>
      <c r="X11" s="242"/>
    </row>
    <row r="12">
      <c r="A12" s="338">
        <v>210433.0</v>
      </c>
      <c r="B12" s="173" t="s">
        <v>1312</v>
      </c>
      <c r="C12" s="173" t="s">
        <v>431</v>
      </c>
      <c r="D12" s="174">
        <v>150.0</v>
      </c>
      <c r="E12" s="174">
        <v>140.0</v>
      </c>
      <c r="F12" s="174">
        <v>10.0</v>
      </c>
      <c r="G12" s="175">
        <v>0.071</v>
      </c>
      <c r="H12" s="173" t="s">
        <v>1289</v>
      </c>
      <c r="I12" s="217"/>
      <c r="J12" s="339"/>
      <c r="K12" s="339"/>
      <c r="L12" s="339"/>
      <c r="M12" s="339"/>
      <c r="N12" s="339"/>
      <c r="O12" s="339"/>
      <c r="P12" s="339"/>
      <c r="Q12" s="339"/>
      <c r="R12" s="339"/>
      <c r="S12" s="217"/>
      <c r="T12" s="170"/>
      <c r="U12" s="340" t="s">
        <v>662</v>
      </c>
      <c r="V12" s="242"/>
      <c r="W12" s="242"/>
      <c r="X12" s="242"/>
    </row>
    <row r="13">
      <c r="A13" s="335">
        <v>228743.0</v>
      </c>
      <c r="B13" s="170" t="s">
        <v>1313</v>
      </c>
      <c r="C13" s="170" t="s">
        <v>884</v>
      </c>
      <c r="D13" s="171">
        <v>90.0</v>
      </c>
      <c r="E13" s="171">
        <v>79.0</v>
      </c>
      <c r="F13" s="171">
        <v>10.0</v>
      </c>
      <c r="G13" s="172">
        <v>0.127</v>
      </c>
      <c r="H13" s="170" t="s">
        <v>43</v>
      </c>
      <c r="I13" s="214"/>
      <c r="J13" s="106">
        <v>52.47</v>
      </c>
      <c r="K13" s="106">
        <v>44.06</v>
      </c>
      <c r="L13" s="106">
        <v>162.05</v>
      </c>
      <c r="M13" s="106">
        <v>162.66</v>
      </c>
      <c r="N13" s="336"/>
      <c r="O13" s="106">
        <v>52.28</v>
      </c>
      <c r="P13" s="106">
        <v>43.9</v>
      </c>
      <c r="Q13" s="106">
        <v>161.36</v>
      </c>
      <c r="R13" s="106">
        <v>161.08</v>
      </c>
      <c r="S13" s="214"/>
      <c r="T13" s="170" t="s">
        <v>885</v>
      </c>
      <c r="U13" s="337" t="s">
        <v>662</v>
      </c>
      <c r="V13" s="242"/>
      <c r="W13" s="242"/>
      <c r="X13" s="242"/>
    </row>
    <row r="14">
      <c r="A14" s="338">
        <v>143447.0</v>
      </c>
      <c r="B14" s="173" t="s">
        <v>1314</v>
      </c>
      <c r="C14" s="173" t="s">
        <v>1315</v>
      </c>
      <c r="D14" s="174">
        <v>124.0</v>
      </c>
      <c r="E14" s="174">
        <v>120.0</v>
      </c>
      <c r="F14" s="174">
        <v>9.0</v>
      </c>
      <c r="G14" s="175">
        <v>0.075</v>
      </c>
      <c r="H14" s="173" t="s">
        <v>43</v>
      </c>
      <c r="I14" s="217"/>
      <c r="J14" s="109">
        <v>53.4</v>
      </c>
      <c r="K14" s="109">
        <v>38.43</v>
      </c>
      <c r="L14" s="109">
        <v>154.1</v>
      </c>
      <c r="M14" s="109">
        <v>153.97</v>
      </c>
      <c r="N14" s="339"/>
      <c r="O14" s="109">
        <v>53.2</v>
      </c>
      <c r="P14" s="109">
        <v>38.15</v>
      </c>
      <c r="Q14" s="109">
        <v>153.27</v>
      </c>
      <c r="R14" s="109">
        <v>153.25</v>
      </c>
      <c r="S14" s="217"/>
      <c r="T14" s="170" t="s">
        <v>885</v>
      </c>
      <c r="U14" s="340" t="s">
        <v>662</v>
      </c>
      <c r="V14" s="242"/>
      <c r="W14" s="242"/>
      <c r="X14" s="242"/>
    </row>
    <row r="15">
      <c r="A15" s="335">
        <v>207671.0</v>
      </c>
      <c r="B15" s="170" t="s">
        <v>1316</v>
      </c>
      <c r="C15" s="170" t="s">
        <v>1317</v>
      </c>
      <c r="D15" s="171">
        <v>24.0</v>
      </c>
      <c r="E15" s="171">
        <v>24.0</v>
      </c>
      <c r="F15" s="171">
        <v>8.0</v>
      </c>
      <c r="G15" s="172">
        <v>0.333</v>
      </c>
      <c r="H15" s="170" t="s">
        <v>19</v>
      </c>
      <c r="I15" s="170">
        <v>29.2</v>
      </c>
      <c r="J15" s="106">
        <v>51.2</v>
      </c>
      <c r="K15" s="106">
        <v>43.6</v>
      </c>
      <c r="L15" s="106">
        <v>155.66</v>
      </c>
      <c r="M15" s="106">
        <v>155.65</v>
      </c>
      <c r="N15" s="336"/>
      <c r="O15" s="106">
        <v>51.41</v>
      </c>
      <c r="P15" s="106">
        <v>43.9</v>
      </c>
      <c r="Q15" s="106">
        <v>156.47</v>
      </c>
      <c r="R15" s="106">
        <v>156.47</v>
      </c>
      <c r="S15" s="214"/>
      <c r="T15" s="170" t="s">
        <v>885</v>
      </c>
      <c r="U15" s="337" t="s">
        <v>662</v>
      </c>
      <c r="V15" s="242"/>
      <c r="W15" s="242"/>
      <c r="X15" s="242"/>
    </row>
    <row r="16">
      <c r="A16" s="338">
        <v>220126.0</v>
      </c>
      <c r="B16" s="173" t="s">
        <v>23</v>
      </c>
      <c r="C16" s="173" t="s">
        <v>24</v>
      </c>
      <c r="D16" s="174">
        <v>177.0</v>
      </c>
      <c r="E16" s="174">
        <v>145.0</v>
      </c>
      <c r="F16" s="174">
        <v>8.0</v>
      </c>
      <c r="G16" s="175">
        <v>0.055</v>
      </c>
      <c r="H16" s="173" t="s">
        <v>43</v>
      </c>
      <c r="I16" s="382">
        <v>0.032</v>
      </c>
      <c r="J16" s="109">
        <v>53.34</v>
      </c>
      <c r="K16" s="109">
        <v>32.2</v>
      </c>
      <c r="L16" s="109">
        <v>147.97</v>
      </c>
      <c r="M16" s="109">
        <v>147.21</v>
      </c>
      <c r="N16" s="339"/>
      <c r="O16" s="109">
        <v>53.2</v>
      </c>
      <c r="P16" s="109">
        <v>31.95</v>
      </c>
      <c r="Q16" s="109">
        <v>147.28</v>
      </c>
      <c r="R16" s="109">
        <v>146.99</v>
      </c>
      <c r="S16" s="217"/>
      <c r="T16" s="170" t="s">
        <v>885</v>
      </c>
      <c r="U16" s="340" t="s">
        <v>662</v>
      </c>
      <c r="V16" s="242"/>
      <c r="W16" s="242"/>
      <c r="X16" s="242"/>
    </row>
    <row r="17">
      <c r="A17" s="335">
        <v>218966.0</v>
      </c>
      <c r="B17" s="170" t="s">
        <v>1318</v>
      </c>
      <c r="C17" s="170" t="s">
        <v>920</v>
      </c>
      <c r="D17" s="171">
        <v>21.0</v>
      </c>
      <c r="E17" s="171">
        <v>20.0</v>
      </c>
      <c r="F17" s="171">
        <v>7.0</v>
      </c>
      <c r="G17" s="172">
        <v>0.35</v>
      </c>
      <c r="H17" s="170" t="s">
        <v>43</v>
      </c>
      <c r="I17" s="170">
        <v>13.0</v>
      </c>
      <c r="J17" s="106">
        <v>51.98</v>
      </c>
      <c r="K17" s="106">
        <v>38.99</v>
      </c>
      <c r="L17" s="106">
        <v>145.43</v>
      </c>
      <c r="M17" s="106">
        <v>146.17</v>
      </c>
      <c r="N17" s="336"/>
      <c r="O17" s="106">
        <v>51.7</v>
      </c>
      <c r="P17" s="106">
        <v>38.71</v>
      </c>
      <c r="Q17" s="106">
        <v>144.33</v>
      </c>
      <c r="R17" s="106">
        <v>145.15</v>
      </c>
      <c r="S17" s="214"/>
      <c r="T17" s="170" t="s">
        <v>885</v>
      </c>
      <c r="U17" s="337" t="s">
        <v>662</v>
      </c>
      <c r="V17" s="242"/>
      <c r="W17" s="242"/>
      <c r="X17" s="242"/>
    </row>
    <row r="18">
      <c r="A18" s="338">
        <v>234796.0</v>
      </c>
      <c r="B18" s="173" t="s">
        <v>1319</v>
      </c>
      <c r="C18" s="173" t="s">
        <v>65</v>
      </c>
      <c r="D18" s="174">
        <v>31.0</v>
      </c>
      <c r="E18" s="174">
        <v>11.0</v>
      </c>
      <c r="F18" s="174">
        <v>7.0</v>
      </c>
      <c r="G18" s="175">
        <v>0.636</v>
      </c>
      <c r="H18" s="173" t="s">
        <v>19</v>
      </c>
      <c r="I18" s="173">
        <v>63.6</v>
      </c>
      <c r="J18" s="109">
        <v>50.46</v>
      </c>
      <c r="K18" s="109">
        <v>46.51</v>
      </c>
      <c r="L18" s="109">
        <v>157.78</v>
      </c>
      <c r="M18" s="109">
        <v>157.82</v>
      </c>
      <c r="N18" s="339"/>
      <c r="O18" s="109">
        <v>50.71</v>
      </c>
      <c r="P18" s="109">
        <v>46.8</v>
      </c>
      <c r="Q18" s="109">
        <v>158.54</v>
      </c>
      <c r="R18" s="109">
        <v>158.31</v>
      </c>
      <c r="S18" s="217"/>
      <c r="T18" s="170" t="s">
        <v>885</v>
      </c>
      <c r="U18" s="340" t="s">
        <v>662</v>
      </c>
      <c r="V18" s="242"/>
      <c r="W18" s="242"/>
      <c r="X18" s="242"/>
    </row>
    <row r="19">
      <c r="A19" s="335">
        <v>236141.0</v>
      </c>
      <c r="B19" s="170" t="s">
        <v>1168</v>
      </c>
      <c r="C19" s="170" t="s">
        <v>338</v>
      </c>
      <c r="D19" s="171">
        <v>125.0</v>
      </c>
      <c r="E19" s="171">
        <v>120.0</v>
      </c>
      <c r="F19" s="171">
        <v>7.0</v>
      </c>
      <c r="G19" s="172">
        <v>0.058</v>
      </c>
      <c r="H19" s="170" t="s">
        <v>43</v>
      </c>
      <c r="I19" s="170">
        <v>2.9</v>
      </c>
      <c r="J19" s="14">
        <v>53.5</v>
      </c>
      <c r="K19" s="14">
        <v>41.52</v>
      </c>
      <c r="L19" s="14">
        <v>157.98</v>
      </c>
      <c r="M19" s="14">
        <v>158.1</v>
      </c>
      <c r="N19" s="336"/>
      <c r="O19" s="14">
        <v>53.7</v>
      </c>
      <c r="P19" s="14">
        <v>41.71</v>
      </c>
      <c r="Q19" s="14">
        <v>158.12</v>
      </c>
      <c r="R19" s="14">
        <v>158.14</v>
      </c>
      <c r="S19" s="214"/>
      <c r="T19" s="170" t="s">
        <v>885</v>
      </c>
      <c r="U19" s="337" t="s">
        <v>662</v>
      </c>
      <c r="V19" s="242"/>
      <c r="W19" s="242"/>
      <c r="X19" s="242"/>
    </row>
    <row r="20">
      <c r="A20" s="338">
        <v>236913.0</v>
      </c>
      <c r="B20" s="173" t="s">
        <v>1320</v>
      </c>
      <c r="C20" s="173" t="s">
        <v>72</v>
      </c>
      <c r="D20" s="174">
        <v>19.0</v>
      </c>
      <c r="E20" s="174">
        <v>16.0</v>
      </c>
      <c r="F20" s="174">
        <v>7.0</v>
      </c>
      <c r="G20" s="175">
        <v>0.438</v>
      </c>
      <c r="H20" s="173" t="s">
        <v>19</v>
      </c>
      <c r="I20" s="173">
        <v>47.4</v>
      </c>
      <c r="J20" s="109">
        <v>52.37</v>
      </c>
      <c r="K20" s="109">
        <v>40.43</v>
      </c>
      <c r="L20" s="109">
        <v>156.72</v>
      </c>
      <c r="M20" s="109">
        <v>156.76</v>
      </c>
      <c r="N20" s="339"/>
      <c r="O20" s="109">
        <v>52.66</v>
      </c>
      <c r="P20" s="109">
        <v>40.7</v>
      </c>
      <c r="Q20" s="109">
        <v>157.63</v>
      </c>
      <c r="R20" s="109">
        <v>157.62</v>
      </c>
      <c r="S20" s="217"/>
      <c r="T20" s="170" t="s">
        <v>885</v>
      </c>
      <c r="U20" s="340" t="s">
        <v>662</v>
      </c>
      <c r="V20" s="242"/>
      <c r="W20" s="242"/>
      <c r="X20" s="242"/>
    </row>
    <row r="21">
      <c r="A21" s="335">
        <v>134949.0</v>
      </c>
      <c r="B21" s="170" t="s">
        <v>1321</v>
      </c>
      <c r="C21" s="170" t="s">
        <v>1322</v>
      </c>
      <c r="D21" s="171">
        <v>60.0</v>
      </c>
      <c r="E21" s="171">
        <v>55.0</v>
      </c>
      <c r="F21" s="171">
        <v>6.0</v>
      </c>
      <c r="G21" s="172">
        <v>0.109</v>
      </c>
      <c r="H21" s="170" t="s">
        <v>43</v>
      </c>
      <c r="I21" s="170">
        <v>4.8</v>
      </c>
      <c r="J21" s="336"/>
      <c r="K21" s="336"/>
      <c r="L21" s="336"/>
      <c r="M21" s="336"/>
      <c r="N21" s="336"/>
      <c r="O21" s="336"/>
      <c r="P21" s="336"/>
      <c r="Q21" s="336"/>
      <c r="R21" s="336"/>
      <c r="S21" s="214"/>
      <c r="T21" s="170"/>
      <c r="U21" s="337" t="s">
        <v>1279</v>
      </c>
      <c r="V21" s="242"/>
      <c r="W21" s="242"/>
      <c r="X21" s="242"/>
    </row>
    <row r="22">
      <c r="A22" s="338">
        <v>213180.0</v>
      </c>
      <c r="B22" s="173" t="s">
        <v>1323</v>
      </c>
      <c r="C22" s="173" t="s">
        <v>1324</v>
      </c>
      <c r="D22" s="174">
        <v>54.0</v>
      </c>
      <c r="E22" s="174">
        <v>56.0</v>
      </c>
      <c r="F22" s="174">
        <v>6.0</v>
      </c>
      <c r="G22" s="175">
        <v>0.107</v>
      </c>
      <c r="H22" s="173" t="s">
        <v>43</v>
      </c>
      <c r="I22" s="173">
        <v>5.4</v>
      </c>
      <c r="J22" s="109">
        <v>59.2</v>
      </c>
      <c r="K22" s="109">
        <v>39.55</v>
      </c>
      <c r="L22" s="109">
        <v>161.85</v>
      </c>
      <c r="M22" s="109">
        <v>161.99</v>
      </c>
      <c r="N22" s="339"/>
      <c r="O22" s="109">
        <v>58.89</v>
      </c>
      <c r="P22" s="109">
        <v>39.3</v>
      </c>
      <c r="Q22" s="109">
        <v>160.55</v>
      </c>
      <c r="R22" s="109">
        <v>160.48</v>
      </c>
      <c r="S22" s="217"/>
      <c r="T22" s="170" t="s">
        <v>885</v>
      </c>
      <c r="U22" s="340" t="s">
        <v>662</v>
      </c>
      <c r="V22" s="242"/>
      <c r="W22" s="242"/>
      <c r="X22" s="242"/>
    </row>
    <row r="23">
      <c r="A23" s="335">
        <v>234765.0</v>
      </c>
      <c r="B23" s="170" t="s">
        <v>1325</v>
      </c>
      <c r="C23" s="170" t="s">
        <v>1285</v>
      </c>
      <c r="D23" s="171">
        <v>27.0</v>
      </c>
      <c r="E23" s="171">
        <v>23.0</v>
      </c>
      <c r="F23" s="171">
        <v>6.0</v>
      </c>
      <c r="G23" s="172">
        <v>0.261</v>
      </c>
      <c r="H23" s="170" t="s">
        <v>19</v>
      </c>
      <c r="I23" s="170">
        <v>16.7</v>
      </c>
      <c r="J23" s="106">
        <v>55.31</v>
      </c>
      <c r="K23" s="106">
        <v>39.2</v>
      </c>
      <c r="L23" s="106">
        <v>160.8</v>
      </c>
      <c r="M23" s="106">
        <v>161.32</v>
      </c>
      <c r="N23" s="336"/>
      <c r="O23" s="106">
        <v>55.52</v>
      </c>
      <c r="P23" s="106">
        <v>39.4</v>
      </c>
      <c r="Q23" s="106">
        <v>161.47</v>
      </c>
      <c r="R23" s="106">
        <v>162.17</v>
      </c>
      <c r="S23" s="214"/>
      <c r="T23" s="170" t="s">
        <v>885</v>
      </c>
      <c r="U23" s="337" t="s">
        <v>662</v>
      </c>
      <c r="V23" s="242"/>
      <c r="W23" s="242"/>
      <c r="X23" s="242"/>
    </row>
    <row r="24">
      <c r="A24" s="338">
        <v>236095.0</v>
      </c>
      <c r="B24" s="173" t="s">
        <v>1326</v>
      </c>
      <c r="C24" s="173" t="s">
        <v>1327</v>
      </c>
      <c r="D24" s="174">
        <v>9.0</v>
      </c>
      <c r="E24" s="174">
        <v>8.0</v>
      </c>
      <c r="F24" s="174">
        <v>6.0</v>
      </c>
      <c r="G24" s="175">
        <v>0.75</v>
      </c>
      <c r="H24" s="173" t="s">
        <v>19</v>
      </c>
      <c r="I24" s="173">
        <v>66.7</v>
      </c>
      <c r="J24" s="109">
        <v>49.57</v>
      </c>
      <c r="K24" s="109">
        <v>42.29</v>
      </c>
      <c r="L24" s="109">
        <v>149.58</v>
      </c>
      <c r="M24" s="109">
        <v>149.78</v>
      </c>
      <c r="N24" s="339"/>
      <c r="O24" s="109">
        <v>49.38</v>
      </c>
      <c r="P24" s="109">
        <v>42.21</v>
      </c>
      <c r="Q24" s="109">
        <v>149.14</v>
      </c>
      <c r="R24" s="109">
        <v>148.87</v>
      </c>
      <c r="S24" s="217"/>
      <c r="T24" s="170" t="s">
        <v>885</v>
      </c>
      <c r="U24" s="340" t="s">
        <v>662</v>
      </c>
      <c r="V24" s="242"/>
      <c r="W24" s="242"/>
      <c r="X24" s="242"/>
    </row>
    <row r="25">
      <c r="A25" s="335">
        <v>213180.0</v>
      </c>
      <c r="B25" s="170" t="s">
        <v>1328</v>
      </c>
      <c r="C25" s="170" t="s">
        <v>1329</v>
      </c>
      <c r="D25" s="171">
        <v>31.0</v>
      </c>
      <c r="E25" s="171">
        <v>25.0</v>
      </c>
      <c r="F25" s="171">
        <v>5.0</v>
      </c>
      <c r="G25" s="172">
        <v>0.2</v>
      </c>
      <c r="H25" s="170" t="s">
        <v>43</v>
      </c>
      <c r="I25" s="170">
        <v>5.4</v>
      </c>
      <c r="J25" s="106">
        <v>60.07</v>
      </c>
      <c r="K25" s="106">
        <v>39.99</v>
      </c>
      <c r="L25" s="106">
        <v>163.43</v>
      </c>
      <c r="M25" s="106">
        <v>162.37</v>
      </c>
      <c r="N25" s="336"/>
      <c r="O25" s="106">
        <v>59.89</v>
      </c>
      <c r="P25" s="106">
        <v>39.8</v>
      </c>
      <c r="Q25" s="106">
        <v>162.83</v>
      </c>
      <c r="R25" s="106">
        <v>162.38</v>
      </c>
      <c r="S25" s="214"/>
      <c r="T25" s="170" t="s">
        <v>885</v>
      </c>
      <c r="U25" s="337" t="s">
        <v>662</v>
      </c>
      <c r="V25" s="242"/>
      <c r="W25" s="242"/>
      <c r="X25" s="242"/>
    </row>
    <row r="26">
      <c r="A26" s="338">
        <v>223232.0</v>
      </c>
      <c r="B26" s="173" t="s">
        <v>1088</v>
      </c>
      <c r="C26" s="173" t="s">
        <v>1087</v>
      </c>
      <c r="D26" s="174">
        <v>50.0</v>
      </c>
      <c r="E26" s="174">
        <v>49.0</v>
      </c>
      <c r="F26" s="174">
        <v>5.0</v>
      </c>
      <c r="G26" s="175">
        <v>0.102</v>
      </c>
      <c r="H26" s="173" t="s">
        <v>43</v>
      </c>
      <c r="I26" s="173">
        <v>5.7</v>
      </c>
      <c r="J26" s="109">
        <v>50.04</v>
      </c>
      <c r="K26" s="109">
        <v>44.09</v>
      </c>
      <c r="L26" s="109">
        <v>151.56</v>
      </c>
      <c r="M26" s="109">
        <v>151.44</v>
      </c>
      <c r="N26" s="339"/>
      <c r="O26" s="109">
        <v>49.9</v>
      </c>
      <c r="P26" s="109">
        <v>43.8</v>
      </c>
      <c r="Q26" s="109">
        <v>150.89</v>
      </c>
      <c r="R26" s="109">
        <v>150.83</v>
      </c>
      <c r="S26" s="217"/>
      <c r="T26" s="170" t="s">
        <v>885</v>
      </c>
      <c r="U26" s="340" t="s">
        <v>662</v>
      </c>
      <c r="V26" s="242"/>
      <c r="W26" s="242"/>
      <c r="X26" s="242"/>
    </row>
    <row r="27">
      <c r="A27" s="335">
        <v>223232.0</v>
      </c>
      <c r="B27" s="170" t="s">
        <v>1330</v>
      </c>
      <c r="C27" s="170" t="s">
        <v>1331</v>
      </c>
      <c r="D27" s="171">
        <v>57.0</v>
      </c>
      <c r="E27" s="171">
        <v>52.0</v>
      </c>
      <c r="F27" s="171">
        <v>5.0</v>
      </c>
      <c r="G27" s="172">
        <v>0.096</v>
      </c>
      <c r="H27" s="170" t="s">
        <v>43</v>
      </c>
      <c r="I27" s="170">
        <v>7.0</v>
      </c>
      <c r="J27" s="106">
        <v>50.24</v>
      </c>
      <c r="K27" s="106">
        <v>44.06</v>
      </c>
      <c r="L27" s="106">
        <v>151.84</v>
      </c>
      <c r="M27" s="106">
        <v>151.8</v>
      </c>
      <c r="N27" s="336"/>
      <c r="O27" s="106">
        <v>50.15</v>
      </c>
      <c r="P27" s="106">
        <v>43.9</v>
      </c>
      <c r="Q27" s="106">
        <v>151.32</v>
      </c>
      <c r="R27" s="106">
        <v>151.52</v>
      </c>
      <c r="S27" s="214"/>
      <c r="T27" s="170" t="s">
        <v>885</v>
      </c>
      <c r="U27" s="337" t="s">
        <v>662</v>
      </c>
      <c r="V27" s="242"/>
      <c r="W27" s="242"/>
      <c r="X27" s="242"/>
    </row>
    <row r="28">
      <c r="A28" s="338">
        <v>224848.0</v>
      </c>
      <c r="B28" s="173" t="s">
        <v>1332</v>
      </c>
      <c r="C28" s="173" t="s">
        <v>1333</v>
      </c>
      <c r="D28" s="174">
        <v>80.0</v>
      </c>
      <c r="E28" s="174">
        <v>75.0</v>
      </c>
      <c r="F28" s="174">
        <v>5.0</v>
      </c>
      <c r="G28" s="175">
        <v>0.067</v>
      </c>
      <c r="H28" s="173" t="s">
        <v>43</v>
      </c>
      <c r="I28" s="173">
        <v>4.7</v>
      </c>
      <c r="J28" s="109">
        <v>54.16</v>
      </c>
      <c r="K28" s="109">
        <v>42.46</v>
      </c>
      <c r="L28" s="109">
        <v>161.5</v>
      </c>
      <c r="M28" s="109">
        <v>161.5</v>
      </c>
      <c r="N28" s="339"/>
      <c r="O28" s="109">
        <v>53.97</v>
      </c>
      <c r="P28" s="109">
        <v>42.26</v>
      </c>
      <c r="Q28" s="109">
        <v>160.78</v>
      </c>
      <c r="R28" s="109">
        <v>160.55</v>
      </c>
      <c r="S28" s="217"/>
      <c r="T28" s="170" t="s">
        <v>885</v>
      </c>
      <c r="U28" s="340" t="s">
        <v>662</v>
      </c>
      <c r="V28" s="242"/>
      <c r="W28" s="242"/>
      <c r="X28" s="242"/>
    </row>
    <row r="29">
      <c r="A29" s="335">
        <v>225336.0</v>
      </c>
      <c r="B29" s="170" t="s">
        <v>1334</v>
      </c>
      <c r="C29" s="170" t="s">
        <v>222</v>
      </c>
      <c r="D29" s="171">
        <v>27.0</v>
      </c>
      <c r="E29" s="171">
        <v>26.0</v>
      </c>
      <c r="F29" s="171">
        <v>5.0</v>
      </c>
      <c r="G29" s="172">
        <v>0.192</v>
      </c>
      <c r="H29" s="170" t="s">
        <v>43</v>
      </c>
      <c r="I29" s="170">
        <v>11.5</v>
      </c>
      <c r="J29" s="106">
        <v>47.77</v>
      </c>
      <c r="K29" s="106">
        <v>40.82</v>
      </c>
      <c r="L29" s="106">
        <v>143.57</v>
      </c>
      <c r="M29" s="106">
        <v>143.96</v>
      </c>
      <c r="N29" s="339"/>
      <c r="O29" s="106">
        <v>47.57</v>
      </c>
      <c r="P29" s="106">
        <v>40.62</v>
      </c>
      <c r="Q29" s="106">
        <v>142.9</v>
      </c>
      <c r="R29" s="106">
        <v>142.74</v>
      </c>
      <c r="S29" s="214"/>
      <c r="T29" s="170" t="s">
        <v>885</v>
      </c>
      <c r="U29" s="337" t="s">
        <v>662</v>
      </c>
      <c r="V29" s="242"/>
      <c r="W29" s="242"/>
      <c r="X29" s="242"/>
    </row>
    <row r="30">
      <c r="A30" s="338">
        <v>225336.0</v>
      </c>
      <c r="B30" s="173" t="s">
        <v>1098</v>
      </c>
      <c r="C30" s="173" t="s">
        <v>273</v>
      </c>
      <c r="D30" s="174">
        <v>8.0</v>
      </c>
      <c r="E30" s="174">
        <v>7.0</v>
      </c>
      <c r="F30" s="174">
        <v>5.0</v>
      </c>
      <c r="G30" s="175">
        <v>0.714</v>
      </c>
      <c r="H30" s="173" t="s">
        <v>19</v>
      </c>
      <c r="I30" s="173">
        <v>75.0</v>
      </c>
      <c r="J30" s="109">
        <v>47.6</v>
      </c>
      <c r="K30" s="109">
        <v>41.24</v>
      </c>
      <c r="L30" s="109">
        <v>143.99</v>
      </c>
      <c r="M30" s="109">
        <v>144.44</v>
      </c>
      <c r="N30" s="339"/>
      <c r="O30" s="109">
        <v>47.8</v>
      </c>
      <c r="P30" s="109">
        <v>41.6</v>
      </c>
      <c r="Q30" s="109">
        <v>144.89</v>
      </c>
      <c r="R30" s="109">
        <v>144.9</v>
      </c>
      <c r="S30" s="217"/>
      <c r="T30" s="170" t="s">
        <v>885</v>
      </c>
      <c r="U30" s="340" t="s">
        <v>662</v>
      </c>
      <c r="V30" s="242"/>
      <c r="W30" s="242"/>
      <c r="X30" s="242"/>
    </row>
    <row r="31">
      <c r="A31" s="335">
        <v>234796.0</v>
      </c>
      <c r="B31" s="170" t="s">
        <v>1335</v>
      </c>
      <c r="C31" s="170" t="s">
        <v>887</v>
      </c>
      <c r="D31" s="171">
        <v>8.0</v>
      </c>
      <c r="E31" s="171">
        <v>5.0</v>
      </c>
      <c r="F31" s="171">
        <v>5.0</v>
      </c>
      <c r="G31" s="172">
        <v>1.0</v>
      </c>
      <c r="H31" s="170" t="s">
        <v>43</v>
      </c>
      <c r="I31" s="170">
        <v>60.0</v>
      </c>
      <c r="J31" s="106">
        <v>50.27</v>
      </c>
      <c r="K31" s="106">
        <v>46.97</v>
      </c>
      <c r="L31" s="106">
        <v>158.18</v>
      </c>
      <c r="M31" s="106">
        <v>158.22</v>
      </c>
      <c r="N31" s="339"/>
      <c r="O31" s="106">
        <v>50.09</v>
      </c>
      <c r="P31" s="106">
        <v>46.7</v>
      </c>
      <c r="Q31" s="106">
        <v>157.32</v>
      </c>
      <c r="R31" s="106">
        <v>157.36</v>
      </c>
      <c r="S31" s="214"/>
      <c r="T31" s="170" t="s">
        <v>885</v>
      </c>
      <c r="U31" s="337" t="s">
        <v>662</v>
      </c>
      <c r="V31" s="242"/>
      <c r="W31" s="242"/>
      <c r="X31" s="242"/>
    </row>
    <row r="32">
      <c r="A32" s="338">
        <v>235309.0</v>
      </c>
      <c r="B32" s="173" t="s">
        <v>1336</v>
      </c>
      <c r="C32" s="173" t="s">
        <v>1337</v>
      </c>
      <c r="D32" s="174">
        <v>38.0</v>
      </c>
      <c r="E32" s="174">
        <v>37.0</v>
      </c>
      <c r="F32" s="174">
        <v>5.0</v>
      </c>
      <c r="G32" s="175">
        <v>0.135</v>
      </c>
      <c r="H32" s="173" t="s">
        <v>43</v>
      </c>
      <c r="I32" s="173">
        <v>2.5</v>
      </c>
      <c r="J32" s="109">
        <v>55.44</v>
      </c>
      <c r="K32" s="109">
        <v>45.63</v>
      </c>
      <c r="L32" s="109">
        <v>167.72</v>
      </c>
      <c r="M32" s="109">
        <v>167.72</v>
      </c>
      <c r="N32" s="339"/>
      <c r="O32" s="109">
        <v>55.2</v>
      </c>
      <c r="P32" s="109">
        <v>45.41</v>
      </c>
      <c r="Q32" s="109">
        <v>166.91</v>
      </c>
      <c r="R32" s="109">
        <v>166.82</v>
      </c>
      <c r="S32" s="217"/>
      <c r="T32" s="170" t="s">
        <v>885</v>
      </c>
      <c r="U32" s="340" t="s">
        <v>662</v>
      </c>
      <c r="V32" s="242"/>
      <c r="W32" s="242"/>
      <c r="X32" s="242"/>
    </row>
    <row r="33">
      <c r="A33" s="335">
        <v>239026.0</v>
      </c>
      <c r="B33" s="170" t="s">
        <v>1338</v>
      </c>
      <c r="C33" s="170" t="s">
        <v>1339</v>
      </c>
      <c r="D33" s="171">
        <v>57.0</v>
      </c>
      <c r="E33" s="171">
        <v>56.0</v>
      </c>
      <c r="F33" s="171">
        <v>5.0</v>
      </c>
      <c r="G33" s="172">
        <v>0.089</v>
      </c>
      <c r="H33" s="170" t="s">
        <v>43</v>
      </c>
      <c r="I33" s="170">
        <v>5.9</v>
      </c>
      <c r="J33" s="106">
        <v>53.06</v>
      </c>
      <c r="K33" s="106">
        <v>36.84</v>
      </c>
      <c r="L33" s="106">
        <v>152.02</v>
      </c>
      <c r="M33" s="106">
        <v>152.19</v>
      </c>
      <c r="N33" s="336"/>
      <c r="O33" s="106">
        <v>52.9</v>
      </c>
      <c r="P33" s="106">
        <v>36.7</v>
      </c>
      <c r="Q33" s="106">
        <v>151.53</v>
      </c>
      <c r="R33" s="106">
        <v>153.45</v>
      </c>
      <c r="S33" s="214"/>
      <c r="T33" s="170" t="s">
        <v>885</v>
      </c>
      <c r="U33" s="337" t="s">
        <v>662</v>
      </c>
      <c r="V33" s="242"/>
      <c r="W33" s="242"/>
      <c r="X33" s="242"/>
    </row>
    <row r="34">
      <c r="A34" s="338">
        <v>241119.0</v>
      </c>
      <c r="B34" s="173" t="s">
        <v>1340</v>
      </c>
      <c r="C34" s="173" t="s">
        <v>1297</v>
      </c>
      <c r="D34" s="174">
        <v>35.0</v>
      </c>
      <c r="E34" s="174">
        <v>28.0</v>
      </c>
      <c r="F34" s="174">
        <v>5.0</v>
      </c>
      <c r="G34" s="175">
        <v>0.179</v>
      </c>
      <c r="H34" s="173" t="s">
        <v>43</v>
      </c>
      <c r="I34" s="173">
        <v>6.7</v>
      </c>
      <c r="J34" s="109">
        <v>55.73</v>
      </c>
      <c r="K34" s="109">
        <v>39.0</v>
      </c>
      <c r="L34" s="109">
        <v>163.53</v>
      </c>
      <c r="M34" s="109">
        <v>163.98</v>
      </c>
      <c r="N34" s="339"/>
      <c r="O34" s="109">
        <v>55.51</v>
      </c>
      <c r="P34" s="109">
        <v>38.9</v>
      </c>
      <c r="Q34" s="109">
        <v>38.9</v>
      </c>
      <c r="R34" s="109">
        <v>161.9</v>
      </c>
      <c r="S34" s="217"/>
      <c r="T34" s="170" t="s">
        <v>885</v>
      </c>
      <c r="U34" s="340" t="s">
        <v>662</v>
      </c>
      <c r="V34" s="242"/>
      <c r="W34" s="242"/>
      <c r="X34" s="242"/>
    </row>
    <row r="35">
      <c r="A35" s="335">
        <v>241386.0</v>
      </c>
      <c r="B35" s="170" t="s">
        <v>1341</v>
      </c>
      <c r="C35" s="170" t="s">
        <v>1342</v>
      </c>
      <c r="D35" s="171">
        <v>39.0</v>
      </c>
      <c r="E35" s="171">
        <v>38.0</v>
      </c>
      <c r="F35" s="171">
        <v>5.0</v>
      </c>
      <c r="G35" s="172">
        <v>0.132</v>
      </c>
      <c r="H35" s="170" t="s">
        <v>43</v>
      </c>
      <c r="I35" s="170">
        <v>2.6</v>
      </c>
      <c r="J35" s="106">
        <v>51.83</v>
      </c>
      <c r="K35" s="106">
        <v>39.84</v>
      </c>
      <c r="L35" s="106">
        <v>150.92</v>
      </c>
      <c r="M35" s="106">
        <v>151.14</v>
      </c>
      <c r="N35" s="336"/>
      <c r="O35" s="106">
        <v>51.6</v>
      </c>
      <c r="P35" s="106">
        <v>39.6</v>
      </c>
      <c r="Q35" s="106">
        <v>149.97</v>
      </c>
      <c r="R35" s="106">
        <v>150.29</v>
      </c>
      <c r="S35" s="214"/>
      <c r="T35" s="170" t="s">
        <v>885</v>
      </c>
      <c r="U35" s="337" t="s">
        <v>662</v>
      </c>
      <c r="V35" s="242"/>
      <c r="W35" s="242"/>
      <c r="X35" s="242"/>
    </row>
    <row r="36">
      <c r="A36" s="338">
        <v>242697.0</v>
      </c>
      <c r="B36" s="173" t="s">
        <v>1343</v>
      </c>
      <c r="C36" s="173" t="s">
        <v>1344</v>
      </c>
      <c r="D36" s="174">
        <v>21.0</v>
      </c>
      <c r="E36" s="174">
        <v>20.0</v>
      </c>
      <c r="F36" s="174">
        <v>5.0</v>
      </c>
      <c r="G36" s="175">
        <v>0.25</v>
      </c>
      <c r="H36" s="173" t="s">
        <v>43</v>
      </c>
      <c r="I36" s="173">
        <v>19.0</v>
      </c>
      <c r="J36" s="109">
        <v>60.11</v>
      </c>
      <c r="K36" s="109">
        <v>48.51</v>
      </c>
      <c r="L36" s="109">
        <v>177.43</v>
      </c>
      <c r="M36" s="109">
        <v>177.85</v>
      </c>
      <c r="N36" s="339"/>
      <c r="O36" s="109">
        <v>59.9</v>
      </c>
      <c r="P36" s="109">
        <v>48.39</v>
      </c>
      <c r="Q36" s="109">
        <v>176.76</v>
      </c>
      <c r="R36" s="109">
        <v>176.88</v>
      </c>
      <c r="S36" s="217"/>
      <c r="T36" s="170" t="s">
        <v>885</v>
      </c>
      <c r="U36" s="340" t="s">
        <v>662</v>
      </c>
      <c r="V36" s="242"/>
      <c r="W36" s="242"/>
      <c r="X36" s="242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88"/>
    <col customWidth="1" min="20" max="20" width="26.75"/>
  </cols>
  <sheetData>
    <row r="1">
      <c r="A1" s="379" t="s">
        <v>1</v>
      </c>
      <c r="B1" s="373" t="s">
        <v>2</v>
      </c>
      <c r="C1" s="373" t="s">
        <v>656</v>
      </c>
      <c r="D1" s="373" t="s">
        <v>657</v>
      </c>
      <c r="E1" s="373" t="s">
        <v>658</v>
      </c>
      <c r="F1" s="373" t="s">
        <v>659</v>
      </c>
      <c r="G1" s="373" t="s">
        <v>660</v>
      </c>
      <c r="H1" s="373" t="s">
        <v>4</v>
      </c>
      <c r="I1" s="373" t="s">
        <v>5</v>
      </c>
      <c r="J1" s="371" t="s">
        <v>7</v>
      </c>
      <c r="K1" s="372" t="s">
        <v>8</v>
      </c>
      <c r="L1" s="372" t="s">
        <v>9</v>
      </c>
      <c r="M1" s="372" t="s">
        <v>10</v>
      </c>
      <c r="N1" s="372" t="s">
        <v>11</v>
      </c>
      <c r="O1" s="372" t="s">
        <v>12</v>
      </c>
      <c r="P1" s="371" t="s">
        <v>13</v>
      </c>
      <c r="Q1" s="372" t="s">
        <v>14</v>
      </c>
      <c r="R1" s="372" t="s">
        <v>15</v>
      </c>
      <c r="S1" s="373" t="s">
        <v>17</v>
      </c>
      <c r="T1" s="371" t="s">
        <v>16</v>
      </c>
      <c r="U1" s="6" t="s">
        <v>661</v>
      </c>
    </row>
    <row r="2">
      <c r="A2" s="375">
        <v>149022.0</v>
      </c>
      <c r="B2" s="106" t="s">
        <v>1310</v>
      </c>
      <c r="C2" s="106" t="s">
        <v>955</v>
      </c>
      <c r="D2" s="106">
        <v>487.0</v>
      </c>
      <c r="E2" s="106">
        <v>456.0</v>
      </c>
      <c r="F2" s="106">
        <v>23.0</v>
      </c>
      <c r="G2" s="105">
        <v>0.05</v>
      </c>
      <c r="H2" s="170" t="s">
        <v>19</v>
      </c>
      <c r="I2" s="170">
        <v>3.3</v>
      </c>
      <c r="J2" s="106">
        <v>51.95</v>
      </c>
      <c r="K2" s="106">
        <v>41.9</v>
      </c>
      <c r="L2" s="106">
        <v>154.67</v>
      </c>
      <c r="M2" s="106">
        <v>154.75</v>
      </c>
      <c r="N2" s="336"/>
      <c r="O2" s="106">
        <v>51.98</v>
      </c>
      <c r="P2" s="106">
        <v>41.96</v>
      </c>
      <c r="Q2" s="106">
        <v>154.67</v>
      </c>
      <c r="R2" s="106">
        <v>154.75</v>
      </c>
      <c r="S2" s="156" t="s">
        <v>557</v>
      </c>
      <c r="T2" s="214"/>
      <c r="U2" s="337" t="s">
        <v>662</v>
      </c>
      <c r="V2" s="240" t="str">
        <f>VLOOKUP(C:C,'1-7 AUG'!C:C,1,0)</f>
        <v>#N/A</v>
      </c>
    </row>
    <row r="3">
      <c r="A3" s="376">
        <v>231942.0</v>
      </c>
      <c r="B3" s="109" t="s">
        <v>1345</v>
      </c>
      <c r="C3" s="109" t="s">
        <v>80</v>
      </c>
      <c r="D3" s="109">
        <v>269.0</v>
      </c>
      <c r="E3" s="109">
        <v>266.0</v>
      </c>
      <c r="F3" s="109">
        <v>23.0</v>
      </c>
      <c r="G3" s="103">
        <v>0.086</v>
      </c>
      <c r="H3" s="173" t="s">
        <v>19</v>
      </c>
      <c r="I3" s="173">
        <v>8.1</v>
      </c>
      <c r="J3" s="109">
        <v>51.16</v>
      </c>
      <c r="K3" s="109">
        <v>43.49</v>
      </c>
      <c r="L3" s="109">
        <v>155.32</v>
      </c>
      <c r="M3" s="109">
        <v>154.94</v>
      </c>
      <c r="N3" s="339"/>
      <c r="O3" s="109">
        <v>51.23</v>
      </c>
      <c r="P3" s="109">
        <v>43.49</v>
      </c>
      <c r="Q3" s="109">
        <v>155.32</v>
      </c>
      <c r="R3" s="109">
        <v>154.94</v>
      </c>
      <c r="S3" s="156" t="s">
        <v>557</v>
      </c>
      <c r="T3" s="217"/>
      <c r="U3" s="340" t="s">
        <v>662</v>
      </c>
    </row>
    <row r="4">
      <c r="A4" s="375">
        <v>201100.0</v>
      </c>
      <c r="B4" s="106" t="s">
        <v>1346</v>
      </c>
      <c r="C4" s="106" t="s">
        <v>71</v>
      </c>
      <c r="D4" s="106">
        <v>238.0</v>
      </c>
      <c r="E4" s="106">
        <v>227.0</v>
      </c>
      <c r="F4" s="106">
        <v>22.0</v>
      </c>
      <c r="G4" s="105">
        <v>0.097</v>
      </c>
      <c r="H4" s="170" t="s">
        <v>43</v>
      </c>
      <c r="I4" s="170">
        <v>2.2</v>
      </c>
      <c r="J4" s="106">
        <v>52.34</v>
      </c>
      <c r="K4" s="106">
        <v>40.48</v>
      </c>
      <c r="L4" s="106">
        <v>156.68</v>
      </c>
      <c r="M4" s="106">
        <v>156.73</v>
      </c>
      <c r="N4" s="336"/>
      <c r="O4" s="106">
        <v>52.32</v>
      </c>
      <c r="P4" s="106">
        <v>40.46</v>
      </c>
      <c r="Q4" s="106">
        <v>156.68</v>
      </c>
      <c r="R4" s="106">
        <v>156.73</v>
      </c>
      <c r="S4" s="156" t="s">
        <v>557</v>
      </c>
      <c r="T4" s="214"/>
      <c r="U4" s="337" t="s">
        <v>662</v>
      </c>
    </row>
    <row r="5">
      <c r="A5" s="376">
        <v>225336.0</v>
      </c>
      <c r="B5" s="109" t="s">
        <v>1109</v>
      </c>
      <c r="C5" s="109" t="s">
        <v>151</v>
      </c>
      <c r="D5" s="109">
        <v>33.0</v>
      </c>
      <c r="E5" s="109">
        <v>31.0</v>
      </c>
      <c r="F5" s="109">
        <v>21.0</v>
      </c>
      <c r="G5" s="103">
        <v>0.677</v>
      </c>
      <c r="H5" s="173" t="s">
        <v>19</v>
      </c>
      <c r="I5" s="173">
        <v>28.1</v>
      </c>
      <c r="J5" s="109">
        <v>47.39</v>
      </c>
      <c r="K5" s="109">
        <v>41.61</v>
      </c>
      <c r="L5" s="109">
        <v>144.52</v>
      </c>
      <c r="M5" s="109">
        <v>144.52</v>
      </c>
      <c r="N5" s="339"/>
      <c r="O5" s="109">
        <v>47.42</v>
      </c>
      <c r="P5" s="109">
        <v>41.65</v>
      </c>
      <c r="Q5" s="109">
        <v>144.52</v>
      </c>
      <c r="R5" s="109">
        <v>144.52</v>
      </c>
      <c r="S5" s="156" t="s">
        <v>557</v>
      </c>
      <c r="T5" s="217"/>
      <c r="U5" s="340" t="s">
        <v>662</v>
      </c>
    </row>
    <row r="6">
      <c r="A6" s="375">
        <v>241117.0</v>
      </c>
      <c r="B6" s="106" t="s">
        <v>1347</v>
      </c>
      <c r="C6" s="106" t="s">
        <v>1348</v>
      </c>
      <c r="D6" s="106">
        <v>125.0</v>
      </c>
      <c r="E6" s="106">
        <v>115.0</v>
      </c>
      <c r="F6" s="106">
        <v>21.0</v>
      </c>
      <c r="G6" s="105">
        <v>0.183</v>
      </c>
      <c r="H6" s="170" t="s">
        <v>43</v>
      </c>
      <c r="I6" s="170">
        <v>13.3</v>
      </c>
      <c r="J6" s="106">
        <v>55.09</v>
      </c>
      <c r="K6" s="106">
        <v>36.32</v>
      </c>
      <c r="L6" s="106">
        <v>154.84</v>
      </c>
      <c r="M6" s="106">
        <v>154.69</v>
      </c>
      <c r="N6" s="336"/>
      <c r="O6" s="106">
        <v>54.88</v>
      </c>
      <c r="P6" s="106">
        <v>36.3</v>
      </c>
      <c r="Q6" s="106">
        <v>154.84</v>
      </c>
      <c r="R6" s="106">
        <v>154.69</v>
      </c>
      <c r="S6" s="156" t="s">
        <v>557</v>
      </c>
      <c r="T6" s="214"/>
      <c r="U6" s="337" t="s">
        <v>662</v>
      </c>
    </row>
    <row r="7">
      <c r="A7" s="376">
        <v>241119.0</v>
      </c>
      <c r="B7" s="109" t="s">
        <v>1349</v>
      </c>
      <c r="C7" s="109" t="s">
        <v>1350</v>
      </c>
      <c r="D7" s="109">
        <v>92.0</v>
      </c>
      <c r="E7" s="109">
        <v>88.0</v>
      </c>
      <c r="F7" s="109">
        <v>21.0</v>
      </c>
      <c r="G7" s="103">
        <v>0.239</v>
      </c>
      <c r="H7" s="173" t="s">
        <v>43</v>
      </c>
      <c r="I7" s="173">
        <v>12.6</v>
      </c>
      <c r="J7" s="109">
        <v>55.84</v>
      </c>
      <c r="K7" s="109">
        <v>39.21</v>
      </c>
      <c r="L7" s="109">
        <v>164.06</v>
      </c>
      <c r="M7" s="109">
        <v>164.32</v>
      </c>
      <c r="N7" s="339"/>
      <c r="O7" s="109">
        <v>55.72</v>
      </c>
      <c r="P7" s="109">
        <v>39.19</v>
      </c>
      <c r="Q7" s="109">
        <v>162.89</v>
      </c>
      <c r="R7" s="109">
        <v>163.25</v>
      </c>
      <c r="S7" s="156" t="s">
        <v>557</v>
      </c>
      <c r="T7" s="217"/>
      <c r="U7" s="340" t="s">
        <v>662</v>
      </c>
    </row>
    <row r="8">
      <c r="A8" s="375">
        <v>143018.0</v>
      </c>
      <c r="B8" s="106" t="s">
        <v>1117</v>
      </c>
      <c r="C8" s="106" t="s">
        <v>1116</v>
      </c>
      <c r="D8" s="106">
        <v>197.0</v>
      </c>
      <c r="E8" s="106">
        <v>186.0</v>
      </c>
      <c r="F8" s="106">
        <v>20.0</v>
      </c>
      <c r="G8" s="105">
        <v>0.108</v>
      </c>
      <c r="H8" s="170" t="s">
        <v>1077</v>
      </c>
      <c r="I8" s="170" t="s">
        <v>1351</v>
      </c>
      <c r="J8" s="106" t="s">
        <v>1352</v>
      </c>
      <c r="K8" s="383"/>
      <c r="L8" s="383"/>
      <c r="M8" s="383"/>
      <c r="N8" s="383"/>
      <c r="O8" s="383"/>
      <c r="P8" s="383"/>
      <c r="Q8" s="383"/>
      <c r="R8" s="383"/>
      <c r="S8" s="156" t="s">
        <v>102</v>
      </c>
      <c r="T8" s="170" t="s">
        <v>1353</v>
      </c>
      <c r="U8" s="337" t="s">
        <v>694</v>
      </c>
    </row>
    <row r="9">
      <c r="A9" s="376">
        <v>243271.0</v>
      </c>
      <c r="B9" s="109" t="s">
        <v>1354</v>
      </c>
      <c r="C9" s="109" t="s">
        <v>892</v>
      </c>
      <c r="D9" s="109">
        <v>259.0</v>
      </c>
      <c r="E9" s="109">
        <v>235.0</v>
      </c>
      <c r="F9" s="109">
        <v>19.0</v>
      </c>
      <c r="G9" s="103">
        <v>0.081</v>
      </c>
      <c r="H9" s="173" t="s">
        <v>43</v>
      </c>
      <c r="I9" s="173">
        <v>4.5</v>
      </c>
      <c r="J9" s="109">
        <v>53.34</v>
      </c>
      <c r="K9" s="109">
        <v>39.69</v>
      </c>
      <c r="L9" s="109">
        <v>155.62</v>
      </c>
      <c r="M9" s="109">
        <v>155.54</v>
      </c>
      <c r="N9" s="339"/>
      <c r="O9" s="109">
        <v>53.25</v>
      </c>
      <c r="P9" s="109">
        <v>39.68</v>
      </c>
      <c r="Q9" s="109">
        <v>155.47</v>
      </c>
      <c r="R9" s="109">
        <v>155.56</v>
      </c>
      <c r="S9" s="156" t="s">
        <v>557</v>
      </c>
      <c r="T9" s="217"/>
      <c r="U9" s="340" t="s">
        <v>662</v>
      </c>
    </row>
    <row r="10">
      <c r="A10" s="375">
        <v>134951.0</v>
      </c>
      <c r="B10" s="106" t="s">
        <v>1069</v>
      </c>
      <c r="C10" s="106" t="s">
        <v>1066</v>
      </c>
      <c r="D10" s="106">
        <v>85.0</v>
      </c>
      <c r="E10" s="106">
        <v>76.0</v>
      </c>
      <c r="F10" s="106">
        <v>15.0</v>
      </c>
      <c r="G10" s="105">
        <v>0.197</v>
      </c>
      <c r="H10" s="170" t="s">
        <v>43</v>
      </c>
      <c r="I10" s="170">
        <v>4.8</v>
      </c>
      <c r="J10" s="106">
        <v>56.21</v>
      </c>
      <c r="K10" s="106">
        <v>45.23</v>
      </c>
      <c r="L10" s="106">
        <v>169.49</v>
      </c>
      <c r="M10" s="106">
        <v>169.49</v>
      </c>
      <c r="N10" s="336"/>
      <c r="O10" s="106">
        <v>56.17</v>
      </c>
      <c r="P10" s="106">
        <v>45.19</v>
      </c>
      <c r="Q10" s="106">
        <v>169.37</v>
      </c>
      <c r="R10" s="106">
        <v>169.37</v>
      </c>
      <c r="S10" s="156" t="s">
        <v>557</v>
      </c>
      <c r="T10" s="214"/>
      <c r="U10" s="337" t="s">
        <v>662</v>
      </c>
    </row>
    <row r="11">
      <c r="A11" s="376">
        <v>146653.0</v>
      </c>
      <c r="B11" s="109" t="s">
        <v>1355</v>
      </c>
      <c r="C11" s="109" t="s">
        <v>951</v>
      </c>
      <c r="D11" s="109">
        <v>107.0</v>
      </c>
      <c r="E11" s="109">
        <v>105.0</v>
      </c>
      <c r="F11" s="109">
        <v>14.0</v>
      </c>
      <c r="G11" s="103">
        <v>0.133</v>
      </c>
      <c r="H11" s="173" t="s">
        <v>19</v>
      </c>
      <c r="I11" s="173">
        <v>8.0</v>
      </c>
      <c r="J11" s="109">
        <v>50.66</v>
      </c>
      <c r="K11" s="109">
        <v>36.22</v>
      </c>
      <c r="L11" s="109">
        <v>146.61</v>
      </c>
      <c r="M11" s="109">
        <v>147.01</v>
      </c>
      <c r="N11" s="339"/>
      <c r="O11" s="109">
        <v>50.72</v>
      </c>
      <c r="P11" s="109">
        <v>36.36</v>
      </c>
      <c r="Q11" s="109">
        <v>146.87</v>
      </c>
      <c r="R11" s="109">
        <v>146.94</v>
      </c>
      <c r="S11" s="156" t="s">
        <v>557</v>
      </c>
      <c r="T11" s="217"/>
      <c r="U11" s="340" t="s">
        <v>662</v>
      </c>
    </row>
    <row r="12">
      <c r="A12" s="375">
        <v>137971.0</v>
      </c>
      <c r="B12" s="106" t="s">
        <v>853</v>
      </c>
      <c r="C12" s="106" t="s">
        <v>487</v>
      </c>
      <c r="D12" s="106">
        <v>245.0</v>
      </c>
      <c r="E12" s="106">
        <v>234.0</v>
      </c>
      <c r="F12" s="106">
        <v>13.0</v>
      </c>
      <c r="G12" s="105">
        <v>0.056</v>
      </c>
      <c r="H12" s="170" t="s">
        <v>43</v>
      </c>
      <c r="I12" s="170">
        <v>3.4</v>
      </c>
      <c r="J12" s="106">
        <v>52.59</v>
      </c>
      <c r="K12" s="106">
        <v>44.15</v>
      </c>
      <c r="L12" s="106">
        <v>157.34</v>
      </c>
      <c r="M12" s="106">
        <v>157.08</v>
      </c>
      <c r="N12" s="336"/>
      <c r="O12" s="106">
        <v>52.19</v>
      </c>
      <c r="P12" s="106">
        <v>43.76</v>
      </c>
      <c r="Q12" s="106">
        <v>156.41</v>
      </c>
      <c r="R12" s="106">
        <v>156.36</v>
      </c>
      <c r="S12" s="156" t="s">
        <v>557</v>
      </c>
      <c r="T12" s="214"/>
      <c r="U12" s="337" t="s">
        <v>662</v>
      </c>
    </row>
    <row r="13">
      <c r="A13" s="376">
        <v>213182.0</v>
      </c>
      <c r="B13" s="109" t="s">
        <v>1356</v>
      </c>
      <c r="C13" s="109" t="s">
        <v>877</v>
      </c>
      <c r="D13" s="109">
        <v>120.0</v>
      </c>
      <c r="E13" s="109">
        <v>112.0</v>
      </c>
      <c r="F13" s="109">
        <v>13.0</v>
      </c>
      <c r="G13" s="103">
        <v>0.116</v>
      </c>
      <c r="H13" s="173" t="s">
        <v>43</v>
      </c>
      <c r="I13" s="173">
        <v>7.6</v>
      </c>
      <c r="J13" s="109">
        <v>55.34</v>
      </c>
      <c r="K13" s="109">
        <v>39.58</v>
      </c>
      <c r="L13" s="109">
        <v>160.82</v>
      </c>
      <c r="M13" s="109">
        <v>161.26</v>
      </c>
      <c r="N13" s="339"/>
      <c r="O13" s="109">
        <v>54.87</v>
      </c>
      <c r="P13" s="109">
        <v>39.42</v>
      </c>
      <c r="Q13" s="109">
        <v>160.5</v>
      </c>
      <c r="R13" s="109">
        <v>159.93</v>
      </c>
      <c r="S13" s="156" t="s">
        <v>557</v>
      </c>
      <c r="T13" s="217"/>
      <c r="U13" s="340" t="s">
        <v>662</v>
      </c>
    </row>
    <row r="14">
      <c r="A14" s="375">
        <v>221282.0</v>
      </c>
      <c r="B14" s="106" t="s">
        <v>1305</v>
      </c>
      <c r="C14" s="106" t="s">
        <v>1306</v>
      </c>
      <c r="D14" s="106">
        <v>99.0</v>
      </c>
      <c r="E14" s="106">
        <v>92.0</v>
      </c>
      <c r="F14" s="106">
        <v>12.0</v>
      </c>
      <c r="G14" s="105">
        <v>0.13</v>
      </c>
      <c r="H14" s="170" t="s">
        <v>43</v>
      </c>
      <c r="I14" s="170">
        <v>6.7</v>
      </c>
      <c r="J14" s="106">
        <v>54.06</v>
      </c>
      <c r="K14" s="106">
        <v>42.65</v>
      </c>
      <c r="L14" s="106">
        <v>160.49</v>
      </c>
      <c r="M14" s="106">
        <v>160.49</v>
      </c>
      <c r="N14" s="336"/>
      <c r="O14" s="106">
        <v>53.93</v>
      </c>
      <c r="P14" s="106">
        <v>42.51</v>
      </c>
      <c r="Q14" s="106">
        <v>160.09</v>
      </c>
      <c r="R14" s="106">
        <v>160.09</v>
      </c>
      <c r="S14" s="156" t="s">
        <v>557</v>
      </c>
      <c r="T14" s="214"/>
      <c r="U14" s="337" t="s">
        <v>662</v>
      </c>
    </row>
    <row r="15">
      <c r="A15" s="376">
        <v>227571.0</v>
      </c>
      <c r="B15" s="109" t="s">
        <v>1094</v>
      </c>
      <c r="C15" s="109" t="s">
        <v>94</v>
      </c>
      <c r="D15" s="109">
        <v>57.0</v>
      </c>
      <c r="E15" s="109">
        <v>54.0</v>
      </c>
      <c r="F15" s="109">
        <v>12.0</v>
      </c>
      <c r="G15" s="103">
        <v>0.222</v>
      </c>
      <c r="H15" s="173" t="s">
        <v>19</v>
      </c>
      <c r="I15" s="173">
        <v>36.7</v>
      </c>
      <c r="J15" s="109">
        <v>49.96</v>
      </c>
      <c r="K15" s="109">
        <v>39.05</v>
      </c>
      <c r="L15" s="109">
        <v>153.7</v>
      </c>
      <c r="M15" s="109">
        <v>153.56</v>
      </c>
      <c r="N15" s="339"/>
      <c r="O15" s="109">
        <v>50.55</v>
      </c>
      <c r="P15" s="109">
        <v>42.73</v>
      </c>
      <c r="Q15" s="109">
        <v>153.89</v>
      </c>
      <c r="R15" s="109">
        <v>152.71</v>
      </c>
      <c r="S15" s="156" t="s">
        <v>102</v>
      </c>
      <c r="T15" s="217"/>
      <c r="U15" s="340" t="s">
        <v>662</v>
      </c>
    </row>
    <row r="16">
      <c r="A16" s="375">
        <v>241119.0</v>
      </c>
      <c r="B16" s="106" t="s">
        <v>1357</v>
      </c>
      <c r="C16" s="106" t="s">
        <v>176</v>
      </c>
      <c r="D16" s="106">
        <v>97.0</v>
      </c>
      <c r="E16" s="106">
        <v>93.0</v>
      </c>
      <c r="F16" s="106">
        <v>12.0</v>
      </c>
      <c r="G16" s="105">
        <v>0.129</v>
      </c>
      <c r="H16" s="170" t="s">
        <v>43</v>
      </c>
      <c r="I16" s="170">
        <v>8.8</v>
      </c>
      <c r="J16" s="106">
        <v>55.56</v>
      </c>
      <c r="K16" s="106">
        <v>39.6</v>
      </c>
      <c r="L16" s="106">
        <v>163.58</v>
      </c>
      <c r="M16" s="106">
        <v>163.02</v>
      </c>
      <c r="N16" s="336"/>
      <c r="O16" s="106">
        <v>55.48</v>
      </c>
      <c r="P16" s="106">
        <v>39.54</v>
      </c>
      <c r="Q16" s="106">
        <v>163.36</v>
      </c>
      <c r="R16" s="106">
        <v>162.79</v>
      </c>
      <c r="S16" s="156" t="s">
        <v>102</v>
      </c>
      <c r="T16" s="214"/>
      <c r="U16" s="337" t="s">
        <v>662</v>
      </c>
    </row>
    <row r="17">
      <c r="A17" s="376">
        <v>234780.0</v>
      </c>
      <c r="B17" s="109" t="s">
        <v>1358</v>
      </c>
      <c r="C17" s="109" t="s">
        <v>1359</v>
      </c>
      <c r="D17" s="109">
        <v>160.0</v>
      </c>
      <c r="E17" s="109">
        <v>148.0</v>
      </c>
      <c r="F17" s="109">
        <v>11.0</v>
      </c>
      <c r="G17" s="103">
        <v>0.074</v>
      </c>
      <c r="H17" s="173" t="s">
        <v>43</v>
      </c>
      <c r="I17" s="173">
        <v>6.7</v>
      </c>
      <c r="J17" s="109">
        <v>50.62</v>
      </c>
      <c r="K17" s="109">
        <v>43.84</v>
      </c>
      <c r="L17" s="109">
        <v>155.57</v>
      </c>
      <c r="M17" s="109">
        <v>155.4</v>
      </c>
      <c r="N17" s="339"/>
      <c r="O17" s="109">
        <v>50.59</v>
      </c>
      <c r="P17" s="109">
        <v>43.8</v>
      </c>
      <c r="Q17" s="109">
        <v>155.45</v>
      </c>
      <c r="R17" s="109">
        <v>155.33</v>
      </c>
      <c r="S17" s="156" t="s">
        <v>557</v>
      </c>
      <c r="T17" s="217"/>
      <c r="U17" s="340" t="s">
        <v>662</v>
      </c>
    </row>
    <row r="18">
      <c r="A18" s="375">
        <v>241115.0</v>
      </c>
      <c r="B18" s="106" t="s">
        <v>1360</v>
      </c>
      <c r="C18" s="106" t="s">
        <v>903</v>
      </c>
      <c r="D18" s="106">
        <v>78.0</v>
      </c>
      <c r="E18" s="106">
        <v>77.0</v>
      </c>
      <c r="F18" s="106">
        <v>10.0</v>
      </c>
      <c r="G18" s="105">
        <v>0.13</v>
      </c>
      <c r="H18" s="170" t="s">
        <v>43</v>
      </c>
      <c r="I18" s="170">
        <v>10.3</v>
      </c>
      <c r="J18" s="106">
        <v>55.16</v>
      </c>
      <c r="K18" s="106">
        <v>34.74</v>
      </c>
      <c r="L18" s="106">
        <v>149.73</v>
      </c>
      <c r="M18" s="106">
        <v>149.6</v>
      </c>
      <c r="N18" s="336"/>
      <c r="O18" s="106">
        <v>55.12</v>
      </c>
      <c r="P18" s="106">
        <v>34.58</v>
      </c>
      <c r="Q18" s="106">
        <v>149.57</v>
      </c>
      <c r="R18" s="106">
        <v>149.0</v>
      </c>
      <c r="S18" s="156" t="s">
        <v>557</v>
      </c>
      <c r="T18" s="214"/>
      <c r="U18" s="337" t="s">
        <v>662</v>
      </c>
    </row>
    <row r="19">
      <c r="A19" s="376">
        <v>239839.0</v>
      </c>
      <c r="B19" s="109" t="s">
        <v>1083</v>
      </c>
      <c r="C19" s="109" t="s">
        <v>103</v>
      </c>
      <c r="D19" s="109">
        <v>49.0</v>
      </c>
      <c r="E19" s="109">
        <v>41.0</v>
      </c>
      <c r="F19" s="109">
        <v>9.0</v>
      </c>
      <c r="G19" s="103">
        <v>0.22</v>
      </c>
      <c r="H19" s="173" t="s">
        <v>43</v>
      </c>
      <c r="I19" s="173">
        <v>6.7</v>
      </c>
      <c r="J19" s="109">
        <v>53.51</v>
      </c>
      <c r="K19" s="109">
        <v>35.85</v>
      </c>
      <c r="L19" s="109">
        <v>153.28</v>
      </c>
      <c r="M19" s="109">
        <v>153.26</v>
      </c>
      <c r="N19" s="339"/>
      <c r="O19" s="109">
        <v>53.45</v>
      </c>
      <c r="P19" s="109">
        <v>35.79</v>
      </c>
      <c r="Q19" s="109">
        <v>153.17</v>
      </c>
      <c r="R19" s="109">
        <v>153.16</v>
      </c>
      <c r="S19" s="156" t="s">
        <v>557</v>
      </c>
      <c r="T19" s="217"/>
      <c r="U19" s="340" t="s">
        <v>662</v>
      </c>
    </row>
    <row r="20">
      <c r="A20" s="375">
        <v>241092.0</v>
      </c>
      <c r="B20" s="106" t="s">
        <v>1361</v>
      </c>
      <c r="C20" s="106" t="s">
        <v>1362</v>
      </c>
      <c r="D20" s="106">
        <v>35.0</v>
      </c>
      <c r="E20" s="106">
        <v>33.0</v>
      </c>
      <c r="F20" s="106">
        <v>9.0</v>
      </c>
      <c r="G20" s="105">
        <v>0.273</v>
      </c>
      <c r="H20" s="170" t="s">
        <v>43</v>
      </c>
      <c r="I20" s="170">
        <v>18.2</v>
      </c>
      <c r="J20" s="106">
        <v>53.86</v>
      </c>
      <c r="K20" s="106">
        <v>43.63</v>
      </c>
      <c r="L20" s="106">
        <v>160.54</v>
      </c>
      <c r="M20" s="106">
        <v>160.17</v>
      </c>
      <c r="N20" s="336"/>
      <c r="O20" s="106">
        <v>53.76</v>
      </c>
      <c r="P20" s="106">
        <v>43.42</v>
      </c>
      <c r="Q20" s="106">
        <v>160.4</v>
      </c>
      <c r="R20" s="106">
        <v>159.87</v>
      </c>
      <c r="S20" s="156" t="s">
        <v>557</v>
      </c>
      <c r="T20" s="214"/>
      <c r="U20" s="337" t="s">
        <v>662</v>
      </c>
    </row>
    <row r="21">
      <c r="A21" s="376">
        <v>234791.0</v>
      </c>
      <c r="B21" s="109" t="s">
        <v>1363</v>
      </c>
      <c r="C21" s="109" t="s">
        <v>1364</v>
      </c>
      <c r="D21" s="109">
        <v>103.0</v>
      </c>
      <c r="E21" s="109">
        <v>95.0</v>
      </c>
      <c r="F21" s="109">
        <v>8.0</v>
      </c>
      <c r="G21" s="103">
        <v>0.084</v>
      </c>
      <c r="H21" s="173" t="s">
        <v>19</v>
      </c>
      <c r="I21" s="173">
        <v>6.4</v>
      </c>
      <c r="J21" s="109">
        <v>50.03</v>
      </c>
      <c r="K21" s="109">
        <v>42.29</v>
      </c>
      <c r="L21" s="109">
        <v>149.54</v>
      </c>
      <c r="M21" s="109">
        <v>149.43</v>
      </c>
      <c r="N21" s="339"/>
      <c r="O21" s="109">
        <v>50.13</v>
      </c>
      <c r="P21" s="109">
        <v>42.38</v>
      </c>
      <c r="Q21" s="109">
        <v>149.71</v>
      </c>
      <c r="R21" s="109">
        <v>149.76</v>
      </c>
      <c r="S21" s="156" t="s">
        <v>557</v>
      </c>
      <c r="T21" s="217"/>
      <c r="U21" s="340" t="s">
        <v>662</v>
      </c>
    </row>
    <row r="22">
      <c r="A22" s="375">
        <v>235135.0</v>
      </c>
      <c r="B22" s="106" t="s">
        <v>1365</v>
      </c>
      <c r="C22" s="106" t="s">
        <v>1366</v>
      </c>
      <c r="D22" s="106">
        <v>116.0</v>
      </c>
      <c r="E22" s="106">
        <v>106.0</v>
      </c>
      <c r="F22" s="106">
        <v>8.0</v>
      </c>
      <c r="G22" s="105">
        <v>0.075</v>
      </c>
      <c r="H22" s="170" t="s">
        <v>43</v>
      </c>
      <c r="I22" s="170">
        <v>6.4</v>
      </c>
      <c r="J22" s="106">
        <v>54.31</v>
      </c>
      <c r="K22" s="106">
        <v>46.28</v>
      </c>
      <c r="L22" s="106">
        <v>166.44</v>
      </c>
      <c r="M22" s="106">
        <v>166.38</v>
      </c>
      <c r="N22" s="336"/>
      <c r="O22" s="106">
        <v>54.18</v>
      </c>
      <c r="P22" s="106">
        <v>45.93</v>
      </c>
      <c r="Q22" s="106">
        <v>166.16</v>
      </c>
      <c r="R22" s="106">
        <v>165.77</v>
      </c>
      <c r="S22" s="156" t="s">
        <v>557</v>
      </c>
      <c r="T22" s="214"/>
      <c r="U22" s="337" t="s">
        <v>662</v>
      </c>
    </row>
    <row r="23">
      <c r="A23" s="376">
        <v>241094.0</v>
      </c>
      <c r="B23" s="109" t="s">
        <v>1367</v>
      </c>
      <c r="C23" s="109" t="s">
        <v>1368</v>
      </c>
      <c r="D23" s="109">
        <v>114.0</v>
      </c>
      <c r="E23" s="109">
        <v>111.0</v>
      </c>
      <c r="F23" s="109">
        <v>8.0</v>
      </c>
      <c r="G23" s="103">
        <v>0.072</v>
      </c>
      <c r="H23" s="173" t="s">
        <v>43</v>
      </c>
      <c r="I23" s="173">
        <v>4.5</v>
      </c>
      <c r="J23" s="109">
        <v>54.36</v>
      </c>
      <c r="K23" s="109">
        <v>45.46</v>
      </c>
      <c r="L23" s="109">
        <v>160.1</v>
      </c>
      <c r="M23" s="109">
        <v>160.5</v>
      </c>
      <c r="N23" s="339"/>
      <c r="O23" s="109">
        <v>54.32</v>
      </c>
      <c r="P23" s="109">
        <v>45.27</v>
      </c>
      <c r="Q23" s="109">
        <v>160.1</v>
      </c>
      <c r="R23" s="109">
        <v>160.5</v>
      </c>
      <c r="S23" s="156" t="s">
        <v>557</v>
      </c>
      <c r="T23" s="217"/>
      <c r="U23" s="340" t="s">
        <v>662</v>
      </c>
    </row>
    <row r="24">
      <c r="A24" s="375">
        <v>241112.0</v>
      </c>
      <c r="B24" s="106" t="s">
        <v>1369</v>
      </c>
      <c r="C24" s="106" t="s">
        <v>1370</v>
      </c>
      <c r="D24" s="106">
        <v>140.0</v>
      </c>
      <c r="E24" s="106">
        <v>135.0</v>
      </c>
      <c r="F24" s="106">
        <v>8.0</v>
      </c>
      <c r="G24" s="105">
        <v>0.059</v>
      </c>
      <c r="H24" s="170" t="s">
        <v>43</v>
      </c>
      <c r="I24" s="170">
        <v>3.0</v>
      </c>
      <c r="J24" s="106">
        <v>54.09</v>
      </c>
      <c r="K24" s="106">
        <v>37.46</v>
      </c>
      <c r="L24" s="10">
        <v>151.21</v>
      </c>
      <c r="M24" s="106">
        <v>151.21</v>
      </c>
      <c r="N24" s="336"/>
      <c r="O24" s="106">
        <v>54.05</v>
      </c>
      <c r="P24" s="106">
        <v>37.42</v>
      </c>
      <c r="Q24" s="106">
        <v>151.21</v>
      </c>
      <c r="R24" s="106">
        <v>151.21</v>
      </c>
      <c r="S24" s="156" t="s">
        <v>557</v>
      </c>
      <c r="T24" s="214"/>
      <c r="U24" s="337" t="s">
        <v>662</v>
      </c>
    </row>
    <row r="25">
      <c r="A25" s="376">
        <v>207481.0</v>
      </c>
      <c r="B25" s="109" t="s">
        <v>1371</v>
      </c>
      <c r="C25" s="109" t="s">
        <v>1372</v>
      </c>
      <c r="D25" s="109">
        <v>109.0</v>
      </c>
      <c r="E25" s="109">
        <v>111.0</v>
      </c>
      <c r="F25" s="109">
        <v>7.0</v>
      </c>
      <c r="G25" s="103">
        <v>0.063</v>
      </c>
      <c r="H25" s="173" t="s">
        <v>19</v>
      </c>
      <c r="I25" s="173">
        <v>6.3</v>
      </c>
      <c r="J25" s="109">
        <v>50.99</v>
      </c>
      <c r="K25" s="109">
        <v>42.86</v>
      </c>
      <c r="L25" s="109">
        <v>154.05</v>
      </c>
      <c r="M25" s="109">
        <v>153.69</v>
      </c>
      <c r="N25" s="339"/>
      <c r="O25" s="109">
        <v>51.08</v>
      </c>
      <c r="P25" s="109">
        <v>42.92</v>
      </c>
      <c r="Q25" s="109">
        <v>154.22</v>
      </c>
      <c r="R25" s="109">
        <v>154.22</v>
      </c>
      <c r="S25" s="156" t="s">
        <v>102</v>
      </c>
      <c r="T25" s="217"/>
      <c r="U25" s="340" t="s">
        <v>662</v>
      </c>
    </row>
    <row r="26">
      <c r="A26" s="375">
        <v>213180.0</v>
      </c>
      <c r="B26" s="106" t="s">
        <v>1373</v>
      </c>
      <c r="C26" s="106" t="s">
        <v>1374</v>
      </c>
      <c r="D26" s="106">
        <v>32.0</v>
      </c>
      <c r="E26" s="106">
        <v>28.0</v>
      </c>
      <c r="F26" s="106">
        <v>6.0</v>
      </c>
      <c r="G26" s="105">
        <v>0.214</v>
      </c>
      <c r="H26" s="170" t="s">
        <v>43</v>
      </c>
      <c r="I26" s="170">
        <v>6.4</v>
      </c>
      <c r="J26" s="106">
        <v>59.38</v>
      </c>
      <c r="K26" s="106">
        <v>39.25</v>
      </c>
      <c r="L26" s="106">
        <v>161.77</v>
      </c>
      <c r="M26" s="106">
        <v>162.07</v>
      </c>
      <c r="N26" s="336"/>
      <c r="O26" s="106">
        <v>59.31</v>
      </c>
      <c r="P26" s="106">
        <v>39.18</v>
      </c>
      <c r="Q26" s="106">
        <v>161.25</v>
      </c>
      <c r="R26" s="106">
        <v>161.25</v>
      </c>
      <c r="S26" s="156" t="s">
        <v>102</v>
      </c>
      <c r="T26" s="214"/>
      <c r="U26" s="337" t="s">
        <v>662</v>
      </c>
    </row>
    <row r="27">
      <c r="A27" s="376">
        <v>222135.0</v>
      </c>
      <c r="B27" s="109" t="s">
        <v>1375</v>
      </c>
      <c r="C27" s="109" t="s">
        <v>912</v>
      </c>
      <c r="D27" s="109">
        <v>27.0</v>
      </c>
      <c r="E27" s="109">
        <v>27.0</v>
      </c>
      <c r="F27" s="109">
        <v>6.0</v>
      </c>
      <c r="G27" s="103">
        <v>0.222</v>
      </c>
      <c r="H27" s="173" t="s">
        <v>43</v>
      </c>
      <c r="I27" s="173">
        <v>6.4</v>
      </c>
      <c r="J27" s="109">
        <v>55.35</v>
      </c>
      <c r="K27" s="109">
        <v>34.53</v>
      </c>
      <c r="L27" s="109">
        <v>156.83</v>
      </c>
      <c r="M27" s="109">
        <v>157.08</v>
      </c>
      <c r="N27" s="339"/>
      <c r="O27" s="109">
        <v>55.29</v>
      </c>
      <c r="P27" s="109">
        <v>34.48</v>
      </c>
      <c r="Q27" s="109">
        <v>156.39</v>
      </c>
      <c r="R27" s="109">
        <v>156.39</v>
      </c>
      <c r="S27" s="156" t="s">
        <v>102</v>
      </c>
      <c r="T27" s="217"/>
      <c r="U27" s="340" t="s">
        <v>662</v>
      </c>
    </row>
    <row r="28">
      <c r="A28" s="375">
        <v>225336.0</v>
      </c>
      <c r="B28" s="106" t="s">
        <v>1376</v>
      </c>
      <c r="C28" s="106" t="s">
        <v>889</v>
      </c>
      <c r="D28" s="106">
        <v>32.0</v>
      </c>
      <c r="E28" s="106">
        <v>24.0</v>
      </c>
      <c r="F28" s="106">
        <v>6.0</v>
      </c>
      <c r="G28" s="105">
        <v>0.25</v>
      </c>
      <c r="H28" s="170" t="s">
        <v>19</v>
      </c>
      <c r="I28" s="170">
        <v>15.8</v>
      </c>
      <c r="J28" s="106">
        <v>47.33</v>
      </c>
      <c r="K28" s="106">
        <v>41.41</v>
      </c>
      <c r="L28" s="106">
        <v>144.07</v>
      </c>
      <c r="M28" s="106">
        <v>144.62</v>
      </c>
      <c r="N28" s="336"/>
      <c r="O28" s="106">
        <v>48.07</v>
      </c>
      <c r="P28" s="106">
        <v>41.45</v>
      </c>
      <c r="Q28" s="106">
        <v>145.29</v>
      </c>
      <c r="R28" s="106">
        <v>144.69</v>
      </c>
      <c r="S28" s="156" t="s">
        <v>102</v>
      </c>
      <c r="T28" s="214"/>
      <c r="U28" s="337" t="s">
        <v>662</v>
      </c>
    </row>
    <row r="29">
      <c r="A29" s="376">
        <v>238918.0</v>
      </c>
      <c r="B29" s="109" t="s">
        <v>1377</v>
      </c>
      <c r="C29" s="109" t="s">
        <v>1378</v>
      </c>
      <c r="D29" s="109">
        <v>119.0</v>
      </c>
      <c r="E29" s="109">
        <v>110.0</v>
      </c>
      <c r="F29" s="109">
        <v>6.0</v>
      </c>
      <c r="G29" s="103">
        <v>0.055</v>
      </c>
      <c r="H29" s="173" t="s">
        <v>43</v>
      </c>
      <c r="I29" s="173">
        <v>4.3</v>
      </c>
      <c r="J29" s="109">
        <v>55.2</v>
      </c>
      <c r="K29" s="109">
        <v>45.08</v>
      </c>
      <c r="L29" s="109">
        <v>166.11</v>
      </c>
      <c r="M29" s="109">
        <v>166.21</v>
      </c>
      <c r="N29" s="339"/>
      <c r="O29" s="109">
        <v>55.13</v>
      </c>
      <c r="P29" s="109">
        <v>45.0</v>
      </c>
      <c r="Q29" s="109">
        <v>165.74</v>
      </c>
      <c r="R29" s="109">
        <v>165.74</v>
      </c>
      <c r="S29" s="156" t="s">
        <v>102</v>
      </c>
      <c r="T29" s="217"/>
      <c r="U29" s="340" t="s">
        <v>662</v>
      </c>
    </row>
    <row r="30">
      <c r="A30" s="375">
        <v>241935.0</v>
      </c>
      <c r="B30" s="106" t="s">
        <v>1379</v>
      </c>
      <c r="C30" s="106" t="s">
        <v>1380</v>
      </c>
      <c r="D30" s="106">
        <v>31.0</v>
      </c>
      <c r="E30" s="106">
        <v>26.0</v>
      </c>
      <c r="F30" s="106">
        <v>6.0</v>
      </c>
      <c r="G30" s="105">
        <v>0.231</v>
      </c>
      <c r="H30" s="21" t="s">
        <v>43</v>
      </c>
      <c r="I30" s="170">
        <v>16.7</v>
      </c>
      <c r="J30" s="106">
        <v>52.27</v>
      </c>
      <c r="K30" s="106">
        <v>39.27</v>
      </c>
      <c r="L30" s="106">
        <v>152.46</v>
      </c>
      <c r="M30" s="106">
        <v>152.59</v>
      </c>
      <c r="N30" s="336"/>
      <c r="O30" s="106">
        <v>52.04</v>
      </c>
      <c r="P30" s="106">
        <v>38.93</v>
      </c>
      <c r="Q30" s="106">
        <v>151.97</v>
      </c>
      <c r="R30" s="106">
        <v>151.88</v>
      </c>
      <c r="S30" s="156" t="s">
        <v>102</v>
      </c>
      <c r="T30" s="214"/>
      <c r="U30" s="337" t="s">
        <v>662</v>
      </c>
    </row>
    <row r="31">
      <c r="A31" s="376">
        <v>147021.0</v>
      </c>
      <c r="B31" s="109" t="s">
        <v>1381</v>
      </c>
      <c r="C31" s="109" t="s">
        <v>1382</v>
      </c>
      <c r="D31" s="109">
        <v>69.0</v>
      </c>
      <c r="E31" s="109">
        <v>66.0</v>
      </c>
      <c r="F31" s="109">
        <v>5.0</v>
      </c>
      <c r="G31" s="103">
        <v>0.076</v>
      </c>
      <c r="H31" s="173" t="s">
        <v>43</v>
      </c>
      <c r="I31" s="173">
        <v>5.1</v>
      </c>
      <c r="J31" s="109">
        <v>57.05</v>
      </c>
      <c r="K31" s="109">
        <v>45.93</v>
      </c>
      <c r="L31" s="109">
        <v>170.35</v>
      </c>
      <c r="M31" s="109">
        <v>170.67</v>
      </c>
      <c r="N31" s="339"/>
      <c r="O31" s="109">
        <v>56.85</v>
      </c>
      <c r="P31" s="109">
        <v>45.76</v>
      </c>
      <c r="Q31" s="109">
        <v>169.61</v>
      </c>
      <c r="R31" s="109">
        <v>169.93</v>
      </c>
      <c r="S31" s="156" t="s">
        <v>102</v>
      </c>
      <c r="T31" s="217"/>
      <c r="U31" s="340" t="s">
        <v>662</v>
      </c>
    </row>
    <row r="32">
      <c r="A32" s="375">
        <v>150583.0</v>
      </c>
      <c r="B32" s="106" t="s">
        <v>1383</v>
      </c>
      <c r="C32" s="106" t="s">
        <v>1384</v>
      </c>
      <c r="D32" s="106">
        <v>81.0</v>
      </c>
      <c r="E32" s="106">
        <v>77.0</v>
      </c>
      <c r="F32" s="106">
        <v>5.0</v>
      </c>
      <c r="G32" s="105">
        <v>0.065</v>
      </c>
      <c r="H32" s="170" t="s">
        <v>43</v>
      </c>
      <c r="I32" s="170">
        <v>3.0</v>
      </c>
      <c r="J32" s="106">
        <v>55.61</v>
      </c>
      <c r="K32" s="106">
        <v>41.45</v>
      </c>
      <c r="L32" s="106">
        <v>164.29</v>
      </c>
      <c r="M32" s="106">
        <v>164.02</v>
      </c>
      <c r="N32" s="336"/>
      <c r="O32" s="106">
        <v>55.51</v>
      </c>
      <c r="P32" s="106">
        <v>40.87</v>
      </c>
      <c r="Q32" s="106">
        <v>163.99</v>
      </c>
      <c r="R32" s="106">
        <v>162.6</v>
      </c>
      <c r="S32" s="156" t="s">
        <v>102</v>
      </c>
      <c r="T32" s="214"/>
      <c r="U32" s="337" t="s">
        <v>662</v>
      </c>
    </row>
    <row r="33">
      <c r="A33" s="376">
        <v>207551.0</v>
      </c>
      <c r="B33" s="109" t="s">
        <v>1385</v>
      </c>
      <c r="C33" s="109" t="s">
        <v>908</v>
      </c>
      <c r="D33" s="109">
        <v>61.0</v>
      </c>
      <c r="E33" s="109">
        <v>60.0</v>
      </c>
      <c r="F33" s="109">
        <v>5.0</v>
      </c>
      <c r="G33" s="103">
        <v>0.083</v>
      </c>
      <c r="H33" s="173" t="s">
        <v>43</v>
      </c>
      <c r="I33" s="173">
        <v>3.7</v>
      </c>
      <c r="J33" s="109">
        <v>56.8</v>
      </c>
      <c r="K33" s="109">
        <v>37.42</v>
      </c>
      <c r="L33" s="109">
        <v>160.04</v>
      </c>
      <c r="M33" s="109">
        <v>159.65</v>
      </c>
      <c r="N33" s="339"/>
      <c r="O33" s="109">
        <v>56.75</v>
      </c>
      <c r="P33" s="109">
        <v>37.19</v>
      </c>
      <c r="Q33" s="109">
        <v>159.63</v>
      </c>
      <c r="R33" s="109">
        <v>158.76</v>
      </c>
      <c r="S33" s="156" t="s">
        <v>102</v>
      </c>
      <c r="T33" s="217"/>
      <c r="U33" s="340" t="s">
        <v>662</v>
      </c>
    </row>
    <row r="34">
      <c r="A34" s="375">
        <v>213180.0</v>
      </c>
      <c r="B34" s="106" t="s">
        <v>1386</v>
      </c>
      <c r="C34" s="106" t="s">
        <v>1387</v>
      </c>
      <c r="D34" s="106">
        <v>27.0</v>
      </c>
      <c r="E34" s="106">
        <v>25.0</v>
      </c>
      <c r="F34" s="106">
        <v>5.0</v>
      </c>
      <c r="G34" s="105">
        <v>0.2</v>
      </c>
      <c r="H34" s="170" t="s">
        <v>43</v>
      </c>
      <c r="I34" s="170">
        <v>7.1</v>
      </c>
      <c r="J34" s="106">
        <v>59.33</v>
      </c>
      <c r="K34" s="106">
        <v>39.55</v>
      </c>
      <c r="L34" s="106">
        <v>161.82</v>
      </c>
      <c r="M34" s="106">
        <v>162.08</v>
      </c>
      <c r="N34" s="336"/>
      <c r="O34" s="106">
        <v>59.27</v>
      </c>
      <c r="P34" s="106">
        <v>39.5</v>
      </c>
      <c r="Q34" s="106">
        <v>161.39</v>
      </c>
      <c r="R34" s="106">
        <v>161.39</v>
      </c>
      <c r="S34" s="156" t="s">
        <v>102</v>
      </c>
      <c r="T34" s="214"/>
      <c r="U34" s="337" t="s">
        <v>662</v>
      </c>
    </row>
    <row r="35">
      <c r="A35" s="376">
        <v>219825.0</v>
      </c>
      <c r="B35" s="109" t="s">
        <v>1304</v>
      </c>
      <c r="C35" s="109" t="s">
        <v>573</v>
      </c>
      <c r="D35" s="109">
        <v>101.0</v>
      </c>
      <c r="E35" s="109">
        <v>95.0</v>
      </c>
      <c r="F35" s="109">
        <v>5.0</v>
      </c>
      <c r="G35" s="103">
        <v>0.053</v>
      </c>
      <c r="H35" s="173" t="s">
        <v>43</v>
      </c>
      <c r="I35" s="173">
        <v>3.7</v>
      </c>
      <c r="J35" s="21">
        <v>55.16</v>
      </c>
      <c r="K35" s="21">
        <v>37.4</v>
      </c>
      <c r="L35" s="109">
        <v>156.35</v>
      </c>
      <c r="M35" s="109">
        <v>156.01</v>
      </c>
      <c r="N35" s="339"/>
      <c r="O35" s="109">
        <v>55.11</v>
      </c>
      <c r="P35" s="109">
        <v>37.3</v>
      </c>
      <c r="Q35" s="109">
        <v>156.11</v>
      </c>
      <c r="R35" s="109">
        <v>156.02</v>
      </c>
      <c r="S35" s="156" t="s">
        <v>102</v>
      </c>
      <c r="T35" s="217"/>
      <c r="U35" s="340" t="s">
        <v>662</v>
      </c>
    </row>
    <row r="36">
      <c r="A36" s="375">
        <v>222900.0</v>
      </c>
      <c r="B36" s="106" t="s">
        <v>1388</v>
      </c>
      <c r="C36" s="106" t="s">
        <v>1389</v>
      </c>
      <c r="D36" s="106">
        <v>68.0</v>
      </c>
      <c r="E36" s="106">
        <v>64.0</v>
      </c>
      <c r="F36" s="106">
        <v>5.0</v>
      </c>
      <c r="G36" s="105">
        <v>0.078</v>
      </c>
      <c r="H36" s="170" t="s">
        <v>19</v>
      </c>
      <c r="I36" s="170">
        <v>4.8</v>
      </c>
      <c r="J36" s="106">
        <v>54.86</v>
      </c>
      <c r="K36" s="106">
        <v>42.09</v>
      </c>
      <c r="L36" s="106">
        <v>164.05</v>
      </c>
      <c r="M36" s="106">
        <v>164.15</v>
      </c>
      <c r="N36" s="336"/>
      <c r="O36" s="106">
        <v>54.9</v>
      </c>
      <c r="P36" s="106">
        <v>42.16</v>
      </c>
      <c r="Q36" s="106">
        <v>164.25</v>
      </c>
      <c r="R36" s="106">
        <v>164.18</v>
      </c>
      <c r="S36" s="156" t="s">
        <v>102</v>
      </c>
      <c r="T36" s="214"/>
      <c r="U36" s="337" t="s">
        <v>662</v>
      </c>
    </row>
    <row r="37">
      <c r="A37" s="376">
        <v>227450.0</v>
      </c>
      <c r="B37" s="109" t="s">
        <v>1390</v>
      </c>
      <c r="C37" s="109" t="s">
        <v>77</v>
      </c>
      <c r="D37" s="109">
        <v>98.0</v>
      </c>
      <c r="E37" s="109">
        <v>95.0</v>
      </c>
      <c r="F37" s="109">
        <v>5.0</v>
      </c>
      <c r="G37" s="103">
        <v>0.053</v>
      </c>
      <c r="H37" s="173" t="s">
        <v>43</v>
      </c>
      <c r="I37" s="173">
        <v>2.7</v>
      </c>
      <c r="J37" s="109" t="s">
        <v>1391</v>
      </c>
      <c r="K37" s="383"/>
      <c r="L37" s="383"/>
      <c r="M37" s="383"/>
      <c r="N37" s="383"/>
      <c r="O37" s="383"/>
      <c r="P37" s="383"/>
      <c r="Q37" s="383"/>
      <c r="R37" s="383"/>
      <c r="S37" s="156" t="s">
        <v>102</v>
      </c>
      <c r="T37" s="109"/>
      <c r="U37" s="340" t="s">
        <v>662</v>
      </c>
    </row>
    <row r="38">
      <c r="A38" s="375">
        <v>234765.0</v>
      </c>
      <c r="B38" s="106" t="s">
        <v>1325</v>
      </c>
      <c r="C38" s="106" t="s">
        <v>1285</v>
      </c>
      <c r="D38" s="106">
        <v>28.0</v>
      </c>
      <c r="E38" s="106">
        <v>23.0</v>
      </c>
      <c r="F38" s="106">
        <v>5.0</v>
      </c>
      <c r="G38" s="105">
        <v>0.217</v>
      </c>
      <c r="H38" s="170" t="s">
        <v>1392</v>
      </c>
      <c r="I38" s="170" t="s">
        <v>1393</v>
      </c>
      <c r="J38" s="106" t="s">
        <v>1352</v>
      </c>
      <c r="K38" s="383"/>
      <c r="L38" s="383"/>
      <c r="M38" s="383"/>
      <c r="N38" s="383"/>
      <c r="O38" s="383"/>
      <c r="P38" s="383"/>
      <c r="Q38" s="383"/>
      <c r="R38" s="383"/>
      <c r="S38" s="156" t="s">
        <v>102</v>
      </c>
      <c r="T38" s="170" t="s">
        <v>1353</v>
      </c>
      <c r="U38" s="337" t="s">
        <v>662</v>
      </c>
    </row>
    <row r="39">
      <c r="A39" s="376">
        <v>234796.0</v>
      </c>
      <c r="B39" s="109" t="s">
        <v>1335</v>
      </c>
      <c r="C39" s="109" t="s">
        <v>887</v>
      </c>
      <c r="D39" s="109">
        <v>9.0</v>
      </c>
      <c r="E39" s="109">
        <v>7.0</v>
      </c>
      <c r="F39" s="109">
        <v>5.0</v>
      </c>
      <c r="G39" s="103">
        <v>0.714</v>
      </c>
      <c r="H39" s="173" t="s">
        <v>43</v>
      </c>
      <c r="I39" s="173">
        <v>65.1</v>
      </c>
      <c r="J39" s="109">
        <v>50.09</v>
      </c>
      <c r="K39" s="109">
        <v>46.7</v>
      </c>
      <c r="L39" s="109">
        <v>157.32</v>
      </c>
      <c r="M39" s="109">
        <v>157.36</v>
      </c>
      <c r="N39" s="339"/>
      <c r="O39" s="109">
        <v>50.05</v>
      </c>
      <c r="P39" s="109">
        <v>46.65</v>
      </c>
      <c r="Q39" s="109">
        <v>157.19</v>
      </c>
      <c r="R39" s="109">
        <v>157.36</v>
      </c>
      <c r="S39" s="156" t="s">
        <v>102</v>
      </c>
      <c r="T39" s="217"/>
      <c r="U39" s="340" t="s">
        <v>662</v>
      </c>
    </row>
    <row r="40">
      <c r="A40" s="375">
        <v>238662.0</v>
      </c>
      <c r="B40" s="106" t="s">
        <v>1394</v>
      </c>
      <c r="C40" s="106" t="s">
        <v>1395</v>
      </c>
      <c r="D40" s="106">
        <v>99.0</v>
      </c>
      <c r="E40" s="106">
        <v>86.0</v>
      </c>
      <c r="F40" s="106">
        <v>5.0</v>
      </c>
      <c r="G40" s="105">
        <v>0.058</v>
      </c>
      <c r="H40" s="170" t="s">
        <v>43</v>
      </c>
      <c r="I40" s="170">
        <v>2.2</v>
      </c>
      <c r="J40" s="106">
        <v>51.3</v>
      </c>
      <c r="K40" s="106">
        <v>32.62</v>
      </c>
      <c r="L40" s="106">
        <v>139.92</v>
      </c>
      <c r="M40" s="106">
        <v>139.77</v>
      </c>
      <c r="N40" s="336"/>
      <c r="O40" s="106">
        <v>51.26</v>
      </c>
      <c r="P40" s="106">
        <v>32.58</v>
      </c>
      <c r="Q40" s="106">
        <v>139.67</v>
      </c>
      <c r="R40" s="106">
        <v>139.67</v>
      </c>
      <c r="S40" s="156" t="s">
        <v>102</v>
      </c>
      <c r="T40" s="214"/>
      <c r="U40" s="337" t="s">
        <v>662</v>
      </c>
    </row>
    <row r="41">
      <c r="A41" s="376">
        <v>241386.0</v>
      </c>
      <c r="B41" s="109" t="s">
        <v>1341</v>
      </c>
      <c r="C41" s="109" t="s">
        <v>1342</v>
      </c>
      <c r="D41" s="109">
        <v>47.0</v>
      </c>
      <c r="E41" s="109">
        <v>40.0</v>
      </c>
      <c r="F41" s="109">
        <v>5.0</v>
      </c>
      <c r="G41" s="103">
        <v>0.125</v>
      </c>
      <c r="H41" s="173" t="s">
        <v>43</v>
      </c>
      <c r="I41" s="173">
        <v>4.1</v>
      </c>
      <c r="J41" s="109">
        <v>51.69</v>
      </c>
      <c r="K41" s="109">
        <v>39.8</v>
      </c>
      <c r="L41" s="109">
        <v>149.97</v>
      </c>
      <c r="M41" s="109">
        <v>150.29</v>
      </c>
      <c r="N41" s="339"/>
      <c r="O41" s="109">
        <v>51.6</v>
      </c>
      <c r="P41" s="109">
        <v>39.6</v>
      </c>
      <c r="Q41" s="109">
        <v>149.98</v>
      </c>
      <c r="R41" s="109">
        <v>149.83</v>
      </c>
      <c r="S41" s="156" t="s">
        <v>102</v>
      </c>
      <c r="T41" s="217"/>
      <c r="U41" s="340" t="s">
        <v>662</v>
      </c>
    </row>
    <row r="42">
      <c r="S42" s="242"/>
    </row>
  </sheetData>
  <mergeCells count="3">
    <mergeCell ref="J8:R8"/>
    <mergeCell ref="J37:R37"/>
    <mergeCell ref="J38:R38"/>
  </mergeCells>
  <dataValidations>
    <dataValidation type="list" allowBlank="1" showErrorMessage="1" sqref="S2:S41">
      <formula1>"GITANJALI,AMIRUN,DEEPANSHU,DHAVAL,ADITI"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75"/>
    <col hidden="1" min="4" max="7" width="12.63"/>
    <col customWidth="1" min="8" max="8" width="22.5"/>
    <col customWidth="1" min="20" max="20" width="34.13"/>
  </cols>
  <sheetData>
    <row r="1">
      <c r="A1" s="379" t="s">
        <v>1</v>
      </c>
      <c r="B1" s="373" t="s">
        <v>2</v>
      </c>
      <c r="C1" s="373" t="s">
        <v>656</v>
      </c>
      <c r="D1" s="373" t="s">
        <v>657</v>
      </c>
      <c r="E1" s="373" t="s">
        <v>658</v>
      </c>
      <c r="F1" s="373" t="s">
        <v>659</v>
      </c>
      <c r="G1" s="373" t="s">
        <v>660</v>
      </c>
      <c r="H1" s="373" t="s">
        <v>4</v>
      </c>
      <c r="I1" s="373" t="s">
        <v>5</v>
      </c>
      <c r="J1" s="371" t="s">
        <v>7</v>
      </c>
      <c r="K1" s="372" t="s">
        <v>8</v>
      </c>
      <c r="L1" s="372" t="s">
        <v>9</v>
      </c>
      <c r="M1" s="372" t="s">
        <v>10</v>
      </c>
      <c r="N1" s="372" t="s">
        <v>11</v>
      </c>
      <c r="O1" s="372" t="s">
        <v>12</v>
      </c>
      <c r="P1" s="371" t="s">
        <v>13</v>
      </c>
      <c r="Q1" s="372" t="s">
        <v>14</v>
      </c>
      <c r="R1" s="372" t="s">
        <v>15</v>
      </c>
      <c r="S1" s="373" t="s">
        <v>17</v>
      </c>
      <c r="T1" s="371" t="s">
        <v>16</v>
      </c>
      <c r="U1" s="6" t="s">
        <v>1176</v>
      </c>
      <c r="V1" s="380"/>
      <c r="W1" s="380"/>
      <c r="X1" s="380"/>
      <c r="Y1" s="380"/>
    </row>
    <row r="2">
      <c r="A2" s="241">
        <v>241115.0</v>
      </c>
      <c r="B2" s="156" t="s">
        <v>1396</v>
      </c>
      <c r="C2" s="16" t="s">
        <v>1397</v>
      </c>
      <c r="D2" s="16">
        <v>193.0</v>
      </c>
      <c r="E2" s="16">
        <v>188.0</v>
      </c>
      <c r="F2" s="16">
        <v>10.0</v>
      </c>
      <c r="G2" s="49">
        <v>0.053</v>
      </c>
      <c r="H2" s="16" t="s">
        <v>43</v>
      </c>
      <c r="I2" s="16">
        <v>5.0</v>
      </c>
      <c r="J2" s="16">
        <v>55.41</v>
      </c>
      <c r="K2" s="16">
        <v>34.62</v>
      </c>
      <c r="L2" s="16">
        <v>149.68</v>
      </c>
      <c r="M2" s="16">
        <v>149.75</v>
      </c>
      <c r="N2" s="366"/>
      <c r="O2" s="16">
        <v>55.2</v>
      </c>
      <c r="P2" s="16">
        <v>34.4</v>
      </c>
      <c r="Q2" s="16">
        <v>148.8</v>
      </c>
      <c r="R2" s="16">
        <v>148.91</v>
      </c>
      <c r="S2" s="156" t="s">
        <v>22</v>
      </c>
      <c r="T2" s="200"/>
      <c r="U2" s="345" t="s">
        <v>662</v>
      </c>
      <c r="V2" s="242" t="str">
        <f>VLOOKUP(C:C,'1-7 AUG'!C:C,1,0)</f>
        <v>#N/A</v>
      </c>
      <c r="W2" s="242"/>
      <c r="X2" s="242"/>
      <c r="Y2" s="242"/>
    </row>
    <row r="3">
      <c r="A3" s="384">
        <v>148157.0</v>
      </c>
      <c r="B3" s="185" t="s">
        <v>1398</v>
      </c>
      <c r="C3" s="385" t="s">
        <v>1399</v>
      </c>
      <c r="D3" s="385">
        <v>134.0</v>
      </c>
      <c r="E3" s="385">
        <v>130.0</v>
      </c>
      <c r="F3" s="385">
        <v>10.0</v>
      </c>
      <c r="G3" s="386">
        <v>0.077</v>
      </c>
      <c r="H3" s="385" t="s">
        <v>43</v>
      </c>
      <c r="I3" s="385">
        <v>4.9</v>
      </c>
      <c r="J3" s="385">
        <v>50.43</v>
      </c>
      <c r="K3" s="385">
        <v>45.36</v>
      </c>
      <c r="L3" s="385">
        <v>152.9</v>
      </c>
      <c r="M3" s="385">
        <v>152.72</v>
      </c>
      <c r="N3" s="387"/>
      <c r="O3" s="385">
        <v>50.2</v>
      </c>
      <c r="P3" s="385">
        <v>45.16</v>
      </c>
      <c r="Q3" s="385">
        <v>152.21</v>
      </c>
      <c r="R3" s="385">
        <v>152.02</v>
      </c>
      <c r="S3" s="156" t="s">
        <v>22</v>
      </c>
      <c r="T3" s="206"/>
      <c r="U3" s="388" t="s">
        <v>662</v>
      </c>
      <c r="V3" s="242" t="str">
        <f>VLOOKUP(C:C,'1-7 AUG'!C:C,1,0)</f>
        <v>#N/A</v>
      </c>
      <c r="W3" s="242"/>
      <c r="X3" s="242"/>
      <c r="Y3" s="242"/>
    </row>
    <row r="4">
      <c r="A4" s="389">
        <v>238524.0</v>
      </c>
      <c r="B4" s="181" t="s">
        <v>1400</v>
      </c>
      <c r="C4" s="390" t="s">
        <v>1401</v>
      </c>
      <c r="D4" s="390">
        <v>97.0</v>
      </c>
      <c r="E4" s="390">
        <v>87.0</v>
      </c>
      <c r="F4" s="390">
        <v>10.0</v>
      </c>
      <c r="G4" s="391">
        <v>0.115</v>
      </c>
      <c r="H4" s="390" t="s">
        <v>43</v>
      </c>
      <c r="I4" s="390">
        <v>1.9</v>
      </c>
      <c r="J4" s="392"/>
      <c r="K4" s="392"/>
      <c r="L4" s="392"/>
      <c r="M4" s="392"/>
      <c r="N4" s="392"/>
      <c r="O4" s="392"/>
      <c r="P4" s="392"/>
      <c r="Q4" s="392"/>
      <c r="R4" s="392"/>
      <c r="S4" s="200"/>
      <c r="T4" s="181" t="s">
        <v>1402</v>
      </c>
      <c r="U4" s="393" t="s">
        <v>662</v>
      </c>
      <c r="V4" s="242" t="str">
        <f>VLOOKUP(C:C,'1-7 AUG'!C:C,1,0)</f>
        <v>#N/A</v>
      </c>
      <c r="W4" s="242"/>
      <c r="X4" s="242"/>
      <c r="Y4" s="242"/>
    </row>
    <row r="5">
      <c r="A5" s="384">
        <v>237932.0</v>
      </c>
      <c r="B5" s="185" t="s">
        <v>1097</v>
      </c>
      <c r="C5" s="385" t="s">
        <v>128</v>
      </c>
      <c r="D5" s="385">
        <v>11.0</v>
      </c>
      <c r="E5" s="385">
        <v>11.0</v>
      </c>
      <c r="F5" s="385">
        <v>10.0</v>
      </c>
      <c r="G5" s="386">
        <v>0.909</v>
      </c>
      <c r="H5" s="385" t="s">
        <v>19</v>
      </c>
      <c r="I5" s="385">
        <v>90.0</v>
      </c>
      <c r="J5" s="385">
        <v>47.09</v>
      </c>
      <c r="K5" s="385">
        <v>43.2</v>
      </c>
      <c r="L5" s="385">
        <v>145.77</v>
      </c>
      <c r="M5" s="385">
        <v>146.14</v>
      </c>
      <c r="N5" s="387"/>
      <c r="O5" s="385">
        <v>47.31</v>
      </c>
      <c r="P5" s="385">
        <v>43.4</v>
      </c>
      <c r="Q5" s="385">
        <v>146.43</v>
      </c>
      <c r="R5" s="385">
        <v>146.95</v>
      </c>
      <c r="S5" s="156" t="s">
        <v>22</v>
      </c>
      <c r="T5" s="206"/>
      <c r="U5" s="388" t="s">
        <v>662</v>
      </c>
      <c r="V5" s="242" t="str">
        <f>VLOOKUP(C:C,'1-7 AUG'!C:C,1,0)</f>
        <v>237932.IRJ127B2C0000347</v>
      </c>
      <c r="W5" s="242"/>
      <c r="X5" s="242"/>
      <c r="Y5" s="242"/>
    </row>
    <row r="6">
      <c r="A6" s="389">
        <v>245903.0</v>
      </c>
      <c r="B6" s="181" t="s">
        <v>1403</v>
      </c>
      <c r="C6" s="390" t="s">
        <v>1404</v>
      </c>
      <c r="D6" s="390">
        <v>186.0</v>
      </c>
      <c r="E6" s="390">
        <v>180.0</v>
      </c>
      <c r="F6" s="390">
        <v>9.0</v>
      </c>
      <c r="G6" s="391">
        <v>0.05</v>
      </c>
      <c r="H6" s="390" t="s">
        <v>43</v>
      </c>
      <c r="I6" s="390">
        <v>3.1</v>
      </c>
      <c r="J6" s="390">
        <v>56.43</v>
      </c>
      <c r="K6" s="390">
        <v>43.46</v>
      </c>
      <c r="L6" s="390">
        <v>166.01</v>
      </c>
      <c r="M6" s="390">
        <v>166.28</v>
      </c>
      <c r="N6" s="392"/>
      <c r="O6" s="390">
        <v>56.2</v>
      </c>
      <c r="P6" s="390">
        <v>43.26</v>
      </c>
      <c r="Q6" s="390">
        <v>165.28</v>
      </c>
      <c r="R6" s="390">
        <v>165.39</v>
      </c>
      <c r="S6" s="156" t="s">
        <v>22</v>
      </c>
      <c r="T6" s="204"/>
      <c r="U6" s="393" t="s">
        <v>662</v>
      </c>
      <c r="V6" s="242" t="str">
        <f>VLOOKUP(C:C,'1-7 AUG'!C:C,1,0)</f>
        <v>#N/A</v>
      </c>
      <c r="W6" s="242"/>
      <c r="X6" s="242"/>
      <c r="Y6" s="242"/>
    </row>
    <row r="7">
      <c r="A7" s="384">
        <v>221176.0</v>
      </c>
      <c r="B7" s="185" t="s">
        <v>1405</v>
      </c>
      <c r="C7" s="385" t="s">
        <v>327</v>
      </c>
      <c r="D7" s="385">
        <v>169.0</v>
      </c>
      <c r="E7" s="385">
        <v>166.0</v>
      </c>
      <c r="F7" s="385">
        <v>9.0</v>
      </c>
      <c r="G7" s="386">
        <v>0.054</v>
      </c>
      <c r="H7" s="385" t="s">
        <v>43</v>
      </c>
      <c r="I7" s="385">
        <v>3.8</v>
      </c>
      <c r="J7" s="385">
        <v>51.85</v>
      </c>
      <c r="K7" s="385">
        <v>41.35</v>
      </c>
      <c r="L7" s="385">
        <v>156.35</v>
      </c>
      <c r="M7" s="385">
        <v>156.2</v>
      </c>
      <c r="N7" s="387"/>
      <c r="O7" s="385">
        <v>51.65</v>
      </c>
      <c r="P7" s="385">
        <v>41.1</v>
      </c>
      <c r="Q7" s="385">
        <v>156.06</v>
      </c>
      <c r="R7" s="385">
        <v>156.24</v>
      </c>
      <c r="S7" s="156" t="s">
        <v>22</v>
      </c>
      <c r="T7" s="206"/>
      <c r="U7" s="388" t="s">
        <v>662</v>
      </c>
      <c r="V7" s="242" t="str">
        <f>VLOOKUP(C:C,'1-7 AUG'!C:C,1,0)</f>
        <v>#N/A</v>
      </c>
      <c r="W7" s="242"/>
      <c r="X7" s="242"/>
      <c r="Y7" s="242"/>
    </row>
    <row r="8">
      <c r="A8" s="384">
        <v>245905.0</v>
      </c>
      <c r="B8" s="185" t="s">
        <v>1403</v>
      </c>
      <c r="C8" s="385" t="s">
        <v>354</v>
      </c>
      <c r="D8" s="385">
        <v>96.0</v>
      </c>
      <c r="E8" s="385">
        <v>94.0</v>
      </c>
      <c r="F8" s="385">
        <v>9.0</v>
      </c>
      <c r="G8" s="386">
        <v>0.096</v>
      </c>
      <c r="H8" s="385" t="s">
        <v>43</v>
      </c>
      <c r="I8" s="385">
        <v>6.8</v>
      </c>
      <c r="J8" s="385">
        <v>58.63</v>
      </c>
      <c r="K8" s="385">
        <v>37.82</v>
      </c>
      <c r="L8" s="385">
        <v>163.85</v>
      </c>
      <c r="M8" s="385">
        <v>163.92</v>
      </c>
      <c r="N8" s="387"/>
      <c r="O8" s="385">
        <v>58.43</v>
      </c>
      <c r="P8" s="385">
        <v>37.6</v>
      </c>
      <c r="Q8" s="385">
        <v>163.11</v>
      </c>
      <c r="R8" s="385">
        <v>163.21</v>
      </c>
      <c r="S8" s="156" t="s">
        <v>22</v>
      </c>
      <c r="T8" s="206"/>
      <c r="U8" s="388" t="s">
        <v>662</v>
      </c>
      <c r="V8" s="242" t="str">
        <f>VLOOKUP(C:C,'1-7 AUG'!C:C,1,0)</f>
        <v>#N/A</v>
      </c>
      <c r="W8" s="242"/>
      <c r="X8" s="242"/>
      <c r="Y8" s="242"/>
    </row>
    <row r="9">
      <c r="A9" s="389">
        <v>234794.0</v>
      </c>
      <c r="B9" s="181" t="s">
        <v>1406</v>
      </c>
      <c r="C9" s="390" t="s">
        <v>1407</v>
      </c>
      <c r="D9" s="390">
        <v>87.0</v>
      </c>
      <c r="E9" s="390">
        <v>86.0</v>
      </c>
      <c r="F9" s="390">
        <v>9.0</v>
      </c>
      <c r="G9" s="391">
        <v>0.105</v>
      </c>
      <c r="H9" s="390" t="s">
        <v>43</v>
      </c>
      <c r="I9" s="390">
        <v>6.3</v>
      </c>
      <c r="J9" s="390">
        <v>51.88</v>
      </c>
      <c r="K9" s="390">
        <v>43.87</v>
      </c>
      <c r="L9" s="390">
        <v>155.23</v>
      </c>
      <c r="M9" s="390">
        <v>155.4</v>
      </c>
      <c r="N9" s="392"/>
      <c r="O9" s="390">
        <v>51.68</v>
      </c>
      <c r="P9" s="390">
        <v>43.65</v>
      </c>
      <c r="Q9" s="390">
        <v>154.43</v>
      </c>
      <c r="R9" s="390">
        <v>154.55</v>
      </c>
      <c r="S9" s="156" t="s">
        <v>22</v>
      </c>
      <c r="T9" s="204"/>
      <c r="U9" s="393" t="s">
        <v>662</v>
      </c>
      <c r="V9" s="242" t="str">
        <f>VLOOKUP(C:C,'1-7 AUG'!C:C,1,0)</f>
        <v>#N/A</v>
      </c>
      <c r="W9" s="242"/>
      <c r="X9" s="242"/>
      <c r="Y9" s="242"/>
    </row>
    <row r="10">
      <c r="A10" s="384">
        <v>242912.0</v>
      </c>
      <c r="B10" s="185" t="s">
        <v>1408</v>
      </c>
      <c r="C10" s="385" t="s">
        <v>1409</v>
      </c>
      <c r="D10" s="385">
        <v>79.0</v>
      </c>
      <c r="E10" s="385">
        <v>76.0</v>
      </c>
      <c r="F10" s="385">
        <v>9.0</v>
      </c>
      <c r="G10" s="386">
        <v>0.118</v>
      </c>
      <c r="H10" s="385" t="s">
        <v>43</v>
      </c>
      <c r="I10" s="385">
        <v>7.1</v>
      </c>
      <c r="J10" s="385">
        <v>56.37</v>
      </c>
      <c r="K10" s="385">
        <v>41.22</v>
      </c>
      <c r="L10" s="385">
        <v>165.83</v>
      </c>
      <c r="M10" s="385">
        <v>165.83</v>
      </c>
      <c r="N10" s="387"/>
      <c r="O10" s="385">
        <v>56.17</v>
      </c>
      <c r="P10" s="385">
        <v>41.06</v>
      </c>
      <c r="Q10" s="385">
        <v>165.18</v>
      </c>
      <c r="R10" s="385">
        <v>164.89</v>
      </c>
      <c r="S10" s="156" t="s">
        <v>22</v>
      </c>
      <c r="T10" s="206"/>
      <c r="U10" s="388" t="s">
        <v>662</v>
      </c>
      <c r="V10" s="242" t="str">
        <f>VLOOKUP(C:C,'1-7 AUG'!C:C,1,0)</f>
        <v>#N/A</v>
      </c>
      <c r="W10" s="242"/>
      <c r="X10" s="242"/>
      <c r="Y10" s="242"/>
    </row>
    <row r="11">
      <c r="A11" s="389">
        <v>219545.0</v>
      </c>
      <c r="B11" s="181" t="s">
        <v>1410</v>
      </c>
      <c r="C11" s="390" t="s">
        <v>211</v>
      </c>
      <c r="D11" s="390">
        <v>60.0</v>
      </c>
      <c r="E11" s="390">
        <v>59.0</v>
      </c>
      <c r="F11" s="390">
        <v>9.0</v>
      </c>
      <c r="G11" s="391">
        <v>0.153</v>
      </c>
      <c r="H11" s="390" t="s">
        <v>43</v>
      </c>
      <c r="I11" s="390">
        <v>13.2</v>
      </c>
      <c r="J11" s="390">
        <v>51.33</v>
      </c>
      <c r="K11" s="390">
        <v>31.13</v>
      </c>
      <c r="L11" s="390">
        <v>140.98</v>
      </c>
      <c r="M11" s="390">
        <v>141.55</v>
      </c>
      <c r="N11" s="392"/>
      <c r="O11" s="390">
        <v>51.09</v>
      </c>
      <c r="P11" s="390">
        <v>30.95</v>
      </c>
      <c r="Q11" s="390">
        <v>140.3</v>
      </c>
      <c r="R11" s="390">
        <v>140.88</v>
      </c>
      <c r="S11" s="156" t="s">
        <v>22</v>
      </c>
      <c r="T11" s="204"/>
      <c r="U11" s="393" t="s">
        <v>662</v>
      </c>
      <c r="V11" s="242" t="str">
        <f>VLOOKUP(C:C,'1-7 AUG'!C:C,1,0)</f>
        <v>#N/A</v>
      </c>
      <c r="W11" s="242"/>
      <c r="X11" s="242"/>
      <c r="Y11" s="242"/>
    </row>
    <row r="12">
      <c r="A12" s="394">
        <v>241113.0</v>
      </c>
      <c r="B12" s="181" t="s">
        <v>1411</v>
      </c>
      <c r="C12" s="390" t="s">
        <v>1412</v>
      </c>
      <c r="D12" s="390">
        <v>142.0</v>
      </c>
      <c r="E12" s="390">
        <v>137.0</v>
      </c>
      <c r="F12" s="390">
        <v>8.0</v>
      </c>
      <c r="G12" s="391">
        <v>0.058</v>
      </c>
      <c r="H12" s="390" t="s">
        <v>43</v>
      </c>
      <c r="I12" s="390">
        <v>3.4</v>
      </c>
      <c r="J12" s="390">
        <v>54.22</v>
      </c>
      <c r="K12" s="390">
        <v>37.5</v>
      </c>
      <c r="L12" s="390">
        <v>151.53</v>
      </c>
      <c r="M12" s="390">
        <v>151.35</v>
      </c>
      <c r="N12" s="392"/>
      <c r="O12" s="390">
        <v>54.2</v>
      </c>
      <c r="P12" s="390">
        <v>37.3</v>
      </c>
      <c r="Q12" s="390">
        <v>151.19</v>
      </c>
      <c r="R12" s="390">
        <v>150.64</v>
      </c>
      <c r="S12" s="156" t="s">
        <v>22</v>
      </c>
      <c r="T12" s="204"/>
      <c r="U12" s="393" t="s">
        <v>662</v>
      </c>
      <c r="V12" s="242" t="str">
        <f>VLOOKUP(C:C,'1-7 AUG'!C:C,1,0)</f>
        <v>#N/A</v>
      </c>
      <c r="W12" s="242"/>
      <c r="X12" s="242"/>
      <c r="Y12" s="242"/>
    </row>
    <row r="13">
      <c r="A13" s="394">
        <v>241119.0</v>
      </c>
      <c r="B13" s="181" t="s">
        <v>1413</v>
      </c>
      <c r="C13" s="390" t="s">
        <v>1414</v>
      </c>
      <c r="D13" s="390">
        <v>114.0</v>
      </c>
      <c r="E13" s="390">
        <v>113.0</v>
      </c>
      <c r="F13" s="390">
        <v>8.0</v>
      </c>
      <c r="G13" s="391">
        <v>0.071</v>
      </c>
      <c r="H13" s="390" t="s">
        <v>43</v>
      </c>
      <c r="I13" s="390">
        <v>6.7</v>
      </c>
      <c r="J13" s="390">
        <v>55.77</v>
      </c>
      <c r="K13" s="390">
        <v>39.01</v>
      </c>
      <c r="L13" s="390">
        <v>162.61</v>
      </c>
      <c r="M13" s="390">
        <v>162.66</v>
      </c>
      <c r="N13" s="392"/>
      <c r="O13" s="390">
        <v>55.51</v>
      </c>
      <c r="P13" s="390">
        <v>38.9</v>
      </c>
      <c r="Q13" s="390">
        <v>161.96</v>
      </c>
      <c r="R13" s="390">
        <v>162.13</v>
      </c>
      <c r="S13" s="156" t="s">
        <v>22</v>
      </c>
      <c r="T13" s="204"/>
      <c r="U13" s="393" t="s">
        <v>662</v>
      </c>
      <c r="V13" s="242" t="str">
        <f>VLOOKUP(C:C,'1-7 AUG'!C:C,1,0)</f>
        <v>#N/A</v>
      </c>
      <c r="W13" s="242"/>
      <c r="X13" s="242"/>
      <c r="Y13" s="242"/>
    </row>
    <row r="14">
      <c r="A14" s="389">
        <v>219197.0</v>
      </c>
      <c r="B14" s="181" t="s">
        <v>1415</v>
      </c>
      <c r="C14" s="390" t="s">
        <v>1416</v>
      </c>
      <c r="D14" s="390">
        <v>120.0</v>
      </c>
      <c r="E14" s="390">
        <v>111.0</v>
      </c>
      <c r="F14" s="390">
        <v>7.0</v>
      </c>
      <c r="G14" s="391">
        <v>0.063</v>
      </c>
      <c r="H14" s="390" t="s">
        <v>43</v>
      </c>
      <c r="I14" s="390">
        <v>1.4</v>
      </c>
      <c r="J14" s="390">
        <v>52.55</v>
      </c>
      <c r="K14" s="390">
        <v>32.21</v>
      </c>
      <c r="L14" s="390">
        <v>143.76</v>
      </c>
      <c r="M14" s="390">
        <v>143.76</v>
      </c>
      <c r="N14" s="392"/>
      <c r="O14" s="390">
        <v>52.45</v>
      </c>
      <c r="P14" s="390">
        <v>32.1</v>
      </c>
      <c r="Q14" s="390">
        <v>143.35</v>
      </c>
      <c r="R14" s="390">
        <v>143.36</v>
      </c>
      <c r="S14" s="156" t="s">
        <v>22</v>
      </c>
      <c r="T14" s="204"/>
      <c r="U14" s="393" t="s">
        <v>694</v>
      </c>
      <c r="V14" s="242" t="str">
        <f>VLOOKUP(C:C,'1-7 AUG'!C:C,1,0)</f>
        <v>#N/A</v>
      </c>
      <c r="W14" s="242"/>
      <c r="X14" s="242"/>
      <c r="Y14" s="242"/>
    </row>
    <row r="15">
      <c r="A15" s="389">
        <v>239173.0</v>
      </c>
      <c r="B15" s="181" t="s">
        <v>1417</v>
      </c>
      <c r="C15" s="390" t="s">
        <v>1418</v>
      </c>
      <c r="D15" s="390">
        <v>77.0</v>
      </c>
      <c r="E15" s="390">
        <v>73.0</v>
      </c>
      <c r="F15" s="390">
        <v>7.0</v>
      </c>
      <c r="G15" s="391">
        <v>0.096</v>
      </c>
      <c r="H15" s="390" t="s">
        <v>43</v>
      </c>
      <c r="I15" s="390">
        <v>8.0</v>
      </c>
      <c r="J15" s="390">
        <v>52.66</v>
      </c>
      <c r="K15" s="390">
        <v>38.07</v>
      </c>
      <c r="L15" s="390">
        <v>151.95</v>
      </c>
      <c r="M15" s="390">
        <v>151.95</v>
      </c>
      <c r="N15" s="392"/>
      <c r="O15" s="390">
        <v>52.62</v>
      </c>
      <c r="P15" s="390">
        <v>38.04</v>
      </c>
      <c r="Q15" s="390">
        <v>151.95</v>
      </c>
      <c r="R15" s="390">
        <v>151.95</v>
      </c>
      <c r="S15" s="156" t="s">
        <v>22</v>
      </c>
      <c r="T15" s="204"/>
      <c r="U15" s="393" t="s">
        <v>662</v>
      </c>
      <c r="V15" s="242" t="str">
        <f>VLOOKUP(C:C,'1-7 AUG'!C:C,1,0)</f>
        <v>#N/A</v>
      </c>
      <c r="W15" s="242"/>
      <c r="X15" s="242"/>
      <c r="Y15" s="242"/>
    </row>
    <row r="16">
      <c r="A16" s="389">
        <v>241120.0</v>
      </c>
      <c r="B16" s="181" t="s">
        <v>1419</v>
      </c>
      <c r="C16" s="390" t="s">
        <v>1420</v>
      </c>
      <c r="D16" s="390">
        <v>68.0</v>
      </c>
      <c r="E16" s="390">
        <v>64.0</v>
      </c>
      <c r="F16" s="390">
        <v>7.0</v>
      </c>
      <c r="G16" s="391">
        <v>0.109</v>
      </c>
      <c r="H16" s="390" t="s">
        <v>43</v>
      </c>
      <c r="I16" s="390">
        <v>9.0</v>
      </c>
      <c r="J16" s="390">
        <v>56.0</v>
      </c>
      <c r="K16" s="390">
        <v>39.42</v>
      </c>
      <c r="L16" s="390">
        <v>163.99</v>
      </c>
      <c r="M16" s="390">
        <v>164.11</v>
      </c>
      <c r="N16" s="392"/>
      <c r="O16" s="390">
        <v>55.89</v>
      </c>
      <c r="P16" s="390">
        <v>39.2</v>
      </c>
      <c r="Q16" s="390">
        <v>163.43</v>
      </c>
      <c r="R16" s="390">
        <v>163.36</v>
      </c>
      <c r="S16" s="156" t="s">
        <v>22</v>
      </c>
      <c r="T16" s="204"/>
      <c r="U16" s="393" t="s">
        <v>662</v>
      </c>
      <c r="V16" s="242" t="str">
        <f>VLOOKUP(C:C,'1-7 AUG'!C:C,1,0)</f>
        <v>#N/A</v>
      </c>
      <c r="W16" s="242"/>
      <c r="X16" s="242"/>
      <c r="Y16" s="242"/>
    </row>
    <row r="17">
      <c r="A17" s="389">
        <v>223230.0</v>
      </c>
      <c r="B17" s="181" t="s">
        <v>1250</v>
      </c>
      <c r="C17" s="390" t="s">
        <v>770</v>
      </c>
      <c r="D17" s="390">
        <v>39.0</v>
      </c>
      <c r="E17" s="390">
        <v>41.0</v>
      </c>
      <c r="F17" s="390">
        <v>7.0</v>
      </c>
      <c r="G17" s="391">
        <v>0.171</v>
      </c>
      <c r="H17" s="390" t="s">
        <v>19</v>
      </c>
      <c r="I17" s="390">
        <v>11.6</v>
      </c>
      <c r="J17" s="390">
        <v>47.95</v>
      </c>
      <c r="K17" s="390">
        <v>41.81</v>
      </c>
      <c r="L17" s="390">
        <v>144.67</v>
      </c>
      <c r="M17" s="390">
        <v>144.32</v>
      </c>
      <c r="N17" s="392"/>
      <c r="O17" s="390">
        <v>48.2</v>
      </c>
      <c r="P17" s="390">
        <v>42.05</v>
      </c>
      <c r="Q17" s="390">
        <v>145.46</v>
      </c>
      <c r="R17" s="390">
        <v>145.13</v>
      </c>
      <c r="S17" s="156" t="s">
        <v>22</v>
      </c>
      <c r="T17" s="204"/>
      <c r="U17" s="393" t="s">
        <v>662</v>
      </c>
      <c r="V17" s="242" t="str">
        <f>VLOOKUP(C:C,'1-7 AUG'!C:C,1,0)</f>
        <v>#N/A</v>
      </c>
      <c r="W17" s="242"/>
      <c r="X17" s="242"/>
      <c r="Y17" s="242"/>
    </row>
    <row r="18">
      <c r="A18" s="384">
        <v>241114.0</v>
      </c>
      <c r="B18" s="185" t="s">
        <v>1421</v>
      </c>
      <c r="C18" s="385" t="s">
        <v>1422</v>
      </c>
      <c r="D18" s="385">
        <v>43.0</v>
      </c>
      <c r="E18" s="385">
        <v>39.0</v>
      </c>
      <c r="F18" s="385">
        <v>7.0</v>
      </c>
      <c r="G18" s="386">
        <v>0.179</v>
      </c>
      <c r="H18" s="385" t="s">
        <v>43</v>
      </c>
      <c r="I18" s="385">
        <v>12.7</v>
      </c>
      <c r="J18" s="385">
        <v>55.34</v>
      </c>
      <c r="K18" s="385">
        <v>34.63</v>
      </c>
      <c r="L18" s="385">
        <v>149.47</v>
      </c>
      <c r="M18" s="385">
        <v>150.04</v>
      </c>
      <c r="N18" s="387"/>
      <c r="O18" s="385">
        <v>55.1</v>
      </c>
      <c r="P18" s="385">
        <v>34.44</v>
      </c>
      <c r="Q18" s="385">
        <v>148.53</v>
      </c>
      <c r="R18" s="385">
        <v>148.94</v>
      </c>
      <c r="S18" s="156" t="s">
        <v>22</v>
      </c>
      <c r="T18" s="206"/>
      <c r="U18" s="388" t="s">
        <v>662</v>
      </c>
      <c r="V18" s="242" t="str">
        <f>VLOOKUP(C:C,'1-7 AUG'!C:C,1,0)</f>
        <v>#N/A</v>
      </c>
      <c r="W18" s="242"/>
      <c r="X18" s="242"/>
      <c r="Y18" s="242"/>
    </row>
    <row r="19">
      <c r="A19" s="389">
        <v>242206.0</v>
      </c>
      <c r="B19" s="181" t="s">
        <v>1423</v>
      </c>
      <c r="C19" s="390" t="s">
        <v>132</v>
      </c>
      <c r="D19" s="390">
        <v>37.0</v>
      </c>
      <c r="E19" s="390">
        <v>35.0</v>
      </c>
      <c r="F19" s="390">
        <v>7.0</v>
      </c>
      <c r="G19" s="391">
        <v>0.2</v>
      </c>
      <c r="H19" s="390" t="s">
        <v>43</v>
      </c>
      <c r="I19" s="390">
        <v>11.3</v>
      </c>
      <c r="J19" s="390">
        <v>56.73</v>
      </c>
      <c r="K19" s="390">
        <v>36.31</v>
      </c>
      <c r="L19" s="390">
        <v>158.32</v>
      </c>
      <c r="M19" s="390">
        <v>157.81</v>
      </c>
      <c r="N19" s="392"/>
      <c r="O19" s="390">
        <v>56.5</v>
      </c>
      <c r="P19" s="390">
        <v>36.11</v>
      </c>
      <c r="Q19" s="390">
        <v>157.52</v>
      </c>
      <c r="R19" s="390">
        <v>156.69</v>
      </c>
      <c r="S19" s="156" t="s">
        <v>22</v>
      </c>
      <c r="T19" s="204"/>
      <c r="U19" s="393" t="s">
        <v>662</v>
      </c>
      <c r="V19" s="242" t="str">
        <f>VLOOKUP(C:C,'1-7 AUG'!C:C,1,0)</f>
        <v>#N/A</v>
      </c>
      <c r="W19" s="242"/>
      <c r="X19" s="242"/>
      <c r="Y19" s="242"/>
    </row>
    <row r="20">
      <c r="A20" s="394">
        <v>241117.0</v>
      </c>
      <c r="B20" s="185" t="s">
        <v>1424</v>
      </c>
      <c r="C20" s="385" t="s">
        <v>1425</v>
      </c>
      <c r="D20" s="385">
        <v>28.0</v>
      </c>
      <c r="E20" s="385">
        <v>27.0</v>
      </c>
      <c r="F20" s="385">
        <v>7.0</v>
      </c>
      <c r="G20" s="386">
        <v>0.259</v>
      </c>
      <c r="H20" s="385" t="s">
        <v>43</v>
      </c>
      <c r="I20" s="385">
        <v>15.4</v>
      </c>
      <c r="J20" s="385">
        <v>54.78</v>
      </c>
      <c r="K20" s="385">
        <v>36.63</v>
      </c>
      <c r="L20" s="385">
        <v>154.87</v>
      </c>
      <c r="M20" s="385">
        <v>155.01</v>
      </c>
      <c r="N20" s="387"/>
      <c r="O20" s="385">
        <v>54.6</v>
      </c>
      <c r="P20" s="385">
        <v>36.4</v>
      </c>
      <c r="Q20" s="385">
        <v>154.22</v>
      </c>
      <c r="R20" s="385">
        <v>154.23</v>
      </c>
      <c r="S20" s="156" t="s">
        <v>22</v>
      </c>
      <c r="T20" s="206"/>
      <c r="U20" s="388" t="s">
        <v>662</v>
      </c>
      <c r="V20" s="242" t="str">
        <f>VLOOKUP(C:C,'1-7 AUG'!C:C,1,0)</f>
        <v>#N/A</v>
      </c>
      <c r="W20" s="242"/>
      <c r="X20" s="242"/>
      <c r="Y20" s="242"/>
    </row>
    <row r="21">
      <c r="A21" s="389">
        <v>235136.0</v>
      </c>
      <c r="B21" s="181" t="s">
        <v>1426</v>
      </c>
      <c r="C21" s="390" t="s">
        <v>1427</v>
      </c>
      <c r="D21" s="390">
        <v>109.0</v>
      </c>
      <c r="E21" s="390">
        <v>103.0</v>
      </c>
      <c r="F21" s="390">
        <v>6.0</v>
      </c>
      <c r="G21" s="391">
        <v>0.058</v>
      </c>
      <c r="H21" s="390" t="s">
        <v>43</v>
      </c>
      <c r="I21" s="390">
        <v>3.8</v>
      </c>
      <c r="J21" s="390">
        <v>54.32</v>
      </c>
      <c r="K21" s="390">
        <v>46.15</v>
      </c>
      <c r="L21" s="390">
        <v>166.74</v>
      </c>
      <c r="M21" s="390">
        <v>166.43</v>
      </c>
      <c r="N21" s="392"/>
      <c r="O21" s="390">
        <v>54.18</v>
      </c>
      <c r="P21" s="390">
        <v>46.04</v>
      </c>
      <c r="Q21" s="390">
        <v>166.37</v>
      </c>
      <c r="R21" s="390">
        <v>166.26</v>
      </c>
      <c r="S21" s="156" t="s">
        <v>102</v>
      </c>
      <c r="T21" s="204"/>
      <c r="U21" s="393" t="s">
        <v>662</v>
      </c>
      <c r="V21" s="242" t="str">
        <f>VLOOKUP(C:C,'1-7 AUG'!C:C,1,0)</f>
        <v>#N/A</v>
      </c>
      <c r="W21" s="242"/>
      <c r="X21" s="242"/>
      <c r="Y21" s="242"/>
    </row>
    <row r="22">
      <c r="A22" s="389">
        <v>210178.0</v>
      </c>
      <c r="B22" s="181" t="s">
        <v>1428</v>
      </c>
      <c r="C22" s="390" t="s">
        <v>1429</v>
      </c>
      <c r="D22" s="390">
        <v>95.0</v>
      </c>
      <c r="E22" s="390">
        <v>94.0</v>
      </c>
      <c r="F22" s="390">
        <v>6.0</v>
      </c>
      <c r="G22" s="391">
        <v>0.064</v>
      </c>
      <c r="H22" s="390" t="s">
        <v>43</v>
      </c>
      <c r="I22" s="390">
        <v>6.3</v>
      </c>
      <c r="J22" s="390">
        <v>56.92</v>
      </c>
      <c r="K22" s="390">
        <v>37.36</v>
      </c>
      <c r="L22" s="390">
        <v>159.97</v>
      </c>
      <c r="M22" s="390">
        <v>159.98</v>
      </c>
      <c r="N22" s="392"/>
      <c r="O22" s="390">
        <v>56.7</v>
      </c>
      <c r="P22" s="390">
        <v>37.16</v>
      </c>
      <c r="Q22" s="390">
        <v>159.25</v>
      </c>
      <c r="R22" s="390">
        <v>159.14</v>
      </c>
      <c r="S22" s="156" t="s">
        <v>22</v>
      </c>
      <c r="T22" s="204"/>
      <c r="U22" s="393" t="s">
        <v>662</v>
      </c>
      <c r="V22" s="242" t="str">
        <f>VLOOKUP(C:C,'1-7 AUG'!C:C,1,0)</f>
        <v>#N/A</v>
      </c>
      <c r="W22" s="242"/>
      <c r="X22" s="242"/>
      <c r="Y22" s="242"/>
    </row>
    <row r="23">
      <c r="A23" s="384">
        <v>211293.0</v>
      </c>
      <c r="B23" s="185" t="s">
        <v>1430</v>
      </c>
      <c r="C23" s="385" t="s">
        <v>1431</v>
      </c>
      <c r="D23" s="385">
        <v>93.0</v>
      </c>
      <c r="E23" s="385">
        <v>90.0</v>
      </c>
      <c r="F23" s="385">
        <v>6.0</v>
      </c>
      <c r="G23" s="386">
        <v>0.067</v>
      </c>
      <c r="H23" s="385" t="s">
        <v>43</v>
      </c>
      <c r="I23" s="385">
        <v>6.6</v>
      </c>
      <c r="J23" s="385">
        <v>56.4</v>
      </c>
      <c r="K23" s="385">
        <v>43.02</v>
      </c>
      <c r="L23" s="385">
        <v>165.43</v>
      </c>
      <c r="M23" s="385">
        <v>165.53</v>
      </c>
      <c r="N23" s="387"/>
      <c r="O23" s="385">
        <v>56.21</v>
      </c>
      <c r="P23" s="385">
        <v>42.9</v>
      </c>
      <c r="Q23" s="385">
        <v>164.62</v>
      </c>
      <c r="R23" s="385">
        <v>164.65</v>
      </c>
      <c r="S23" s="156" t="s">
        <v>22</v>
      </c>
      <c r="T23" s="206"/>
      <c r="U23" s="388" t="s">
        <v>662</v>
      </c>
      <c r="V23" s="242" t="str">
        <f>VLOOKUP(C:C,'1-7 AUG'!C:C,1,0)</f>
        <v>#N/A</v>
      </c>
      <c r="W23" s="242"/>
      <c r="X23" s="242"/>
      <c r="Y23" s="242"/>
    </row>
    <row r="24">
      <c r="A24" s="389">
        <v>219834.0</v>
      </c>
      <c r="B24" s="181" t="s">
        <v>1432</v>
      </c>
      <c r="C24" s="390" t="s">
        <v>1433</v>
      </c>
      <c r="D24" s="390">
        <v>88.0</v>
      </c>
      <c r="E24" s="390">
        <v>85.0</v>
      </c>
      <c r="F24" s="390">
        <v>6.0</v>
      </c>
      <c r="G24" s="391">
        <v>0.071</v>
      </c>
      <c r="H24" s="390" t="s">
        <v>43</v>
      </c>
      <c r="I24" s="390">
        <v>2.2</v>
      </c>
      <c r="J24" s="390">
        <v>53.73</v>
      </c>
      <c r="K24" s="390">
        <v>39.9</v>
      </c>
      <c r="L24" s="390">
        <v>159.51</v>
      </c>
      <c r="M24" s="390">
        <v>159.7</v>
      </c>
      <c r="N24" s="392"/>
      <c r="O24" s="390">
        <v>53.51</v>
      </c>
      <c r="P24" s="390">
        <v>39.7</v>
      </c>
      <c r="Q24" s="390">
        <v>158.6</v>
      </c>
      <c r="R24" s="390">
        <v>158.75</v>
      </c>
      <c r="S24" s="156" t="s">
        <v>22</v>
      </c>
      <c r="T24" s="204"/>
      <c r="U24" s="393" t="s">
        <v>662</v>
      </c>
      <c r="V24" s="242" t="str">
        <f>VLOOKUP(C:C,'1-7 AUG'!C:C,1,0)</f>
        <v>#N/A</v>
      </c>
      <c r="W24" s="242"/>
      <c r="X24" s="242"/>
      <c r="Y24" s="242"/>
    </row>
    <row r="25">
      <c r="A25" s="384">
        <v>241958.0</v>
      </c>
      <c r="B25" s="185" t="s">
        <v>1434</v>
      </c>
      <c r="C25" s="385" t="s">
        <v>538</v>
      </c>
      <c r="D25" s="385">
        <v>86.0</v>
      </c>
      <c r="E25" s="385">
        <v>85.0</v>
      </c>
      <c r="F25" s="385">
        <v>6.0</v>
      </c>
      <c r="G25" s="386">
        <v>0.071</v>
      </c>
      <c r="H25" s="385" t="s">
        <v>43</v>
      </c>
      <c r="I25" s="385">
        <v>4.8</v>
      </c>
      <c r="J25" s="385">
        <v>54.13</v>
      </c>
      <c r="K25" s="385">
        <v>36.68</v>
      </c>
      <c r="L25" s="385">
        <v>156.03</v>
      </c>
      <c r="M25" s="385">
        <v>156.25</v>
      </c>
      <c r="N25" s="387"/>
      <c r="O25" s="385">
        <v>53.9</v>
      </c>
      <c r="P25" s="385">
        <v>36.48</v>
      </c>
      <c r="Q25" s="385">
        <v>155.33</v>
      </c>
      <c r="R25" s="385">
        <v>155.47</v>
      </c>
      <c r="S25" s="156" t="s">
        <v>22</v>
      </c>
      <c r="T25" s="206"/>
      <c r="U25" s="388" t="s">
        <v>662</v>
      </c>
      <c r="V25" s="242" t="str">
        <f>VLOOKUP(C:C,'1-7 AUG'!C:C,1,0)</f>
        <v>#N/A</v>
      </c>
      <c r="W25" s="242"/>
      <c r="X25" s="242"/>
      <c r="Y25" s="242"/>
    </row>
    <row r="26">
      <c r="A26" s="389">
        <v>215403.0</v>
      </c>
      <c r="B26" s="181" t="s">
        <v>1435</v>
      </c>
      <c r="C26" s="390" t="s">
        <v>84</v>
      </c>
      <c r="D26" s="390">
        <v>86.0</v>
      </c>
      <c r="E26" s="390">
        <v>84.0</v>
      </c>
      <c r="F26" s="390">
        <v>6.0</v>
      </c>
      <c r="G26" s="391">
        <v>0.071</v>
      </c>
      <c r="H26" s="390" t="s">
        <v>19</v>
      </c>
      <c r="I26" s="390">
        <v>4.4</v>
      </c>
      <c r="J26" s="10">
        <v>53.26</v>
      </c>
      <c r="K26" s="10">
        <v>38.11</v>
      </c>
      <c r="L26" s="10">
        <v>150.52</v>
      </c>
      <c r="M26" s="10">
        <v>150.49</v>
      </c>
      <c r="N26" s="392"/>
      <c r="O26" s="10">
        <v>53.4</v>
      </c>
      <c r="P26" s="10">
        <v>38.2</v>
      </c>
      <c r="Q26" s="10">
        <v>150.69</v>
      </c>
      <c r="R26" s="10">
        <v>150.64</v>
      </c>
      <c r="S26" s="156" t="s">
        <v>102</v>
      </c>
      <c r="T26" s="204"/>
      <c r="U26" s="393" t="s">
        <v>662</v>
      </c>
      <c r="V26" s="242" t="str">
        <f>VLOOKUP(C:C,'1-7 AUG'!C:C,1,0)</f>
        <v>#N/A</v>
      </c>
      <c r="W26" s="242"/>
      <c r="X26" s="242"/>
      <c r="Y26" s="242"/>
    </row>
    <row r="27">
      <c r="A27" s="389">
        <v>236092.0</v>
      </c>
      <c r="B27" s="181" t="s">
        <v>1436</v>
      </c>
      <c r="C27" s="181" t="s">
        <v>1437</v>
      </c>
      <c r="D27" s="390">
        <v>77.0</v>
      </c>
      <c r="E27" s="390">
        <v>74.0</v>
      </c>
      <c r="F27" s="390">
        <v>6.0</v>
      </c>
      <c r="G27" s="391">
        <v>0.081</v>
      </c>
      <c r="H27" s="390" t="s">
        <v>43</v>
      </c>
      <c r="I27" s="390">
        <v>10.8</v>
      </c>
      <c r="J27" s="390">
        <v>50.34</v>
      </c>
      <c r="K27" s="390">
        <v>43.02</v>
      </c>
      <c r="L27" s="390">
        <v>151.92</v>
      </c>
      <c r="M27" s="390">
        <v>151.92</v>
      </c>
      <c r="N27" s="392"/>
      <c r="O27" s="390">
        <v>50.14</v>
      </c>
      <c r="P27" s="390">
        <v>42.9</v>
      </c>
      <c r="Q27" s="390">
        <v>151.41</v>
      </c>
      <c r="R27" s="390">
        <v>151.18</v>
      </c>
      <c r="S27" s="156" t="s">
        <v>22</v>
      </c>
      <c r="T27" s="204"/>
      <c r="U27" s="393" t="s">
        <v>662</v>
      </c>
      <c r="V27" s="242" t="str">
        <f>VLOOKUP(C:C,'1-7 AUG'!C:C,1,0)</f>
        <v>#N/A</v>
      </c>
      <c r="W27" s="242"/>
      <c r="X27" s="242"/>
      <c r="Y27" s="242"/>
    </row>
    <row r="28">
      <c r="A28" s="384">
        <v>229215.0</v>
      </c>
      <c r="B28" s="185" t="s">
        <v>1438</v>
      </c>
      <c r="C28" s="185" t="s">
        <v>1439</v>
      </c>
      <c r="D28" s="385">
        <v>63.0</v>
      </c>
      <c r="E28" s="385">
        <v>66.0</v>
      </c>
      <c r="F28" s="385">
        <v>6.0</v>
      </c>
      <c r="G28" s="386">
        <v>0.091</v>
      </c>
      <c r="H28" s="385" t="s">
        <v>405</v>
      </c>
      <c r="I28" s="385">
        <v>8.9</v>
      </c>
      <c r="J28" s="387"/>
      <c r="K28" s="387"/>
      <c r="L28" s="387"/>
      <c r="M28" s="387"/>
      <c r="N28" s="387"/>
      <c r="O28" s="387"/>
      <c r="P28" s="387"/>
      <c r="Q28" s="387"/>
      <c r="R28" s="387"/>
      <c r="S28" s="200"/>
      <c r="T28" s="206"/>
      <c r="U28" s="388" t="s">
        <v>691</v>
      </c>
      <c r="V28" s="242" t="str">
        <f>VLOOKUP(C:C,'1-7 AUG'!C:C,1,0)</f>
        <v>#N/A</v>
      </c>
      <c r="W28" s="242"/>
      <c r="X28" s="242"/>
      <c r="Y28" s="242"/>
    </row>
    <row r="29">
      <c r="A29" s="389">
        <v>218967.0</v>
      </c>
      <c r="B29" s="181" t="s">
        <v>1440</v>
      </c>
      <c r="C29" s="181" t="s">
        <v>1441</v>
      </c>
      <c r="D29" s="390">
        <v>48.0</v>
      </c>
      <c r="E29" s="390">
        <v>46.0</v>
      </c>
      <c r="F29" s="390">
        <v>6.0</v>
      </c>
      <c r="G29" s="391">
        <v>0.13</v>
      </c>
      <c r="H29" s="390" t="s">
        <v>43</v>
      </c>
      <c r="I29" s="390">
        <v>4.3</v>
      </c>
      <c r="J29" s="390">
        <v>50.52</v>
      </c>
      <c r="K29" s="390">
        <v>38.15</v>
      </c>
      <c r="L29" s="390">
        <v>141.47</v>
      </c>
      <c r="M29" s="390">
        <v>141.42</v>
      </c>
      <c r="N29" s="392"/>
      <c r="O29" s="390">
        <v>50.3</v>
      </c>
      <c r="P29" s="390">
        <v>37.95</v>
      </c>
      <c r="Q29" s="390">
        <v>140.84</v>
      </c>
      <c r="R29" s="390">
        <v>140.8</v>
      </c>
      <c r="S29" s="156" t="s">
        <v>22</v>
      </c>
      <c r="T29" s="204"/>
      <c r="U29" s="393" t="s">
        <v>662</v>
      </c>
      <c r="V29" s="242" t="str">
        <f>VLOOKUP(C:C,'1-7 AUG'!C:C,1,0)</f>
        <v>#N/A</v>
      </c>
      <c r="W29" s="242"/>
      <c r="X29" s="242"/>
      <c r="Y29" s="242"/>
    </row>
    <row r="30">
      <c r="A30" s="394">
        <v>241113.0</v>
      </c>
      <c r="B30" s="181" t="s">
        <v>1442</v>
      </c>
      <c r="C30" s="181" t="s">
        <v>1443</v>
      </c>
      <c r="D30" s="390">
        <v>38.0</v>
      </c>
      <c r="E30" s="390">
        <v>37.0</v>
      </c>
      <c r="F30" s="390">
        <v>6.0</v>
      </c>
      <c r="G30" s="391">
        <v>0.162</v>
      </c>
      <c r="H30" s="390" t="s">
        <v>43</v>
      </c>
      <c r="I30" s="390">
        <v>13.2</v>
      </c>
      <c r="J30" s="390">
        <v>54.51</v>
      </c>
      <c r="K30" s="390">
        <v>37.86</v>
      </c>
      <c r="L30" s="390">
        <v>152.87</v>
      </c>
      <c r="M30" s="390">
        <v>152.78</v>
      </c>
      <c r="N30" s="392"/>
      <c r="O30" s="390">
        <v>54.3</v>
      </c>
      <c r="P30" s="390">
        <v>37.59</v>
      </c>
      <c r="Q30" s="390">
        <v>152.15</v>
      </c>
      <c r="R30" s="390">
        <v>152.75</v>
      </c>
      <c r="S30" s="156" t="s">
        <v>22</v>
      </c>
      <c r="T30" s="204"/>
      <c r="U30" s="393" t="s">
        <v>662</v>
      </c>
      <c r="V30" s="242" t="str">
        <f>VLOOKUP(C:C,'1-7 AUG'!C:C,1,0)</f>
        <v>#N/A</v>
      </c>
      <c r="W30" s="242"/>
      <c r="X30" s="242"/>
      <c r="Y30" s="242"/>
    </row>
    <row r="31">
      <c r="A31" s="394">
        <v>241119.0</v>
      </c>
      <c r="B31" s="185" t="s">
        <v>1444</v>
      </c>
      <c r="C31" s="185" t="s">
        <v>866</v>
      </c>
      <c r="D31" s="385">
        <v>37.0</v>
      </c>
      <c r="E31" s="385">
        <v>36.0</v>
      </c>
      <c r="F31" s="385">
        <v>6.0</v>
      </c>
      <c r="G31" s="386">
        <v>0.167</v>
      </c>
      <c r="H31" s="385" t="s">
        <v>43</v>
      </c>
      <c r="I31" s="385">
        <v>10.5</v>
      </c>
      <c r="J31" s="385">
        <v>56.5</v>
      </c>
      <c r="K31" s="385">
        <v>38.55</v>
      </c>
      <c r="L31" s="385">
        <v>164.35</v>
      </c>
      <c r="M31" s="385">
        <v>164.51</v>
      </c>
      <c r="N31" s="387"/>
      <c r="O31" s="385">
        <v>56.3</v>
      </c>
      <c r="P31" s="385">
        <v>38.41</v>
      </c>
      <c r="Q31" s="385">
        <v>162.74</v>
      </c>
      <c r="R31" s="385">
        <v>162.9</v>
      </c>
      <c r="S31" s="156" t="s">
        <v>22</v>
      </c>
      <c r="T31" s="206"/>
      <c r="U31" s="388" t="s">
        <v>662</v>
      </c>
      <c r="V31" s="242" t="str">
        <f>VLOOKUP(C:C,'1-7 AUG'!C:C,1,0)</f>
        <v>#N/A</v>
      </c>
      <c r="W31" s="242"/>
      <c r="X31" s="242"/>
      <c r="Y31" s="242"/>
    </row>
    <row r="32">
      <c r="A32" s="389">
        <v>234780.0</v>
      </c>
      <c r="B32" s="181" t="s">
        <v>1445</v>
      </c>
      <c r="C32" s="181" t="s">
        <v>1446</v>
      </c>
      <c r="D32" s="390">
        <v>97.0</v>
      </c>
      <c r="E32" s="390">
        <v>88.0</v>
      </c>
      <c r="F32" s="390">
        <v>5.0</v>
      </c>
      <c r="G32" s="391">
        <v>0.057</v>
      </c>
      <c r="H32" s="390" t="s">
        <v>43</v>
      </c>
      <c r="I32" s="390">
        <v>4.3</v>
      </c>
      <c r="J32" s="390">
        <v>50.32</v>
      </c>
      <c r="K32" s="390">
        <v>43.91</v>
      </c>
      <c r="L32" s="390">
        <v>154.94</v>
      </c>
      <c r="M32" s="390">
        <v>155.44</v>
      </c>
      <c r="N32" s="392"/>
      <c r="O32" s="390">
        <v>50.19</v>
      </c>
      <c r="P32" s="390">
        <v>43.7</v>
      </c>
      <c r="Q32" s="390">
        <v>154.33</v>
      </c>
      <c r="R32" s="390">
        <v>154.45</v>
      </c>
      <c r="S32" s="156" t="s">
        <v>22</v>
      </c>
      <c r="T32" s="204"/>
      <c r="U32" s="393" t="s">
        <v>662</v>
      </c>
      <c r="V32" s="242" t="str">
        <f>VLOOKUP(C:C,'1-7 AUG'!C:C,1,0)</f>
        <v>#N/A</v>
      </c>
      <c r="W32" s="242"/>
      <c r="X32" s="242"/>
      <c r="Y32" s="242"/>
    </row>
    <row r="33">
      <c r="A33" s="389">
        <v>207551.0</v>
      </c>
      <c r="B33" s="181" t="s">
        <v>1447</v>
      </c>
      <c r="C33" s="181" t="s">
        <v>1448</v>
      </c>
      <c r="D33" s="390">
        <v>81.0</v>
      </c>
      <c r="E33" s="390">
        <v>81.0</v>
      </c>
      <c r="F33" s="390">
        <v>5.0</v>
      </c>
      <c r="G33" s="391">
        <v>0.062</v>
      </c>
      <c r="H33" s="390" t="s">
        <v>43</v>
      </c>
      <c r="I33" s="390">
        <v>4.9</v>
      </c>
      <c r="J33" s="390">
        <v>56.79</v>
      </c>
      <c r="K33" s="390">
        <v>37.44</v>
      </c>
      <c r="L33" s="390">
        <v>159.86</v>
      </c>
      <c r="M33" s="390">
        <v>159.82</v>
      </c>
      <c r="N33" s="392"/>
      <c r="O33" s="390">
        <v>56.59</v>
      </c>
      <c r="P33" s="390">
        <v>37.2</v>
      </c>
      <c r="Q33" s="390">
        <v>159.13</v>
      </c>
      <c r="R33" s="390">
        <v>159.13</v>
      </c>
      <c r="S33" s="156" t="s">
        <v>22</v>
      </c>
      <c r="T33" s="204"/>
      <c r="U33" s="393" t="s">
        <v>662</v>
      </c>
      <c r="V33" s="242" t="str">
        <f>VLOOKUP(C:C,'1-7 AUG'!C:C,1,0)</f>
        <v>#N/A</v>
      </c>
      <c r="W33" s="242"/>
      <c r="X33" s="242"/>
      <c r="Y33" s="242"/>
    </row>
    <row r="34">
      <c r="A34" s="384">
        <v>238534.0</v>
      </c>
      <c r="B34" s="185" t="s">
        <v>1449</v>
      </c>
      <c r="C34" s="185" t="s">
        <v>1450</v>
      </c>
      <c r="D34" s="385">
        <v>53.0</v>
      </c>
      <c r="E34" s="385">
        <v>52.0</v>
      </c>
      <c r="F34" s="385">
        <v>5.0</v>
      </c>
      <c r="G34" s="386">
        <v>0.096</v>
      </c>
      <c r="H34" s="385" t="s">
        <v>43</v>
      </c>
      <c r="I34" s="395" t="s">
        <v>1451</v>
      </c>
      <c r="J34" s="385">
        <v>51.19</v>
      </c>
      <c r="K34" s="385">
        <v>36.84</v>
      </c>
      <c r="L34" s="385">
        <v>148.52</v>
      </c>
      <c r="M34" s="385">
        <v>148.65</v>
      </c>
      <c r="N34" s="387"/>
      <c r="O34" s="385">
        <v>51.12</v>
      </c>
      <c r="P34" s="385">
        <v>36.76</v>
      </c>
      <c r="Q34" s="385">
        <v>148.48</v>
      </c>
      <c r="R34" s="385">
        <v>148.62</v>
      </c>
      <c r="S34" s="156" t="s">
        <v>102</v>
      </c>
      <c r="T34" s="206"/>
      <c r="U34" s="388" t="s">
        <v>662</v>
      </c>
      <c r="V34" s="242" t="str">
        <f>VLOOKUP(C:C,'1-7 AUG'!C:C,1,0)</f>
        <v>#N/A</v>
      </c>
      <c r="W34" s="242"/>
      <c r="X34" s="242"/>
      <c r="Y34" s="242"/>
    </row>
    <row r="35">
      <c r="A35" s="389">
        <v>215983.0</v>
      </c>
      <c r="B35" s="181" t="s">
        <v>1452</v>
      </c>
      <c r="C35" s="181" t="s">
        <v>872</v>
      </c>
      <c r="D35" s="390">
        <v>52.0</v>
      </c>
      <c r="E35" s="390">
        <v>51.0</v>
      </c>
      <c r="F35" s="390">
        <v>5.0</v>
      </c>
      <c r="G35" s="391">
        <v>0.098</v>
      </c>
      <c r="H35" s="390" t="s">
        <v>137</v>
      </c>
      <c r="I35" s="390">
        <v>7.14</v>
      </c>
      <c r="J35" s="392"/>
      <c r="K35" s="392"/>
      <c r="L35" s="392"/>
      <c r="M35" s="392"/>
      <c r="N35" s="392"/>
      <c r="O35" s="392"/>
      <c r="P35" s="392"/>
      <c r="Q35" s="392"/>
      <c r="R35" s="392"/>
      <c r="S35" s="156" t="s">
        <v>102</v>
      </c>
      <c r="T35" s="204"/>
      <c r="U35" s="393" t="s">
        <v>662</v>
      </c>
      <c r="V35" s="242" t="str">
        <f>VLOOKUP(C:C,'1-7 AUG'!C:C,1,0)</f>
        <v>#N/A</v>
      </c>
      <c r="W35" s="242"/>
      <c r="X35" s="242"/>
      <c r="Y35" s="242"/>
    </row>
    <row r="36">
      <c r="A36" s="384">
        <v>236983.0</v>
      </c>
      <c r="B36" s="185" t="s">
        <v>1453</v>
      </c>
      <c r="C36" s="185" t="s">
        <v>1454</v>
      </c>
      <c r="D36" s="385">
        <v>56.0</v>
      </c>
      <c r="E36" s="385">
        <v>51.0</v>
      </c>
      <c r="F36" s="385">
        <v>5.0</v>
      </c>
      <c r="G36" s="386">
        <v>0.098</v>
      </c>
      <c r="H36" s="385" t="s">
        <v>43</v>
      </c>
      <c r="I36" s="385">
        <v>6.1</v>
      </c>
      <c r="J36" s="385">
        <v>55.37</v>
      </c>
      <c r="K36" s="385">
        <v>34.62</v>
      </c>
      <c r="L36" s="385">
        <v>153.78</v>
      </c>
      <c r="M36" s="385">
        <v>153.78</v>
      </c>
      <c r="N36" s="387"/>
      <c r="O36" s="385">
        <v>55.31</v>
      </c>
      <c r="P36" s="385">
        <v>34.58</v>
      </c>
      <c r="Q36" s="385">
        <v>153.65</v>
      </c>
      <c r="R36" s="385">
        <v>153.65</v>
      </c>
      <c r="S36" s="156" t="s">
        <v>102</v>
      </c>
      <c r="T36" s="206"/>
      <c r="U36" s="388" t="s">
        <v>662</v>
      </c>
      <c r="V36" s="242" t="str">
        <f>VLOOKUP(C:C,'1-7 AUG'!C:C,1,0)</f>
        <v>#N/A</v>
      </c>
      <c r="W36" s="242"/>
      <c r="X36" s="242"/>
      <c r="Y36" s="242"/>
    </row>
    <row r="37">
      <c r="A37" s="389">
        <v>149278.0</v>
      </c>
      <c r="B37" s="181" t="s">
        <v>1455</v>
      </c>
      <c r="C37" s="181" t="s">
        <v>1456</v>
      </c>
      <c r="D37" s="390">
        <v>47.0</v>
      </c>
      <c r="E37" s="390">
        <v>47.0</v>
      </c>
      <c r="F37" s="390">
        <v>5.0</v>
      </c>
      <c r="G37" s="391">
        <v>0.106</v>
      </c>
      <c r="H37" s="390" t="s">
        <v>43</v>
      </c>
      <c r="I37" s="390">
        <v>10.3</v>
      </c>
      <c r="J37" s="390">
        <v>49.42</v>
      </c>
      <c r="K37" s="390">
        <v>43.2</v>
      </c>
      <c r="L37" s="390">
        <v>149.21</v>
      </c>
      <c r="M37" s="390">
        <v>148.65</v>
      </c>
      <c r="N37" s="392"/>
      <c r="O37" s="390">
        <v>49.13</v>
      </c>
      <c r="P37" s="390">
        <v>43.08</v>
      </c>
      <c r="Q37" s="390">
        <v>148.6</v>
      </c>
      <c r="R37" s="390">
        <v>148.69</v>
      </c>
      <c r="S37" s="156" t="s">
        <v>102</v>
      </c>
      <c r="T37" s="204"/>
      <c r="U37" s="393" t="s">
        <v>662</v>
      </c>
      <c r="V37" s="242" t="str">
        <f>VLOOKUP(C:C,'1-7 AUG'!C:C,1,0)</f>
        <v>#N/A</v>
      </c>
      <c r="W37" s="242"/>
      <c r="X37" s="242"/>
      <c r="Y37" s="242"/>
    </row>
    <row r="38">
      <c r="A38" s="384">
        <v>242911.0</v>
      </c>
      <c r="B38" s="185" t="s">
        <v>1457</v>
      </c>
      <c r="C38" s="185" t="s">
        <v>1458</v>
      </c>
      <c r="D38" s="385">
        <v>46.0</v>
      </c>
      <c r="E38" s="385">
        <v>45.0</v>
      </c>
      <c r="F38" s="385">
        <v>5.0</v>
      </c>
      <c r="G38" s="386">
        <v>0.111</v>
      </c>
      <c r="H38" s="385" t="s">
        <v>43</v>
      </c>
      <c r="I38" s="385">
        <v>5.9</v>
      </c>
      <c r="J38" s="385">
        <v>58.19</v>
      </c>
      <c r="K38" s="385">
        <v>47.02</v>
      </c>
      <c r="L38" s="385">
        <v>173.88</v>
      </c>
      <c r="M38" s="385">
        <v>173.99</v>
      </c>
      <c r="N38" s="387"/>
      <c r="O38" s="385">
        <v>58.13</v>
      </c>
      <c r="P38" s="385">
        <v>46.98</v>
      </c>
      <c r="Q38" s="385">
        <v>173.71</v>
      </c>
      <c r="R38" s="385">
        <v>173.71</v>
      </c>
      <c r="S38" s="156" t="s">
        <v>102</v>
      </c>
      <c r="T38" s="206"/>
      <c r="U38" s="388" t="s">
        <v>662</v>
      </c>
      <c r="V38" s="242" t="str">
        <f>VLOOKUP(C:C,'1-7 AUG'!C:C,1,0)</f>
        <v>#N/A</v>
      </c>
      <c r="W38" s="242"/>
      <c r="X38" s="242"/>
      <c r="Y38" s="242"/>
    </row>
    <row r="39">
      <c r="A39" s="396">
        <v>207671.0</v>
      </c>
      <c r="B39" s="397" t="s">
        <v>1459</v>
      </c>
      <c r="C39" s="397" t="s">
        <v>1460</v>
      </c>
      <c r="D39" s="398">
        <v>57.0</v>
      </c>
      <c r="E39" s="398">
        <v>44.0</v>
      </c>
      <c r="F39" s="398">
        <v>5.0</v>
      </c>
      <c r="G39" s="399">
        <v>0.114</v>
      </c>
      <c r="H39" s="398" t="s">
        <v>43</v>
      </c>
      <c r="I39" s="398">
        <v>1.7</v>
      </c>
      <c r="J39" s="400" t="s">
        <v>1461</v>
      </c>
      <c r="K39" s="401"/>
      <c r="L39" s="401"/>
      <c r="M39" s="401"/>
      <c r="N39" s="401"/>
      <c r="O39" s="401"/>
      <c r="P39" s="401"/>
      <c r="Q39" s="401"/>
      <c r="R39" s="401"/>
      <c r="S39" s="156" t="s">
        <v>102</v>
      </c>
      <c r="T39" s="402" t="s">
        <v>1461</v>
      </c>
      <c r="U39" s="403" t="s">
        <v>662</v>
      </c>
      <c r="V39" s="242" t="str">
        <f>VLOOKUP(C:C,'1-7 AUG'!C:C,1,0)</f>
        <v>#N/A</v>
      </c>
      <c r="W39" s="242"/>
      <c r="X39" s="242"/>
      <c r="Y39" s="242"/>
    </row>
    <row r="40">
      <c r="A40" s="389">
        <v>235299.0</v>
      </c>
      <c r="B40" s="181" t="s">
        <v>1462</v>
      </c>
      <c r="C40" s="181" t="s">
        <v>124</v>
      </c>
      <c r="D40" s="390">
        <v>44.0</v>
      </c>
      <c r="E40" s="390">
        <v>44.0</v>
      </c>
      <c r="F40" s="390">
        <v>5.0</v>
      </c>
      <c r="G40" s="391">
        <v>0.114</v>
      </c>
      <c r="H40" s="390" t="s">
        <v>1463</v>
      </c>
      <c r="I40" s="390">
        <v>6.0</v>
      </c>
      <c r="J40" s="390">
        <v>51.05</v>
      </c>
      <c r="K40" s="390">
        <v>40.93</v>
      </c>
      <c r="L40" s="390">
        <v>155.49</v>
      </c>
      <c r="M40" s="390">
        <v>155.52</v>
      </c>
      <c r="N40" s="392"/>
      <c r="O40" s="390">
        <v>51.14</v>
      </c>
      <c r="P40" s="390">
        <v>40.96</v>
      </c>
      <c r="Q40" s="390">
        <v>155.27</v>
      </c>
      <c r="R40" s="390">
        <v>155.43</v>
      </c>
      <c r="S40" s="156" t="s">
        <v>102</v>
      </c>
      <c r="T40" s="204"/>
      <c r="U40" s="393" t="s">
        <v>662</v>
      </c>
      <c r="V40" s="242" t="str">
        <f>VLOOKUP(C:C,'1-7 AUG'!C:C,1,0)</f>
        <v>#N/A</v>
      </c>
      <c r="W40" s="242"/>
      <c r="X40" s="242"/>
      <c r="Y40" s="242"/>
    </row>
    <row r="41">
      <c r="A41" s="394">
        <v>241117.0</v>
      </c>
      <c r="B41" s="181" t="s">
        <v>1421</v>
      </c>
      <c r="C41" s="181" t="s">
        <v>869</v>
      </c>
      <c r="D41" s="390">
        <v>31.0</v>
      </c>
      <c r="E41" s="390">
        <v>33.0</v>
      </c>
      <c r="F41" s="390">
        <v>5.0</v>
      </c>
      <c r="G41" s="391">
        <v>0.152</v>
      </c>
      <c r="H41" s="390" t="s">
        <v>43</v>
      </c>
      <c r="I41" s="390">
        <v>6.7</v>
      </c>
      <c r="J41" s="10">
        <v>54.82</v>
      </c>
      <c r="K41" s="390">
        <v>36.63</v>
      </c>
      <c r="L41" s="390">
        <v>154.39</v>
      </c>
      <c r="M41" s="390">
        <v>155.16</v>
      </c>
      <c r="N41" s="392"/>
      <c r="O41" s="390">
        <v>54.57</v>
      </c>
      <c r="P41" s="10">
        <v>35.87</v>
      </c>
      <c r="Q41" s="390">
        <v>154.1</v>
      </c>
      <c r="R41" s="390">
        <v>153.37</v>
      </c>
      <c r="S41" s="156" t="s">
        <v>102</v>
      </c>
      <c r="T41" s="204"/>
      <c r="U41" s="393" t="s">
        <v>662</v>
      </c>
      <c r="V41" s="242" t="str">
        <f>VLOOKUP(C:C,'1-7 AUG'!C:C,1,0)</f>
        <v>#N/A</v>
      </c>
      <c r="W41" s="242"/>
      <c r="X41" s="242"/>
      <c r="Y41" s="242"/>
    </row>
    <row r="42">
      <c r="A42" s="242"/>
      <c r="B42" s="242"/>
      <c r="C42" s="242"/>
      <c r="D42" s="242"/>
      <c r="E42" s="242"/>
      <c r="F42" s="242"/>
      <c r="G42" s="242"/>
      <c r="H42" s="242"/>
      <c r="I42" s="242"/>
      <c r="J42" s="242"/>
      <c r="K42" s="242"/>
      <c r="L42" s="242"/>
      <c r="M42" s="242"/>
      <c r="N42" s="242"/>
      <c r="O42" s="242"/>
      <c r="P42" s="242"/>
      <c r="Q42" s="242"/>
      <c r="R42" s="242"/>
      <c r="S42" s="242"/>
      <c r="T42" s="242"/>
      <c r="U42" s="242"/>
      <c r="V42" s="242"/>
      <c r="W42" s="242"/>
      <c r="X42" s="242"/>
      <c r="Y42" s="242"/>
    </row>
  </sheetData>
  <mergeCells count="1">
    <mergeCell ref="J39:R39"/>
  </mergeCells>
  <dataValidations>
    <dataValidation type="list" allowBlank="1" showErrorMessage="1" sqref="S2:S41">
      <formula1>"GEETANJALI,AMIRUN,DEEPANSHU,DHAVAL,ADITI"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21.88"/>
  </cols>
  <sheetData>
    <row r="1">
      <c r="A1" s="379" t="s">
        <v>1</v>
      </c>
      <c r="B1" s="373" t="s">
        <v>2</v>
      </c>
      <c r="C1" s="373" t="s">
        <v>656</v>
      </c>
      <c r="D1" s="373" t="s">
        <v>657</v>
      </c>
      <c r="E1" s="373" t="s">
        <v>658</v>
      </c>
      <c r="F1" s="373" t="s">
        <v>659</v>
      </c>
      <c r="G1" s="373" t="s">
        <v>660</v>
      </c>
      <c r="H1" s="373" t="s">
        <v>4</v>
      </c>
      <c r="I1" s="373" t="s">
        <v>5</v>
      </c>
      <c r="J1" s="371" t="s">
        <v>7</v>
      </c>
      <c r="K1" s="372" t="s">
        <v>8</v>
      </c>
      <c r="L1" s="372" t="s">
        <v>9</v>
      </c>
      <c r="M1" s="372" t="s">
        <v>10</v>
      </c>
      <c r="N1" s="372" t="s">
        <v>11</v>
      </c>
      <c r="O1" s="372" t="s">
        <v>12</v>
      </c>
      <c r="P1" s="371" t="s">
        <v>13</v>
      </c>
      <c r="Q1" s="372" t="s">
        <v>14</v>
      </c>
      <c r="R1" s="372" t="s">
        <v>15</v>
      </c>
      <c r="S1" s="373" t="s">
        <v>17</v>
      </c>
      <c r="T1" s="371" t="s">
        <v>16</v>
      </c>
      <c r="U1" s="6" t="s">
        <v>1176</v>
      </c>
      <c r="V1" s="17"/>
      <c r="W1" s="17"/>
      <c r="X1" s="17"/>
      <c r="Y1" s="17"/>
      <c r="Z1" s="17"/>
    </row>
    <row r="2">
      <c r="A2" s="404">
        <v>241079.0</v>
      </c>
      <c r="B2" s="404" t="s">
        <v>1464</v>
      </c>
      <c r="C2" s="404" t="s">
        <v>106</v>
      </c>
      <c r="D2" s="404">
        <v>16.0</v>
      </c>
      <c r="E2" s="404">
        <v>13.0</v>
      </c>
      <c r="F2" s="404">
        <v>12.0</v>
      </c>
      <c r="G2" s="405">
        <v>0.923</v>
      </c>
      <c r="H2" s="404" t="s">
        <v>19</v>
      </c>
      <c r="I2" s="405">
        <v>0.154</v>
      </c>
      <c r="J2" s="406">
        <v>53.51</v>
      </c>
      <c r="K2" s="406">
        <v>48.64</v>
      </c>
      <c r="L2" s="29">
        <v>163.13</v>
      </c>
      <c r="M2" s="29">
        <v>163.4</v>
      </c>
      <c r="N2" s="407"/>
      <c r="O2" s="29">
        <v>53.58</v>
      </c>
      <c r="P2" s="29">
        <v>48.89</v>
      </c>
      <c r="Q2" s="29">
        <v>163.34</v>
      </c>
      <c r="R2" s="29">
        <v>163.38</v>
      </c>
      <c r="S2" s="404" t="s">
        <v>102</v>
      </c>
      <c r="T2" s="408"/>
      <c r="U2" s="404" t="s">
        <v>662</v>
      </c>
      <c r="V2" s="17" t="str">
        <f>VLOOKUP(C:C,'1-7 AUG'!C:C,1,0)</f>
        <v>#N/A</v>
      </c>
      <c r="W2" s="17"/>
      <c r="X2" s="17"/>
      <c r="Y2" s="17"/>
      <c r="Z2" s="17"/>
    </row>
    <row r="3">
      <c r="A3" s="404">
        <v>207671.0</v>
      </c>
      <c r="B3" s="404" t="s">
        <v>1465</v>
      </c>
      <c r="C3" s="404" t="s">
        <v>1466</v>
      </c>
      <c r="D3" s="404">
        <v>19.0</v>
      </c>
      <c r="E3" s="404">
        <v>10.0</v>
      </c>
      <c r="F3" s="404">
        <v>8.0</v>
      </c>
      <c r="G3" s="405">
        <v>0.8</v>
      </c>
      <c r="H3" s="404" t="s">
        <v>43</v>
      </c>
      <c r="I3" s="405">
        <v>0.273</v>
      </c>
      <c r="J3" s="29" t="s">
        <v>1467</v>
      </c>
      <c r="K3" s="401"/>
      <c r="L3" s="401"/>
      <c r="M3" s="401"/>
      <c r="N3" s="401"/>
      <c r="O3" s="401"/>
      <c r="P3" s="401"/>
      <c r="Q3" s="401"/>
      <c r="R3" s="401"/>
      <c r="S3" s="404" t="s">
        <v>102</v>
      </c>
      <c r="T3" s="408"/>
      <c r="U3" s="404" t="s">
        <v>662</v>
      </c>
      <c r="V3" s="17" t="str">
        <f>VLOOKUP(C:C,'1-7 AUG'!C:C,1,0)</f>
        <v>#N/A</v>
      </c>
      <c r="W3" s="17"/>
      <c r="X3" s="17"/>
      <c r="Y3" s="17"/>
      <c r="Z3" s="17"/>
    </row>
    <row r="4">
      <c r="A4" s="404">
        <v>225341.0</v>
      </c>
      <c r="B4" s="404" t="s">
        <v>1468</v>
      </c>
      <c r="C4" s="404" t="s">
        <v>1469</v>
      </c>
      <c r="D4" s="404">
        <v>44.0</v>
      </c>
      <c r="E4" s="404">
        <v>38.0</v>
      </c>
      <c r="F4" s="404">
        <v>23.0</v>
      </c>
      <c r="G4" s="405">
        <v>0.605</v>
      </c>
      <c r="H4" s="404" t="s">
        <v>43</v>
      </c>
      <c r="I4" s="405">
        <v>0.316</v>
      </c>
      <c r="J4" s="29">
        <v>50.42</v>
      </c>
      <c r="K4" s="29">
        <v>37.83</v>
      </c>
      <c r="L4" s="29">
        <v>140.18</v>
      </c>
      <c r="M4" s="29">
        <v>140.56</v>
      </c>
      <c r="N4" s="407"/>
      <c r="O4" s="29">
        <v>49.97</v>
      </c>
      <c r="P4" s="29">
        <v>37.77</v>
      </c>
      <c r="Q4" s="29">
        <v>140.01</v>
      </c>
      <c r="R4" s="29">
        <v>139.51</v>
      </c>
      <c r="S4" s="404" t="s">
        <v>102</v>
      </c>
      <c r="T4" s="408"/>
      <c r="U4" s="404" t="s">
        <v>662</v>
      </c>
      <c r="V4" s="17" t="str">
        <f>VLOOKUP(C:C,'1-7 AUG'!C:C,1,0)</f>
        <v>#N/A</v>
      </c>
      <c r="W4" s="17"/>
      <c r="X4" s="17"/>
      <c r="Y4" s="17"/>
      <c r="Z4" s="17"/>
    </row>
    <row r="5">
      <c r="A5" s="404">
        <v>242206.0</v>
      </c>
      <c r="B5" s="404" t="s">
        <v>1423</v>
      </c>
      <c r="C5" s="404" t="s">
        <v>132</v>
      </c>
      <c r="D5" s="404">
        <v>54.0</v>
      </c>
      <c r="E5" s="404">
        <v>46.0</v>
      </c>
      <c r="F5" s="404">
        <v>25.0</v>
      </c>
      <c r="G5" s="405">
        <v>0.543</v>
      </c>
      <c r="H5" s="404" t="s">
        <v>43</v>
      </c>
      <c r="I5" s="405">
        <v>0.283</v>
      </c>
      <c r="J5" s="29">
        <v>56.5</v>
      </c>
      <c r="K5" s="29">
        <v>36.3</v>
      </c>
      <c r="L5" s="29">
        <v>157.52</v>
      </c>
      <c r="M5" s="29">
        <v>156.69</v>
      </c>
      <c r="N5" s="407"/>
      <c r="O5" s="29">
        <v>56.4</v>
      </c>
      <c r="P5" s="29">
        <v>36.11</v>
      </c>
      <c r="Q5" s="406">
        <v>157.35</v>
      </c>
      <c r="R5" s="29">
        <v>156.39</v>
      </c>
      <c r="S5" s="404" t="s">
        <v>102</v>
      </c>
      <c r="T5" s="408"/>
      <c r="U5" s="404" t="s">
        <v>662</v>
      </c>
      <c r="V5" s="17" t="str">
        <f>VLOOKUP(C:C,'1-7 AUG'!C:C,1,0)</f>
        <v>#N/A</v>
      </c>
      <c r="W5" s="17"/>
      <c r="X5" s="17"/>
      <c r="Y5" s="17"/>
      <c r="Z5" s="17"/>
    </row>
    <row r="6">
      <c r="A6" s="404">
        <v>239839.0</v>
      </c>
      <c r="B6" s="404" t="s">
        <v>1470</v>
      </c>
      <c r="C6" s="404" t="s">
        <v>197</v>
      </c>
      <c r="D6" s="404">
        <v>24.0</v>
      </c>
      <c r="E6" s="404">
        <v>23.0</v>
      </c>
      <c r="F6" s="404">
        <v>10.0</v>
      </c>
      <c r="G6" s="405">
        <v>0.435</v>
      </c>
      <c r="H6" s="404" t="s">
        <v>43</v>
      </c>
      <c r="I6" s="405">
        <v>0.348</v>
      </c>
      <c r="J6" s="409">
        <v>53.68</v>
      </c>
      <c r="K6" s="29">
        <v>35.89</v>
      </c>
      <c r="L6" s="29">
        <v>153.48</v>
      </c>
      <c r="M6" s="29">
        <v>153.4</v>
      </c>
      <c r="N6" s="407"/>
      <c r="O6" s="29">
        <v>53.57</v>
      </c>
      <c r="P6" s="29">
        <v>35.81</v>
      </c>
      <c r="Q6" s="29">
        <v>153.42</v>
      </c>
      <c r="R6" s="29">
        <v>153.07</v>
      </c>
      <c r="S6" s="404" t="s">
        <v>102</v>
      </c>
      <c r="T6" s="408"/>
      <c r="U6" s="404" t="s">
        <v>662</v>
      </c>
      <c r="V6" s="17" t="str">
        <f>VLOOKUP(C:C,'1-7 AUG'!C:C,1,0)</f>
        <v>#N/A</v>
      </c>
      <c r="W6" s="17"/>
      <c r="X6" s="17"/>
      <c r="Y6" s="17"/>
      <c r="Z6" s="17"/>
    </row>
    <row r="7">
      <c r="A7" s="404">
        <v>225336.0</v>
      </c>
      <c r="B7" s="404" t="s">
        <v>1109</v>
      </c>
      <c r="C7" s="404" t="s">
        <v>151</v>
      </c>
      <c r="D7" s="404">
        <v>59.0</v>
      </c>
      <c r="E7" s="404">
        <v>54.0</v>
      </c>
      <c r="F7" s="404">
        <v>20.0</v>
      </c>
      <c r="G7" s="405">
        <v>0.37</v>
      </c>
      <c r="H7" s="404" t="s">
        <v>43</v>
      </c>
      <c r="I7" s="405">
        <v>0.037</v>
      </c>
      <c r="J7" s="410">
        <v>47.42</v>
      </c>
      <c r="K7" s="410">
        <v>41.65</v>
      </c>
      <c r="L7" s="410">
        <v>144.62</v>
      </c>
      <c r="M7" s="410">
        <v>144.62</v>
      </c>
      <c r="N7" s="411"/>
      <c r="O7" s="410">
        <v>47.36</v>
      </c>
      <c r="P7" s="410">
        <v>41.58</v>
      </c>
      <c r="Q7" s="410">
        <v>144.41</v>
      </c>
      <c r="R7" s="410">
        <v>144.41</v>
      </c>
      <c r="S7" s="404" t="s">
        <v>102</v>
      </c>
      <c r="T7" s="408"/>
      <c r="U7" s="404" t="s">
        <v>662</v>
      </c>
      <c r="V7" s="17" t="str">
        <f>VLOOKUP(C:C,'1-7 AUG'!C:C,1,0)</f>
        <v>#N/A</v>
      </c>
      <c r="W7" s="17"/>
      <c r="X7" s="17"/>
      <c r="Y7" s="17"/>
      <c r="Z7" s="17"/>
    </row>
    <row r="8">
      <c r="A8" s="404">
        <v>239999.0</v>
      </c>
      <c r="B8" s="404" t="s">
        <v>1471</v>
      </c>
      <c r="C8" s="404" t="s">
        <v>596</v>
      </c>
      <c r="D8" s="404">
        <v>43.0</v>
      </c>
      <c r="E8" s="404">
        <v>41.0</v>
      </c>
      <c r="F8" s="404">
        <v>14.0</v>
      </c>
      <c r="G8" s="405">
        <v>0.341</v>
      </c>
      <c r="H8" s="404" t="s">
        <v>19</v>
      </c>
      <c r="I8" s="405">
        <v>0.028</v>
      </c>
      <c r="J8" s="410">
        <v>56.26</v>
      </c>
      <c r="K8" s="410">
        <v>45.03</v>
      </c>
      <c r="L8" s="410">
        <v>169.17</v>
      </c>
      <c r="M8" s="410">
        <v>169.17</v>
      </c>
      <c r="N8" s="411"/>
      <c r="O8" s="410">
        <v>56.32</v>
      </c>
      <c r="P8" s="410">
        <v>45.08</v>
      </c>
      <c r="Q8" s="410">
        <v>169.4</v>
      </c>
      <c r="R8" s="410">
        <v>169.4</v>
      </c>
      <c r="S8" s="404" t="s">
        <v>102</v>
      </c>
      <c r="T8" s="408"/>
      <c r="U8" s="404" t="s">
        <v>662</v>
      </c>
      <c r="V8" s="17" t="str">
        <f>VLOOKUP(C:C,'1-7 AUG'!C:C,1,0)</f>
        <v>#N/A</v>
      </c>
      <c r="W8" s="17"/>
      <c r="X8" s="17"/>
      <c r="Y8" s="17"/>
      <c r="Z8" s="17"/>
    </row>
    <row r="9">
      <c r="A9" s="404">
        <v>238757.0</v>
      </c>
      <c r="B9" s="404" t="s">
        <v>1472</v>
      </c>
      <c r="C9" s="404" t="s">
        <v>224</v>
      </c>
      <c r="D9" s="404">
        <v>28.0</v>
      </c>
      <c r="E9" s="404">
        <v>28.0</v>
      </c>
      <c r="F9" s="404">
        <v>9.0</v>
      </c>
      <c r="G9" s="405">
        <v>0.321</v>
      </c>
      <c r="H9" s="404" t="s">
        <v>43</v>
      </c>
      <c r="I9" s="405">
        <v>0.107</v>
      </c>
      <c r="J9" s="410">
        <v>54.46</v>
      </c>
      <c r="K9" s="410">
        <v>39.25</v>
      </c>
      <c r="L9" s="410">
        <v>156.4</v>
      </c>
      <c r="M9" s="410">
        <v>156.54</v>
      </c>
      <c r="N9" s="411"/>
      <c r="O9" s="410">
        <v>54.06</v>
      </c>
      <c r="P9" s="410">
        <v>39.13</v>
      </c>
      <c r="Q9" s="410">
        <v>155.65</v>
      </c>
      <c r="R9" s="410">
        <v>155.47</v>
      </c>
      <c r="S9" s="404" t="s">
        <v>102</v>
      </c>
      <c r="T9" s="408"/>
      <c r="U9" s="404" t="s">
        <v>662</v>
      </c>
      <c r="V9" s="17" t="str">
        <f>VLOOKUP(C:C,'1-7 AUG'!C:C,1,0)</f>
        <v>#N/A</v>
      </c>
      <c r="W9" s="17"/>
      <c r="X9" s="17"/>
      <c r="Y9" s="17"/>
      <c r="Z9" s="17"/>
    </row>
    <row r="10">
      <c r="A10" s="404">
        <v>239839.0</v>
      </c>
      <c r="B10" s="404" t="s">
        <v>1083</v>
      </c>
      <c r="C10" s="404" t="s">
        <v>103</v>
      </c>
      <c r="D10" s="404">
        <v>43.0</v>
      </c>
      <c r="E10" s="404">
        <v>34.0</v>
      </c>
      <c r="F10" s="404">
        <v>10.0</v>
      </c>
      <c r="G10" s="405">
        <v>0.294</v>
      </c>
      <c r="H10" s="404" t="s">
        <v>19</v>
      </c>
      <c r="I10" s="405">
        <v>0.157</v>
      </c>
      <c r="J10" s="410">
        <v>53.62</v>
      </c>
      <c r="K10" s="410">
        <v>36.13</v>
      </c>
      <c r="L10" s="410">
        <v>153.91</v>
      </c>
      <c r="M10" s="410">
        <v>153.91</v>
      </c>
      <c r="N10" s="411"/>
      <c r="O10" s="410">
        <v>53.71</v>
      </c>
      <c r="P10" s="410">
        <v>36.21</v>
      </c>
      <c r="Q10" s="410">
        <v>154.17</v>
      </c>
      <c r="R10" s="410">
        <v>154.17</v>
      </c>
      <c r="S10" s="404" t="s">
        <v>102</v>
      </c>
      <c r="T10" s="408"/>
      <c r="U10" s="404" t="s">
        <v>662</v>
      </c>
      <c r="V10" s="17" t="str">
        <f>VLOOKUP(C:C,'1-7 AUG'!C:C,1,0)</f>
        <v>#N/A</v>
      </c>
      <c r="W10" s="17"/>
      <c r="X10" s="17"/>
      <c r="Y10" s="17"/>
      <c r="Z10" s="17"/>
    </row>
    <row r="11">
      <c r="A11" s="404">
        <v>246233.0</v>
      </c>
      <c r="B11" s="404" t="s">
        <v>1473</v>
      </c>
      <c r="C11" s="404" t="s">
        <v>165</v>
      </c>
      <c r="D11" s="404">
        <v>98.0</v>
      </c>
      <c r="E11" s="404">
        <v>91.0</v>
      </c>
      <c r="F11" s="404">
        <v>23.0</v>
      </c>
      <c r="G11" s="405">
        <v>0.253</v>
      </c>
      <c r="H11" s="404" t="s">
        <v>19</v>
      </c>
      <c r="I11" s="405">
        <v>0.131</v>
      </c>
      <c r="J11" s="410">
        <v>53.96</v>
      </c>
      <c r="K11" s="410">
        <v>37.98</v>
      </c>
      <c r="L11" s="410">
        <v>154.51</v>
      </c>
      <c r="M11" s="410">
        <v>154.59</v>
      </c>
      <c r="N11" s="411"/>
      <c r="O11" s="410">
        <v>54.04</v>
      </c>
      <c r="P11" s="410">
        <v>38.13</v>
      </c>
      <c r="Q11" s="410">
        <v>154.75</v>
      </c>
      <c r="R11" s="410">
        <v>154.46</v>
      </c>
      <c r="S11" s="404" t="s">
        <v>102</v>
      </c>
      <c r="T11" s="408"/>
      <c r="U11" s="404" t="s">
        <v>662</v>
      </c>
      <c r="V11" s="17" t="str">
        <f>VLOOKUP(C:C,'1-7 AUG'!C:C,1,0)</f>
        <v>#N/A</v>
      </c>
      <c r="W11" s="17"/>
      <c r="X11" s="17"/>
      <c r="Y11" s="17"/>
      <c r="Z11" s="17"/>
    </row>
    <row r="12">
      <c r="A12" s="404">
        <v>234769.0</v>
      </c>
      <c r="B12" s="404" t="s">
        <v>1474</v>
      </c>
      <c r="C12" s="404" t="s">
        <v>95</v>
      </c>
      <c r="D12" s="404">
        <v>126.0</v>
      </c>
      <c r="E12" s="404">
        <v>111.0</v>
      </c>
      <c r="F12" s="404">
        <v>26.0</v>
      </c>
      <c r="G12" s="405">
        <v>0.234</v>
      </c>
      <c r="H12" s="404" t="s">
        <v>19</v>
      </c>
      <c r="I12" s="405">
        <v>0.102</v>
      </c>
      <c r="J12" s="29">
        <v>55.5</v>
      </c>
      <c r="K12" s="29">
        <v>39.45</v>
      </c>
      <c r="L12" s="29">
        <v>161.67</v>
      </c>
      <c r="M12" s="29">
        <v>161.82</v>
      </c>
      <c r="N12" s="407"/>
      <c r="O12" s="29">
        <v>55.6</v>
      </c>
      <c r="P12" s="29">
        <v>39.51</v>
      </c>
      <c r="Q12" s="29">
        <v>161.76</v>
      </c>
      <c r="R12" s="29">
        <v>162.08</v>
      </c>
      <c r="S12" s="404" t="s">
        <v>102</v>
      </c>
      <c r="T12" s="408"/>
      <c r="U12" s="404" t="s">
        <v>662</v>
      </c>
      <c r="V12" s="17" t="str">
        <f>VLOOKUP(C:C,'1-7 AUG'!C:C,1,0)</f>
        <v>#N/A</v>
      </c>
      <c r="W12" s="17"/>
      <c r="X12" s="17"/>
      <c r="Y12" s="17"/>
      <c r="Z12" s="17"/>
    </row>
    <row r="13">
      <c r="A13" s="404">
        <v>227035.0</v>
      </c>
      <c r="B13" s="404" t="s">
        <v>1094</v>
      </c>
      <c r="C13" s="404" t="s">
        <v>96</v>
      </c>
      <c r="D13" s="404">
        <v>115.0</v>
      </c>
      <c r="E13" s="404">
        <v>114.0</v>
      </c>
      <c r="F13" s="404">
        <v>25.0</v>
      </c>
      <c r="G13" s="405">
        <v>0.219</v>
      </c>
      <c r="H13" s="408"/>
      <c r="I13" s="405">
        <v>0.0</v>
      </c>
      <c r="J13" s="409" t="s">
        <v>1352</v>
      </c>
      <c r="S13" s="404" t="s">
        <v>102</v>
      </c>
      <c r="T13" s="408"/>
      <c r="U13" s="404" t="s">
        <v>662</v>
      </c>
      <c r="V13" s="17" t="str">
        <f>VLOOKUP(C:C,'1-7 AUG'!C:C,1,0)</f>
        <v>#N/A</v>
      </c>
      <c r="W13" s="17"/>
      <c r="X13" s="17"/>
      <c r="Y13" s="17"/>
      <c r="Z13" s="17"/>
    </row>
    <row r="14">
      <c r="A14" s="404">
        <v>241119.0</v>
      </c>
      <c r="B14" s="404" t="s">
        <v>1444</v>
      </c>
      <c r="C14" s="404" t="s">
        <v>866</v>
      </c>
      <c r="D14" s="404">
        <v>67.0</v>
      </c>
      <c r="E14" s="404">
        <v>55.0</v>
      </c>
      <c r="F14" s="404">
        <v>12.0</v>
      </c>
      <c r="G14" s="405">
        <v>0.218</v>
      </c>
      <c r="H14" s="404" t="s">
        <v>43</v>
      </c>
      <c r="I14" s="405">
        <v>0.164</v>
      </c>
      <c r="J14" s="410">
        <v>55.9</v>
      </c>
      <c r="K14" s="410">
        <v>38.81</v>
      </c>
      <c r="L14" s="410">
        <v>162.74</v>
      </c>
      <c r="M14" s="410">
        <v>162.9</v>
      </c>
      <c r="N14" s="411"/>
      <c r="O14" s="410">
        <v>56.3</v>
      </c>
      <c r="P14" s="410">
        <v>38.41</v>
      </c>
      <c r="Q14" s="410">
        <v>162.74</v>
      </c>
      <c r="R14" s="410">
        <v>162.95</v>
      </c>
      <c r="S14" s="404" t="s">
        <v>102</v>
      </c>
      <c r="T14" s="408"/>
      <c r="U14" s="404" t="s">
        <v>662</v>
      </c>
      <c r="V14" s="17" t="str">
        <f>VLOOKUP(C:C,'1-7 AUG'!C:C,1,0)</f>
        <v>#N/A</v>
      </c>
      <c r="W14" s="17"/>
      <c r="X14" s="17"/>
      <c r="Y14" s="17"/>
      <c r="Z14" s="17"/>
    </row>
    <row r="15">
      <c r="A15" s="404">
        <v>234804.0</v>
      </c>
      <c r="B15" s="404" t="s">
        <v>1475</v>
      </c>
      <c r="C15" s="404" t="s">
        <v>99</v>
      </c>
      <c r="D15" s="404">
        <v>166.0</v>
      </c>
      <c r="E15" s="404">
        <v>163.0</v>
      </c>
      <c r="F15" s="404">
        <v>35.0</v>
      </c>
      <c r="G15" s="405">
        <v>0.215</v>
      </c>
      <c r="H15" s="404" t="s">
        <v>19</v>
      </c>
      <c r="I15" s="405">
        <v>0.028</v>
      </c>
      <c r="J15" s="410">
        <v>50.36</v>
      </c>
      <c r="K15" s="410">
        <v>42.22</v>
      </c>
      <c r="L15" s="410">
        <v>150.28</v>
      </c>
      <c r="M15" s="410">
        <v>150.23</v>
      </c>
      <c r="N15" s="411"/>
      <c r="O15" s="410">
        <v>50.49</v>
      </c>
      <c r="P15" s="410">
        <v>42.27</v>
      </c>
      <c r="Q15" s="410">
        <v>150.37</v>
      </c>
      <c r="R15" s="410">
        <v>150.52</v>
      </c>
      <c r="S15" s="404" t="s">
        <v>102</v>
      </c>
      <c r="T15" s="408"/>
      <c r="U15" s="404" t="s">
        <v>662</v>
      </c>
      <c r="V15" s="17" t="str">
        <f>VLOOKUP(C:C,'1-7 AUG'!C:C,1,0)</f>
        <v>#N/A</v>
      </c>
      <c r="W15" s="17"/>
      <c r="X15" s="17"/>
      <c r="Y15" s="17"/>
      <c r="Z15" s="17"/>
    </row>
    <row r="16">
      <c r="A16" s="404">
        <v>241117.0</v>
      </c>
      <c r="B16" s="404" t="s">
        <v>1421</v>
      </c>
      <c r="C16" s="404" t="s">
        <v>869</v>
      </c>
      <c r="D16" s="404">
        <v>51.0</v>
      </c>
      <c r="E16" s="404">
        <v>51.0</v>
      </c>
      <c r="F16" s="404">
        <v>10.0</v>
      </c>
      <c r="G16" s="405">
        <v>0.196</v>
      </c>
      <c r="H16" s="404" t="s">
        <v>43</v>
      </c>
      <c r="I16" s="405">
        <v>0.157</v>
      </c>
      <c r="J16" s="410">
        <v>54.57</v>
      </c>
      <c r="K16" s="410">
        <v>35.87</v>
      </c>
      <c r="L16" s="410">
        <v>154.1</v>
      </c>
      <c r="M16" s="410">
        <v>153.37</v>
      </c>
      <c r="N16" s="411"/>
      <c r="O16" s="410">
        <v>54.49</v>
      </c>
      <c r="P16" s="410">
        <v>35.79</v>
      </c>
      <c r="Q16" s="410">
        <v>153.83</v>
      </c>
      <c r="R16" s="410">
        <v>153.1</v>
      </c>
      <c r="S16" s="404" t="s">
        <v>102</v>
      </c>
      <c r="T16" s="408"/>
      <c r="U16" s="404" t="s">
        <v>662</v>
      </c>
      <c r="V16" s="17" t="str">
        <f>VLOOKUP(C:C,'1-7 AUG'!C:C,1,0)</f>
        <v>#N/A</v>
      </c>
      <c r="W16" s="17"/>
      <c r="X16" s="17"/>
      <c r="Y16" s="17"/>
      <c r="Z16" s="17"/>
    </row>
    <row r="17">
      <c r="A17" s="404">
        <v>247071.0</v>
      </c>
      <c r="B17" s="404" t="s">
        <v>1476</v>
      </c>
      <c r="C17" s="404" t="s">
        <v>871</v>
      </c>
      <c r="D17" s="404">
        <v>114.0</v>
      </c>
      <c r="E17" s="404">
        <v>107.0</v>
      </c>
      <c r="F17" s="404">
        <v>18.0</v>
      </c>
      <c r="G17" s="405">
        <v>0.168</v>
      </c>
      <c r="H17" s="404" t="s">
        <v>43</v>
      </c>
      <c r="I17" s="405">
        <v>0.131</v>
      </c>
      <c r="J17" s="410">
        <v>53.35</v>
      </c>
      <c r="K17" s="410">
        <v>42.43</v>
      </c>
      <c r="L17" s="410">
        <v>157.89</v>
      </c>
      <c r="M17" s="410">
        <v>157.68</v>
      </c>
      <c r="N17" s="411"/>
      <c r="O17" s="410">
        <v>53.28</v>
      </c>
      <c r="P17" s="410">
        <v>42.36</v>
      </c>
      <c r="Q17" s="410">
        <v>157.69</v>
      </c>
      <c r="R17" s="410">
        <v>157.54</v>
      </c>
      <c r="S17" s="404" t="s">
        <v>102</v>
      </c>
      <c r="T17" s="408"/>
      <c r="U17" s="404" t="s">
        <v>662</v>
      </c>
      <c r="V17" s="17" t="str">
        <f>VLOOKUP(C:C,'1-7 AUG'!C:C,1,0)</f>
        <v>#N/A</v>
      </c>
      <c r="W17" s="17"/>
      <c r="X17" s="17"/>
      <c r="Y17" s="17"/>
      <c r="Z17" s="17"/>
    </row>
    <row r="18">
      <c r="A18" s="404">
        <v>246235.0</v>
      </c>
      <c r="B18" s="404" t="s">
        <v>1477</v>
      </c>
      <c r="C18" s="404" t="s">
        <v>873</v>
      </c>
      <c r="D18" s="404">
        <v>53.0</v>
      </c>
      <c r="E18" s="404">
        <v>49.0</v>
      </c>
      <c r="F18" s="404">
        <v>8.0</v>
      </c>
      <c r="G18" s="405">
        <v>0.163</v>
      </c>
      <c r="H18" s="404" t="s">
        <v>43</v>
      </c>
      <c r="I18" s="405">
        <v>0.102</v>
      </c>
      <c r="J18" s="410">
        <v>52.66</v>
      </c>
      <c r="K18" s="410">
        <v>45.31</v>
      </c>
      <c r="L18" s="410">
        <v>159.0</v>
      </c>
      <c r="M18" s="410">
        <v>160.44</v>
      </c>
      <c r="N18" s="411"/>
      <c r="O18" s="410">
        <v>52.59</v>
      </c>
      <c r="P18" s="410">
        <v>45.27</v>
      </c>
      <c r="Q18" s="410">
        <v>158.76</v>
      </c>
      <c r="R18" s="410">
        <v>158.76</v>
      </c>
      <c r="S18" s="404" t="s">
        <v>102</v>
      </c>
      <c r="T18" s="408"/>
      <c r="U18" s="404" t="s">
        <v>662</v>
      </c>
      <c r="V18" s="17" t="str">
        <f>VLOOKUP(C:C,'1-7 AUG'!C:C,1,0)</f>
        <v>#N/A</v>
      </c>
      <c r="W18" s="17"/>
      <c r="X18" s="17"/>
      <c r="Y18" s="17"/>
      <c r="Z18" s="17"/>
    </row>
    <row r="19">
      <c r="A19" s="404">
        <v>246232.0</v>
      </c>
      <c r="B19" s="404" t="s">
        <v>1473</v>
      </c>
      <c r="C19" s="404" t="s">
        <v>182</v>
      </c>
      <c r="D19" s="404">
        <v>61.0</v>
      </c>
      <c r="E19" s="404">
        <v>55.0</v>
      </c>
      <c r="F19" s="404">
        <v>8.0</v>
      </c>
      <c r="G19" s="405">
        <v>0.145</v>
      </c>
      <c r="H19" s="404" t="s">
        <v>19</v>
      </c>
      <c r="I19" s="405">
        <v>0.083</v>
      </c>
      <c r="J19" s="410">
        <v>53.85</v>
      </c>
      <c r="K19" s="410">
        <v>35.89</v>
      </c>
      <c r="L19" s="410">
        <v>151.71</v>
      </c>
      <c r="M19" s="410">
        <v>151.71</v>
      </c>
      <c r="N19" s="411"/>
      <c r="O19" s="410">
        <v>53.91</v>
      </c>
      <c r="P19" s="410">
        <v>36.08</v>
      </c>
      <c r="Q19" s="410">
        <v>151.86</v>
      </c>
      <c r="R19" s="410">
        <v>151.78</v>
      </c>
      <c r="S19" s="404" t="s">
        <v>102</v>
      </c>
      <c r="T19" s="408"/>
      <c r="U19" s="404" t="s">
        <v>662</v>
      </c>
      <c r="V19" s="17" t="str">
        <f>VLOOKUP(C:C,'1-7 AUG'!C:C,1,0)</f>
        <v>#N/A</v>
      </c>
      <c r="W19" s="17"/>
      <c r="X19" s="17"/>
      <c r="Y19" s="17"/>
      <c r="Z19" s="17"/>
    </row>
    <row r="20">
      <c r="A20" s="404">
        <v>219545.0</v>
      </c>
      <c r="B20" s="404" t="s">
        <v>1410</v>
      </c>
      <c r="C20" s="404" t="s">
        <v>211</v>
      </c>
      <c r="D20" s="404">
        <v>77.0</v>
      </c>
      <c r="E20" s="404">
        <v>63.0</v>
      </c>
      <c r="F20" s="404">
        <v>9.0</v>
      </c>
      <c r="G20" s="405">
        <v>0.143</v>
      </c>
      <c r="H20" s="404" t="s">
        <v>43</v>
      </c>
      <c r="I20" s="405">
        <v>0.095</v>
      </c>
      <c r="J20" s="410">
        <v>51.3</v>
      </c>
      <c r="K20" s="410">
        <v>30.95</v>
      </c>
      <c r="L20" s="410">
        <v>140.3</v>
      </c>
      <c r="M20" s="410">
        <v>140.88</v>
      </c>
      <c r="N20" s="411"/>
      <c r="O20" s="410">
        <v>51.08</v>
      </c>
      <c r="P20" s="410">
        <v>30.85</v>
      </c>
      <c r="Q20" s="410">
        <v>140.13</v>
      </c>
      <c r="R20" s="410">
        <v>140.45</v>
      </c>
      <c r="S20" s="404" t="s">
        <v>102</v>
      </c>
      <c r="T20" s="408"/>
      <c r="U20" s="404" t="s">
        <v>662</v>
      </c>
      <c r="V20" s="17" t="str">
        <f>VLOOKUP(C:C,'1-7 AUG'!C:C,1,0)</f>
        <v>#N/A</v>
      </c>
      <c r="W20" s="17"/>
      <c r="X20" s="17"/>
      <c r="Y20" s="17"/>
      <c r="Z20" s="17"/>
    </row>
    <row r="21">
      <c r="A21" s="404">
        <v>146653.0</v>
      </c>
      <c r="B21" s="404" t="s">
        <v>1309</v>
      </c>
      <c r="C21" s="404" t="s">
        <v>309</v>
      </c>
      <c r="D21" s="404">
        <v>195.0</v>
      </c>
      <c r="E21" s="404">
        <v>186.0</v>
      </c>
      <c r="F21" s="404">
        <v>26.0</v>
      </c>
      <c r="G21" s="405">
        <v>0.14</v>
      </c>
      <c r="H21" s="404" t="s">
        <v>43</v>
      </c>
      <c r="I21" s="405">
        <v>0.027</v>
      </c>
      <c r="J21" s="410">
        <v>50.79</v>
      </c>
      <c r="K21" s="410">
        <v>36.29</v>
      </c>
      <c r="L21" s="410">
        <v>146.39</v>
      </c>
      <c r="M21" s="410">
        <v>146.92</v>
      </c>
      <c r="N21" s="411"/>
      <c r="O21" s="410">
        <v>50.53</v>
      </c>
      <c r="P21" s="410">
        <v>36.27</v>
      </c>
      <c r="Q21" s="410">
        <v>146.39</v>
      </c>
      <c r="R21" s="410">
        <v>146.43</v>
      </c>
      <c r="S21" s="404" t="s">
        <v>102</v>
      </c>
      <c r="T21" s="408"/>
      <c r="U21" s="404" t="s">
        <v>662</v>
      </c>
      <c r="V21" s="17" t="str">
        <f>VLOOKUP(C:C,'1-7 AUG'!C:C,1,0)</f>
        <v>#N/A</v>
      </c>
      <c r="W21" s="17"/>
      <c r="X21" s="17"/>
      <c r="Y21" s="17"/>
      <c r="Z21" s="17"/>
    </row>
    <row r="22">
      <c r="A22" s="404">
        <v>246227.0</v>
      </c>
      <c r="B22" s="404" t="s">
        <v>1478</v>
      </c>
      <c r="C22" s="404" t="s">
        <v>861</v>
      </c>
      <c r="D22" s="404">
        <v>229.0</v>
      </c>
      <c r="E22" s="404">
        <v>216.0</v>
      </c>
      <c r="F22" s="404">
        <v>26.0</v>
      </c>
      <c r="G22" s="405">
        <v>0.12</v>
      </c>
      <c r="H22" s="404" t="s">
        <v>43</v>
      </c>
      <c r="I22" s="405">
        <v>0.074</v>
      </c>
      <c r="J22" s="410">
        <v>53.85</v>
      </c>
      <c r="K22" s="406">
        <v>41.25</v>
      </c>
      <c r="L22" s="410">
        <v>161.97</v>
      </c>
      <c r="M22" s="410">
        <v>162.45</v>
      </c>
      <c r="N22" s="411"/>
      <c r="O22" s="410">
        <v>53.6</v>
      </c>
      <c r="P22" s="410">
        <v>40.91</v>
      </c>
      <c r="Q22" s="410">
        <v>161.96</v>
      </c>
      <c r="R22" s="410">
        <v>161.34</v>
      </c>
      <c r="S22" s="404" t="s">
        <v>102</v>
      </c>
      <c r="T22" s="408"/>
      <c r="U22" s="404" t="s">
        <v>662</v>
      </c>
      <c r="V22" s="17" t="str">
        <f>VLOOKUP(C:C,'1-7 AUG'!C:C,1,0)</f>
        <v>#N/A</v>
      </c>
      <c r="W22" s="17"/>
      <c r="X22" s="17"/>
      <c r="Y22" s="17"/>
      <c r="Z22" s="17"/>
    </row>
    <row r="23">
      <c r="A23" s="404">
        <v>148524.0</v>
      </c>
      <c r="B23" s="404" t="s">
        <v>1479</v>
      </c>
      <c r="C23" s="404" t="s">
        <v>862</v>
      </c>
      <c r="D23" s="404">
        <v>74.0</v>
      </c>
      <c r="E23" s="404">
        <v>67.0</v>
      </c>
      <c r="F23" s="404">
        <v>8.0</v>
      </c>
      <c r="G23" s="405">
        <v>0.119</v>
      </c>
      <c r="H23" s="404" t="s">
        <v>43</v>
      </c>
      <c r="I23" s="405">
        <v>0.075</v>
      </c>
      <c r="J23" s="410">
        <v>53.01</v>
      </c>
      <c r="K23" s="410">
        <v>36.62</v>
      </c>
      <c r="L23" s="410">
        <v>153.75</v>
      </c>
      <c r="M23" s="410">
        <v>153.86</v>
      </c>
      <c r="N23" s="411"/>
      <c r="O23" s="410">
        <v>52.97</v>
      </c>
      <c r="P23" s="410">
        <v>36.3</v>
      </c>
      <c r="Q23" s="410">
        <v>153.49</v>
      </c>
      <c r="R23" s="410">
        <v>153.06</v>
      </c>
      <c r="S23" s="404" t="s">
        <v>102</v>
      </c>
      <c r="T23" s="408"/>
      <c r="U23" s="404" t="s">
        <v>662</v>
      </c>
      <c r="V23" s="17" t="str">
        <f>VLOOKUP(C:C,'1-7 AUG'!C:C,1,0)</f>
        <v>#N/A</v>
      </c>
      <c r="W23" s="17"/>
      <c r="X23" s="17"/>
      <c r="Y23" s="17"/>
      <c r="Z23" s="17"/>
    </row>
    <row r="24">
      <c r="A24" s="404">
        <v>221282.0</v>
      </c>
      <c r="B24" s="404" t="s">
        <v>844</v>
      </c>
      <c r="C24" s="404" t="s">
        <v>287</v>
      </c>
      <c r="D24" s="404">
        <v>99.0</v>
      </c>
      <c r="E24" s="404">
        <v>84.0</v>
      </c>
      <c r="F24" s="404">
        <v>10.0</v>
      </c>
      <c r="G24" s="405">
        <v>0.119</v>
      </c>
      <c r="H24" s="404" t="s">
        <v>43</v>
      </c>
      <c r="I24" s="405">
        <v>0.083</v>
      </c>
      <c r="J24" s="410">
        <v>54.64</v>
      </c>
      <c r="K24" s="410">
        <v>42.05</v>
      </c>
      <c r="L24" s="410">
        <v>162.19</v>
      </c>
      <c r="M24" s="410">
        <v>162.1</v>
      </c>
      <c r="N24" s="411"/>
      <c r="O24" s="410">
        <v>54.57</v>
      </c>
      <c r="P24" s="410">
        <v>41.91</v>
      </c>
      <c r="Q24" s="410">
        <v>162.05</v>
      </c>
      <c r="R24" s="410">
        <v>161.76</v>
      </c>
      <c r="S24" s="404" t="s">
        <v>102</v>
      </c>
      <c r="T24" s="408"/>
      <c r="U24" s="404" t="s">
        <v>662</v>
      </c>
      <c r="V24" s="17" t="str">
        <f>VLOOKUP(C:C,'1-7 AUG'!C:C,1,0)</f>
        <v>#N/A</v>
      </c>
      <c r="W24" s="17"/>
      <c r="X24" s="17"/>
      <c r="Y24" s="17"/>
      <c r="Z24" s="17"/>
    </row>
    <row r="25">
      <c r="A25" s="404">
        <v>241113.0</v>
      </c>
      <c r="B25" s="404" t="s">
        <v>1480</v>
      </c>
      <c r="C25" s="404" t="s">
        <v>863</v>
      </c>
      <c r="D25" s="404">
        <v>132.0</v>
      </c>
      <c r="E25" s="404">
        <v>131.0</v>
      </c>
      <c r="F25" s="404">
        <v>15.0</v>
      </c>
      <c r="G25" s="405">
        <v>0.115</v>
      </c>
      <c r="H25" s="404" t="s">
        <v>43</v>
      </c>
      <c r="I25" s="405">
        <v>0.076</v>
      </c>
      <c r="J25" s="410">
        <v>54.43</v>
      </c>
      <c r="K25" s="410">
        <v>38.06</v>
      </c>
      <c r="L25" s="410">
        <v>152.84</v>
      </c>
      <c r="M25" s="410">
        <v>152.65</v>
      </c>
      <c r="N25" s="411"/>
      <c r="O25" s="410">
        <v>54.39</v>
      </c>
      <c r="P25" s="410">
        <v>38.0</v>
      </c>
      <c r="Q25" s="410">
        <v>152.78</v>
      </c>
      <c r="R25" s="410">
        <v>152.58</v>
      </c>
      <c r="S25" s="404" t="s">
        <v>102</v>
      </c>
      <c r="T25" s="408"/>
      <c r="U25" s="404" t="s">
        <v>662</v>
      </c>
      <c r="V25" s="17" t="str">
        <f>VLOOKUP(C:C,'1-7 AUG'!C:C,1,0)</f>
        <v>#N/A</v>
      </c>
      <c r="W25" s="17"/>
      <c r="X25" s="17"/>
      <c r="Y25" s="17"/>
      <c r="Z25" s="17"/>
    </row>
    <row r="26">
      <c r="A26" s="404">
        <v>210433.0</v>
      </c>
      <c r="B26" s="404" t="s">
        <v>1312</v>
      </c>
      <c r="C26" s="404" t="s">
        <v>431</v>
      </c>
      <c r="D26" s="404">
        <v>191.0</v>
      </c>
      <c r="E26" s="404">
        <v>181.0</v>
      </c>
      <c r="F26" s="404">
        <v>19.0</v>
      </c>
      <c r="G26" s="405">
        <v>0.105</v>
      </c>
      <c r="H26" s="404" t="s">
        <v>43</v>
      </c>
      <c r="I26" s="405">
        <v>0.077</v>
      </c>
      <c r="J26" s="410">
        <v>54.4</v>
      </c>
      <c r="K26" s="410">
        <v>38.0</v>
      </c>
      <c r="L26" s="410">
        <v>152.78</v>
      </c>
      <c r="M26" s="410">
        <v>152.78</v>
      </c>
      <c r="N26" s="411"/>
      <c r="O26" s="410">
        <v>54.32</v>
      </c>
      <c r="P26" s="410">
        <v>37.92</v>
      </c>
      <c r="Q26" s="410">
        <v>152.54</v>
      </c>
      <c r="R26" s="410">
        <v>152.37</v>
      </c>
      <c r="S26" s="404" t="s">
        <v>102</v>
      </c>
      <c r="T26" s="408"/>
      <c r="U26" s="404" t="s">
        <v>662</v>
      </c>
      <c r="V26" s="17" t="str">
        <f>VLOOKUP(C:C,'1-7 AUG'!C:C,1,0)</f>
        <v>#N/A</v>
      </c>
      <c r="W26" s="17"/>
      <c r="X26" s="17"/>
      <c r="Y26" s="17"/>
      <c r="Z26" s="17"/>
    </row>
    <row r="27">
      <c r="A27" s="404">
        <v>210433.0</v>
      </c>
      <c r="B27" s="404" t="s">
        <v>1481</v>
      </c>
      <c r="C27" s="404" t="s">
        <v>864</v>
      </c>
      <c r="D27" s="404">
        <v>103.0</v>
      </c>
      <c r="E27" s="404">
        <v>88.0</v>
      </c>
      <c r="F27" s="404">
        <v>9.0</v>
      </c>
      <c r="G27" s="405">
        <v>0.102</v>
      </c>
      <c r="H27" s="404" t="s">
        <v>43</v>
      </c>
      <c r="I27" s="405">
        <v>0.08</v>
      </c>
      <c r="J27" s="406">
        <v>52.57</v>
      </c>
      <c r="K27" s="406">
        <v>34.87</v>
      </c>
      <c r="L27" s="406">
        <v>147.8</v>
      </c>
      <c r="M27" s="406">
        <v>147.52</v>
      </c>
      <c r="N27" s="412"/>
      <c r="O27" s="406">
        <v>52.17</v>
      </c>
      <c r="P27" s="406">
        <v>34.77</v>
      </c>
      <c r="Q27" s="406">
        <v>147.1</v>
      </c>
      <c r="R27" s="406">
        <v>147.37</v>
      </c>
      <c r="S27" s="404" t="s">
        <v>102</v>
      </c>
      <c r="T27" s="408"/>
      <c r="U27" s="404" t="s">
        <v>662</v>
      </c>
      <c r="V27" s="17" t="str">
        <f>VLOOKUP(C:C,'1-7 AUG'!C:C,1,0)</f>
        <v>#N/A</v>
      </c>
      <c r="W27" s="17"/>
      <c r="X27" s="17"/>
      <c r="Y27" s="17"/>
      <c r="Z27" s="17"/>
    </row>
    <row r="28">
      <c r="A28" s="404">
        <v>241854.0</v>
      </c>
      <c r="B28" s="404" t="s">
        <v>1482</v>
      </c>
      <c r="C28" s="404" t="s">
        <v>865</v>
      </c>
      <c r="D28" s="404">
        <v>119.0</v>
      </c>
      <c r="E28" s="404">
        <v>118.0</v>
      </c>
      <c r="F28" s="404">
        <v>11.0</v>
      </c>
      <c r="G28" s="405">
        <v>0.093</v>
      </c>
      <c r="H28" s="404" t="s">
        <v>19</v>
      </c>
      <c r="I28" s="405">
        <v>0.025</v>
      </c>
      <c r="J28" s="410">
        <v>50.51</v>
      </c>
      <c r="K28" s="410">
        <v>40.05</v>
      </c>
      <c r="L28" s="410">
        <v>152.35</v>
      </c>
      <c r="M28" s="410">
        <v>152.7</v>
      </c>
      <c r="N28" s="411"/>
      <c r="O28" s="410">
        <v>50.81</v>
      </c>
      <c r="P28" s="410">
        <v>40.17</v>
      </c>
      <c r="Q28" s="410">
        <v>153.02</v>
      </c>
      <c r="R28" s="410">
        <v>153.4</v>
      </c>
      <c r="S28" s="404" t="s">
        <v>102</v>
      </c>
      <c r="T28" s="408"/>
      <c r="U28" s="404" t="s">
        <v>662</v>
      </c>
      <c r="V28" s="17" t="str">
        <f>VLOOKUP(C:C,'1-7 AUG'!C:C,1,0)</f>
        <v>#N/A</v>
      </c>
      <c r="W28" s="17"/>
      <c r="X28" s="17"/>
      <c r="Y28" s="17"/>
      <c r="Z28" s="17"/>
    </row>
    <row r="29">
      <c r="A29" s="404">
        <v>241124.0</v>
      </c>
      <c r="B29" s="404" t="s">
        <v>1483</v>
      </c>
      <c r="C29" s="404" t="s">
        <v>867</v>
      </c>
      <c r="D29" s="404">
        <v>88.0</v>
      </c>
      <c r="E29" s="404">
        <v>87.0</v>
      </c>
      <c r="F29" s="404">
        <v>8.0</v>
      </c>
      <c r="G29" s="405">
        <v>0.092</v>
      </c>
      <c r="H29" s="404" t="s">
        <v>43</v>
      </c>
      <c r="I29" s="405">
        <v>0.057</v>
      </c>
      <c r="J29" s="409">
        <v>54.15</v>
      </c>
      <c r="K29" s="409">
        <v>48.37</v>
      </c>
      <c r="L29" s="406">
        <v>163.33</v>
      </c>
      <c r="M29" s="406">
        <v>163.33</v>
      </c>
      <c r="N29" s="413"/>
      <c r="O29" s="409">
        <v>54.1</v>
      </c>
      <c r="P29" s="409">
        <v>48.32</v>
      </c>
      <c r="Q29" s="409">
        <v>163.14</v>
      </c>
      <c r="R29" s="409">
        <v>162.99</v>
      </c>
      <c r="S29" s="404" t="s">
        <v>102</v>
      </c>
      <c r="T29" s="408"/>
      <c r="U29" s="404" t="s">
        <v>662</v>
      </c>
      <c r="V29" s="17" t="str">
        <f>VLOOKUP(C:C,'1-7 AUG'!C:C,1,0)</f>
        <v>#N/A</v>
      </c>
      <c r="W29" s="17"/>
      <c r="X29" s="17"/>
      <c r="Y29" s="17"/>
      <c r="Z29" s="17"/>
    </row>
    <row r="30">
      <c r="A30" s="404">
        <v>241089.0</v>
      </c>
      <c r="B30" s="404" t="s">
        <v>1484</v>
      </c>
      <c r="C30" s="404" t="s">
        <v>868</v>
      </c>
      <c r="D30" s="404">
        <v>106.0</v>
      </c>
      <c r="E30" s="404">
        <v>98.0</v>
      </c>
      <c r="F30" s="404">
        <v>9.0</v>
      </c>
      <c r="G30" s="405">
        <v>0.092</v>
      </c>
      <c r="H30" s="404" t="s">
        <v>43</v>
      </c>
      <c r="I30" s="405">
        <v>0.071</v>
      </c>
      <c r="J30" s="409">
        <v>60.33</v>
      </c>
      <c r="K30" s="409">
        <v>48.94</v>
      </c>
      <c r="L30" s="409">
        <v>177.28</v>
      </c>
      <c r="M30" s="409">
        <v>177.46</v>
      </c>
      <c r="N30" s="413"/>
      <c r="O30" s="409">
        <v>59.93</v>
      </c>
      <c r="P30" s="409">
        <v>48.4</v>
      </c>
      <c r="Q30" s="409">
        <v>176.47</v>
      </c>
      <c r="R30" s="409">
        <v>176.4</v>
      </c>
      <c r="S30" s="404" t="s">
        <v>102</v>
      </c>
      <c r="T30" s="408"/>
      <c r="U30" s="404" t="s">
        <v>662</v>
      </c>
      <c r="V30" s="17" t="str">
        <f>VLOOKUP(C:C,'1-7 AUG'!C:C,1,0)</f>
        <v>#N/A</v>
      </c>
      <c r="W30" s="17"/>
      <c r="X30" s="17"/>
      <c r="Y30" s="17"/>
      <c r="Z30" s="17"/>
    </row>
    <row r="31">
      <c r="A31" s="404">
        <v>137971.0</v>
      </c>
      <c r="B31" s="404" t="s">
        <v>1485</v>
      </c>
      <c r="C31" s="404" t="s">
        <v>870</v>
      </c>
      <c r="D31" s="404">
        <v>176.0</v>
      </c>
      <c r="E31" s="404">
        <v>176.0</v>
      </c>
      <c r="F31" s="404">
        <v>16.0</v>
      </c>
      <c r="G31" s="405">
        <v>0.091</v>
      </c>
      <c r="H31" s="404" t="s">
        <v>43</v>
      </c>
      <c r="I31" s="405">
        <v>0.073</v>
      </c>
      <c r="J31" s="409">
        <v>52.39</v>
      </c>
      <c r="K31" s="409">
        <v>44.03</v>
      </c>
      <c r="L31" s="409">
        <v>157.25</v>
      </c>
      <c r="M31" s="409">
        <v>157.06</v>
      </c>
      <c r="N31" s="413"/>
      <c r="O31" s="409">
        <v>52.24</v>
      </c>
      <c r="P31" s="409">
        <v>43.79</v>
      </c>
      <c r="Q31" s="409">
        <v>156.81</v>
      </c>
      <c r="R31" s="409">
        <v>156.52</v>
      </c>
      <c r="S31" s="404" t="s">
        <v>102</v>
      </c>
      <c r="T31" s="408"/>
      <c r="U31" s="404" t="s">
        <v>662</v>
      </c>
      <c r="V31" s="17" t="str">
        <f>VLOOKUP(C:C,'1-7 AUG'!C:C,1,0)</f>
        <v>#N/A</v>
      </c>
      <c r="W31" s="17"/>
      <c r="X31" s="17"/>
      <c r="Y31" s="17"/>
      <c r="Z31" s="17"/>
    </row>
    <row r="32">
      <c r="A32" s="404">
        <v>215983.0</v>
      </c>
      <c r="B32" s="404" t="s">
        <v>1452</v>
      </c>
      <c r="C32" s="404" t="s">
        <v>872</v>
      </c>
      <c r="D32" s="404">
        <v>92.0</v>
      </c>
      <c r="E32" s="404">
        <v>91.0</v>
      </c>
      <c r="F32" s="404">
        <v>8.0</v>
      </c>
      <c r="G32" s="405">
        <v>0.088</v>
      </c>
      <c r="H32" s="404" t="s">
        <v>19</v>
      </c>
      <c r="I32" s="405">
        <v>0.056</v>
      </c>
      <c r="J32" s="409">
        <v>51.08</v>
      </c>
      <c r="K32" s="409">
        <v>39.76</v>
      </c>
      <c r="L32" s="409">
        <v>153.16</v>
      </c>
      <c r="M32" s="409">
        <v>153.18</v>
      </c>
      <c r="N32" s="413"/>
      <c r="O32" s="409">
        <v>51.12</v>
      </c>
      <c r="P32" s="409">
        <v>39.8</v>
      </c>
      <c r="Q32" s="409">
        <v>153.08</v>
      </c>
      <c r="R32" s="409">
        <v>152.99</v>
      </c>
      <c r="S32" s="404" t="s">
        <v>102</v>
      </c>
      <c r="T32" s="408"/>
      <c r="U32" s="404" t="s">
        <v>662</v>
      </c>
      <c r="V32" s="17" t="str">
        <f>VLOOKUP(C:C,'1-7 AUG'!C:C,1,0)</f>
        <v>#N/A</v>
      </c>
      <c r="W32" s="17"/>
      <c r="X32" s="17"/>
      <c r="Y32" s="17"/>
      <c r="Z32" s="17"/>
    </row>
    <row r="33">
      <c r="A33" s="404">
        <v>241185.0</v>
      </c>
      <c r="B33" s="404" t="s">
        <v>1486</v>
      </c>
      <c r="C33" s="404" t="s">
        <v>874</v>
      </c>
      <c r="D33" s="404">
        <v>115.0</v>
      </c>
      <c r="E33" s="404">
        <v>115.0</v>
      </c>
      <c r="F33" s="404">
        <v>10.0</v>
      </c>
      <c r="G33" s="405">
        <v>0.087</v>
      </c>
      <c r="H33" s="404" t="s">
        <v>43</v>
      </c>
      <c r="I33" s="405">
        <v>0.009</v>
      </c>
      <c r="J33" s="409">
        <v>50.15</v>
      </c>
      <c r="K33" s="409">
        <v>39.47</v>
      </c>
      <c r="L33" s="409">
        <v>148.57</v>
      </c>
      <c r="M33" s="409">
        <v>148.77</v>
      </c>
      <c r="N33" s="413"/>
      <c r="O33" s="409">
        <v>50.1</v>
      </c>
      <c r="P33" s="409">
        <v>39.29</v>
      </c>
      <c r="Q33" s="409">
        <v>148.57</v>
      </c>
      <c r="R33" s="409">
        <v>148.39</v>
      </c>
      <c r="S33" s="404" t="s">
        <v>102</v>
      </c>
      <c r="T33" s="408"/>
      <c r="U33" s="404" t="s">
        <v>662</v>
      </c>
      <c r="V33" s="17" t="str">
        <f>VLOOKUP(C:C,'1-7 AUG'!C:C,1,0)</f>
        <v>#N/A</v>
      </c>
      <c r="W33" s="17"/>
      <c r="X33" s="17"/>
      <c r="Y33" s="17"/>
      <c r="Z33" s="17"/>
    </row>
    <row r="34">
      <c r="A34" s="404">
        <v>241386.0</v>
      </c>
      <c r="B34" s="404" t="s">
        <v>1482</v>
      </c>
      <c r="C34" s="404" t="s">
        <v>875</v>
      </c>
      <c r="D34" s="404">
        <v>122.0</v>
      </c>
      <c r="E34" s="404">
        <v>120.0</v>
      </c>
      <c r="F34" s="404">
        <v>10.0</v>
      </c>
      <c r="G34" s="405">
        <v>0.083</v>
      </c>
      <c r="H34" s="404" t="s">
        <v>43</v>
      </c>
      <c r="I34" s="405">
        <v>0.025</v>
      </c>
      <c r="J34" s="409">
        <v>51.92</v>
      </c>
      <c r="K34" s="409">
        <v>40.11</v>
      </c>
      <c r="L34" s="409">
        <v>150.8</v>
      </c>
      <c r="M34" s="409">
        <v>151.09</v>
      </c>
      <c r="N34" s="413"/>
      <c r="O34" s="409">
        <v>51.77</v>
      </c>
      <c r="P34" s="409">
        <v>39.92</v>
      </c>
      <c r="Q34" s="409">
        <v>150.79</v>
      </c>
      <c r="R34" s="409">
        <v>150.53</v>
      </c>
      <c r="S34" s="404" t="s">
        <v>102</v>
      </c>
      <c r="T34" s="408"/>
      <c r="U34" s="404" t="s">
        <v>662</v>
      </c>
      <c r="V34" s="17" t="str">
        <f>VLOOKUP(C:C,'1-7 AUG'!C:C,1,0)</f>
        <v>#N/A</v>
      </c>
      <c r="W34" s="17"/>
      <c r="X34" s="17"/>
      <c r="Y34" s="17"/>
      <c r="Z34" s="17"/>
    </row>
    <row r="35">
      <c r="A35" s="404">
        <v>137971.0</v>
      </c>
      <c r="B35" s="404" t="s">
        <v>1487</v>
      </c>
      <c r="C35" s="404" t="s">
        <v>876</v>
      </c>
      <c r="D35" s="404">
        <v>224.0</v>
      </c>
      <c r="E35" s="404">
        <v>220.0</v>
      </c>
      <c r="F35" s="404">
        <v>18.0</v>
      </c>
      <c r="G35" s="405">
        <v>0.082</v>
      </c>
      <c r="H35" s="404" t="s">
        <v>43</v>
      </c>
      <c r="I35" s="405">
        <v>0.059</v>
      </c>
      <c r="J35" s="406">
        <v>52.55</v>
      </c>
      <c r="K35" s="409">
        <v>44.0</v>
      </c>
      <c r="L35" s="409">
        <v>157.3</v>
      </c>
      <c r="M35" s="409">
        <v>157.43</v>
      </c>
      <c r="N35" s="413"/>
      <c r="O35" s="406">
        <v>52.4</v>
      </c>
      <c r="P35" s="409">
        <v>43.85</v>
      </c>
      <c r="Q35" s="409">
        <v>157.04</v>
      </c>
      <c r="R35" s="409">
        <v>157.21</v>
      </c>
      <c r="S35" s="404" t="s">
        <v>102</v>
      </c>
      <c r="T35" s="408"/>
      <c r="U35" s="404" t="s">
        <v>662</v>
      </c>
      <c r="V35" s="17" t="str">
        <f>VLOOKUP(C:C,'1-7 AUG'!C:C,1,0)</f>
        <v>#N/A</v>
      </c>
      <c r="W35" s="17"/>
      <c r="X35" s="17"/>
      <c r="Y35" s="17"/>
      <c r="Z35" s="17"/>
    </row>
    <row r="36">
      <c r="A36" s="404">
        <v>213182.0</v>
      </c>
      <c r="B36" s="404" t="s">
        <v>1356</v>
      </c>
      <c r="C36" s="404" t="s">
        <v>877</v>
      </c>
      <c r="D36" s="404">
        <v>124.0</v>
      </c>
      <c r="E36" s="404">
        <v>111.0</v>
      </c>
      <c r="F36" s="404">
        <v>9.0</v>
      </c>
      <c r="G36" s="405">
        <v>0.081</v>
      </c>
      <c r="H36" s="404" t="s">
        <v>19</v>
      </c>
      <c r="I36" s="405">
        <v>0.053</v>
      </c>
      <c r="J36" s="409">
        <v>54.9</v>
      </c>
      <c r="K36" s="409">
        <v>39.56</v>
      </c>
      <c r="L36" s="409">
        <v>161.09</v>
      </c>
      <c r="M36" s="409">
        <v>160.98</v>
      </c>
      <c r="N36" s="413"/>
      <c r="O36" s="409">
        <v>54.9</v>
      </c>
      <c r="P36" s="409">
        <v>39.64</v>
      </c>
      <c r="Q36" s="409">
        <v>161.09</v>
      </c>
      <c r="R36" s="409">
        <v>160.89</v>
      </c>
      <c r="S36" s="404" t="s">
        <v>102</v>
      </c>
      <c r="T36" s="408"/>
      <c r="U36" s="404" t="s">
        <v>662</v>
      </c>
      <c r="V36" s="17" t="str">
        <f>VLOOKUP(C:C,'1-7 AUG'!C:C,1,0)</f>
        <v>#N/A</v>
      </c>
      <c r="W36" s="17"/>
      <c r="X36" s="17"/>
      <c r="Y36" s="17"/>
      <c r="Z36" s="17"/>
    </row>
    <row r="37">
      <c r="A37" s="404">
        <v>241100.0</v>
      </c>
      <c r="B37" s="404" t="s">
        <v>1488</v>
      </c>
      <c r="C37" s="404" t="s">
        <v>1489</v>
      </c>
      <c r="D37" s="404">
        <v>132.0</v>
      </c>
      <c r="E37" s="404">
        <v>126.0</v>
      </c>
      <c r="F37" s="404">
        <v>10.0</v>
      </c>
      <c r="G37" s="405">
        <v>0.079</v>
      </c>
      <c r="H37" s="404" t="s">
        <v>43</v>
      </c>
      <c r="I37" s="405">
        <v>0.056</v>
      </c>
      <c r="J37" s="404">
        <v>53.74</v>
      </c>
      <c r="K37" s="404">
        <v>42.41</v>
      </c>
      <c r="L37" s="404">
        <v>159.89</v>
      </c>
      <c r="M37" s="404">
        <v>160.2</v>
      </c>
      <c r="N37" s="408"/>
      <c r="O37" s="21">
        <v>53.7</v>
      </c>
      <c r="P37" s="404">
        <v>42.27</v>
      </c>
      <c r="Q37" s="404">
        <v>159.65</v>
      </c>
      <c r="R37" s="404">
        <v>159.72</v>
      </c>
      <c r="S37" s="404" t="s">
        <v>102</v>
      </c>
      <c r="T37" s="408"/>
      <c r="U37" s="404" t="s">
        <v>662</v>
      </c>
      <c r="V37" s="17" t="str">
        <f>VLOOKUP(C:C,'1-7 AUG'!C:C,1,0)</f>
        <v>#N/A</v>
      </c>
      <c r="W37" s="17"/>
      <c r="X37" s="17"/>
      <c r="Y37" s="17"/>
      <c r="Z37" s="408"/>
    </row>
    <row r="38">
      <c r="A38" s="404">
        <v>147022.0</v>
      </c>
      <c r="B38" s="404" t="s">
        <v>1381</v>
      </c>
      <c r="C38" s="404" t="s">
        <v>907</v>
      </c>
      <c r="D38" s="404">
        <v>183.0</v>
      </c>
      <c r="E38" s="404">
        <v>177.0</v>
      </c>
      <c r="F38" s="404">
        <v>13.0</v>
      </c>
      <c r="G38" s="405">
        <v>0.073</v>
      </c>
      <c r="H38" s="404" t="s">
        <v>43</v>
      </c>
      <c r="I38" s="405">
        <v>0.056</v>
      </c>
      <c r="J38" s="404">
        <v>56.9</v>
      </c>
      <c r="K38" s="404">
        <v>46.05</v>
      </c>
      <c r="L38" s="404">
        <v>170.19</v>
      </c>
      <c r="M38" s="404">
        <v>170.39</v>
      </c>
      <c r="N38" s="408"/>
      <c r="O38" s="404">
        <v>56.72</v>
      </c>
      <c r="P38" s="404">
        <v>45.7</v>
      </c>
      <c r="Q38" s="404">
        <v>169.52</v>
      </c>
      <c r="R38" s="404">
        <v>169.44</v>
      </c>
      <c r="S38" s="404" t="s">
        <v>102</v>
      </c>
      <c r="T38" s="408"/>
      <c r="U38" s="404" t="s">
        <v>662</v>
      </c>
      <c r="V38" s="17" t="str">
        <f>VLOOKUP(C:C,'1-7 AUG'!C:C,1,0)</f>
        <v>#N/A</v>
      </c>
      <c r="W38" s="17"/>
      <c r="X38" s="17"/>
      <c r="Y38" s="17"/>
      <c r="Z38" s="17"/>
    </row>
    <row r="39">
      <c r="A39" s="404">
        <v>146653.0</v>
      </c>
      <c r="B39" s="404" t="s">
        <v>1490</v>
      </c>
      <c r="C39" s="404" t="s">
        <v>108</v>
      </c>
      <c r="D39" s="404">
        <v>291.0</v>
      </c>
      <c r="E39" s="404">
        <v>286.0</v>
      </c>
      <c r="F39" s="404">
        <v>21.0</v>
      </c>
      <c r="G39" s="405">
        <v>0.073</v>
      </c>
      <c r="H39" s="408"/>
      <c r="I39" s="405">
        <v>0.0</v>
      </c>
      <c r="J39" s="404" t="s">
        <v>1352</v>
      </c>
      <c r="S39" s="404" t="s">
        <v>102</v>
      </c>
      <c r="T39" s="408"/>
      <c r="U39" s="404" t="s">
        <v>662</v>
      </c>
      <c r="V39" s="17" t="str">
        <f>VLOOKUP(C:C,'1-7 AUG'!C:C,1,0)</f>
        <v>#N/A</v>
      </c>
      <c r="W39" s="17"/>
      <c r="X39" s="17"/>
      <c r="Y39" s="17"/>
      <c r="Z39" s="17"/>
    </row>
    <row r="40">
      <c r="A40" s="404">
        <v>220577.0</v>
      </c>
      <c r="B40" s="404" t="s">
        <v>1491</v>
      </c>
      <c r="C40" s="404" t="s">
        <v>584</v>
      </c>
      <c r="D40" s="404">
        <v>166.0</v>
      </c>
      <c r="E40" s="404">
        <v>150.0</v>
      </c>
      <c r="F40" s="404">
        <v>11.0</v>
      </c>
      <c r="G40" s="405">
        <v>0.073</v>
      </c>
      <c r="H40" s="404" t="s">
        <v>43</v>
      </c>
      <c r="I40" s="405">
        <v>0.053</v>
      </c>
      <c r="J40" s="404">
        <v>53.91</v>
      </c>
      <c r="K40" s="404">
        <v>39.35</v>
      </c>
      <c r="L40" s="404">
        <v>156.23</v>
      </c>
      <c r="M40" s="404">
        <v>156.06</v>
      </c>
      <c r="N40" s="408"/>
      <c r="O40" s="404">
        <v>53.86</v>
      </c>
      <c r="P40" s="404">
        <v>39.16</v>
      </c>
      <c r="Q40" s="404">
        <v>155.95</v>
      </c>
      <c r="R40" s="404">
        <v>155.95</v>
      </c>
      <c r="S40" s="404" t="s">
        <v>102</v>
      </c>
      <c r="T40" s="408"/>
      <c r="U40" s="404" t="s">
        <v>662</v>
      </c>
      <c r="V40" s="17" t="str">
        <f>VLOOKUP(C:C,'1-7 AUG'!C:C,1,0)</f>
        <v>#N/A</v>
      </c>
      <c r="W40" s="17"/>
      <c r="X40" s="17"/>
      <c r="Y40" s="17"/>
      <c r="Z40" s="17"/>
    </row>
    <row r="41">
      <c r="A41" s="404">
        <v>204392.0</v>
      </c>
      <c r="B41" s="404" t="s">
        <v>1492</v>
      </c>
      <c r="C41" s="404" t="s">
        <v>1493</v>
      </c>
      <c r="D41" s="404">
        <v>151.0</v>
      </c>
      <c r="E41" s="404">
        <v>149.0</v>
      </c>
      <c r="F41" s="404">
        <v>10.0</v>
      </c>
      <c r="G41" s="405">
        <v>0.067</v>
      </c>
      <c r="H41" s="404" t="s">
        <v>19</v>
      </c>
      <c r="I41" s="405">
        <v>0.04</v>
      </c>
      <c r="J41" s="404">
        <v>44.37</v>
      </c>
      <c r="K41" s="404">
        <v>37.02</v>
      </c>
      <c r="L41" s="404">
        <v>130.73</v>
      </c>
      <c r="M41" s="404">
        <v>130.28</v>
      </c>
      <c r="N41" s="408"/>
      <c r="O41" s="404">
        <v>44.22</v>
      </c>
      <c r="P41" s="21">
        <v>36.98</v>
      </c>
      <c r="Q41" s="404">
        <v>130.68</v>
      </c>
      <c r="R41" s="404">
        <v>130.02</v>
      </c>
      <c r="S41" s="404" t="s">
        <v>102</v>
      </c>
      <c r="T41" s="408"/>
      <c r="U41" s="404" t="s">
        <v>662</v>
      </c>
      <c r="V41" s="17" t="str">
        <f>VLOOKUP(C:C,'1-7 AUG'!C:C,1,0)</f>
        <v>#N/A</v>
      </c>
      <c r="W41" s="17"/>
      <c r="X41" s="17"/>
      <c r="Y41" s="17"/>
      <c r="Z41" s="17"/>
    </row>
    <row r="42">
      <c r="A42" s="404">
        <v>234791.0</v>
      </c>
      <c r="B42" s="404" t="s">
        <v>1494</v>
      </c>
      <c r="C42" s="404" t="s">
        <v>1495</v>
      </c>
      <c r="D42" s="404">
        <v>298.0</v>
      </c>
      <c r="E42" s="404">
        <v>295.0</v>
      </c>
      <c r="F42" s="404">
        <v>17.0</v>
      </c>
      <c r="G42" s="405">
        <v>0.058</v>
      </c>
      <c r="H42" s="404" t="s">
        <v>43</v>
      </c>
      <c r="I42" s="405">
        <v>0.034</v>
      </c>
      <c r="J42" s="404">
        <v>50.18</v>
      </c>
      <c r="K42" s="404">
        <v>43.29</v>
      </c>
      <c r="L42" s="404">
        <v>150.98</v>
      </c>
      <c r="M42" s="404">
        <v>150.94</v>
      </c>
      <c r="N42" s="408"/>
      <c r="O42" s="404">
        <v>49.94</v>
      </c>
      <c r="P42" s="404">
        <v>42.98</v>
      </c>
      <c r="Q42" s="404">
        <v>150.54</v>
      </c>
      <c r="R42" s="404">
        <v>150.6</v>
      </c>
      <c r="S42" s="404" t="s">
        <v>102</v>
      </c>
      <c r="T42" s="408"/>
      <c r="U42" s="404" t="s">
        <v>662</v>
      </c>
      <c r="V42" s="17" t="str">
        <f>VLOOKUP(C:C,'1-7 AUG'!C:C,1,0)</f>
        <v>#N/A</v>
      </c>
      <c r="W42" s="17"/>
      <c r="X42" s="17"/>
      <c r="Y42" s="17"/>
      <c r="Z42" s="17"/>
    </row>
    <row r="43">
      <c r="A43" s="404">
        <v>151528.0</v>
      </c>
      <c r="B43" s="404" t="s">
        <v>1496</v>
      </c>
      <c r="C43" s="404" t="s">
        <v>1497</v>
      </c>
      <c r="D43" s="404">
        <v>190.0</v>
      </c>
      <c r="E43" s="404">
        <v>181.0</v>
      </c>
      <c r="F43" s="404">
        <v>10.0</v>
      </c>
      <c r="G43" s="405">
        <v>0.055</v>
      </c>
      <c r="H43" s="404" t="s">
        <v>43</v>
      </c>
      <c r="I43" s="405">
        <v>0.033</v>
      </c>
      <c r="J43" s="404">
        <v>51.83</v>
      </c>
      <c r="K43" s="404">
        <v>36.25</v>
      </c>
      <c r="L43" s="404">
        <v>149.79</v>
      </c>
      <c r="M43" s="404">
        <v>150.21</v>
      </c>
      <c r="N43" s="408"/>
      <c r="O43" s="404">
        <v>51.78</v>
      </c>
      <c r="P43" s="404">
        <v>35.62</v>
      </c>
      <c r="Q43" s="404">
        <v>149.58</v>
      </c>
      <c r="R43" s="404">
        <v>149.02</v>
      </c>
      <c r="S43" s="404" t="s">
        <v>102</v>
      </c>
      <c r="T43" s="408"/>
      <c r="U43" s="404" t="s">
        <v>662</v>
      </c>
      <c r="V43" s="17" t="str">
        <f>VLOOKUP(C:C,'1-7 AUG'!C:C,1,0)</f>
        <v>#N/A</v>
      </c>
      <c r="W43" s="17"/>
      <c r="X43" s="17"/>
      <c r="Y43" s="17"/>
      <c r="Z43" s="17"/>
    </row>
    <row r="44">
      <c r="A44" s="404">
        <v>243271.0</v>
      </c>
      <c r="B44" s="404" t="s">
        <v>1354</v>
      </c>
      <c r="C44" s="404" t="s">
        <v>892</v>
      </c>
      <c r="D44" s="404">
        <v>240.0</v>
      </c>
      <c r="E44" s="404">
        <v>222.0</v>
      </c>
      <c r="F44" s="404">
        <v>12.0</v>
      </c>
      <c r="G44" s="405">
        <v>0.054</v>
      </c>
      <c r="H44" s="404" t="s">
        <v>43</v>
      </c>
      <c r="I44" s="405">
        <v>0.041</v>
      </c>
      <c r="J44" s="404">
        <v>53.26</v>
      </c>
      <c r="K44" s="404">
        <v>39.68</v>
      </c>
      <c r="L44" s="404">
        <v>155.47</v>
      </c>
      <c r="M44" s="404">
        <v>155.56</v>
      </c>
      <c r="N44" s="408"/>
      <c r="O44" s="404">
        <v>53.18</v>
      </c>
      <c r="P44" s="404">
        <v>39.6</v>
      </c>
      <c r="Q44" s="404">
        <v>155.18</v>
      </c>
      <c r="R44" s="404">
        <v>155.32</v>
      </c>
      <c r="S44" s="404" t="s">
        <v>102</v>
      </c>
      <c r="T44" s="408"/>
      <c r="U44" s="404" t="s">
        <v>662</v>
      </c>
      <c r="V44" s="17" t="str">
        <f>VLOOKUP(C:C,'1-7 AUG'!C:C,1,0)</f>
        <v>243271.LSK26060502-A8</v>
      </c>
      <c r="W44" s="17"/>
      <c r="X44" s="17"/>
      <c r="Y44" s="17"/>
      <c r="Z44" s="17"/>
    </row>
    <row r="45">
      <c r="A45" s="404">
        <v>227606.0</v>
      </c>
      <c r="B45" s="404" t="s">
        <v>1498</v>
      </c>
      <c r="C45" s="404" t="s">
        <v>111</v>
      </c>
      <c r="D45" s="404">
        <v>529.0</v>
      </c>
      <c r="E45" s="404">
        <v>500.0</v>
      </c>
      <c r="F45" s="404">
        <v>27.0</v>
      </c>
      <c r="G45" s="405">
        <v>0.054</v>
      </c>
      <c r="H45" s="404" t="s">
        <v>43</v>
      </c>
      <c r="I45" s="405">
        <v>0.04</v>
      </c>
      <c r="J45" s="404">
        <v>51.45</v>
      </c>
      <c r="K45" s="404">
        <v>34.45</v>
      </c>
      <c r="L45" s="404">
        <v>148.35</v>
      </c>
      <c r="M45" s="404">
        <v>148.05</v>
      </c>
      <c r="N45" s="408"/>
      <c r="O45" s="404">
        <v>51.3</v>
      </c>
      <c r="P45" s="404">
        <v>34.4</v>
      </c>
      <c r="Q45" s="404">
        <v>148.01</v>
      </c>
      <c r="R45" s="404">
        <v>147.94</v>
      </c>
      <c r="S45" s="404" t="s">
        <v>102</v>
      </c>
      <c r="T45" s="408"/>
      <c r="U45" s="404" t="s">
        <v>662</v>
      </c>
      <c r="V45" s="17" t="str">
        <f>VLOOKUP(C:C,'1-7 AUG'!C:C,1,0)</f>
        <v>#N/A</v>
      </c>
      <c r="W45" s="17"/>
      <c r="X45" s="17"/>
      <c r="Y45" s="17"/>
      <c r="Z45" s="17"/>
    </row>
    <row r="46">
      <c r="A46" s="404">
        <v>219754.0</v>
      </c>
      <c r="B46" s="404" t="s">
        <v>1499</v>
      </c>
      <c r="C46" s="404" t="s">
        <v>1500</v>
      </c>
      <c r="D46" s="404">
        <v>219.0</v>
      </c>
      <c r="E46" s="404">
        <v>209.0</v>
      </c>
      <c r="F46" s="404">
        <v>11.0</v>
      </c>
      <c r="G46" s="405">
        <v>0.053</v>
      </c>
      <c r="H46" s="408"/>
      <c r="I46" s="405">
        <v>0.0</v>
      </c>
      <c r="J46" s="404" t="s">
        <v>1352</v>
      </c>
      <c r="S46" s="404" t="s">
        <v>102</v>
      </c>
      <c r="T46" s="408"/>
      <c r="U46" s="404" t="s">
        <v>662</v>
      </c>
      <c r="V46" s="17" t="str">
        <f>VLOOKUP(C:C,'1-7 AUG'!C:C,1,0)</f>
        <v>#N/A</v>
      </c>
      <c r="W46" s="17"/>
      <c r="X46" s="17"/>
      <c r="Y46" s="17"/>
      <c r="Z46" s="17"/>
    </row>
    <row r="47">
      <c r="A47" s="404">
        <v>245902.0</v>
      </c>
      <c r="B47" s="404" t="s">
        <v>1403</v>
      </c>
      <c r="C47" s="404" t="s">
        <v>1501</v>
      </c>
      <c r="D47" s="404">
        <v>185.0</v>
      </c>
      <c r="E47" s="404">
        <v>177.0</v>
      </c>
      <c r="F47" s="404">
        <v>9.0</v>
      </c>
      <c r="G47" s="405">
        <v>0.051</v>
      </c>
      <c r="H47" s="404" t="s">
        <v>43</v>
      </c>
      <c r="I47" s="405">
        <v>0.028</v>
      </c>
      <c r="J47" s="404">
        <v>56.55</v>
      </c>
      <c r="K47" s="404">
        <v>43.33</v>
      </c>
      <c r="L47" s="404">
        <v>165.81</v>
      </c>
      <c r="M47" s="404">
        <v>166.07</v>
      </c>
      <c r="N47" s="408"/>
      <c r="O47" s="404">
        <v>56.4</v>
      </c>
      <c r="P47" s="404">
        <v>43.12</v>
      </c>
      <c r="Q47" s="404">
        <v>165.5</v>
      </c>
      <c r="R47" s="404">
        <v>165.7</v>
      </c>
      <c r="S47" s="404" t="s">
        <v>102</v>
      </c>
      <c r="T47" s="408"/>
      <c r="U47" s="404" t="s">
        <v>662</v>
      </c>
      <c r="V47" s="17" t="str">
        <f>VLOOKUP(C:C,'1-7 AUG'!C:C,1,0)</f>
        <v>245902.FKS26210E</v>
      </c>
      <c r="W47" s="17"/>
      <c r="X47" s="17"/>
      <c r="Y47" s="17"/>
      <c r="Z47" s="17"/>
    </row>
    <row r="48">
      <c r="A48" s="414">
        <v>46245.54207688657</v>
      </c>
      <c r="B48" s="17"/>
      <c r="C48" s="10" t="s">
        <v>157</v>
      </c>
      <c r="D48" s="17"/>
      <c r="E48" s="17"/>
      <c r="F48" s="17"/>
      <c r="G48" s="17"/>
      <c r="H48" s="10" t="s">
        <v>19</v>
      </c>
      <c r="I48" s="10">
        <v>49.58</v>
      </c>
      <c r="J48" s="10">
        <v>49.58</v>
      </c>
      <c r="K48" s="10">
        <v>41.95</v>
      </c>
      <c r="L48" s="10">
        <v>148.89</v>
      </c>
      <c r="M48" s="10">
        <v>148.89</v>
      </c>
      <c r="N48" s="17"/>
      <c r="O48" s="10">
        <v>50.05</v>
      </c>
      <c r="P48" s="10">
        <v>42.56</v>
      </c>
      <c r="Q48" s="10">
        <v>150.89</v>
      </c>
      <c r="R48" s="10">
        <v>151.06</v>
      </c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4">
    <mergeCell ref="J3:R3"/>
    <mergeCell ref="J13:R13"/>
    <mergeCell ref="J39:R39"/>
    <mergeCell ref="J46:R46"/>
  </mergeCells>
  <dataValidations>
    <dataValidation type="list" allowBlank="1" showErrorMessage="1" sqref="S2:S47">
      <formula1>"ADITI,AMIRUN,GEETANJALI,DHAVAL,DEEPANSHU,DEVENDAR"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0"/>
  </cols>
  <sheetData>
    <row r="1">
      <c r="A1" s="238" t="s">
        <v>1502</v>
      </c>
      <c r="B1" s="150" t="s">
        <v>1503</v>
      </c>
      <c r="C1" s="150" t="s">
        <v>681</v>
      </c>
      <c r="D1" s="150" t="s">
        <v>657</v>
      </c>
      <c r="E1" s="150" t="s">
        <v>672</v>
      </c>
      <c r="F1" s="150" t="s">
        <v>658</v>
      </c>
      <c r="G1" s="150" t="s">
        <v>659</v>
      </c>
      <c r="H1" s="150" t="s">
        <v>660</v>
      </c>
      <c r="I1" s="151" t="s">
        <v>661</v>
      </c>
      <c r="J1" s="1" t="s">
        <v>881</v>
      </c>
    </row>
    <row r="2" hidden="1">
      <c r="A2" s="389">
        <v>204392.0</v>
      </c>
      <c r="B2" s="181" t="s">
        <v>37</v>
      </c>
      <c r="C2" s="181" t="s">
        <v>114</v>
      </c>
      <c r="D2" s="182">
        <v>101.0</v>
      </c>
      <c r="E2" s="203">
        <v>0.6</v>
      </c>
      <c r="F2" s="182">
        <v>93.0</v>
      </c>
      <c r="G2" s="182">
        <v>10.0</v>
      </c>
      <c r="H2" s="183">
        <v>0.108</v>
      </c>
      <c r="I2" s="393" t="s">
        <v>885</v>
      </c>
      <c r="J2" s="404" t="s">
        <v>885</v>
      </c>
    </row>
    <row r="3" hidden="1">
      <c r="A3" s="384">
        <v>241119.0</v>
      </c>
      <c r="B3" s="185" t="s">
        <v>1504</v>
      </c>
      <c r="C3" s="185" t="s">
        <v>116</v>
      </c>
      <c r="D3" s="186">
        <v>69.0</v>
      </c>
      <c r="E3" s="205">
        <v>0.43</v>
      </c>
      <c r="F3" s="186">
        <v>59.0</v>
      </c>
      <c r="G3" s="186">
        <v>10.0</v>
      </c>
      <c r="H3" s="187">
        <v>0.169</v>
      </c>
      <c r="I3" s="388" t="s">
        <v>662</v>
      </c>
      <c r="J3" s="404" t="s">
        <v>885</v>
      </c>
    </row>
    <row r="4" hidden="1">
      <c r="A4" s="389">
        <v>147021.0</v>
      </c>
      <c r="B4" s="181" t="s">
        <v>1505</v>
      </c>
      <c r="C4" s="181" t="s">
        <v>121</v>
      </c>
      <c r="D4" s="182">
        <v>128.0</v>
      </c>
      <c r="E4" s="203">
        <v>0.55</v>
      </c>
      <c r="F4" s="182">
        <v>114.0</v>
      </c>
      <c r="G4" s="182">
        <v>9.0</v>
      </c>
      <c r="H4" s="183">
        <v>0.079</v>
      </c>
      <c r="I4" s="393" t="s">
        <v>662</v>
      </c>
      <c r="J4" s="404" t="s">
        <v>885</v>
      </c>
    </row>
    <row r="5">
      <c r="A5" s="389">
        <v>244798.0</v>
      </c>
      <c r="B5" s="181" t="s">
        <v>860</v>
      </c>
      <c r="C5" s="181" t="s">
        <v>142</v>
      </c>
      <c r="D5" s="182">
        <v>6.0</v>
      </c>
      <c r="E5" s="203">
        <v>1.0</v>
      </c>
      <c r="F5" s="182">
        <v>5.0</v>
      </c>
      <c r="G5" s="182">
        <v>5.0</v>
      </c>
      <c r="H5" s="183">
        <v>1.0</v>
      </c>
      <c r="I5" s="415"/>
      <c r="J5" s="404" t="s">
        <v>885</v>
      </c>
    </row>
    <row r="6" hidden="1">
      <c r="A6" s="389">
        <v>227571.0</v>
      </c>
      <c r="B6" s="181" t="s">
        <v>1094</v>
      </c>
      <c r="C6" s="181" t="s">
        <v>94</v>
      </c>
      <c r="D6" s="182">
        <v>43.0</v>
      </c>
      <c r="E6" s="203">
        <v>1.0</v>
      </c>
      <c r="F6" s="182">
        <v>32.0</v>
      </c>
      <c r="G6" s="182">
        <v>8.0</v>
      </c>
      <c r="H6" s="183">
        <v>0.25</v>
      </c>
      <c r="I6" s="393" t="s">
        <v>662</v>
      </c>
      <c r="J6" s="404" t="s">
        <v>885</v>
      </c>
    </row>
    <row r="7" hidden="1">
      <c r="A7" s="384">
        <v>239021.0</v>
      </c>
      <c r="B7" s="185" t="s">
        <v>1506</v>
      </c>
      <c r="C7" s="185" t="s">
        <v>122</v>
      </c>
      <c r="D7" s="186">
        <v>263.0</v>
      </c>
      <c r="E7" s="205">
        <v>0.79</v>
      </c>
      <c r="F7" s="186">
        <v>245.0</v>
      </c>
      <c r="G7" s="186">
        <v>8.0</v>
      </c>
      <c r="H7" s="187">
        <v>0.033</v>
      </c>
      <c r="I7" s="388" t="s">
        <v>662</v>
      </c>
      <c r="J7" s="404" t="s">
        <v>885</v>
      </c>
    </row>
    <row r="8">
      <c r="A8" s="389">
        <v>234804.0</v>
      </c>
      <c r="B8" s="181" t="s">
        <v>1507</v>
      </c>
      <c r="C8" s="181" t="s">
        <v>143</v>
      </c>
      <c r="D8" s="182">
        <v>6.0</v>
      </c>
      <c r="E8" s="203">
        <v>0.08</v>
      </c>
      <c r="F8" s="182">
        <v>5.0</v>
      </c>
      <c r="G8" s="182">
        <v>4.0</v>
      </c>
      <c r="H8" s="183">
        <v>0.8</v>
      </c>
      <c r="I8" s="393" t="s">
        <v>662</v>
      </c>
      <c r="J8" s="404" t="s">
        <v>885</v>
      </c>
    </row>
    <row r="9" hidden="1">
      <c r="A9" s="384">
        <v>134951.0</v>
      </c>
      <c r="B9" s="185" t="s">
        <v>1508</v>
      </c>
      <c r="C9" s="185" t="s">
        <v>113</v>
      </c>
      <c r="D9" s="186">
        <v>22.0</v>
      </c>
      <c r="E9" s="205">
        <v>0.85</v>
      </c>
      <c r="F9" s="186">
        <v>20.0</v>
      </c>
      <c r="G9" s="186">
        <v>7.0</v>
      </c>
      <c r="H9" s="187">
        <v>0.35</v>
      </c>
      <c r="I9" s="388" t="s">
        <v>662</v>
      </c>
      <c r="J9" s="404" t="s">
        <v>885</v>
      </c>
    </row>
    <row r="10" hidden="1">
      <c r="A10" s="389">
        <v>237932.0</v>
      </c>
      <c r="B10" s="181" t="s">
        <v>1097</v>
      </c>
      <c r="C10" s="181" t="s">
        <v>128</v>
      </c>
      <c r="D10" s="182">
        <v>27.0</v>
      </c>
      <c r="E10" s="203">
        <v>0.29</v>
      </c>
      <c r="F10" s="182">
        <v>17.0</v>
      </c>
      <c r="G10" s="182">
        <v>7.0</v>
      </c>
      <c r="H10" s="183">
        <v>0.412</v>
      </c>
      <c r="I10" s="393" t="s">
        <v>662</v>
      </c>
      <c r="J10" s="404" t="s">
        <v>1509</v>
      </c>
    </row>
    <row r="11" hidden="1">
      <c r="A11" s="389">
        <v>219952.0</v>
      </c>
      <c r="B11" s="181" t="s">
        <v>1510</v>
      </c>
      <c r="C11" s="181" t="s">
        <v>130</v>
      </c>
      <c r="D11" s="182">
        <v>27.0</v>
      </c>
      <c r="E11" s="203">
        <v>0.19</v>
      </c>
      <c r="F11" s="182">
        <v>22.0</v>
      </c>
      <c r="G11" s="182">
        <v>5.0</v>
      </c>
      <c r="H11" s="183">
        <v>0.227</v>
      </c>
      <c r="I11" s="393" t="s">
        <v>662</v>
      </c>
      <c r="J11" s="404" t="s">
        <v>885</v>
      </c>
      <c r="K11" s="240" t="str">
        <f>VLOOKUP(C:C,'Tracing New Correction'!D80:D113,1,0)</f>
        <v>219952.SLK260408B</v>
      </c>
    </row>
    <row r="12" hidden="1">
      <c r="A12" s="389">
        <v>241075.0</v>
      </c>
      <c r="B12" s="181" t="s">
        <v>1504</v>
      </c>
      <c r="C12" s="181" t="s">
        <v>120</v>
      </c>
      <c r="D12" s="182">
        <v>42.0</v>
      </c>
      <c r="E12" s="203">
        <v>0.89</v>
      </c>
      <c r="F12" s="182">
        <v>36.0</v>
      </c>
      <c r="G12" s="182">
        <v>8.0</v>
      </c>
      <c r="H12" s="183">
        <v>0.222</v>
      </c>
      <c r="I12" s="393" t="s">
        <v>662</v>
      </c>
      <c r="J12" s="404" t="s">
        <v>885</v>
      </c>
      <c r="K12" s="240" t="str">
        <f>VLOOKUP(C:C,'Tracing New Correction'!D81:D114,1,0)</f>
        <v>241075.IRJ127B2C0001561</v>
      </c>
    </row>
    <row r="13">
      <c r="A13" s="384">
        <v>245621.0</v>
      </c>
      <c r="B13" s="185" t="s">
        <v>1511</v>
      </c>
      <c r="C13" s="185" t="s">
        <v>144</v>
      </c>
      <c r="D13" s="186">
        <v>26.0</v>
      </c>
      <c r="E13" s="205">
        <v>0.58</v>
      </c>
      <c r="F13" s="186">
        <v>26.0</v>
      </c>
      <c r="G13" s="186">
        <v>4.0</v>
      </c>
      <c r="H13" s="187">
        <v>0.154</v>
      </c>
      <c r="I13" s="416"/>
      <c r="J13" s="404" t="s">
        <v>885</v>
      </c>
    </row>
    <row r="14" hidden="1">
      <c r="A14" s="384">
        <v>241854.0</v>
      </c>
      <c r="B14" s="185" t="s">
        <v>1512</v>
      </c>
      <c r="C14" s="185" t="s">
        <v>110</v>
      </c>
      <c r="D14" s="186">
        <v>85.0</v>
      </c>
      <c r="E14" s="205">
        <v>0.56</v>
      </c>
      <c r="F14" s="186">
        <v>71.0</v>
      </c>
      <c r="G14" s="186">
        <v>7.0</v>
      </c>
      <c r="H14" s="187">
        <v>0.099</v>
      </c>
      <c r="I14" s="388" t="s">
        <v>662</v>
      </c>
      <c r="J14" s="404" t="s">
        <v>885</v>
      </c>
    </row>
    <row r="15" hidden="1">
      <c r="A15" s="384">
        <v>207551.0</v>
      </c>
      <c r="B15" s="185" t="s">
        <v>1513</v>
      </c>
      <c r="C15" s="185" t="s">
        <v>127</v>
      </c>
      <c r="D15" s="186">
        <v>46.0</v>
      </c>
      <c r="E15" s="205">
        <v>0.51</v>
      </c>
      <c r="F15" s="186">
        <v>41.0</v>
      </c>
      <c r="G15" s="186">
        <v>6.0</v>
      </c>
      <c r="H15" s="187">
        <v>0.146</v>
      </c>
      <c r="I15" s="388" t="s">
        <v>662</v>
      </c>
      <c r="J15" s="404" t="s">
        <v>885</v>
      </c>
    </row>
    <row r="16" hidden="1">
      <c r="A16" s="384">
        <v>217644.0</v>
      </c>
      <c r="B16" s="185" t="s">
        <v>1514</v>
      </c>
      <c r="C16" s="185" t="s">
        <v>126</v>
      </c>
      <c r="D16" s="186">
        <v>147.0</v>
      </c>
      <c r="E16" s="205">
        <v>0.38</v>
      </c>
      <c r="F16" s="186">
        <v>123.0</v>
      </c>
      <c r="G16" s="186">
        <v>6.0</v>
      </c>
      <c r="H16" s="187">
        <v>0.049</v>
      </c>
      <c r="I16" s="388" t="s">
        <v>662</v>
      </c>
      <c r="J16" s="404" t="s">
        <v>885</v>
      </c>
    </row>
    <row r="17" hidden="1">
      <c r="A17" s="384">
        <v>148908.0</v>
      </c>
      <c r="B17" s="185" t="s">
        <v>1515</v>
      </c>
      <c r="C17" s="185" t="s">
        <v>125</v>
      </c>
      <c r="D17" s="186">
        <v>71.0</v>
      </c>
      <c r="E17" s="205">
        <v>1.0</v>
      </c>
      <c r="F17" s="186">
        <v>62.0</v>
      </c>
      <c r="G17" s="186">
        <v>5.0</v>
      </c>
      <c r="H17" s="187">
        <v>0.081</v>
      </c>
      <c r="I17" s="388" t="s">
        <v>662</v>
      </c>
      <c r="J17" s="404" t="s">
        <v>885</v>
      </c>
    </row>
    <row r="18" hidden="1">
      <c r="A18" s="389">
        <v>208951.0</v>
      </c>
      <c r="B18" s="181" t="s">
        <v>1516</v>
      </c>
      <c r="C18" s="181" t="s">
        <v>1517</v>
      </c>
      <c r="D18" s="182">
        <v>204.0</v>
      </c>
      <c r="E18" s="203">
        <v>0.24</v>
      </c>
      <c r="F18" s="182">
        <v>194.0</v>
      </c>
      <c r="G18" s="182">
        <v>5.0</v>
      </c>
      <c r="H18" s="183">
        <v>0.026</v>
      </c>
      <c r="I18" s="393" t="s">
        <v>662</v>
      </c>
      <c r="J18" s="404" t="s">
        <v>1289</v>
      </c>
    </row>
    <row r="19">
      <c r="A19" s="384">
        <v>246226.0</v>
      </c>
      <c r="B19" s="185" t="s">
        <v>1518</v>
      </c>
      <c r="C19" s="242" t="str">
        <f>A19&amp;"."&amp;B19</f>
        <v>246226.LSK26071201-A4</v>
      </c>
      <c r="D19" s="186">
        <v>35.0</v>
      </c>
      <c r="E19" s="205">
        <v>0.7</v>
      </c>
      <c r="F19" s="186">
        <v>29.0</v>
      </c>
      <c r="G19" s="186">
        <v>4.0</v>
      </c>
      <c r="H19" s="187">
        <v>0.138</v>
      </c>
      <c r="I19" s="416"/>
      <c r="J19" s="404" t="s">
        <v>1402</v>
      </c>
    </row>
    <row r="20">
      <c r="A20" s="389">
        <v>218967.0</v>
      </c>
      <c r="B20" s="181" t="s">
        <v>1519</v>
      </c>
      <c r="C20" s="181" t="s">
        <v>145</v>
      </c>
      <c r="D20" s="182">
        <v>40.0</v>
      </c>
      <c r="E20" s="203">
        <v>0.62</v>
      </c>
      <c r="F20" s="182">
        <v>36.0</v>
      </c>
      <c r="G20" s="182">
        <v>4.0</v>
      </c>
      <c r="H20" s="183">
        <v>0.111</v>
      </c>
      <c r="I20" s="393" t="s">
        <v>662</v>
      </c>
      <c r="J20" s="404" t="s">
        <v>885</v>
      </c>
    </row>
    <row r="21">
      <c r="A21" s="384">
        <v>236356.0</v>
      </c>
      <c r="B21" s="185" t="s">
        <v>1520</v>
      </c>
      <c r="C21" s="185" t="s">
        <v>1521</v>
      </c>
      <c r="D21" s="186">
        <v>40.0</v>
      </c>
      <c r="E21" s="205">
        <v>0.63</v>
      </c>
      <c r="F21" s="186">
        <v>37.0</v>
      </c>
      <c r="G21" s="186">
        <v>4.0</v>
      </c>
      <c r="H21" s="187">
        <v>0.108</v>
      </c>
      <c r="I21" s="388" t="s">
        <v>694</v>
      </c>
      <c r="J21" s="404" t="e">
        <v>#N/A</v>
      </c>
    </row>
    <row r="22">
      <c r="A22" s="384">
        <v>137971.0</v>
      </c>
      <c r="B22" s="185" t="s">
        <v>833</v>
      </c>
      <c r="C22" s="185" t="s">
        <v>172</v>
      </c>
      <c r="D22" s="186">
        <v>36.0</v>
      </c>
      <c r="E22" s="205">
        <v>0.17</v>
      </c>
      <c r="F22" s="186">
        <v>38.0</v>
      </c>
      <c r="G22" s="186">
        <v>4.0</v>
      </c>
      <c r="H22" s="187">
        <v>0.105</v>
      </c>
      <c r="I22" s="388" t="s">
        <v>662</v>
      </c>
      <c r="J22" s="404" t="e">
        <v>#N/A</v>
      </c>
    </row>
    <row r="23">
      <c r="A23" s="384">
        <v>147021.0</v>
      </c>
      <c r="B23" s="185" t="s">
        <v>1522</v>
      </c>
      <c r="C23" s="185" t="s">
        <v>1523</v>
      </c>
      <c r="D23" s="186">
        <v>83.0</v>
      </c>
      <c r="E23" s="205">
        <v>0.36</v>
      </c>
      <c r="F23" s="186">
        <v>71.0</v>
      </c>
      <c r="G23" s="186">
        <v>7.0</v>
      </c>
      <c r="H23" s="187">
        <v>0.099</v>
      </c>
      <c r="I23" s="388" t="s">
        <v>662</v>
      </c>
      <c r="J23" s="404" t="e">
        <v>#N/A</v>
      </c>
    </row>
    <row r="24">
      <c r="A24" s="384">
        <v>241094.0</v>
      </c>
      <c r="B24" s="185" t="s">
        <v>1524</v>
      </c>
      <c r="C24" s="185" t="s">
        <v>1525</v>
      </c>
      <c r="D24" s="186">
        <v>74.0</v>
      </c>
      <c r="E24" s="205">
        <v>0.97</v>
      </c>
      <c r="F24" s="186">
        <v>70.0</v>
      </c>
      <c r="G24" s="186">
        <v>5.0</v>
      </c>
      <c r="H24" s="187">
        <v>0.071</v>
      </c>
      <c r="I24" s="388" t="s">
        <v>662</v>
      </c>
      <c r="J24" s="404" t="e">
        <v>#N/A</v>
      </c>
    </row>
    <row r="25" hidden="1">
      <c r="A25" s="384">
        <v>210178.0</v>
      </c>
      <c r="B25" s="185" t="s">
        <v>1526</v>
      </c>
      <c r="C25" s="185" t="s">
        <v>118</v>
      </c>
      <c r="D25" s="186">
        <v>24.0</v>
      </c>
      <c r="E25" s="205">
        <v>0.26</v>
      </c>
      <c r="F25" s="186">
        <v>24.0</v>
      </c>
      <c r="G25" s="186">
        <v>4.0</v>
      </c>
      <c r="H25" s="187">
        <v>0.167</v>
      </c>
      <c r="I25" s="388" t="s">
        <v>662</v>
      </c>
      <c r="J25" s="404" t="s">
        <v>885</v>
      </c>
    </row>
    <row r="26" hidden="1">
      <c r="A26" s="389">
        <v>210433.0</v>
      </c>
      <c r="B26" s="181" t="s">
        <v>1527</v>
      </c>
      <c r="C26" s="181" t="s">
        <v>112</v>
      </c>
      <c r="D26" s="182">
        <v>98.0</v>
      </c>
      <c r="E26" s="203">
        <v>0.25</v>
      </c>
      <c r="F26" s="182">
        <v>66.0</v>
      </c>
      <c r="G26" s="182">
        <v>4.0</v>
      </c>
      <c r="H26" s="183">
        <v>0.061</v>
      </c>
      <c r="I26" s="393" t="s">
        <v>662</v>
      </c>
      <c r="J26" s="404" t="s">
        <v>885</v>
      </c>
    </row>
    <row r="27">
      <c r="A27" s="384">
        <v>217873.0</v>
      </c>
      <c r="B27" s="185" t="s">
        <v>1528</v>
      </c>
      <c r="C27" s="185" t="s">
        <v>148</v>
      </c>
      <c r="D27" s="186">
        <v>65.0</v>
      </c>
      <c r="E27" s="205">
        <v>0.96</v>
      </c>
      <c r="F27" s="186">
        <v>56.0</v>
      </c>
      <c r="G27" s="186">
        <v>4.0</v>
      </c>
      <c r="H27" s="187">
        <v>0.071</v>
      </c>
      <c r="I27" s="388" t="s">
        <v>662</v>
      </c>
      <c r="J27" s="404" t="e">
        <v>#N/A</v>
      </c>
    </row>
    <row r="28" hidden="1">
      <c r="A28" s="389">
        <v>245902.0</v>
      </c>
      <c r="B28" s="181" t="s">
        <v>1403</v>
      </c>
      <c r="C28" s="181" t="s">
        <v>1501</v>
      </c>
      <c r="D28" s="182">
        <v>67.0</v>
      </c>
      <c r="E28" s="203">
        <v>1.0</v>
      </c>
      <c r="F28" s="182">
        <v>60.0</v>
      </c>
      <c r="G28" s="182">
        <v>4.0</v>
      </c>
      <c r="H28" s="183">
        <v>0.067</v>
      </c>
      <c r="I28" s="415"/>
      <c r="J28" s="404" t="s">
        <v>885</v>
      </c>
    </row>
    <row r="29">
      <c r="A29" s="389">
        <v>137971.0</v>
      </c>
      <c r="B29" s="181" t="s">
        <v>1529</v>
      </c>
      <c r="C29" s="181" t="s">
        <v>123</v>
      </c>
      <c r="D29" s="182">
        <v>108.0</v>
      </c>
      <c r="E29" s="203">
        <v>0.5</v>
      </c>
      <c r="F29" s="182">
        <v>110.0</v>
      </c>
      <c r="G29" s="182">
        <v>7.0</v>
      </c>
      <c r="H29" s="183">
        <v>0.064</v>
      </c>
      <c r="I29" s="393" t="s">
        <v>662</v>
      </c>
      <c r="J29" s="404" t="e">
        <v>#N/A</v>
      </c>
    </row>
    <row r="30">
      <c r="A30" s="389">
        <v>241113.0</v>
      </c>
      <c r="B30" s="181" t="s">
        <v>1530</v>
      </c>
      <c r="C30" s="181" t="s">
        <v>150</v>
      </c>
      <c r="D30" s="182">
        <v>93.0</v>
      </c>
      <c r="E30" s="203">
        <v>0.83</v>
      </c>
      <c r="F30" s="182">
        <v>81.0</v>
      </c>
      <c r="G30" s="182">
        <v>5.0</v>
      </c>
      <c r="H30" s="183">
        <v>0.062</v>
      </c>
      <c r="I30" s="393" t="s">
        <v>662</v>
      </c>
      <c r="J30" s="404" t="e">
        <v>#N/A</v>
      </c>
    </row>
    <row r="31">
      <c r="A31" s="384">
        <v>243169.0</v>
      </c>
      <c r="B31" s="185" t="s">
        <v>1531</v>
      </c>
      <c r="C31" s="185" t="s">
        <v>147</v>
      </c>
      <c r="D31" s="186">
        <v>76.0</v>
      </c>
      <c r="E31" s="205">
        <v>1.0</v>
      </c>
      <c r="F31" s="186">
        <v>66.0</v>
      </c>
      <c r="G31" s="186">
        <v>4.0</v>
      </c>
      <c r="H31" s="187">
        <v>0.061</v>
      </c>
      <c r="I31" s="388" t="s">
        <v>662</v>
      </c>
      <c r="J31" s="404" t="e">
        <v>#N/A</v>
      </c>
    </row>
    <row r="32">
      <c r="A32" s="384">
        <v>221176.0</v>
      </c>
      <c r="B32" s="185" t="s">
        <v>1532</v>
      </c>
      <c r="C32" s="185" t="s">
        <v>146</v>
      </c>
      <c r="D32" s="186">
        <v>168.0</v>
      </c>
      <c r="E32" s="205">
        <v>0.71</v>
      </c>
      <c r="F32" s="186">
        <v>157.0</v>
      </c>
      <c r="G32" s="186">
        <v>9.0</v>
      </c>
      <c r="H32" s="187">
        <v>0.057</v>
      </c>
      <c r="I32" s="388" t="s">
        <v>662</v>
      </c>
      <c r="J32" s="404" t="e">
        <v>#N/A</v>
      </c>
    </row>
    <row r="33">
      <c r="A33" s="389">
        <v>219826.0</v>
      </c>
      <c r="B33" s="181" t="s">
        <v>1533</v>
      </c>
      <c r="C33" s="181" t="s">
        <v>117</v>
      </c>
      <c r="D33" s="182">
        <v>162.0</v>
      </c>
      <c r="E33" s="203">
        <v>0.36</v>
      </c>
      <c r="F33" s="182">
        <v>150.0</v>
      </c>
      <c r="G33" s="182">
        <v>7.0</v>
      </c>
      <c r="H33" s="183">
        <v>0.047</v>
      </c>
      <c r="I33" s="393" t="s">
        <v>662</v>
      </c>
      <c r="J33" s="404" t="e">
        <v>#N/A</v>
      </c>
    </row>
    <row r="34">
      <c r="A34" s="389">
        <v>239026.0</v>
      </c>
      <c r="B34" s="181" t="s">
        <v>1338</v>
      </c>
      <c r="C34" s="181" t="s">
        <v>1339</v>
      </c>
      <c r="D34" s="182">
        <v>93.0</v>
      </c>
      <c r="E34" s="203">
        <v>0.74</v>
      </c>
      <c r="F34" s="182">
        <v>89.0</v>
      </c>
      <c r="G34" s="182">
        <v>4.0</v>
      </c>
      <c r="H34" s="183">
        <v>0.045</v>
      </c>
      <c r="I34" s="393" t="s">
        <v>662</v>
      </c>
      <c r="J34" s="404" t="e">
        <v>#N/A</v>
      </c>
    </row>
    <row r="35" hidden="1">
      <c r="A35" s="389">
        <v>243271.0</v>
      </c>
      <c r="B35" s="181" t="s">
        <v>1354</v>
      </c>
      <c r="C35" s="181" t="s">
        <v>892</v>
      </c>
      <c r="D35" s="182">
        <v>96.0</v>
      </c>
      <c r="E35" s="203">
        <v>1.0</v>
      </c>
      <c r="F35" s="182">
        <v>88.0</v>
      </c>
      <c r="G35" s="182">
        <v>4.0</v>
      </c>
      <c r="H35" s="183">
        <v>0.045</v>
      </c>
      <c r="I35" s="393" t="s">
        <v>662</v>
      </c>
      <c r="J35" s="404" t="s">
        <v>885</v>
      </c>
    </row>
    <row r="36">
      <c r="A36" s="384">
        <v>221172.0</v>
      </c>
      <c r="B36" s="185" t="s">
        <v>1534</v>
      </c>
      <c r="C36" s="185" t="s">
        <v>1535</v>
      </c>
      <c r="D36" s="186">
        <v>133.0</v>
      </c>
      <c r="E36" s="205">
        <v>0.89</v>
      </c>
      <c r="F36" s="186">
        <v>118.0</v>
      </c>
      <c r="G36" s="186">
        <v>4.0</v>
      </c>
      <c r="H36" s="187">
        <v>0.034</v>
      </c>
      <c r="I36" s="388" t="s">
        <v>662</v>
      </c>
      <c r="J36" s="404" t="e">
        <v>#N/A</v>
      </c>
    </row>
    <row r="37" hidden="1">
      <c r="A37" s="384">
        <v>219830.0</v>
      </c>
      <c r="B37" s="185" t="s">
        <v>1536</v>
      </c>
      <c r="C37" s="185" t="s">
        <v>129</v>
      </c>
      <c r="D37" s="186">
        <v>259.0</v>
      </c>
      <c r="E37" s="205">
        <v>0.63</v>
      </c>
      <c r="F37" s="186">
        <v>239.0</v>
      </c>
      <c r="G37" s="186">
        <v>5.0</v>
      </c>
      <c r="H37" s="187">
        <v>0.021</v>
      </c>
      <c r="I37" s="388" t="s">
        <v>662</v>
      </c>
      <c r="J37" s="404" t="s">
        <v>885</v>
      </c>
      <c r="K37" s="240" t="str">
        <f>VLOOKUP(C:C,'Tracing New Correction'!D106:D125,1,0)</f>
        <v>219830.LSK26070101-A5</v>
      </c>
    </row>
    <row r="38">
      <c r="M38" s="242"/>
    </row>
  </sheetData>
  <autoFilter ref="$A$1:$J$37">
    <filterColumn colId="9">
      <filters>
        <filter val="Done"/>
        <filter val="#N/A"/>
        <filter val="SHAPE NOT FOUND"/>
      </filters>
    </filterColumn>
    <sortState ref="A1:J37">
      <sortCondition descending="1" ref="H1:H37"/>
    </sortState>
  </autoFil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11" max="11" width="22.5"/>
    <col customWidth="1" min="12" max="12" width="22.63"/>
  </cols>
  <sheetData>
    <row r="1">
      <c r="A1" s="230" t="s">
        <v>681</v>
      </c>
      <c r="B1" s="230" t="s">
        <v>657</v>
      </c>
      <c r="C1" s="230" t="s">
        <v>672</v>
      </c>
      <c r="D1" s="230" t="s">
        <v>673</v>
      </c>
      <c r="E1" s="230" t="s">
        <v>674</v>
      </c>
      <c r="F1" s="230" t="s">
        <v>658</v>
      </c>
      <c r="G1" s="230" t="s">
        <v>659</v>
      </c>
      <c r="H1" s="230" t="s">
        <v>660</v>
      </c>
      <c r="I1" s="230" t="s">
        <v>661</v>
      </c>
      <c r="J1" s="230" t="s">
        <v>1537</v>
      </c>
      <c r="K1" s="21" t="s">
        <v>1537</v>
      </c>
      <c r="L1" s="21" t="s">
        <v>1537</v>
      </c>
    </row>
    <row r="2">
      <c r="A2" s="230" t="s">
        <v>1538</v>
      </c>
      <c r="B2" s="363">
        <v>79.0</v>
      </c>
      <c r="C2" s="417">
        <v>0.22</v>
      </c>
      <c r="D2" s="363">
        <v>1.0</v>
      </c>
      <c r="E2" s="242"/>
      <c r="F2" s="363">
        <v>76.0</v>
      </c>
      <c r="G2" s="363">
        <v>18.0</v>
      </c>
      <c r="H2" s="417">
        <v>0.24</v>
      </c>
      <c r="I2" s="230" t="s">
        <v>662</v>
      </c>
      <c r="J2" s="404" t="e">
        <v>#N/A</v>
      </c>
      <c r="K2" s="240" t="str">
        <f>VLOOKUP(A:A,'1-7 AUG'!C:C,1,0)</f>
        <v>#N/A</v>
      </c>
      <c r="L2" s="240" t="str">
        <f>VLOOKUP(A:A,'Tracing New Correction'!D74:D125,1,0)</f>
        <v>#N/A</v>
      </c>
    </row>
    <row r="3">
      <c r="A3" s="230" t="s">
        <v>146</v>
      </c>
      <c r="B3" s="363">
        <v>283.0</v>
      </c>
      <c r="C3" s="417">
        <v>0.38</v>
      </c>
      <c r="D3" s="363">
        <v>1.0</v>
      </c>
      <c r="E3" s="242"/>
      <c r="F3" s="363">
        <v>284.0</v>
      </c>
      <c r="G3" s="363">
        <v>16.0</v>
      </c>
      <c r="H3" s="417">
        <v>0.06</v>
      </c>
      <c r="I3" s="230" t="s">
        <v>662</v>
      </c>
      <c r="J3" s="404" t="e">
        <v>#N/A</v>
      </c>
      <c r="K3" s="240" t="str">
        <f>VLOOKUP(A:A,'1-7 AUG'!C:C,1,0)</f>
        <v>221176.FKS26237</v>
      </c>
      <c r="L3" s="240" t="str">
        <f>VLOOKUP(A:A,'Tracing New Correction'!D75:D125,1,0)</f>
        <v>221176.FKS26237</v>
      </c>
    </row>
    <row r="4">
      <c r="A4" s="230" t="s">
        <v>147</v>
      </c>
      <c r="B4" s="363">
        <v>197.0</v>
      </c>
      <c r="C4" s="417">
        <v>1.0</v>
      </c>
      <c r="D4" s="363">
        <v>1.0</v>
      </c>
      <c r="E4" s="242"/>
      <c r="F4" s="363">
        <v>184.0</v>
      </c>
      <c r="G4" s="363">
        <v>12.0</v>
      </c>
      <c r="H4" s="417">
        <v>0.07</v>
      </c>
      <c r="I4" s="230" t="s">
        <v>662</v>
      </c>
      <c r="J4" s="404" t="e">
        <v>#N/A</v>
      </c>
      <c r="K4" s="240" t="str">
        <f>VLOOKUP(A:A,'1-7 AUG'!C:C,1,0)</f>
        <v>243169.IN26032B</v>
      </c>
      <c r="L4" s="240" t="str">
        <f>VLOOKUP(A:A,'Tracing New Correction'!D76:D125,1,0)</f>
        <v>243169.IN26032B</v>
      </c>
    </row>
    <row r="5">
      <c r="A5" s="230" t="s">
        <v>148</v>
      </c>
      <c r="B5" s="363">
        <v>179.0</v>
      </c>
      <c r="C5" s="417">
        <v>0.7</v>
      </c>
      <c r="D5" s="363">
        <v>1.0</v>
      </c>
      <c r="E5" s="242"/>
      <c r="F5" s="363">
        <v>173.0</v>
      </c>
      <c r="G5" s="363">
        <v>11.0</v>
      </c>
      <c r="H5" s="417">
        <v>0.06</v>
      </c>
      <c r="I5" s="230" t="s">
        <v>662</v>
      </c>
      <c r="J5" s="404" t="e">
        <v>#N/A</v>
      </c>
      <c r="K5" s="240" t="str">
        <f>VLOOKUP(A:A,'1-7 AUG'!C:C,1,0)</f>
        <v>217873.263058-G</v>
      </c>
      <c r="L5" s="240" t="str">
        <f>VLOOKUP(A:A,'Tracing New Correction'!D77:D125,1,0)</f>
        <v>217873.263058-G</v>
      </c>
    </row>
    <row r="6">
      <c r="A6" s="230" t="s">
        <v>149</v>
      </c>
      <c r="B6" s="363">
        <v>181.0</v>
      </c>
      <c r="C6" s="417">
        <v>1.0</v>
      </c>
      <c r="D6" s="363">
        <v>1.0</v>
      </c>
      <c r="E6" s="242"/>
      <c r="F6" s="363">
        <v>175.0</v>
      </c>
      <c r="G6" s="363">
        <v>10.0</v>
      </c>
      <c r="H6" s="417">
        <v>0.06</v>
      </c>
      <c r="I6" s="230" t="s">
        <v>662</v>
      </c>
      <c r="J6" s="404" t="e">
        <v>#N/A</v>
      </c>
      <c r="K6" s="240" t="str">
        <f>VLOOKUP(A:A,'1-7 AUG'!C:C,1,0)</f>
        <v>#N/A</v>
      </c>
      <c r="L6" s="240" t="str">
        <f>VLOOKUP(A:A,'Tracing New Correction'!D78:D125,1,0)</f>
        <v>222900.IN026042503</v>
      </c>
    </row>
    <row r="7">
      <c r="A7" s="230" t="s">
        <v>150</v>
      </c>
      <c r="B7" s="363">
        <v>182.0</v>
      </c>
      <c r="C7" s="417">
        <v>0.53</v>
      </c>
      <c r="D7" s="363">
        <v>1.0</v>
      </c>
      <c r="E7" s="242"/>
      <c r="F7" s="363">
        <v>179.0</v>
      </c>
      <c r="G7" s="363">
        <v>10.0</v>
      </c>
      <c r="H7" s="417">
        <v>0.06</v>
      </c>
      <c r="I7" s="230" t="s">
        <v>662</v>
      </c>
      <c r="J7" s="404" t="e">
        <v>#N/A</v>
      </c>
      <c r="K7" s="240" t="str">
        <f>VLOOKUP(A:A,'1-7 AUG'!C:C,1,0)</f>
        <v>241113.IRJ127B2C0001336</v>
      </c>
      <c r="L7" s="240" t="str">
        <f>VLOOKUP(A:A,'Tracing New Correction'!D79:D125,1,0)</f>
        <v>241113.IRJ127B2C0001336</v>
      </c>
    </row>
    <row r="8">
      <c r="A8" s="230" t="s">
        <v>178</v>
      </c>
      <c r="B8" s="363">
        <v>60.0</v>
      </c>
      <c r="C8" s="417">
        <v>0.98</v>
      </c>
      <c r="D8" s="363">
        <v>1.0</v>
      </c>
      <c r="E8" s="242"/>
      <c r="F8" s="363">
        <v>54.0</v>
      </c>
      <c r="G8" s="363">
        <v>9.0</v>
      </c>
      <c r="H8" s="417">
        <v>0.17</v>
      </c>
      <c r="I8" s="230" t="s">
        <v>662</v>
      </c>
      <c r="J8" s="404" t="e">
        <v>#N/A</v>
      </c>
      <c r="K8" s="240" t="str">
        <f>VLOOKUP(A:A,'1-7 AUG'!C:C,1,0)</f>
        <v>#N/A</v>
      </c>
      <c r="L8" s="240" t="str">
        <f>VLOOKUP(A:A,'Tracing New Correction'!D80:D125,1,0)</f>
        <v>#N/A</v>
      </c>
    </row>
    <row r="9">
      <c r="A9" s="230" t="s">
        <v>1539</v>
      </c>
      <c r="B9" s="363">
        <v>148.0</v>
      </c>
      <c r="C9" s="417">
        <v>0.47</v>
      </c>
      <c r="D9" s="363">
        <v>1.0</v>
      </c>
      <c r="E9" s="242"/>
      <c r="F9" s="363">
        <v>148.0</v>
      </c>
      <c r="G9" s="363">
        <v>9.0</v>
      </c>
      <c r="H9" s="417">
        <v>0.06</v>
      </c>
      <c r="I9" s="230" t="s">
        <v>662</v>
      </c>
      <c r="J9" s="404" t="e">
        <v>#N/A</v>
      </c>
      <c r="K9" s="240" t="str">
        <f>VLOOKUP(A:A,'1-7 AUG'!C:C,1,0)</f>
        <v>#N/A</v>
      </c>
      <c r="L9" s="240" t="str">
        <f>VLOOKUP(A:A,'Tracing New Correction'!D81:D125,1,0)</f>
        <v>#N/A</v>
      </c>
    </row>
    <row r="10">
      <c r="A10" s="230" t="s">
        <v>205</v>
      </c>
      <c r="B10" s="363">
        <v>184.0</v>
      </c>
      <c r="C10" s="417">
        <v>0.21</v>
      </c>
      <c r="D10" s="363">
        <v>1.0</v>
      </c>
      <c r="E10" s="242"/>
      <c r="F10" s="363">
        <v>180.0</v>
      </c>
      <c r="G10" s="363">
        <v>9.0</v>
      </c>
      <c r="H10" s="417">
        <v>0.05</v>
      </c>
      <c r="I10" s="230" t="s">
        <v>662</v>
      </c>
      <c r="J10" s="404" t="e">
        <v>#N/A</v>
      </c>
      <c r="K10" s="240" t="str">
        <f>VLOOKUP(A:A,'1-7 AUG'!C:C,1,0)</f>
        <v>#N/A</v>
      </c>
      <c r="L10" s="240" t="str">
        <f>VLOOKUP(A:A,'Tracing New Correction'!D82:D125,1,0)</f>
        <v>#N/A</v>
      </c>
    </row>
    <row r="11">
      <c r="A11" s="230" t="s">
        <v>1540</v>
      </c>
      <c r="B11" s="363">
        <v>97.0</v>
      </c>
      <c r="C11" s="417">
        <v>0.12</v>
      </c>
      <c r="D11" s="363">
        <v>1.0</v>
      </c>
      <c r="E11" s="242"/>
      <c r="F11" s="363">
        <v>95.0</v>
      </c>
      <c r="G11" s="363">
        <v>9.0</v>
      </c>
      <c r="H11" s="417">
        <v>0.09</v>
      </c>
      <c r="I11" s="230" t="s">
        <v>662</v>
      </c>
      <c r="J11" s="404" t="e">
        <v>#N/A</v>
      </c>
      <c r="K11" s="240" t="str">
        <f>VLOOKUP(A:A,'1-7 AUG'!C:C,1,0)</f>
        <v>#N/A</v>
      </c>
      <c r="L11" s="240" t="str">
        <f>VLOOKUP(A:A,'Tracing New Correction'!D83:D125,1,0)</f>
        <v>#N/A</v>
      </c>
    </row>
    <row r="12">
      <c r="A12" s="230" t="s">
        <v>222</v>
      </c>
      <c r="B12" s="363">
        <v>45.0</v>
      </c>
      <c r="C12" s="417">
        <v>0.08</v>
      </c>
      <c r="D12" s="363">
        <v>1.0</v>
      </c>
      <c r="E12" s="242"/>
      <c r="F12" s="363">
        <v>44.0</v>
      </c>
      <c r="G12" s="363">
        <v>9.0</v>
      </c>
      <c r="H12" s="417">
        <v>0.2</v>
      </c>
      <c r="I12" s="230" t="s">
        <v>662</v>
      </c>
      <c r="J12" s="404" t="e">
        <v>#N/A</v>
      </c>
      <c r="K12" s="240" t="str">
        <f>VLOOKUP(A:A,'1-7 AUG'!C:C,1,0)</f>
        <v>#N/A</v>
      </c>
      <c r="L12" s="240" t="str">
        <f>VLOOKUP(A:A,'Tracing New Correction'!D84:D125,1,0)</f>
        <v>#N/A</v>
      </c>
    </row>
    <row r="13">
      <c r="A13" s="230" t="s">
        <v>166</v>
      </c>
      <c r="B13" s="363">
        <v>18.0</v>
      </c>
      <c r="C13" s="417">
        <v>0.24</v>
      </c>
      <c r="D13" s="363">
        <v>1.0</v>
      </c>
      <c r="E13" s="242"/>
      <c r="F13" s="363">
        <v>15.0</v>
      </c>
      <c r="G13" s="363">
        <v>9.0</v>
      </c>
      <c r="H13" s="417">
        <v>0.6</v>
      </c>
      <c r="I13" s="230" t="s">
        <v>662</v>
      </c>
      <c r="J13" s="404" t="e">
        <v>#N/A</v>
      </c>
      <c r="K13" s="240" t="str">
        <f>VLOOKUP(A:A,'1-7 AUG'!C:C,1,0)</f>
        <v>#N/A</v>
      </c>
      <c r="L13" s="240" t="str">
        <f>VLOOKUP(A:A,'Tracing New Correction'!D85:D125,1,0)</f>
        <v>#N/A</v>
      </c>
    </row>
    <row r="14">
      <c r="A14" s="230" t="s">
        <v>171</v>
      </c>
      <c r="B14" s="363">
        <v>40.0</v>
      </c>
      <c r="C14" s="417">
        <v>0.48</v>
      </c>
      <c r="D14" s="363">
        <v>1.0</v>
      </c>
      <c r="E14" s="242"/>
      <c r="F14" s="363">
        <v>41.0</v>
      </c>
      <c r="G14" s="363">
        <v>9.0</v>
      </c>
      <c r="H14" s="417">
        <v>0.22</v>
      </c>
      <c r="I14" s="230" t="s">
        <v>662</v>
      </c>
      <c r="J14" s="404" t="e">
        <v>#N/A</v>
      </c>
      <c r="K14" s="240" t="str">
        <f>VLOOKUP(A:A,'1-7 AUG'!C:C,1,0)</f>
        <v>#N/A</v>
      </c>
      <c r="L14" s="240" t="str">
        <f>VLOOKUP(A:A,'Tracing New Correction'!D86:D125,1,0)</f>
        <v>#N/A</v>
      </c>
    </row>
    <row r="15">
      <c r="A15" s="230" t="s">
        <v>216</v>
      </c>
      <c r="B15" s="363">
        <v>121.0</v>
      </c>
      <c r="C15" s="417">
        <v>0.58</v>
      </c>
      <c r="D15" s="363">
        <v>1.0</v>
      </c>
      <c r="E15" s="242"/>
      <c r="F15" s="363">
        <v>117.0</v>
      </c>
      <c r="G15" s="363">
        <v>9.0</v>
      </c>
      <c r="H15" s="417">
        <v>0.08</v>
      </c>
      <c r="I15" s="230" t="s">
        <v>662</v>
      </c>
      <c r="J15" s="404" t="e">
        <v>#N/A</v>
      </c>
      <c r="K15" s="240" t="str">
        <f>VLOOKUP(A:A,'1-7 AUG'!C:C,1,0)</f>
        <v>#N/A</v>
      </c>
      <c r="L15" s="240" t="str">
        <f>VLOOKUP(A:A,'Tracing New Correction'!D87:D125,1,0)</f>
        <v>#N/A</v>
      </c>
    </row>
    <row r="16">
      <c r="A16" s="230" t="s">
        <v>1525</v>
      </c>
      <c r="B16" s="363">
        <v>142.0</v>
      </c>
      <c r="C16" s="417">
        <v>0.92</v>
      </c>
      <c r="D16" s="363">
        <v>1.0</v>
      </c>
      <c r="E16" s="242"/>
      <c r="F16" s="363">
        <v>140.0</v>
      </c>
      <c r="G16" s="363">
        <v>8.0</v>
      </c>
      <c r="H16" s="417">
        <v>0.06</v>
      </c>
      <c r="I16" s="230" t="s">
        <v>662</v>
      </c>
      <c r="J16" s="404" t="e">
        <v>#N/A</v>
      </c>
      <c r="K16" s="240" t="str">
        <f>VLOOKUP(A:A,'1-7 AUG'!C:C,1,0)</f>
        <v>241094.IRJ127B2C0001530</v>
      </c>
      <c r="L16" s="240" t="str">
        <f>VLOOKUP(A:A,'Tracing New Correction'!D88:D126,1,0)</f>
        <v>#N/A</v>
      </c>
    </row>
    <row r="17">
      <c r="A17" s="230" t="s">
        <v>180</v>
      </c>
      <c r="B17" s="363">
        <v>55.0</v>
      </c>
      <c r="C17" s="417">
        <v>1.0</v>
      </c>
      <c r="D17" s="363">
        <v>1.0</v>
      </c>
      <c r="E17" s="242"/>
      <c r="F17" s="363">
        <v>54.0</v>
      </c>
      <c r="G17" s="363">
        <v>8.0</v>
      </c>
      <c r="H17" s="417">
        <v>0.15</v>
      </c>
      <c r="I17" s="230" t="s">
        <v>662</v>
      </c>
      <c r="J17" s="404" t="e">
        <v>#N/A</v>
      </c>
      <c r="K17" s="240" t="str">
        <f>VLOOKUP(A:A,'1-7 AUG'!C:C,1,0)</f>
        <v>#N/A</v>
      </c>
      <c r="L17" s="240" t="str">
        <f>VLOOKUP(A:A,'Tracing New Correction'!D89:D127,1,0)</f>
        <v>#N/A</v>
      </c>
    </row>
    <row r="18">
      <c r="A18" s="230" t="s">
        <v>181</v>
      </c>
      <c r="B18" s="363">
        <v>94.0</v>
      </c>
      <c r="C18" s="417">
        <v>0.5</v>
      </c>
      <c r="D18" s="363">
        <v>1.0</v>
      </c>
      <c r="E18" s="242"/>
      <c r="F18" s="363">
        <v>90.0</v>
      </c>
      <c r="G18" s="363">
        <v>8.0</v>
      </c>
      <c r="H18" s="417">
        <v>0.09</v>
      </c>
      <c r="I18" s="230" t="s">
        <v>662</v>
      </c>
      <c r="J18" s="404" t="e">
        <v>#N/A</v>
      </c>
      <c r="K18" s="240" t="str">
        <f>VLOOKUP(A:A,'1-7 AUG'!C:C,1,0)</f>
        <v>246226.LSK26071201-A4</v>
      </c>
      <c r="L18" s="240" t="str">
        <f>VLOOKUP(A:A,'Tracing New Correction'!D90:D128,1,0)</f>
        <v>#N/A</v>
      </c>
    </row>
    <row r="19">
      <c r="A19" s="230" t="s">
        <v>1541</v>
      </c>
      <c r="B19" s="363">
        <v>128.0</v>
      </c>
      <c r="C19" s="417">
        <v>0.36</v>
      </c>
      <c r="D19" s="363">
        <v>1.0</v>
      </c>
      <c r="E19" s="242"/>
      <c r="F19" s="363">
        <v>118.0</v>
      </c>
      <c r="G19" s="363">
        <v>7.0</v>
      </c>
      <c r="H19" s="417">
        <v>0.06</v>
      </c>
      <c r="I19" s="230" t="s">
        <v>662</v>
      </c>
      <c r="J19" s="404" t="e">
        <v>#N/A</v>
      </c>
      <c r="K19" s="240" t="str">
        <f>VLOOKUP(A:A,'1-7 AUG'!C:C,1,0)</f>
        <v>#N/A</v>
      </c>
      <c r="L19" s="240" t="str">
        <f>VLOOKUP(A:A,'Tracing New Correction'!D91:D129,1,0)</f>
        <v>#N/A</v>
      </c>
    </row>
    <row r="20">
      <c r="A20" s="230" t="s">
        <v>772</v>
      </c>
      <c r="B20" s="363">
        <v>50.0</v>
      </c>
      <c r="C20" s="417">
        <v>0.2</v>
      </c>
      <c r="D20" s="363">
        <v>1.0</v>
      </c>
      <c r="E20" s="242"/>
      <c r="F20" s="363">
        <v>49.0</v>
      </c>
      <c r="G20" s="363">
        <v>7.0</v>
      </c>
      <c r="H20" s="417">
        <v>0.14</v>
      </c>
      <c r="I20" s="230" t="s">
        <v>662</v>
      </c>
      <c r="J20" s="404" t="e">
        <v>#N/A</v>
      </c>
      <c r="K20" s="240" t="str">
        <f>VLOOKUP(A:A,'1-7 AUG'!C:C,1,0)</f>
        <v>#N/A</v>
      </c>
      <c r="L20" s="240" t="str">
        <f>VLOOKUP(A:A,'Tracing New Correction'!D92:D130,1,0)</f>
        <v>#N/A</v>
      </c>
    </row>
    <row r="21">
      <c r="A21" s="230" t="s">
        <v>1542</v>
      </c>
      <c r="B21" s="363">
        <v>51.0</v>
      </c>
      <c r="C21" s="417">
        <v>1.0</v>
      </c>
      <c r="D21" s="363">
        <v>1.0</v>
      </c>
      <c r="E21" s="242"/>
      <c r="F21" s="363">
        <v>43.0</v>
      </c>
      <c r="G21" s="363">
        <v>7.0</v>
      </c>
      <c r="H21" s="417">
        <v>0.16</v>
      </c>
      <c r="I21" s="230" t="s">
        <v>662</v>
      </c>
      <c r="J21" s="404" t="e">
        <v>#N/A</v>
      </c>
      <c r="K21" s="240" t="str">
        <f>VLOOKUP(A:A,'1-7 AUG'!C:C,1,0)</f>
        <v>#N/A</v>
      </c>
      <c r="L21" s="240" t="str">
        <f>VLOOKUP(A:A,'Tracing New Correction'!D93:D131,1,0)</f>
        <v>#N/A</v>
      </c>
    </row>
    <row r="22">
      <c r="A22" s="230" t="s">
        <v>187</v>
      </c>
      <c r="B22" s="363">
        <v>123.0</v>
      </c>
      <c r="C22" s="417">
        <v>0.9</v>
      </c>
      <c r="D22" s="363">
        <v>1.0</v>
      </c>
      <c r="E22" s="242"/>
      <c r="F22" s="363">
        <v>117.0</v>
      </c>
      <c r="G22" s="363">
        <v>7.0</v>
      </c>
      <c r="H22" s="417">
        <v>0.06</v>
      </c>
      <c r="I22" s="230" t="s">
        <v>662</v>
      </c>
      <c r="J22" s="404" t="e">
        <v>#N/A</v>
      </c>
      <c r="K22" s="240" t="str">
        <f>VLOOKUP(A:A,'1-7 AUG'!C:C,1,0)</f>
        <v>#N/A</v>
      </c>
      <c r="L22" s="240" t="str">
        <f>VLOOKUP(A:A,'Tracing New Correction'!D94:D132,1,0)</f>
        <v>#N/A</v>
      </c>
    </row>
    <row r="23">
      <c r="A23" s="230" t="s">
        <v>935</v>
      </c>
      <c r="B23" s="363">
        <v>113.0</v>
      </c>
      <c r="C23" s="417">
        <v>0.18</v>
      </c>
      <c r="D23" s="363">
        <v>1.0</v>
      </c>
      <c r="E23" s="242"/>
      <c r="F23" s="363">
        <v>113.0</v>
      </c>
      <c r="G23" s="363">
        <v>6.0</v>
      </c>
      <c r="H23" s="417">
        <v>0.05</v>
      </c>
      <c r="I23" s="230" t="s">
        <v>662</v>
      </c>
      <c r="J23" s="404" t="e">
        <v>#N/A</v>
      </c>
      <c r="K23" s="240" t="str">
        <f>VLOOKUP(A:A,'1-7 AUG'!C:C,1,0)</f>
        <v>#N/A</v>
      </c>
      <c r="L23" s="240" t="str">
        <f>VLOOKUP(A:A,'Tracing New Correction'!D95:D133,1,0)</f>
        <v>#N/A</v>
      </c>
    </row>
    <row r="24">
      <c r="A24" s="230" t="s">
        <v>172</v>
      </c>
      <c r="B24" s="363">
        <v>87.0</v>
      </c>
      <c r="C24" s="417">
        <v>0.14</v>
      </c>
      <c r="D24" s="363">
        <v>1.0</v>
      </c>
      <c r="E24" s="242"/>
      <c r="F24" s="363">
        <v>89.0</v>
      </c>
      <c r="G24" s="363">
        <v>6.0</v>
      </c>
      <c r="H24" s="417">
        <v>0.07</v>
      </c>
      <c r="I24" s="230" t="s">
        <v>662</v>
      </c>
      <c r="J24" s="404" t="e">
        <v>#N/A</v>
      </c>
      <c r="K24" s="240" t="str">
        <f>VLOOKUP(A:A,'1-7 AUG'!C:C,1,0)</f>
        <v>137971.FKS26228F</v>
      </c>
      <c r="L24" s="240" t="str">
        <f>VLOOKUP(A:A,'Tracing New Correction'!D96:D134,1,0)</f>
        <v>#N/A</v>
      </c>
    </row>
    <row r="25">
      <c r="A25" s="230" t="s">
        <v>1543</v>
      </c>
      <c r="B25" s="363">
        <v>42.0</v>
      </c>
      <c r="C25" s="417">
        <v>0.03</v>
      </c>
      <c r="D25" s="363">
        <v>1.0</v>
      </c>
      <c r="E25" s="242"/>
      <c r="F25" s="363">
        <v>42.0</v>
      </c>
      <c r="G25" s="363">
        <v>6.0</v>
      </c>
      <c r="H25" s="417">
        <v>0.14</v>
      </c>
      <c r="I25" s="230" t="s">
        <v>662</v>
      </c>
      <c r="J25" s="404" t="e">
        <v>#N/A</v>
      </c>
      <c r="K25" s="240" t="str">
        <f>VLOOKUP(A:A,'1-7 AUG'!C:C,1,0)</f>
        <v>#N/A</v>
      </c>
      <c r="L25" s="240" t="str">
        <f>VLOOKUP(A:A,'Tracing New Correction'!D97:D135,1,0)</f>
        <v>#N/A</v>
      </c>
    </row>
    <row r="26">
      <c r="A26" s="230" t="s">
        <v>1544</v>
      </c>
      <c r="B26" s="363">
        <v>70.0</v>
      </c>
      <c r="C26" s="417">
        <v>0.28</v>
      </c>
      <c r="D26" s="363">
        <v>1.0</v>
      </c>
      <c r="E26" s="242"/>
      <c r="F26" s="363">
        <v>68.0</v>
      </c>
      <c r="G26" s="363">
        <v>6.0</v>
      </c>
      <c r="H26" s="417">
        <v>0.09</v>
      </c>
      <c r="I26" s="230" t="s">
        <v>662</v>
      </c>
      <c r="J26" s="404" t="e">
        <v>#N/A</v>
      </c>
      <c r="K26" s="240" t="str">
        <f>VLOOKUP(A:A,'1-7 AUG'!C:C,1,0)</f>
        <v>#N/A</v>
      </c>
      <c r="L26" s="240" t="str">
        <f>VLOOKUP(A:A,'Tracing New Correction'!D98:D136,1,0)</f>
        <v>#N/A</v>
      </c>
    </row>
    <row r="27">
      <c r="A27" s="230" t="s">
        <v>327</v>
      </c>
      <c r="B27" s="363">
        <v>112.0</v>
      </c>
      <c r="C27" s="417">
        <v>0.15</v>
      </c>
      <c r="D27" s="363">
        <v>1.0</v>
      </c>
      <c r="E27" s="242"/>
      <c r="F27" s="363">
        <v>105.0</v>
      </c>
      <c r="G27" s="363">
        <v>6.0</v>
      </c>
      <c r="H27" s="417">
        <v>0.06</v>
      </c>
      <c r="I27" s="230" t="s">
        <v>662</v>
      </c>
      <c r="J27" s="404" t="e">
        <v>#N/A</v>
      </c>
      <c r="K27" s="240" t="str">
        <f>VLOOKUP(A:A,'1-7 AUG'!C:C,1,0)</f>
        <v>#N/A</v>
      </c>
      <c r="L27" s="240" t="str">
        <f>VLOOKUP(A:A,'Tracing New Correction'!D99:D136,1,0)</f>
        <v>#N/A</v>
      </c>
    </row>
    <row r="28">
      <c r="A28" s="230" t="s">
        <v>754</v>
      </c>
      <c r="B28" s="363">
        <v>66.0</v>
      </c>
      <c r="C28" s="417">
        <v>0.07</v>
      </c>
      <c r="D28" s="363">
        <v>1.0</v>
      </c>
      <c r="E28" s="242"/>
      <c r="F28" s="363">
        <v>62.0</v>
      </c>
      <c r="G28" s="363">
        <v>6.0</v>
      </c>
      <c r="H28" s="417">
        <v>0.1</v>
      </c>
      <c r="I28" s="230" t="s">
        <v>662</v>
      </c>
      <c r="J28" s="404" t="e">
        <v>#N/A</v>
      </c>
      <c r="K28" s="240" t="str">
        <f>VLOOKUP(A:A,'1-7 AUG'!C:C,1,0)</f>
        <v>#N/A</v>
      </c>
      <c r="L28" s="240" t="str">
        <f>VLOOKUP(A:A,'Tracing New Correction'!D100:D137,1,0)</f>
        <v>#N/A</v>
      </c>
    </row>
    <row r="29">
      <c r="A29" s="230" t="s">
        <v>174</v>
      </c>
      <c r="B29" s="363">
        <v>114.0</v>
      </c>
      <c r="C29" s="417">
        <v>0.64</v>
      </c>
      <c r="D29" s="363">
        <v>1.0</v>
      </c>
      <c r="E29" s="242"/>
      <c r="F29" s="363">
        <v>111.0</v>
      </c>
      <c r="G29" s="363">
        <v>6.0</v>
      </c>
      <c r="H29" s="417">
        <v>0.05</v>
      </c>
      <c r="I29" s="230" t="s">
        <v>662</v>
      </c>
      <c r="J29" s="404" t="e">
        <v>#N/A</v>
      </c>
      <c r="K29" s="240" t="str">
        <f>VLOOKUP(A:A,'1-7 AUG'!C:C,1,0)</f>
        <v>#N/A</v>
      </c>
      <c r="L29" s="240" t="str">
        <f>VLOOKUP(A:A,'Tracing New Correction'!D101:D138,1,0)</f>
        <v>#N/A</v>
      </c>
    </row>
    <row r="30">
      <c r="A30" s="230" t="s">
        <v>1545</v>
      </c>
      <c r="B30" s="363">
        <v>64.0</v>
      </c>
      <c r="C30" s="417">
        <v>0.12</v>
      </c>
      <c r="D30" s="363">
        <v>1.0</v>
      </c>
      <c r="E30" s="242"/>
      <c r="F30" s="363">
        <v>65.0</v>
      </c>
      <c r="G30" s="363">
        <v>6.0</v>
      </c>
      <c r="H30" s="417">
        <v>0.09</v>
      </c>
      <c r="I30" s="230" t="s">
        <v>662</v>
      </c>
      <c r="J30" s="404" t="e">
        <v>#N/A</v>
      </c>
      <c r="K30" s="240" t="str">
        <f>VLOOKUP(A:A,'1-7 AUG'!C:C,1,0)</f>
        <v>#N/A</v>
      </c>
      <c r="L30" s="240" t="str">
        <f>VLOOKUP(A:A,'Tracing New Correction'!D102:D139,1,0)</f>
        <v>#N/A</v>
      </c>
    </row>
    <row r="31">
      <c r="A31" s="230" t="s">
        <v>1546</v>
      </c>
      <c r="B31" s="363">
        <v>43.0</v>
      </c>
      <c r="C31" s="417">
        <v>0.91</v>
      </c>
      <c r="D31" s="363">
        <v>1.0</v>
      </c>
      <c r="E31" s="242"/>
      <c r="F31" s="363">
        <v>43.0</v>
      </c>
      <c r="G31" s="363">
        <v>6.0</v>
      </c>
      <c r="H31" s="417">
        <v>0.14</v>
      </c>
      <c r="I31" s="230" t="s">
        <v>662</v>
      </c>
      <c r="J31" s="404" t="e">
        <v>#N/A</v>
      </c>
      <c r="K31" s="240" t="str">
        <f>VLOOKUP(A:A,'1-7 AUG'!C:C,1,0)</f>
        <v>#N/A</v>
      </c>
      <c r="L31" s="240" t="str">
        <f>VLOOKUP(A:A,'Tracing New Correction'!D103:D140,1,0)</f>
        <v>#N/A</v>
      </c>
    </row>
    <row r="32">
      <c r="A32" s="230" t="s">
        <v>202</v>
      </c>
      <c r="B32" s="363">
        <v>66.0</v>
      </c>
      <c r="C32" s="417">
        <v>0.55</v>
      </c>
      <c r="D32" s="363">
        <v>1.0</v>
      </c>
      <c r="E32" s="242"/>
      <c r="F32" s="363">
        <v>64.0</v>
      </c>
      <c r="G32" s="363">
        <v>6.0</v>
      </c>
      <c r="H32" s="417">
        <v>0.09</v>
      </c>
      <c r="I32" s="230" t="s">
        <v>662</v>
      </c>
      <c r="J32" s="404" t="e">
        <v>#N/A</v>
      </c>
      <c r="K32" s="240" t="str">
        <f>VLOOKUP(A:A,'1-7 AUG'!C:C,1,0)</f>
        <v>#N/A</v>
      </c>
      <c r="L32" s="240" t="str">
        <f>VLOOKUP(A:A,'Tracing New Correction'!D104:D141,1,0)</f>
        <v>#N/A</v>
      </c>
    </row>
    <row r="33">
      <c r="A33" s="230" t="s">
        <v>1348</v>
      </c>
      <c r="B33" s="363">
        <v>41.0</v>
      </c>
      <c r="C33" s="417">
        <v>0.19</v>
      </c>
      <c r="D33" s="363">
        <v>1.0</v>
      </c>
      <c r="E33" s="242"/>
      <c r="F33" s="363">
        <v>39.0</v>
      </c>
      <c r="G33" s="363">
        <v>6.0</v>
      </c>
      <c r="H33" s="417">
        <v>0.15</v>
      </c>
      <c r="I33" s="230" t="s">
        <v>662</v>
      </c>
      <c r="J33" s="404" t="e">
        <v>#N/A</v>
      </c>
      <c r="K33" s="240" t="str">
        <f>VLOOKUP(A:A,'1-7 AUG'!C:C,1,0)</f>
        <v>#N/A</v>
      </c>
      <c r="L33" s="240" t="str">
        <f>VLOOKUP(A:A,'Tracing New Correction'!D105:D142,1,0)</f>
        <v>#N/A</v>
      </c>
    </row>
    <row r="34">
      <c r="A34" s="230" t="s">
        <v>1110</v>
      </c>
      <c r="B34" s="363">
        <v>58.0</v>
      </c>
      <c r="C34" s="417">
        <v>0.73</v>
      </c>
      <c r="D34" s="363">
        <v>1.0</v>
      </c>
      <c r="E34" s="242"/>
      <c r="F34" s="363">
        <v>56.0</v>
      </c>
      <c r="G34" s="363">
        <v>6.0</v>
      </c>
      <c r="H34" s="417">
        <v>0.11</v>
      </c>
      <c r="I34" s="230" t="s">
        <v>662</v>
      </c>
      <c r="J34" s="404" t="e">
        <v>#N/A</v>
      </c>
      <c r="K34" s="240" t="str">
        <f>VLOOKUP(A:A,'1-7 AUG'!C:C,1,0)</f>
        <v>#N/A</v>
      </c>
      <c r="L34" s="240" t="str">
        <f>VLOOKUP(A:A,'Tracing New Correction'!D106:D143,1,0)</f>
        <v>#N/A</v>
      </c>
    </row>
    <row r="35">
      <c r="A35" s="230" t="s">
        <v>1547</v>
      </c>
      <c r="B35" s="363">
        <v>59.0</v>
      </c>
      <c r="C35" s="417">
        <v>0.66</v>
      </c>
      <c r="D35" s="363">
        <v>1.0</v>
      </c>
      <c r="E35" s="242"/>
      <c r="F35" s="363">
        <v>56.0</v>
      </c>
      <c r="G35" s="363">
        <v>6.0</v>
      </c>
      <c r="H35" s="417">
        <v>0.11</v>
      </c>
      <c r="I35" s="230" t="s">
        <v>662</v>
      </c>
      <c r="J35" s="404" t="e">
        <v>#N/A</v>
      </c>
      <c r="K35" s="240" t="str">
        <f>VLOOKUP(A:A,'1-7 AUG'!C:C,1,0)</f>
        <v>#N/A</v>
      </c>
      <c r="L35" s="240" t="str">
        <f>VLOOKUP(A:A,'Tracing New Correction'!D107:D144,1,0)</f>
        <v>#N/A</v>
      </c>
    </row>
    <row r="36">
      <c r="A36" s="230" t="s">
        <v>1296</v>
      </c>
      <c r="B36" s="363">
        <v>74.0</v>
      </c>
      <c r="C36" s="417">
        <v>0.12</v>
      </c>
      <c r="D36" s="363">
        <v>1.0</v>
      </c>
      <c r="E36" s="242"/>
      <c r="F36" s="363">
        <v>78.0</v>
      </c>
      <c r="G36" s="363">
        <v>5.0</v>
      </c>
      <c r="H36" s="417">
        <v>0.06</v>
      </c>
      <c r="I36" s="230" t="s">
        <v>662</v>
      </c>
      <c r="J36" s="404" t="e">
        <v>#N/A</v>
      </c>
      <c r="K36" s="240" t="str">
        <f>VLOOKUP(A:A,'1-7 AUG'!C:C,1,0)</f>
        <v>#N/A</v>
      </c>
      <c r="L36" s="240" t="str">
        <f>VLOOKUP(A:A,'Tracing New Correction'!D108:D145,1,0)</f>
        <v>#N/A</v>
      </c>
    </row>
    <row r="37">
      <c r="A37" s="230" t="s">
        <v>1548</v>
      </c>
      <c r="B37" s="363">
        <v>77.0</v>
      </c>
      <c r="C37" s="417">
        <v>0.56</v>
      </c>
      <c r="D37" s="363">
        <v>1.0</v>
      </c>
      <c r="E37" s="242"/>
      <c r="F37" s="363">
        <v>78.0</v>
      </c>
      <c r="G37" s="363">
        <v>5.0</v>
      </c>
      <c r="H37" s="417">
        <v>0.06</v>
      </c>
      <c r="I37" s="230" t="s">
        <v>662</v>
      </c>
      <c r="J37" s="404" t="e">
        <v>#N/A</v>
      </c>
      <c r="K37" s="240" t="str">
        <f>VLOOKUP(A:A,'1-7 AUG'!C:C,1,0)</f>
        <v>#N/A</v>
      </c>
      <c r="L37" s="240" t="str">
        <f>VLOOKUP(A:A,'Tracing New Correction'!D109:D146,1,0)</f>
        <v>#N/A</v>
      </c>
    </row>
    <row r="38">
      <c r="A38" s="230" t="s">
        <v>87</v>
      </c>
      <c r="B38" s="363">
        <v>47.0</v>
      </c>
      <c r="C38" s="417">
        <v>0.12</v>
      </c>
      <c r="D38" s="363">
        <v>1.0</v>
      </c>
      <c r="E38" s="242"/>
      <c r="F38" s="363">
        <v>49.0</v>
      </c>
      <c r="G38" s="363">
        <v>5.0</v>
      </c>
      <c r="H38" s="417">
        <v>0.1</v>
      </c>
      <c r="I38" s="230" t="s">
        <v>662</v>
      </c>
      <c r="J38" s="404" t="e">
        <v>#N/A</v>
      </c>
      <c r="K38" s="240" t="str">
        <f>VLOOKUP(A:A,'1-7 AUG'!C:C,1,0)</f>
        <v>#N/A</v>
      </c>
      <c r="L38" s="240" t="str">
        <f>VLOOKUP(A:A,'Tracing New Correction'!D110:D147,1,0)</f>
        <v>#N/A</v>
      </c>
    </row>
    <row r="39">
      <c r="A39" s="230" t="s">
        <v>83</v>
      </c>
      <c r="B39" s="363">
        <v>7.0</v>
      </c>
      <c r="C39" s="417">
        <v>1.0</v>
      </c>
      <c r="D39" s="363">
        <v>1.0</v>
      </c>
      <c r="E39" s="242"/>
      <c r="F39" s="363">
        <v>7.0</v>
      </c>
      <c r="G39" s="363">
        <v>5.0</v>
      </c>
      <c r="H39" s="417">
        <v>0.71</v>
      </c>
      <c r="I39" s="230" t="s">
        <v>662</v>
      </c>
      <c r="J39" s="404" t="e">
        <v>#N/A</v>
      </c>
      <c r="K39" s="240" t="str">
        <f>VLOOKUP(A:A,'1-7 AUG'!C:C,1,0)</f>
        <v>#N/A</v>
      </c>
      <c r="L39" s="240" t="str">
        <f>VLOOKUP(A:A,'Tracing New Correction'!D111:D148,1,0)</f>
        <v>#N/A</v>
      </c>
    </row>
    <row r="40">
      <c r="A40" s="230" t="s">
        <v>195</v>
      </c>
      <c r="B40" s="363">
        <v>65.0</v>
      </c>
      <c r="C40" s="417">
        <v>0.12</v>
      </c>
      <c r="D40" s="363">
        <v>1.0</v>
      </c>
      <c r="E40" s="242"/>
      <c r="F40" s="363">
        <v>64.0</v>
      </c>
      <c r="G40" s="363">
        <v>5.0</v>
      </c>
      <c r="H40" s="417">
        <v>0.08</v>
      </c>
      <c r="I40" s="230" t="s">
        <v>662</v>
      </c>
      <c r="J40" s="404" t="e">
        <v>#N/A</v>
      </c>
      <c r="K40" s="240" t="str">
        <f>VLOOKUP(A:A,'1-7 AUG'!C:C,1,0)</f>
        <v>#N/A</v>
      </c>
      <c r="L40" s="240" t="str">
        <f>VLOOKUP(A:A,'Tracing New Correction'!D112:D149,1,0)</f>
        <v>#N/A</v>
      </c>
    </row>
    <row r="41">
      <c r="A41" s="230" t="s">
        <v>1549</v>
      </c>
      <c r="B41" s="363">
        <v>90.0</v>
      </c>
      <c r="C41" s="417">
        <v>0.47</v>
      </c>
      <c r="D41" s="363">
        <v>1.0</v>
      </c>
      <c r="E41" s="242"/>
      <c r="F41" s="363">
        <v>88.0</v>
      </c>
      <c r="G41" s="363">
        <v>5.0</v>
      </c>
      <c r="H41" s="417">
        <v>0.06</v>
      </c>
      <c r="I41" s="230" t="s">
        <v>662</v>
      </c>
      <c r="J41" s="404" t="e">
        <v>#N/A</v>
      </c>
      <c r="K41" s="240" t="str">
        <f>VLOOKUP(A:A,'1-7 AUG'!C:C,1,0)</f>
        <v>#N/A</v>
      </c>
      <c r="L41" s="240" t="str">
        <f>VLOOKUP(A:A,'Tracing New Correction'!D113:D150,1,0)</f>
        <v>#N/A</v>
      </c>
    </row>
    <row r="42">
      <c r="A42" s="230" t="s">
        <v>201</v>
      </c>
      <c r="B42" s="363">
        <v>26.0</v>
      </c>
      <c r="C42" s="417">
        <v>0.3</v>
      </c>
      <c r="D42" s="363">
        <v>1.0</v>
      </c>
      <c r="E42" s="242"/>
      <c r="F42" s="363">
        <v>24.0</v>
      </c>
      <c r="G42" s="363">
        <v>5.0</v>
      </c>
      <c r="H42" s="417">
        <v>0.21</v>
      </c>
      <c r="I42" s="230" t="s">
        <v>662</v>
      </c>
      <c r="J42" s="404" t="e">
        <v>#N/A</v>
      </c>
      <c r="K42" s="240" t="str">
        <f>VLOOKUP(A:A,'1-7 AUG'!C:C,1,0)</f>
        <v>#N/A</v>
      </c>
      <c r="L42" s="240" t="str">
        <f>VLOOKUP(A:A,'Tracing New Correction'!D114:D151,1,0)</f>
        <v>#N/A</v>
      </c>
    </row>
    <row r="43">
      <c r="A43" s="230" t="s">
        <v>1550</v>
      </c>
      <c r="B43" s="363">
        <v>30.0</v>
      </c>
      <c r="C43" s="417">
        <v>0.2</v>
      </c>
      <c r="D43" s="363">
        <v>1.0</v>
      </c>
      <c r="E43" s="242"/>
      <c r="F43" s="363">
        <v>34.0</v>
      </c>
      <c r="G43" s="363">
        <v>5.0</v>
      </c>
      <c r="H43" s="417">
        <v>0.15</v>
      </c>
      <c r="I43" s="230" t="s">
        <v>662</v>
      </c>
      <c r="J43" s="404" t="e">
        <v>#N/A</v>
      </c>
      <c r="K43" s="240" t="str">
        <f>VLOOKUP(A:A,'1-7 AUG'!C:C,1,0)</f>
        <v>#N/A</v>
      </c>
      <c r="L43" s="240" t="str">
        <f>VLOOKUP(A:A,'Tracing New Correction'!D115:D152,1,0)</f>
        <v>#N/A</v>
      </c>
    </row>
    <row r="44">
      <c r="A44" s="230" t="s">
        <v>1551</v>
      </c>
      <c r="B44" s="363">
        <v>73.0</v>
      </c>
      <c r="C44" s="417">
        <v>0.79</v>
      </c>
      <c r="D44" s="363">
        <v>1.0</v>
      </c>
      <c r="E44" s="242"/>
      <c r="F44" s="363">
        <v>72.0</v>
      </c>
      <c r="G44" s="363">
        <v>5.0</v>
      </c>
      <c r="H44" s="417">
        <v>0.07</v>
      </c>
      <c r="I44" s="230" t="s">
        <v>662</v>
      </c>
      <c r="J44" s="404" t="e">
        <v>#N/A</v>
      </c>
      <c r="K44" s="240" t="str">
        <f>VLOOKUP(A:A,'1-7 AUG'!C:C,1,0)</f>
        <v>#N/A</v>
      </c>
      <c r="L44" s="240" t="str">
        <f>VLOOKUP(A:A,'Tracing New Correction'!D116:D153,1,0)</f>
        <v>#N/A</v>
      </c>
    </row>
    <row r="45">
      <c r="A45" s="230" t="s">
        <v>1552</v>
      </c>
      <c r="B45" s="363">
        <v>96.0</v>
      </c>
      <c r="C45" s="417">
        <v>0.7</v>
      </c>
      <c r="D45" s="363">
        <v>1.0</v>
      </c>
      <c r="E45" s="242"/>
      <c r="F45" s="363">
        <v>92.0</v>
      </c>
      <c r="G45" s="363">
        <v>5.0</v>
      </c>
      <c r="H45" s="417">
        <v>0.05</v>
      </c>
      <c r="I45" s="230" t="s">
        <v>662</v>
      </c>
      <c r="J45" s="404" t="e">
        <v>#N/A</v>
      </c>
      <c r="K45" s="240" t="str">
        <f>VLOOKUP(A:A,'1-7 AUG'!C:C,1,0)</f>
        <v>#N/A</v>
      </c>
      <c r="L45" s="240" t="str">
        <f>VLOOKUP(A:A,'Tracing New Correction'!D117:D154,1,0)</f>
        <v>#N/A</v>
      </c>
    </row>
    <row r="46" ht="16.5" customHeight="1">
      <c r="A46" s="21" t="s">
        <v>1553</v>
      </c>
      <c r="I46" s="230" t="s">
        <v>662</v>
      </c>
      <c r="J46" s="21" t="s">
        <v>19</v>
      </c>
      <c r="K46" s="240" t="str">
        <f>VLOOKUP(A:A,'1-7 AUG'!C:C,1,0)</f>
        <v>#N/A</v>
      </c>
      <c r="L46" s="240" t="str">
        <f>VLOOKUP(A:A,'Tracing New Correction'!D118:D155,1,0)</f>
        <v>#N/A</v>
      </c>
    </row>
    <row r="47">
      <c r="A47" s="21" t="s">
        <v>1554</v>
      </c>
      <c r="I47" s="230" t="s">
        <v>662</v>
      </c>
      <c r="J47" s="21" t="s">
        <v>19</v>
      </c>
      <c r="K47" s="240" t="str">
        <f>VLOOKUP(A:A,'1-7 AUG'!C:C,1,0)</f>
        <v>#N/A</v>
      </c>
      <c r="L47" s="240" t="str">
        <f>VLOOKUP(A:A,'Tracing New Correction'!D119:D156,1,0)</f>
        <v>#N/A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10" max="10" width="21.88"/>
    <col customWidth="1" min="13" max="13" width="19.13"/>
  </cols>
  <sheetData>
    <row r="1">
      <c r="A1" s="150" t="s">
        <v>681</v>
      </c>
      <c r="B1" s="150" t="s">
        <v>657</v>
      </c>
      <c r="C1" s="150" t="s">
        <v>672</v>
      </c>
      <c r="D1" s="150" t="s">
        <v>673</v>
      </c>
      <c r="E1" s="150" t="s">
        <v>674</v>
      </c>
      <c r="F1" s="150" t="s">
        <v>658</v>
      </c>
      <c r="G1" s="150" t="s">
        <v>659</v>
      </c>
      <c r="H1" s="150" t="s">
        <v>660</v>
      </c>
      <c r="I1" s="150" t="s">
        <v>1555</v>
      </c>
      <c r="J1" s="150" t="s">
        <v>1537</v>
      </c>
      <c r="K1" s="150" t="s">
        <v>677</v>
      </c>
      <c r="L1" s="150" t="s">
        <v>1556</v>
      </c>
      <c r="M1" s="151" t="s">
        <v>1557</v>
      </c>
      <c r="N1" s="21" t="s">
        <v>881</v>
      </c>
    </row>
    <row r="2">
      <c r="A2" s="152" t="s">
        <v>1466</v>
      </c>
      <c r="B2" s="153">
        <v>343.0</v>
      </c>
      <c r="C2" s="197">
        <v>0.05</v>
      </c>
      <c r="D2" s="154">
        <v>1.0</v>
      </c>
      <c r="E2" s="198"/>
      <c r="F2" s="153">
        <v>300.0</v>
      </c>
      <c r="G2" s="153">
        <v>91.0</v>
      </c>
      <c r="H2" s="418">
        <v>0.303</v>
      </c>
      <c r="I2" s="152" t="s">
        <v>662</v>
      </c>
      <c r="J2" s="14" t="e">
        <v>#N/A</v>
      </c>
      <c r="K2" s="152" t="s">
        <v>462</v>
      </c>
      <c r="L2" s="419"/>
      <c r="M2" s="420"/>
      <c r="N2" s="21" t="s">
        <v>885</v>
      </c>
    </row>
    <row r="3">
      <c r="A3" s="156" t="s">
        <v>165</v>
      </c>
      <c r="B3" s="157">
        <v>398.0</v>
      </c>
      <c r="C3" s="199">
        <v>1.0</v>
      </c>
      <c r="D3" s="158">
        <v>1.0</v>
      </c>
      <c r="E3" s="200"/>
      <c r="F3" s="157">
        <v>379.0</v>
      </c>
      <c r="G3" s="157">
        <v>59.0</v>
      </c>
      <c r="H3" s="158">
        <v>0.156</v>
      </c>
      <c r="I3" s="156" t="s">
        <v>662</v>
      </c>
      <c r="J3" s="16" t="e">
        <v>#N/A</v>
      </c>
      <c r="K3" s="156" t="s">
        <v>43</v>
      </c>
      <c r="L3" s="156" t="s">
        <v>387</v>
      </c>
      <c r="M3" s="345" t="s">
        <v>1558</v>
      </c>
      <c r="N3" s="21" t="s">
        <v>885</v>
      </c>
    </row>
    <row r="4">
      <c r="A4" s="152" t="s">
        <v>1500</v>
      </c>
      <c r="B4" s="153">
        <v>161.0</v>
      </c>
      <c r="C4" s="197">
        <v>0.31</v>
      </c>
      <c r="D4" s="154">
        <v>1.0</v>
      </c>
      <c r="E4" s="198"/>
      <c r="F4" s="153">
        <v>151.0</v>
      </c>
      <c r="G4" s="153">
        <v>48.0</v>
      </c>
      <c r="H4" s="154">
        <v>0.318</v>
      </c>
      <c r="I4" s="152" t="s">
        <v>662</v>
      </c>
      <c r="J4" s="14" t="e">
        <v>#N/A</v>
      </c>
      <c r="K4" s="152" t="s">
        <v>19</v>
      </c>
      <c r="L4" s="152" t="s">
        <v>1559</v>
      </c>
      <c r="M4" s="344" t="s">
        <v>1560</v>
      </c>
      <c r="N4" s="21" t="s">
        <v>885</v>
      </c>
    </row>
    <row r="5">
      <c r="A5" s="156" t="s">
        <v>166</v>
      </c>
      <c r="B5" s="157">
        <v>36.0</v>
      </c>
      <c r="C5" s="199">
        <v>0.29</v>
      </c>
      <c r="D5" s="158">
        <v>1.0</v>
      </c>
      <c r="E5" s="200"/>
      <c r="F5" s="157">
        <v>33.0</v>
      </c>
      <c r="G5" s="157">
        <v>25.0</v>
      </c>
      <c r="H5" s="158">
        <v>0.758</v>
      </c>
      <c r="I5" s="156" t="s">
        <v>662</v>
      </c>
      <c r="J5" s="16" t="e">
        <v>#N/A</v>
      </c>
      <c r="K5" s="156" t="s">
        <v>19</v>
      </c>
      <c r="L5" s="156" t="s">
        <v>89</v>
      </c>
      <c r="M5" s="421">
        <v>74.0</v>
      </c>
      <c r="N5" s="21" t="s">
        <v>885</v>
      </c>
    </row>
    <row r="6">
      <c r="A6" s="152" t="s">
        <v>167</v>
      </c>
      <c r="B6" s="153">
        <v>155.0</v>
      </c>
      <c r="C6" s="197">
        <v>0.08</v>
      </c>
      <c r="D6" s="154">
        <v>1.0</v>
      </c>
      <c r="E6" s="198"/>
      <c r="F6" s="153">
        <v>155.0</v>
      </c>
      <c r="G6" s="153">
        <v>24.0</v>
      </c>
      <c r="H6" s="154">
        <v>0.155</v>
      </c>
      <c r="I6" s="152" t="s">
        <v>662</v>
      </c>
      <c r="J6" s="14" t="e">
        <v>#N/A</v>
      </c>
      <c r="K6" s="152" t="s">
        <v>19</v>
      </c>
      <c r="L6" s="152" t="s">
        <v>89</v>
      </c>
      <c r="M6" s="422">
        <v>14.0</v>
      </c>
      <c r="N6" s="21" t="s">
        <v>885</v>
      </c>
    </row>
    <row r="7">
      <c r="A7" s="156" t="s">
        <v>228</v>
      </c>
      <c r="B7" s="157">
        <v>96.0</v>
      </c>
      <c r="C7" s="199">
        <v>0.9</v>
      </c>
      <c r="D7" s="158">
        <v>1.0</v>
      </c>
      <c r="E7" s="200"/>
      <c r="F7" s="157">
        <v>87.0</v>
      </c>
      <c r="G7" s="157">
        <v>22.0</v>
      </c>
      <c r="H7" s="158">
        <v>0.253</v>
      </c>
      <c r="I7" s="156" t="s">
        <v>662</v>
      </c>
      <c r="J7" s="16" t="e">
        <v>#N/A</v>
      </c>
      <c r="K7" s="156" t="s">
        <v>43</v>
      </c>
      <c r="L7" s="156" t="s">
        <v>1561</v>
      </c>
      <c r="M7" s="423"/>
      <c r="N7" s="21" t="s">
        <v>885</v>
      </c>
    </row>
    <row r="8">
      <c r="A8" s="152" t="s">
        <v>1538</v>
      </c>
      <c r="B8" s="153">
        <v>169.0</v>
      </c>
      <c r="C8" s="197">
        <v>0.46</v>
      </c>
      <c r="D8" s="154">
        <v>1.0</v>
      </c>
      <c r="E8" s="198"/>
      <c r="F8" s="153">
        <v>166.0</v>
      </c>
      <c r="G8" s="153">
        <v>20.0</v>
      </c>
      <c r="H8" s="154">
        <v>0.12</v>
      </c>
      <c r="I8" s="152" t="s">
        <v>662</v>
      </c>
      <c r="J8" s="14" t="e">
        <v>#N/A</v>
      </c>
      <c r="K8" s="152" t="s">
        <v>43</v>
      </c>
      <c r="L8" s="152" t="s">
        <v>1561</v>
      </c>
      <c r="M8" s="420"/>
      <c r="N8" s="21" t="s">
        <v>885</v>
      </c>
    </row>
    <row r="9">
      <c r="A9" s="156" t="s">
        <v>168</v>
      </c>
      <c r="B9" s="157">
        <v>105.0</v>
      </c>
      <c r="C9" s="199">
        <v>0.22</v>
      </c>
      <c r="D9" s="158">
        <v>1.0</v>
      </c>
      <c r="E9" s="200"/>
      <c r="F9" s="157">
        <v>106.0</v>
      </c>
      <c r="G9" s="157">
        <v>19.0</v>
      </c>
      <c r="H9" s="158">
        <v>0.179</v>
      </c>
      <c r="I9" s="156" t="s">
        <v>662</v>
      </c>
      <c r="J9" s="16" t="e">
        <v>#N/A</v>
      </c>
      <c r="K9" s="156" t="s">
        <v>43</v>
      </c>
      <c r="L9" s="156" t="s">
        <v>1562</v>
      </c>
      <c r="M9" s="423"/>
      <c r="N9" s="21" t="s">
        <v>885</v>
      </c>
    </row>
    <row r="10">
      <c r="A10" s="152" t="s">
        <v>307</v>
      </c>
      <c r="B10" s="153">
        <v>250.0</v>
      </c>
      <c r="C10" s="197">
        <v>0.29</v>
      </c>
      <c r="D10" s="154">
        <v>1.0</v>
      </c>
      <c r="E10" s="198"/>
      <c r="F10" s="153">
        <v>248.0</v>
      </c>
      <c r="G10" s="153">
        <v>18.0</v>
      </c>
      <c r="H10" s="154">
        <v>0.073</v>
      </c>
      <c r="I10" s="152" t="s">
        <v>662</v>
      </c>
      <c r="J10" s="14" t="e">
        <v>#N/A</v>
      </c>
      <c r="K10" s="152" t="s">
        <v>43</v>
      </c>
      <c r="L10" s="152" t="s">
        <v>387</v>
      </c>
      <c r="M10" s="420"/>
      <c r="N10" s="21" t="s">
        <v>885</v>
      </c>
    </row>
    <row r="11">
      <c r="A11" s="156" t="s">
        <v>171</v>
      </c>
      <c r="B11" s="157">
        <v>91.0</v>
      </c>
      <c r="C11" s="199">
        <v>0.61</v>
      </c>
      <c r="D11" s="158">
        <v>1.0</v>
      </c>
      <c r="E11" s="200"/>
      <c r="F11" s="157">
        <v>89.0</v>
      </c>
      <c r="G11" s="157">
        <v>18.0</v>
      </c>
      <c r="H11" s="158">
        <v>0.202</v>
      </c>
      <c r="I11" s="156" t="s">
        <v>662</v>
      </c>
      <c r="J11" s="16" t="e">
        <v>#N/A</v>
      </c>
      <c r="K11" s="156" t="s">
        <v>43</v>
      </c>
      <c r="L11" s="200"/>
      <c r="M11" s="423"/>
      <c r="N11" s="21" t="s">
        <v>885</v>
      </c>
    </row>
    <row r="12">
      <c r="A12" s="152" t="s">
        <v>172</v>
      </c>
      <c r="B12" s="153">
        <v>218.0</v>
      </c>
      <c r="C12" s="197">
        <v>0.33</v>
      </c>
      <c r="D12" s="154">
        <v>1.0</v>
      </c>
      <c r="E12" s="198"/>
      <c r="F12" s="153">
        <v>212.0</v>
      </c>
      <c r="G12" s="153">
        <v>17.0</v>
      </c>
      <c r="H12" s="154">
        <v>0.08</v>
      </c>
      <c r="I12" s="152" t="s">
        <v>662</v>
      </c>
      <c r="J12" s="14" t="e">
        <v>#N/A</v>
      </c>
      <c r="K12" s="152" t="s">
        <v>43</v>
      </c>
      <c r="L12" s="198"/>
      <c r="M12" s="420"/>
      <c r="N12" s="21" t="s">
        <v>885</v>
      </c>
    </row>
    <row r="13">
      <c r="A13" s="161" t="s">
        <v>173</v>
      </c>
      <c r="B13" s="157">
        <v>160.0</v>
      </c>
      <c r="C13" s="199">
        <v>0.52</v>
      </c>
      <c r="D13" s="158">
        <v>1.0</v>
      </c>
      <c r="E13" s="200"/>
      <c r="F13" s="157">
        <v>157.0</v>
      </c>
      <c r="G13" s="157">
        <v>16.0</v>
      </c>
      <c r="H13" s="158">
        <v>0.102</v>
      </c>
      <c r="I13" s="156" t="s">
        <v>662</v>
      </c>
      <c r="J13" s="16" t="e">
        <v>#N/A</v>
      </c>
      <c r="K13" s="156" t="s">
        <v>43</v>
      </c>
      <c r="L13" s="200"/>
      <c r="M13" s="423"/>
      <c r="N13" s="21" t="s">
        <v>885</v>
      </c>
    </row>
    <row r="14">
      <c r="A14" s="152" t="s">
        <v>174</v>
      </c>
      <c r="B14" s="153">
        <v>190.0</v>
      </c>
      <c r="C14" s="197">
        <v>0.89</v>
      </c>
      <c r="D14" s="154">
        <v>1.0</v>
      </c>
      <c r="E14" s="198"/>
      <c r="F14" s="153">
        <v>177.0</v>
      </c>
      <c r="G14" s="153">
        <v>16.0</v>
      </c>
      <c r="H14" s="154">
        <v>0.09</v>
      </c>
      <c r="I14" s="152" t="s">
        <v>662</v>
      </c>
      <c r="J14" s="14" t="e">
        <v>#N/A</v>
      </c>
      <c r="K14" s="152" t="s">
        <v>43</v>
      </c>
      <c r="L14" s="198"/>
      <c r="M14" s="420"/>
      <c r="N14" s="21" t="s">
        <v>885</v>
      </c>
    </row>
    <row r="15">
      <c r="A15" s="156" t="s">
        <v>175</v>
      </c>
      <c r="B15" s="157">
        <v>207.0</v>
      </c>
      <c r="C15" s="199">
        <v>0.81</v>
      </c>
      <c r="D15" s="158">
        <v>1.0</v>
      </c>
      <c r="E15" s="200"/>
      <c r="F15" s="157">
        <v>196.0</v>
      </c>
      <c r="G15" s="157">
        <v>15.0</v>
      </c>
      <c r="H15" s="158">
        <v>0.077</v>
      </c>
      <c r="I15" s="156" t="s">
        <v>662</v>
      </c>
      <c r="J15" s="16" t="e">
        <v>#N/A</v>
      </c>
      <c r="K15" s="156" t="s">
        <v>43</v>
      </c>
      <c r="L15" s="200"/>
      <c r="M15" s="423"/>
      <c r="N15" s="21" t="s">
        <v>885</v>
      </c>
    </row>
    <row r="16">
      <c r="A16" s="152" t="s">
        <v>176</v>
      </c>
      <c r="B16" s="153">
        <v>181.0</v>
      </c>
      <c r="C16" s="197">
        <v>0.39</v>
      </c>
      <c r="D16" s="154">
        <v>1.0</v>
      </c>
      <c r="E16" s="198"/>
      <c r="F16" s="153">
        <v>177.0</v>
      </c>
      <c r="G16" s="153">
        <v>14.0</v>
      </c>
      <c r="H16" s="154">
        <v>0.079</v>
      </c>
      <c r="I16" s="152" t="s">
        <v>662</v>
      </c>
      <c r="J16" s="14" t="e">
        <v>#N/A</v>
      </c>
      <c r="K16" s="152" t="s">
        <v>43</v>
      </c>
      <c r="L16" s="198"/>
      <c r="M16" s="420"/>
      <c r="N16" s="21" t="s">
        <v>885</v>
      </c>
    </row>
    <row r="17">
      <c r="A17" s="156" t="s">
        <v>178</v>
      </c>
      <c r="B17" s="157">
        <v>128.0</v>
      </c>
      <c r="C17" s="199">
        <v>1.0</v>
      </c>
      <c r="D17" s="158">
        <v>1.0</v>
      </c>
      <c r="E17" s="200"/>
      <c r="F17" s="157">
        <v>127.0</v>
      </c>
      <c r="G17" s="157">
        <v>13.0</v>
      </c>
      <c r="H17" s="158">
        <v>0.102</v>
      </c>
      <c r="I17" s="156" t="s">
        <v>662</v>
      </c>
      <c r="J17" s="16" t="e">
        <v>#N/A</v>
      </c>
      <c r="K17" s="156" t="s">
        <v>43</v>
      </c>
      <c r="L17" s="200"/>
      <c r="M17" s="423"/>
      <c r="N17" s="21" t="s">
        <v>885</v>
      </c>
    </row>
    <row r="18">
      <c r="A18" s="152" t="s">
        <v>179</v>
      </c>
      <c r="B18" s="153">
        <v>134.0</v>
      </c>
      <c r="C18" s="197">
        <v>0.28</v>
      </c>
      <c r="D18" s="154">
        <v>1.0</v>
      </c>
      <c r="E18" s="198"/>
      <c r="F18" s="153">
        <v>132.0</v>
      </c>
      <c r="G18" s="153">
        <v>13.0</v>
      </c>
      <c r="H18" s="154">
        <v>0.098</v>
      </c>
      <c r="I18" s="152" t="s">
        <v>662</v>
      </c>
      <c r="J18" s="14" t="e">
        <v>#N/A</v>
      </c>
      <c r="K18" s="152" t="s">
        <v>43</v>
      </c>
      <c r="L18" s="198"/>
      <c r="M18" s="420"/>
      <c r="N18" s="21" t="s">
        <v>885</v>
      </c>
    </row>
    <row r="19">
      <c r="A19" s="156" t="s">
        <v>180</v>
      </c>
      <c r="B19" s="157">
        <v>90.0</v>
      </c>
      <c r="C19" s="199">
        <v>1.0</v>
      </c>
      <c r="D19" s="158">
        <v>1.0</v>
      </c>
      <c r="E19" s="200"/>
      <c r="F19" s="157">
        <v>85.0</v>
      </c>
      <c r="G19" s="157">
        <v>13.0</v>
      </c>
      <c r="H19" s="158">
        <v>0.153</v>
      </c>
      <c r="I19" s="156" t="s">
        <v>662</v>
      </c>
      <c r="J19" s="16" t="e">
        <v>#N/A</v>
      </c>
      <c r="K19" s="156" t="s">
        <v>43</v>
      </c>
      <c r="L19" s="200"/>
      <c r="M19" s="423"/>
      <c r="N19" s="21" t="s">
        <v>885</v>
      </c>
    </row>
    <row r="20">
      <c r="A20" s="152" t="s">
        <v>181</v>
      </c>
      <c r="B20" s="153">
        <v>175.0</v>
      </c>
      <c r="C20" s="197">
        <v>0.33</v>
      </c>
      <c r="D20" s="154">
        <v>1.0</v>
      </c>
      <c r="E20" s="198"/>
      <c r="F20" s="153">
        <v>164.0</v>
      </c>
      <c r="G20" s="153">
        <v>13.0</v>
      </c>
      <c r="H20" s="154">
        <v>0.079</v>
      </c>
      <c r="I20" s="152" t="s">
        <v>662</v>
      </c>
      <c r="J20" s="14" t="e">
        <v>#N/A</v>
      </c>
      <c r="K20" s="152" t="s">
        <v>43</v>
      </c>
      <c r="L20" s="198"/>
      <c r="M20" s="420"/>
      <c r="N20" s="21" t="s">
        <v>885</v>
      </c>
    </row>
    <row r="21">
      <c r="A21" s="156" t="s">
        <v>182</v>
      </c>
      <c r="B21" s="157">
        <v>167.0</v>
      </c>
      <c r="C21" s="199">
        <v>0.86</v>
      </c>
      <c r="D21" s="158">
        <v>1.0</v>
      </c>
      <c r="E21" s="200"/>
      <c r="F21" s="157">
        <v>163.0</v>
      </c>
      <c r="G21" s="157">
        <v>13.0</v>
      </c>
      <c r="H21" s="158">
        <v>0.08</v>
      </c>
      <c r="I21" s="156" t="s">
        <v>662</v>
      </c>
      <c r="J21" s="16" t="e">
        <v>#N/A</v>
      </c>
      <c r="K21" s="156" t="s">
        <v>43</v>
      </c>
      <c r="L21" s="200"/>
      <c r="M21" s="423"/>
      <c r="N21" s="21" t="s">
        <v>885</v>
      </c>
    </row>
    <row r="22">
      <c r="A22" s="152" t="s">
        <v>183</v>
      </c>
      <c r="B22" s="153">
        <v>145.0</v>
      </c>
      <c r="C22" s="197">
        <v>1.0</v>
      </c>
      <c r="D22" s="154">
        <v>1.0</v>
      </c>
      <c r="E22" s="198"/>
      <c r="F22" s="153">
        <v>143.0</v>
      </c>
      <c r="G22" s="153">
        <v>13.0</v>
      </c>
      <c r="H22" s="154">
        <v>0.091</v>
      </c>
      <c r="I22" s="152" t="s">
        <v>662</v>
      </c>
      <c r="J22" s="14" t="e">
        <v>#N/A</v>
      </c>
      <c r="K22" s="152" t="s">
        <v>19</v>
      </c>
      <c r="L22" s="198"/>
      <c r="M22" s="420"/>
      <c r="N22" s="21" t="s">
        <v>885</v>
      </c>
    </row>
    <row r="23">
      <c r="A23" s="156" t="s">
        <v>185</v>
      </c>
      <c r="B23" s="157">
        <v>36.0</v>
      </c>
      <c r="C23" s="199">
        <v>1.0</v>
      </c>
      <c r="D23" s="158">
        <v>1.0</v>
      </c>
      <c r="E23" s="200"/>
      <c r="F23" s="157">
        <v>32.0</v>
      </c>
      <c r="G23" s="157">
        <v>12.0</v>
      </c>
      <c r="H23" s="158">
        <v>0.375</v>
      </c>
      <c r="I23" s="156" t="s">
        <v>662</v>
      </c>
      <c r="J23" s="16" t="e">
        <v>#N/A</v>
      </c>
      <c r="K23" s="156" t="s">
        <v>19</v>
      </c>
      <c r="L23" s="200"/>
      <c r="M23" s="423"/>
      <c r="N23" s="21" t="s">
        <v>885</v>
      </c>
    </row>
    <row r="24">
      <c r="A24" s="152" t="s">
        <v>186</v>
      </c>
      <c r="B24" s="153">
        <v>119.0</v>
      </c>
      <c r="C24" s="197">
        <v>0.29</v>
      </c>
      <c r="D24" s="154">
        <v>1.0</v>
      </c>
      <c r="E24" s="198"/>
      <c r="F24" s="153">
        <v>116.0</v>
      </c>
      <c r="G24" s="153">
        <v>12.0</v>
      </c>
      <c r="H24" s="154">
        <v>0.103</v>
      </c>
      <c r="I24" s="152" t="s">
        <v>662</v>
      </c>
      <c r="J24" s="14" t="e">
        <v>#N/A</v>
      </c>
      <c r="K24" s="152" t="s">
        <v>43</v>
      </c>
      <c r="L24" s="198"/>
      <c r="M24" s="420"/>
      <c r="N24" s="21" t="s">
        <v>885</v>
      </c>
    </row>
    <row r="25">
      <c r="A25" s="156" t="s">
        <v>187</v>
      </c>
      <c r="B25" s="157">
        <v>99.0</v>
      </c>
      <c r="C25" s="199">
        <v>0.78</v>
      </c>
      <c r="D25" s="158">
        <v>1.0</v>
      </c>
      <c r="E25" s="200"/>
      <c r="F25" s="157">
        <v>92.0</v>
      </c>
      <c r="G25" s="157">
        <v>11.0</v>
      </c>
      <c r="H25" s="158">
        <v>0.12</v>
      </c>
      <c r="I25" s="156" t="s">
        <v>662</v>
      </c>
      <c r="J25" s="16" t="e">
        <v>#N/A</v>
      </c>
      <c r="K25" s="156" t="s">
        <v>43</v>
      </c>
      <c r="L25" s="200"/>
      <c r="M25" s="423"/>
      <c r="N25" s="21" t="s">
        <v>885</v>
      </c>
    </row>
    <row r="26">
      <c r="A26" s="152" t="s">
        <v>188</v>
      </c>
      <c r="B26" s="153">
        <v>95.0</v>
      </c>
      <c r="C26" s="197">
        <v>0.57</v>
      </c>
      <c r="D26" s="154">
        <v>1.0</v>
      </c>
      <c r="E26" s="198"/>
      <c r="F26" s="153">
        <v>95.0</v>
      </c>
      <c r="G26" s="153">
        <v>11.0</v>
      </c>
      <c r="H26" s="154">
        <v>0.116</v>
      </c>
      <c r="I26" s="152" t="s">
        <v>662</v>
      </c>
      <c r="J26" s="14" t="e">
        <v>#N/A</v>
      </c>
      <c r="K26" s="152" t="s">
        <v>43</v>
      </c>
      <c r="L26" s="198"/>
      <c r="M26" s="420"/>
      <c r="N26" s="21" t="s">
        <v>885</v>
      </c>
    </row>
    <row r="27">
      <c r="A27" s="156" t="s">
        <v>189</v>
      </c>
      <c r="B27" s="157">
        <v>169.0</v>
      </c>
      <c r="C27" s="199">
        <v>0.99</v>
      </c>
      <c r="D27" s="158">
        <v>1.0</v>
      </c>
      <c r="E27" s="200"/>
      <c r="F27" s="157">
        <v>166.0</v>
      </c>
      <c r="G27" s="157">
        <v>10.0</v>
      </c>
      <c r="H27" s="158">
        <v>0.06</v>
      </c>
      <c r="I27" s="156" t="s">
        <v>662</v>
      </c>
      <c r="J27" s="16" t="e">
        <v>#N/A</v>
      </c>
      <c r="K27" s="156" t="s">
        <v>43</v>
      </c>
      <c r="L27" s="200"/>
      <c r="M27" s="423"/>
      <c r="N27" s="21" t="s">
        <v>885</v>
      </c>
    </row>
    <row r="28">
      <c r="A28" s="152" t="s">
        <v>87</v>
      </c>
      <c r="B28" s="153">
        <v>137.0</v>
      </c>
      <c r="C28" s="197">
        <v>0.33</v>
      </c>
      <c r="D28" s="154">
        <v>1.0</v>
      </c>
      <c r="E28" s="198"/>
      <c r="F28" s="153">
        <v>142.0</v>
      </c>
      <c r="G28" s="153">
        <v>10.0</v>
      </c>
      <c r="H28" s="154">
        <v>0.07</v>
      </c>
      <c r="I28" s="152" t="s">
        <v>662</v>
      </c>
      <c r="J28" s="14" t="e">
        <v>#N/A</v>
      </c>
      <c r="K28" s="152" t="s">
        <v>43</v>
      </c>
      <c r="L28" s="198"/>
      <c r="M28" s="420"/>
      <c r="N28" s="21" t="s">
        <v>885</v>
      </c>
    </row>
    <row r="29">
      <c r="A29" s="156" t="s">
        <v>190</v>
      </c>
      <c r="B29" s="157">
        <v>167.0</v>
      </c>
      <c r="C29" s="199">
        <v>0.63</v>
      </c>
      <c r="D29" s="158">
        <v>1.0</v>
      </c>
      <c r="E29" s="200"/>
      <c r="F29" s="157">
        <v>163.0</v>
      </c>
      <c r="G29" s="157">
        <v>10.0</v>
      </c>
      <c r="H29" s="158">
        <v>0.061</v>
      </c>
      <c r="I29" s="156" t="s">
        <v>662</v>
      </c>
      <c r="J29" s="16" t="e">
        <v>#N/A</v>
      </c>
      <c r="K29" s="156" t="s">
        <v>43</v>
      </c>
      <c r="L29" s="200"/>
      <c r="M29" s="423"/>
      <c r="N29" s="21" t="s">
        <v>885</v>
      </c>
    </row>
    <row r="30">
      <c r="A30" s="152" t="s">
        <v>191</v>
      </c>
      <c r="B30" s="153">
        <v>165.0</v>
      </c>
      <c r="C30" s="197">
        <v>0.22</v>
      </c>
      <c r="D30" s="154">
        <v>1.0</v>
      </c>
      <c r="E30" s="198"/>
      <c r="F30" s="153">
        <v>161.0</v>
      </c>
      <c r="G30" s="153">
        <v>10.0</v>
      </c>
      <c r="H30" s="154">
        <v>0.062</v>
      </c>
      <c r="I30" s="152" t="s">
        <v>662</v>
      </c>
      <c r="J30" s="14" t="e">
        <v>#N/A</v>
      </c>
      <c r="K30" s="152" t="s">
        <v>43</v>
      </c>
      <c r="L30" s="198"/>
      <c r="M30" s="420"/>
      <c r="N30" s="21" t="s">
        <v>885</v>
      </c>
    </row>
    <row r="31">
      <c r="A31" s="156" t="s">
        <v>192</v>
      </c>
      <c r="B31" s="157">
        <v>85.0</v>
      </c>
      <c r="C31" s="199">
        <v>0.23</v>
      </c>
      <c r="D31" s="158">
        <v>1.0</v>
      </c>
      <c r="E31" s="200"/>
      <c r="F31" s="157">
        <v>78.0</v>
      </c>
      <c r="G31" s="157">
        <v>10.0</v>
      </c>
      <c r="H31" s="158">
        <v>0.128</v>
      </c>
      <c r="I31" s="156" t="s">
        <v>662</v>
      </c>
      <c r="J31" s="16" t="e">
        <v>#N/A</v>
      </c>
      <c r="K31" s="156" t="s">
        <v>19</v>
      </c>
      <c r="L31" s="200"/>
      <c r="M31" s="423"/>
      <c r="N31" s="21" t="s">
        <v>885</v>
      </c>
    </row>
    <row r="32">
      <c r="A32" s="152" t="s">
        <v>193</v>
      </c>
      <c r="B32" s="153">
        <v>103.0</v>
      </c>
      <c r="C32" s="197">
        <v>1.0</v>
      </c>
      <c r="D32" s="154">
        <v>1.0</v>
      </c>
      <c r="E32" s="198"/>
      <c r="F32" s="153">
        <v>99.0</v>
      </c>
      <c r="G32" s="153">
        <v>9.0</v>
      </c>
      <c r="H32" s="154">
        <v>0.091</v>
      </c>
      <c r="I32" s="152" t="s">
        <v>662</v>
      </c>
      <c r="J32" s="14" t="e">
        <v>#N/A</v>
      </c>
      <c r="K32" s="152" t="s">
        <v>43</v>
      </c>
      <c r="L32" s="198"/>
      <c r="M32" s="420"/>
      <c r="N32" s="21" t="s">
        <v>885</v>
      </c>
    </row>
    <row r="33">
      <c r="A33" s="156" t="s">
        <v>194</v>
      </c>
      <c r="B33" s="157">
        <v>139.0</v>
      </c>
      <c r="C33" s="199">
        <v>0.14</v>
      </c>
      <c r="D33" s="158">
        <v>1.0</v>
      </c>
      <c r="E33" s="200"/>
      <c r="F33" s="157">
        <v>137.0</v>
      </c>
      <c r="G33" s="157">
        <v>9.0</v>
      </c>
      <c r="H33" s="158">
        <v>0.066</v>
      </c>
      <c r="I33" s="156" t="s">
        <v>662</v>
      </c>
      <c r="J33" s="16" t="e">
        <v>#N/A</v>
      </c>
      <c r="K33" s="156" t="s">
        <v>43</v>
      </c>
      <c r="L33" s="200"/>
      <c r="M33" s="423"/>
      <c r="N33" s="21" t="s">
        <v>885</v>
      </c>
    </row>
    <row r="34">
      <c r="A34" s="152" t="s">
        <v>195</v>
      </c>
      <c r="B34" s="153">
        <v>52.0</v>
      </c>
      <c r="C34" s="197">
        <v>0.11</v>
      </c>
      <c r="D34" s="154">
        <v>1.0</v>
      </c>
      <c r="E34" s="198"/>
      <c r="F34" s="153">
        <v>51.0</v>
      </c>
      <c r="G34" s="153">
        <v>9.0</v>
      </c>
      <c r="H34" s="154">
        <v>0.176</v>
      </c>
      <c r="I34" s="152" t="s">
        <v>662</v>
      </c>
      <c r="J34" s="14" t="e">
        <v>#N/A</v>
      </c>
      <c r="K34" s="152" t="s">
        <v>43</v>
      </c>
      <c r="L34" s="198"/>
      <c r="M34" s="420"/>
      <c r="N34" s="21" t="s">
        <v>885</v>
      </c>
    </row>
    <row r="35">
      <c r="A35" s="156" t="s">
        <v>196</v>
      </c>
      <c r="B35" s="157">
        <v>72.0</v>
      </c>
      <c r="C35" s="199">
        <v>0.58</v>
      </c>
      <c r="D35" s="158">
        <v>1.0</v>
      </c>
      <c r="E35" s="200"/>
      <c r="F35" s="157">
        <v>72.0</v>
      </c>
      <c r="G35" s="157">
        <v>9.0</v>
      </c>
      <c r="H35" s="158">
        <v>0.125</v>
      </c>
      <c r="I35" s="156" t="s">
        <v>662</v>
      </c>
      <c r="J35" s="16" t="e">
        <v>#N/A</v>
      </c>
      <c r="K35" s="156" t="s">
        <v>43</v>
      </c>
      <c r="L35" s="200"/>
      <c r="M35" s="423"/>
      <c r="N35" s="21" t="s">
        <v>885</v>
      </c>
    </row>
    <row r="36">
      <c r="A36" s="152" t="s">
        <v>197</v>
      </c>
      <c r="B36" s="153">
        <v>43.0</v>
      </c>
      <c r="C36" s="197">
        <v>0.23</v>
      </c>
      <c r="D36" s="154">
        <v>1.0</v>
      </c>
      <c r="E36" s="198"/>
      <c r="F36" s="153">
        <v>35.0</v>
      </c>
      <c r="G36" s="153">
        <v>9.0</v>
      </c>
      <c r="H36" s="154">
        <v>0.257</v>
      </c>
      <c r="I36" s="152" t="s">
        <v>662</v>
      </c>
      <c r="J36" s="14" t="e">
        <v>#N/A</v>
      </c>
      <c r="K36" s="152" t="s">
        <v>43</v>
      </c>
      <c r="L36" s="198"/>
      <c r="M36" s="420"/>
      <c r="N36" s="21" t="s">
        <v>885</v>
      </c>
    </row>
    <row r="37">
      <c r="A37" s="156" t="s">
        <v>198</v>
      </c>
      <c r="B37" s="157">
        <v>98.0</v>
      </c>
      <c r="C37" s="199">
        <v>0.78</v>
      </c>
      <c r="D37" s="158">
        <v>1.0</v>
      </c>
      <c r="E37" s="200"/>
      <c r="F37" s="157">
        <v>94.0</v>
      </c>
      <c r="G37" s="157">
        <v>9.0</v>
      </c>
      <c r="H37" s="158">
        <v>0.096</v>
      </c>
      <c r="I37" s="156" t="s">
        <v>662</v>
      </c>
      <c r="J37" s="16" t="e">
        <v>#N/A</v>
      </c>
      <c r="K37" s="156" t="s">
        <v>43</v>
      </c>
      <c r="L37" s="200"/>
      <c r="M37" s="423"/>
      <c r="N37" s="21" t="s">
        <v>885</v>
      </c>
    </row>
    <row r="38">
      <c r="A38" s="152" t="s">
        <v>199</v>
      </c>
      <c r="B38" s="153">
        <v>103.0</v>
      </c>
      <c r="C38" s="197">
        <v>1.0</v>
      </c>
      <c r="D38" s="154">
        <v>1.0</v>
      </c>
      <c r="E38" s="198"/>
      <c r="F38" s="153">
        <v>98.0</v>
      </c>
      <c r="G38" s="153">
        <v>9.0</v>
      </c>
      <c r="H38" s="154">
        <v>0.092</v>
      </c>
      <c r="I38" s="152" t="s">
        <v>662</v>
      </c>
      <c r="J38" s="14" t="e">
        <v>#N/A</v>
      </c>
      <c r="K38" s="152" t="s">
        <v>43</v>
      </c>
      <c r="L38" s="198"/>
      <c r="M38" s="420"/>
      <c r="N38" s="21" t="s">
        <v>885</v>
      </c>
    </row>
    <row r="39">
      <c r="A39" s="156" t="s">
        <v>200</v>
      </c>
      <c r="B39" s="157">
        <v>138.0</v>
      </c>
      <c r="C39" s="199">
        <v>0.63</v>
      </c>
      <c r="D39" s="158">
        <v>1.0</v>
      </c>
      <c r="E39" s="200"/>
      <c r="F39" s="157">
        <v>136.0</v>
      </c>
      <c r="G39" s="157">
        <v>8.0</v>
      </c>
      <c r="H39" s="158">
        <v>0.059</v>
      </c>
      <c r="I39" s="156" t="s">
        <v>662</v>
      </c>
      <c r="J39" s="16" t="e">
        <v>#N/A</v>
      </c>
      <c r="K39" s="156" t="s">
        <v>43</v>
      </c>
      <c r="L39" s="200"/>
      <c r="M39" s="423"/>
      <c r="N39" s="21" t="s">
        <v>885</v>
      </c>
    </row>
    <row r="40">
      <c r="A40" s="152" t="s">
        <v>201</v>
      </c>
      <c r="B40" s="153">
        <v>35.0</v>
      </c>
      <c r="C40" s="197">
        <v>0.42</v>
      </c>
      <c r="D40" s="154">
        <v>1.0</v>
      </c>
      <c r="E40" s="198"/>
      <c r="F40" s="153">
        <v>31.0</v>
      </c>
      <c r="G40" s="153">
        <v>8.0</v>
      </c>
      <c r="H40" s="154">
        <v>0.258</v>
      </c>
      <c r="I40" s="152" t="s">
        <v>662</v>
      </c>
      <c r="J40" s="14" t="e">
        <v>#N/A</v>
      </c>
      <c r="K40" s="152" t="s">
        <v>19</v>
      </c>
      <c r="L40" s="198"/>
      <c r="M40" s="420"/>
      <c r="N40" s="21" t="s">
        <v>885</v>
      </c>
    </row>
    <row r="41">
      <c r="A41" s="156" t="s">
        <v>202</v>
      </c>
      <c r="B41" s="157">
        <v>60.0</v>
      </c>
      <c r="C41" s="199">
        <v>0.21</v>
      </c>
      <c r="D41" s="158">
        <v>1.0</v>
      </c>
      <c r="E41" s="200"/>
      <c r="F41" s="157">
        <v>57.0</v>
      </c>
      <c r="G41" s="157">
        <v>8.0</v>
      </c>
      <c r="H41" s="158">
        <v>0.14</v>
      </c>
      <c r="I41" s="156" t="s">
        <v>662</v>
      </c>
      <c r="J41" s="16" t="e">
        <v>#N/A</v>
      </c>
      <c r="K41" s="156" t="s">
        <v>43</v>
      </c>
      <c r="L41" s="200"/>
      <c r="M41" s="423"/>
      <c r="N41" s="21" t="s">
        <v>885</v>
      </c>
    </row>
    <row r="42">
      <c r="A42" s="152" t="s">
        <v>203</v>
      </c>
      <c r="B42" s="153">
        <v>139.0</v>
      </c>
      <c r="C42" s="197">
        <v>0.3</v>
      </c>
      <c r="D42" s="154">
        <v>1.0</v>
      </c>
      <c r="E42" s="198"/>
      <c r="F42" s="153">
        <v>134.0</v>
      </c>
      <c r="G42" s="153">
        <v>8.0</v>
      </c>
      <c r="H42" s="154">
        <v>0.06</v>
      </c>
      <c r="I42" s="152" t="s">
        <v>662</v>
      </c>
      <c r="J42" s="14" t="e">
        <v>#N/A</v>
      </c>
      <c r="K42" s="152" t="s">
        <v>43</v>
      </c>
      <c r="L42" s="198"/>
      <c r="M42" s="420"/>
      <c r="N42" s="21" t="s">
        <v>885</v>
      </c>
    </row>
    <row r="43">
      <c r="A43" s="156" t="s">
        <v>204</v>
      </c>
      <c r="B43" s="157">
        <v>79.0</v>
      </c>
      <c r="C43" s="199">
        <v>0.04</v>
      </c>
      <c r="D43" s="158">
        <v>1.0</v>
      </c>
      <c r="E43" s="200"/>
      <c r="F43" s="157">
        <v>75.0</v>
      </c>
      <c r="G43" s="157">
        <v>7.0</v>
      </c>
      <c r="H43" s="158">
        <v>0.093</v>
      </c>
      <c r="I43" s="156" t="s">
        <v>662</v>
      </c>
      <c r="J43" s="16" t="e">
        <v>#N/A</v>
      </c>
      <c r="K43" s="156" t="s">
        <v>19</v>
      </c>
      <c r="L43" s="200"/>
      <c r="M43" s="423"/>
      <c r="N43" s="21" t="s">
        <v>885</v>
      </c>
    </row>
    <row r="44">
      <c r="A44" s="152" t="s">
        <v>205</v>
      </c>
      <c r="B44" s="153">
        <v>119.0</v>
      </c>
      <c r="C44" s="197">
        <v>0.12</v>
      </c>
      <c r="D44" s="154">
        <v>1.0</v>
      </c>
      <c r="E44" s="198"/>
      <c r="F44" s="153">
        <v>115.0</v>
      </c>
      <c r="G44" s="153">
        <v>7.0</v>
      </c>
      <c r="H44" s="154">
        <v>0.061</v>
      </c>
      <c r="I44" s="152" t="s">
        <v>662</v>
      </c>
      <c r="J44" s="14" t="e">
        <v>#N/A</v>
      </c>
      <c r="K44" s="152" t="s">
        <v>43</v>
      </c>
      <c r="L44" s="198"/>
      <c r="M44" s="420"/>
      <c r="N44" s="21" t="s">
        <v>885</v>
      </c>
    </row>
    <row r="45">
      <c r="A45" s="156" t="s">
        <v>206</v>
      </c>
      <c r="B45" s="157">
        <v>107.0</v>
      </c>
      <c r="C45" s="199">
        <v>0.36</v>
      </c>
      <c r="D45" s="158">
        <v>1.0</v>
      </c>
      <c r="E45" s="200"/>
      <c r="F45" s="157">
        <v>108.0</v>
      </c>
      <c r="G45" s="157">
        <v>7.0</v>
      </c>
      <c r="H45" s="158">
        <v>0.065</v>
      </c>
      <c r="I45" s="156" t="s">
        <v>662</v>
      </c>
      <c r="J45" s="16" t="e">
        <v>#N/A</v>
      </c>
      <c r="K45" s="156" t="s">
        <v>43</v>
      </c>
      <c r="L45" s="200"/>
      <c r="M45" s="423"/>
      <c r="N45" s="21" t="s">
        <v>885</v>
      </c>
    </row>
    <row r="46">
      <c r="A46" s="152" t="s">
        <v>207</v>
      </c>
      <c r="B46" s="153">
        <v>41.0</v>
      </c>
      <c r="C46" s="197">
        <v>0.07</v>
      </c>
      <c r="D46" s="154">
        <v>1.0</v>
      </c>
      <c r="E46" s="198"/>
      <c r="F46" s="153">
        <v>39.0</v>
      </c>
      <c r="G46" s="153">
        <v>7.0</v>
      </c>
      <c r="H46" s="154">
        <v>0.179</v>
      </c>
      <c r="I46" s="152" t="s">
        <v>662</v>
      </c>
      <c r="J46" s="14" t="e">
        <v>#N/A</v>
      </c>
      <c r="K46" s="152" t="s">
        <v>43</v>
      </c>
      <c r="L46" s="198"/>
      <c r="M46" s="420"/>
      <c r="N46" s="21" t="s">
        <v>885</v>
      </c>
    </row>
    <row r="47">
      <c r="A47" s="156" t="s">
        <v>208</v>
      </c>
      <c r="B47" s="157">
        <v>142.0</v>
      </c>
      <c r="C47" s="199">
        <v>0.24</v>
      </c>
      <c r="D47" s="158">
        <v>1.0</v>
      </c>
      <c r="E47" s="200"/>
      <c r="F47" s="157">
        <v>140.0</v>
      </c>
      <c r="G47" s="157">
        <v>7.0</v>
      </c>
      <c r="H47" s="158">
        <v>0.05</v>
      </c>
      <c r="I47" s="156" t="s">
        <v>662</v>
      </c>
      <c r="J47" s="16" t="e">
        <v>#N/A</v>
      </c>
      <c r="K47" s="156" t="s">
        <v>43</v>
      </c>
      <c r="L47" s="200"/>
      <c r="M47" s="423"/>
      <c r="N47" s="21" t="s">
        <v>885</v>
      </c>
    </row>
    <row r="48">
      <c r="A48" s="152" t="s">
        <v>209</v>
      </c>
      <c r="B48" s="153">
        <v>47.0</v>
      </c>
      <c r="C48" s="197">
        <v>0.21</v>
      </c>
      <c r="D48" s="154">
        <v>1.0</v>
      </c>
      <c r="E48" s="198"/>
      <c r="F48" s="153">
        <v>48.0</v>
      </c>
      <c r="G48" s="153">
        <v>7.0</v>
      </c>
      <c r="H48" s="154">
        <v>0.146</v>
      </c>
      <c r="I48" s="152" t="s">
        <v>662</v>
      </c>
      <c r="J48" s="14" t="e">
        <v>#N/A</v>
      </c>
      <c r="K48" s="152" t="s">
        <v>43</v>
      </c>
      <c r="L48" s="198"/>
      <c r="M48" s="420"/>
      <c r="N48" s="21" t="s">
        <v>885</v>
      </c>
    </row>
    <row r="49">
      <c r="A49" s="156" t="s">
        <v>1563</v>
      </c>
      <c r="B49" s="157">
        <v>24.0</v>
      </c>
      <c r="C49" s="199">
        <v>0.09</v>
      </c>
      <c r="D49" s="158">
        <v>1.0</v>
      </c>
      <c r="E49" s="200"/>
      <c r="F49" s="157">
        <v>24.0</v>
      </c>
      <c r="G49" s="157">
        <v>6.0</v>
      </c>
      <c r="H49" s="158">
        <v>0.25</v>
      </c>
      <c r="I49" s="156" t="s">
        <v>662</v>
      </c>
      <c r="J49" s="16" t="e">
        <v>#N/A</v>
      </c>
      <c r="K49" s="156" t="s">
        <v>19</v>
      </c>
      <c r="L49" s="200"/>
      <c r="M49" s="423"/>
      <c r="N49" s="21" t="s">
        <v>885</v>
      </c>
    </row>
    <row r="50">
      <c r="A50" s="152" t="s">
        <v>541</v>
      </c>
      <c r="B50" s="153">
        <v>93.0</v>
      </c>
      <c r="C50" s="197">
        <v>0.41</v>
      </c>
      <c r="D50" s="154">
        <v>1.0</v>
      </c>
      <c r="E50" s="198"/>
      <c r="F50" s="153">
        <v>93.0</v>
      </c>
      <c r="G50" s="153">
        <v>6.0</v>
      </c>
      <c r="H50" s="154">
        <v>0.065</v>
      </c>
      <c r="I50" s="152" t="s">
        <v>662</v>
      </c>
      <c r="J50" s="14" t="e">
        <v>#N/A</v>
      </c>
      <c r="K50" s="152" t="s">
        <v>1564</v>
      </c>
      <c r="L50" s="198"/>
      <c r="M50" s="420"/>
      <c r="N50" s="21" t="s">
        <v>885</v>
      </c>
    </row>
    <row r="51">
      <c r="A51" s="156" t="s">
        <v>210</v>
      </c>
      <c r="B51" s="157">
        <v>43.0</v>
      </c>
      <c r="C51" s="199">
        <v>0.15</v>
      </c>
      <c r="D51" s="158">
        <v>1.0</v>
      </c>
      <c r="E51" s="200"/>
      <c r="F51" s="157">
        <v>43.0</v>
      </c>
      <c r="G51" s="157">
        <v>6.0</v>
      </c>
      <c r="H51" s="158">
        <v>0.14</v>
      </c>
      <c r="I51" s="156" t="s">
        <v>662</v>
      </c>
      <c r="J51" s="16" t="e">
        <v>#N/A</v>
      </c>
      <c r="K51" s="156" t="s">
        <v>43</v>
      </c>
      <c r="L51" s="200"/>
      <c r="M51" s="423"/>
      <c r="N51" s="21" t="s">
        <v>885</v>
      </c>
    </row>
    <row r="52">
      <c r="A52" s="152" t="s">
        <v>211</v>
      </c>
      <c r="B52" s="153">
        <v>78.0</v>
      </c>
      <c r="C52" s="197">
        <v>0.26</v>
      </c>
      <c r="D52" s="154">
        <v>1.0</v>
      </c>
      <c r="E52" s="198"/>
      <c r="F52" s="153">
        <v>68.0</v>
      </c>
      <c r="G52" s="153">
        <v>6.0</v>
      </c>
      <c r="H52" s="154">
        <v>0.088</v>
      </c>
      <c r="I52" s="152" t="s">
        <v>662</v>
      </c>
      <c r="J52" s="14" t="e">
        <v>#N/A</v>
      </c>
      <c r="K52" s="152" t="s">
        <v>43</v>
      </c>
      <c r="L52" s="198"/>
      <c r="M52" s="420"/>
      <c r="N52" s="21" t="s">
        <v>885</v>
      </c>
    </row>
    <row r="53">
      <c r="A53" s="156" t="s">
        <v>212</v>
      </c>
      <c r="B53" s="157">
        <v>50.0</v>
      </c>
      <c r="C53" s="199">
        <v>0.81</v>
      </c>
      <c r="D53" s="158">
        <v>1.0</v>
      </c>
      <c r="E53" s="200"/>
      <c r="F53" s="157">
        <v>50.0</v>
      </c>
      <c r="G53" s="157">
        <v>6.0</v>
      </c>
      <c r="H53" s="158">
        <v>0.12</v>
      </c>
      <c r="I53" s="156" t="s">
        <v>662</v>
      </c>
      <c r="J53" s="16" t="e">
        <v>#N/A</v>
      </c>
      <c r="K53" s="156" t="s">
        <v>43</v>
      </c>
      <c r="L53" s="200"/>
      <c r="M53" s="423"/>
      <c r="N53" s="21" t="s">
        <v>885</v>
      </c>
    </row>
    <row r="54">
      <c r="A54" s="152" t="s">
        <v>213</v>
      </c>
      <c r="B54" s="153">
        <v>9.0</v>
      </c>
      <c r="C54" s="197">
        <v>0.82</v>
      </c>
      <c r="D54" s="154">
        <v>1.0</v>
      </c>
      <c r="E54" s="198"/>
      <c r="F54" s="153">
        <v>8.0</v>
      </c>
      <c r="G54" s="153">
        <v>6.0</v>
      </c>
      <c r="H54" s="154">
        <v>0.75</v>
      </c>
      <c r="I54" s="152" t="s">
        <v>662</v>
      </c>
      <c r="J54" s="14" t="e">
        <v>#N/A</v>
      </c>
      <c r="K54" s="152" t="s">
        <v>19</v>
      </c>
      <c r="L54" s="198"/>
      <c r="M54" s="420"/>
      <c r="N54" s="21" t="s">
        <v>885</v>
      </c>
    </row>
    <row r="55">
      <c r="A55" s="156" t="s">
        <v>214</v>
      </c>
      <c r="B55" s="157">
        <v>118.0</v>
      </c>
      <c r="C55" s="199">
        <v>0.11</v>
      </c>
      <c r="D55" s="158">
        <v>1.0</v>
      </c>
      <c r="E55" s="200"/>
      <c r="F55" s="157">
        <v>117.0</v>
      </c>
      <c r="G55" s="157">
        <v>6.0</v>
      </c>
      <c r="H55" s="158">
        <v>0.051</v>
      </c>
      <c r="I55" s="156" t="s">
        <v>662</v>
      </c>
      <c r="J55" s="16" t="e">
        <v>#N/A</v>
      </c>
      <c r="K55" s="156" t="s">
        <v>19</v>
      </c>
      <c r="L55" s="200"/>
      <c r="M55" s="423"/>
      <c r="N55" s="21" t="s">
        <v>885</v>
      </c>
    </row>
    <row r="56">
      <c r="A56" s="152" t="s">
        <v>215</v>
      </c>
      <c r="B56" s="153">
        <v>101.0</v>
      </c>
      <c r="C56" s="197">
        <v>0.64</v>
      </c>
      <c r="D56" s="154">
        <v>1.0</v>
      </c>
      <c r="E56" s="198"/>
      <c r="F56" s="153">
        <v>97.0</v>
      </c>
      <c r="G56" s="153">
        <v>6.0</v>
      </c>
      <c r="H56" s="154">
        <v>0.062</v>
      </c>
      <c r="I56" s="152" t="s">
        <v>662</v>
      </c>
      <c r="J56" s="14" t="e">
        <v>#N/A</v>
      </c>
      <c r="K56" s="152" t="s">
        <v>43</v>
      </c>
      <c r="L56" s="198"/>
      <c r="M56" s="420"/>
      <c r="N56" s="21" t="s">
        <v>885</v>
      </c>
    </row>
    <row r="57">
      <c r="A57" s="156" t="s">
        <v>216</v>
      </c>
      <c r="B57" s="157">
        <v>59.0</v>
      </c>
      <c r="C57" s="199">
        <v>0.27</v>
      </c>
      <c r="D57" s="158">
        <v>1.0</v>
      </c>
      <c r="E57" s="200"/>
      <c r="F57" s="157">
        <v>54.0</v>
      </c>
      <c r="G57" s="157">
        <v>6.0</v>
      </c>
      <c r="H57" s="158">
        <v>0.111</v>
      </c>
      <c r="I57" s="156" t="s">
        <v>662</v>
      </c>
      <c r="J57" s="16" t="e">
        <v>#N/A</v>
      </c>
      <c r="K57" s="156" t="s">
        <v>43</v>
      </c>
      <c r="L57" s="200"/>
      <c r="M57" s="423"/>
      <c r="N57" s="21" t="s">
        <v>885</v>
      </c>
    </row>
    <row r="58">
      <c r="A58" s="152" t="s">
        <v>217</v>
      </c>
      <c r="B58" s="153">
        <v>44.0</v>
      </c>
      <c r="C58" s="156">
        <v>0.36</v>
      </c>
      <c r="D58" s="154">
        <v>1.0</v>
      </c>
      <c r="E58" s="198"/>
      <c r="F58" s="153">
        <v>43.0</v>
      </c>
      <c r="G58" s="153">
        <v>6.0</v>
      </c>
      <c r="H58" s="154">
        <v>0.14</v>
      </c>
      <c r="I58" s="152" t="s">
        <v>662</v>
      </c>
      <c r="J58" s="14" t="e">
        <v>#N/A</v>
      </c>
      <c r="K58" s="152" t="s">
        <v>43</v>
      </c>
      <c r="L58" s="198"/>
      <c r="M58" s="420"/>
      <c r="N58" s="21" t="s">
        <v>885</v>
      </c>
    </row>
    <row r="59">
      <c r="A59" s="156" t="s">
        <v>218</v>
      </c>
      <c r="B59" s="157">
        <v>56.0</v>
      </c>
      <c r="C59" s="199">
        <v>0.86</v>
      </c>
      <c r="D59" s="158">
        <v>1.0</v>
      </c>
      <c r="E59" s="200"/>
      <c r="F59" s="157">
        <v>53.0</v>
      </c>
      <c r="G59" s="157">
        <v>6.0</v>
      </c>
      <c r="H59" s="158">
        <v>0.113</v>
      </c>
      <c r="I59" s="156" t="s">
        <v>662</v>
      </c>
      <c r="J59" s="16" t="e">
        <v>#N/A</v>
      </c>
      <c r="K59" s="156" t="s">
        <v>43</v>
      </c>
      <c r="L59" s="200"/>
      <c r="M59" s="423"/>
      <c r="N59" s="21" t="s">
        <v>885</v>
      </c>
    </row>
    <row r="60">
      <c r="A60" s="424" t="s">
        <v>219</v>
      </c>
      <c r="B60" s="153">
        <v>61.0</v>
      </c>
      <c r="C60" s="197">
        <v>0.63</v>
      </c>
      <c r="D60" s="154">
        <v>1.0</v>
      </c>
      <c r="E60" s="198"/>
      <c r="F60" s="153">
        <v>60.0</v>
      </c>
      <c r="G60" s="153">
        <v>6.0</v>
      </c>
      <c r="H60" s="154">
        <v>0.1</v>
      </c>
      <c r="I60" s="152" t="s">
        <v>662</v>
      </c>
      <c r="J60" s="14" t="e">
        <v>#N/A</v>
      </c>
      <c r="K60" s="152" t="s">
        <v>43</v>
      </c>
      <c r="L60" s="198"/>
      <c r="M60" s="420"/>
      <c r="N60" s="21" t="s">
        <v>885</v>
      </c>
    </row>
    <row r="61">
      <c r="A61" s="424" t="s">
        <v>220</v>
      </c>
      <c r="B61" s="157">
        <v>97.0</v>
      </c>
      <c r="C61" s="199">
        <v>0.2</v>
      </c>
      <c r="D61" s="158">
        <v>1.0</v>
      </c>
      <c r="E61" s="200"/>
      <c r="F61" s="157">
        <v>95.0</v>
      </c>
      <c r="G61" s="157">
        <v>5.0</v>
      </c>
      <c r="H61" s="158">
        <v>0.053</v>
      </c>
      <c r="I61" s="156" t="s">
        <v>662</v>
      </c>
      <c r="J61" s="16" t="e">
        <v>#N/A</v>
      </c>
      <c r="K61" s="156" t="s">
        <v>43</v>
      </c>
      <c r="L61" s="200"/>
      <c r="M61" s="423"/>
      <c r="N61" s="21" t="s">
        <v>885</v>
      </c>
    </row>
    <row r="62">
      <c r="A62" s="152" t="s">
        <v>221</v>
      </c>
      <c r="B62" s="153">
        <v>9.0</v>
      </c>
      <c r="C62" s="197">
        <v>0.03</v>
      </c>
      <c r="D62" s="154">
        <v>1.0</v>
      </c>
      <c r="E62" s="198"/>
      <c r="F62" s="153">
        <v>9.0</v>
      </c>
      <c r="G62" s="153">
        <v>5.0</v>
      </c>
      <c r="H62" s="154">
        <v>0.556</v>
      </c>
      <c r="I62" s="152" t="s">
        <v>662</v>
      </c>
      <c r="J62" s="14" t="e">
        <v>#N/A</v>
      </c>
      <c r="K62" s="152" t="s">
        <v>19</v>
      </c>
      <c r="L62" s="198"/>
      <c r="M62" s="420"/>
      <c r="N62" s="21" t="s">
        <v>885</v>
      </c>
    </row>
    <row r="63">
      <c r="A63" s="156" t="s">
        <v>222</v>
      </c>
      <c r="B63" s="157">
        <v>38.0</v>
      </c>
      <c r="C63" s="199">
        <v>0.08</v>
      </c>
      <c r="D63" s="158">
        <v>1.0</v>
      </c>
      <c r="E63" s="200"/>
      <c r="F63" s="157">
        <v>38.0</v>
      </c>
      <c r="G63" s="157">
        <v>5.0</v>
      </c>
      <c r="H63" s="158">
        <v>0.132</v>
      </c>
      <c r="I63" s="156" t="s">
        <v>662</v>
      </c>
      <c r="J63" s="16" t="e">
        <v>#N/A</v>
      </c>
      <c r="K63" s="156" t="s">
        <v>19</v>
      </c>
      <c r="L63" s="200"/>
      <c r="M63" s="423"/>
      <c r="N63" s="21" t="s">
        <v>885</v>
      </c>
    </row>
    <row r="64">
      <c r="A64" s="152" t="s">
        <v>223</v>
      </c>
      <c r="B64" s="153">
        <v>80.0</v>
      </c>
      <c r="C64" s="197">
        <v>0.08</v>
      </c>
      <c r="D64" s="154">
        <v>1.0</v>
      </c>
      <c r="E64" s="198"/>
      <c r="F64" s="153">
        <v>80.0</v>
      </c>
      <c r="G64" s="153">
        <v>5.0</v>
      </c>
      <c r="H64" s="154">
        <v>0.063</v>
      </c>
      <c r="I64" s="152" t="s">
        <v>662</v>
      </c>
      <c r="J64" s="14" t="e">
        <v>#N/A</v>
      </c>
      <c r="K64" s="152" t="s">
        <v>19</v>
      </c>
      <c r="L64" s="198"/>
      <c r="M64" s="420"/>
      <c r="N64" s="21" t="s">
        <v>885</v>
      </c>
    </row>
    <row r="65">
      <c r="A65" s="156" t="s">
        <v>224</v>
      </c>
      <c r="B65" s="157">
        <v>25.0</v>
      </c>
      <c r="C65" s="199">
        <v>0.17</v>
      </c>
      <c r="D65" s="158">
        <v>1.0</v>
      </c>
      <c r="E65" s="200"/>
      <c r="F65" s="157">
        <v>16.0</v>
      </c>
      <c r="G65" s="157">
        <v>5.0</v>
      </c>
      <c r="H65" s="158">
        <v>0.313</v>
      </c>
      <c r="I65" s="156" t="s">
        <v>662</v>
      </c>
      <c r="J65" s="16" t="e">
        <v>#N/A</v>
      </c>
      <c r="K65" s="156" t="s">
        <v>19</v>
      </c>
      <c r="L65" s="200"/>
      <c r="M65" s="423"/>
      <c r="N65" s="21" t="s">
        <v>885</v>
      </c>
    </row>
    <row r="66">
      <c r="A66" s="425" t="s">
        <v>225</v>
      </c>
      <c r="B66" s="153">
        <v>59.0</v>
      </c>
      <c r="C66" s="197">
        <v>0.5</v>
      </c>
      <c r="D66" s="154">
        <v>1.0</v>
      </c>
      <c r="E66" s="198"/>
      <c r="F66" s="153">
        <v>53.0</v>
      </c>
      <c r="G66" s="153">
        <v>5.0</v>
      </c>
      <c r="H66" s="154">
        <v>0.094</v>
      </c>
      <c r="I66" s="152" t="s">
        <v>662</v>
      </c>
      <c r="J66" s="14" t="e">
        <v>#N/A</v>
      </c>
      <c r="K66" s="152" t="s">
        <v>19</v>
      </c>
      <c r="L66" s="198"/>
      <c r="M66" s="420"/>
      <c r="N66" s="21" t="s">
        <v>885</v>
      </c>
    </row>
    <row r="67">
      <c r="A67" s="156" t="s">
        <v>1565</v>
      </c>
      <c r="B67" s="157">
        <v>32.0</v>
      </c>
      <c r="C67" s="199">
        <v>0.33</v>
      </c>
      <c r="D67" s="158">
        <v>1.0</v>
      </c>
      <c r="E67" s="200"/>
      <c r="F67" s="157">
        <v>32.0</v>
      </c>
      <c r="G67" s="157">
        <v>5.0</v>
      </c>
      <c r="H67" s="158">
        <v>0.156</v>
      </c>
      <c r="I67" s="156" t="s">
        <v>662</v>
      </c>
      <c r="J67" s="16" t="e">
        <v>#N/A</v>
      </c>
      <c r="K67" s="156" t="s">
        <v>43</v>
      </c>
      <c r="L67" s="200"/>
      <c r="M67" s="423"/>
    </row>
    <row r="68">
      <c r="A68" s="152" t="s">
        <v>1566</v>
      </c>
      <c r="B68" s="153">
        <v>34.0</v>
      </c>
      <c r="C68" s="197">
        <v>0.2</v>
      </c>
      <c r="D68" s="154">
        <v>1.0</v>
      </c>
      <c r="E68" s="198"/>
      <c r="F68" s="153">
        <v>36.0</v>
      </c>
      <c r="G68" s="153">
        <v>5.0</v>
      </c>
      <c r="H68" s="154">
        <v>0.139</v>
      </c>
      <c r="I68" s="152" t="s">
        <v>662</v>
      </c>
      <c r="J68" s="14" t="e">
        <v>#N/A</v>
      </c>
      <c r="K68" s="152" t="s">
        <v>43</v>
      </c>
      <c r="L68" s="198"/>
      <c r="M68" s="420"/>
    </row>
    <row r="69">
      <c r="A69" s="156" t="s">
        <v>1550</v>
      </c>
      <c r="B69" s="157">
        <v>45.0</v>
      </c>
      <c r="C69" s="199">
        <v>0.26</v>
      </c>
      <c r="D69" s="158">
        <v>1.0</v>
      </c>
      <c r="E69" s="200"/>
      <c r="F69" s="157">
        <v>42.0</v>
      </c>
      <c r="G69" s="157">
        <v>5.0</v>
      </c>
      <c r="H69" s="158">
        <v>0.119</v>
      </c>
      <c r="I69" s="156" t="s">
        <v>662</v>
      </c>
      <c r="J69" s="16" t="e">
        <v>#N/A</v>
      </c>
      <c r="K69" s="156" t="s">
        <v>43</v>
      </c>
      <c r="L69" s="200"/>
      <c r="M69" s="423"/>
    </row>
    <row r="70">
      <c r="A70" s="152" t="s">
        <v>302</v>
      </c>
      <c r="B70" s="153">
        <v>71.0</v>
      </c>
      <c r="C70" s="197">
        <v>1.0</v>
      </c>
      <c r="D70" s="154">
        <v>1.0</v>
      </c>
      <c r="E70" s="198"/>
      <c r="F70" s="153">
        <v>68.0</v>
      </c>
      <c r="G70" s="153">
        <v>5.0</v>
      </c>
      <c r="H70" s="154">
        <v>0.074</v>
      </c>
      <c r="I70" s="152" t="s">
        <v>662</v>
      </c>
      <c r="J70" s="14" t="e">
        <v>#N/A</v>
      </c>
      <c r="K70" s="152" t="s">
        <v>43</v>
      </c>
      <c r="L70" s="198"/>
      <c r="M70" s="420"/>
    </row>
    <row r="71">
      <c r="A71" s="156" t="s">
        <v>1567</v>
      </c>
      <c r="B71" s="157">
        <v>88.0</v>
      </c>
      <c r="C71" s="199">
        <v>1.0</v>
      </c>
      <c r="D71" s="158">
        <v>1.0</v>
      </c>
      <c r="E71" s="200"/>
      <c r="F71" s="157">
        <v>83.0</v>
      </c>
      <c r="G71" s="157">
        <v>5.0</v>
      </c>
      <c r="H71" s="158">
        <v>0.06</v>
      </c>
      <c r="I71" s="156" t="s">
        <v>662</v>
      </c>
      <c r="J71" s="16" t="e">
        <v>#N/A</v>
      </c>
      <c r="K71" s="156" t="s">
        <v>43</v>
      </c>
      <c r="L71" s="200"/>
      <c r="M71" s="423"/>
    </row>
    <row r="72">
      <c r="A72" s="152" t="s">
        <v>1547</v>
      </c>
      <c r="B72" s="153">
        <v>41.0</v>
      </c>
      <c r="C72" s="197">
        <v>0.63</v>
      </c>
      <c r="D72" s="154">
        <v>1.0</v>
      </c>
      <c r="E72" s="198"/>
      <c r="F72" s="153">
        <v>39.0</v>
      </c>
      <c r="G72" s="153">
        <v>5.0</v>
      </c>
      <c r="H72" s="154">
        <v>0.128</v>
      </c>
      <c r="I72" s="152" t="s">
        <v>662</v>
      </c>
      <c r="J72" s="14" t="e">
        <v>#N/A</v>
      </c>
      <c r="K72" s="152" t="s">
        <v>43</v>
      </c>
      <c r="L72" s="198"/>
      <c r="M72" s="420"/>
    </row>
    <row r="73">
      <c r="A73" s="156" t="s">
        <v>216</v>
      </c>
      <c r="B73" s="157">
        <v>59.0</v>
      </c>
      <c r="C73" s="199">
        <v>0.27</v>
      </c>
      <c r="D73" s="158">
        <v>1.0</v>
      </c>
      <c r="E73" s="200"/>
      <c r="F73" s="157">
        <v>54.0</v>
      </c>
      <c r="G73" s="157">
        <v>6.0</v>
      </c>
      <c r="H73" s="158">
        <v>0.111</v>
      </c>
      <c r="I73" s="156" t="s">
        <v>662</v>
      </c>
      <c r="J73" s="16" t="e">
        <v>#N/A</v>
      </c>
      <c r="K73" s="156" t="s">
        <v>43</v>
      </c>
      <c r="L73" s="423"/>
    </row>
    <row r="74">
      <c r="A74" s="152" t="s">
        <v>217</v>
      </c>
      <c r="B74" s="153">
        <v>44.0</v>
      </c>
      <c r="C74" s="197">
        <v>0.36</v>
      </c>
      <c r="D74" s="154">
        <v>1.0</v>
      </c>
      <c r="E74" s="198"/>
      <c r="F74" s="153">
        <v>43.0</v>
      </c>
      <c r="G74" s="153">
        <v>6.0</v>
      </c>
      <c r="H74" s="154">
        <v>0.14</v>
      </c>
      <c r="I74" s="152" t="s">
        <v>662</v>
      </c>
      <c r="J74" s="14" t="e">
        <v>#N/A</v>
      </c>
      <c r="K74" s="152" t="s">
        <v>43</v>
      </c>
      <c r="L74" s="420"/>
    </row>
    <row r="75">
      <c r="A75" s="156" t="s">
        <v>218</v>
      </c>
      <c r="B75" s="157">
        <v>56.0</v>
      </c>
      <c r="C75" s="199">
        <v>0.86</v>
      </c>
      <c r="D75" s="158">
        <v>1.0</v>
      </c>
      <c r="E75" s="200"/>
      <c r="F75" s="157">
        <v>53.0</v>
      </c>
      <c r="G75" s="157">
        <v>6.0</v>
      </c>
      <c r="H75" s="158">
        <v>0.113</v>
      </c>
      <c r="I75" s="156" t="s">
        <v>662</v>
      </c>
      <c r="J75" s="16" t="e">
        <v>#N/A</v>
      </c>
      <c r="K75" s="156" t="s">
        <v>43</v>
      </c>
      <c r="L75" s="423"/>
    </row>
    <row r="76">
      <c r="A76" s="152" t="s">
        <v>219</v>
      </c>
      <c r="B76" s="153">
        <v>61.0</v>
      </c>
      <c r="C76" s="197">
        <v>0.63</v>
      </c>
      <c r="D76" s="154">
        <v>1.0</v>
      </c>
      <c r="E76" s="198"/>
      <c r="F76" s="153">
        <v>60.0</v>
      </c>
      <c r="G76" s="153">
        <v>6.0</v>
      </c>
      <c r="H76" s="154">
        <v>0.1</v>
      </c>
      <c r="I76" s="152" t="s">
        <v>662</v>
      </c>
      <c r="J76" s="14" t="e">
        <v>#N/A</v>
      </c>
      <c r="K76" s="152" t="s">
        <v>43</v>
      </c>
      <c r="L76" s="420"/>
    </row>
    <row r="77">
      <c r="A77" s="156" t="s">
        <v>220</v>
      </c>
      <c r="B77" s="157">
        <v>97.0</v>
      </c>
      <c r="C77" s="199">
        <v>0.2</v>
      </c>
      <c r="D77" s="158">
        <v>1.0</v>
      </c>
      <c r="E77" s="200"/>
      <c r="F77" s="157">
        <v>95.0</v>
      </c>
      <c r="G77" s="157">
        <v>5.0</v>
      </c>
      <c r="H77" s="158">
        <v>0.053</v>
      </c>
      <c r="I77" s="156" t="s">
        <v>662</v>
      </c>
      <c r="J77" s="16" t="e">
        <v>#N/A</v>
      </c>
      <c r="K77" s="156" t="s">
        <v>43</v>
      </c>
      <c r="L77" s="423"/>
    </row>
    <row r="78">
      <c r="A78" s="152" t="s">
        <v>148</v>
      </c>
      <c r="B78" s="153">
        <v>81.0</v>
      </c>
      <c r="C78" s="197">
        <v>0.37</v>
      </c>
      <c r="D78" s="154">
        <v>1.0</v>
      </c>
      <c r="E78" s="198"/>
      <c r="F78" s="153">
        <v>77.0</v>
      </c>
      <c r="G78" s="153">
        <v>5.0</v>
      </c>
      <c r="H78" s="154">
        <v>0.065</v>
      </c>
      <c r="I78" s="152" t="s">
        <v>662</v>
      </c>
      <c r="J78" s="152" t="s">
        <v>148</v>
      </c>
      <c r="K78" s="152">
        <v>0.0</v>
      </c>
      <c r="L78" s="420"/>
    </row>
    <row r="79">
      <c r="A79" s="156" t="s">
        <v>221</v>
      </c>
      <c r="B79" s="157">
        <v>9.0</v>
      </c>
      <c r="C79" s="199">
        <v>0.03</v>
      </c>
      <c r="D79" s="158">
        <v>1.0</v>
      </c>
      <c r="E79" s="200"/>
      <c r="F79" s="157">
        <v>9.0</v>
      </c>
      <c r="G79" s="157">
        <v>5.0</v>
      </c>
      <c r="H79" s="158">
        <v>0.556</v>
      </c>
      <c r="I79" s="156" t="s">
        <v>662</v>
      </c>
      <c r="J79" s="16" t="e">
        <v>#N/A</v>
      </c>
      <c r="K79" s="156" t="s">
        <v>19</v>
      </c>
      <c r="L79" s="423"/>
    </row>
    <row r="80">
      <c r="A80" s="152" t="s">
        <v>222</v>
      </c>
      <c r="B80" s="153">
        <v>38.0</v>
      </c>
      <c r="C80" s="197">
        <v>0.08</v>
      </c>
      <c r="D80" s="154">
        <v>1.0</v>
      </c>
      <c r="E80" s="198"/>
      <c r="F80" s="153">
        <v>38.0</v>
      </c>
      <c r="G80" s="153">
        <v>5.0</v>
      </c>
      <c r="H80" s="154">
        <v>0.132</v>
      </c>
      <c r="I80" s="152" t="s">
        <v>662</v>
      </c>
      <c r="J80" s="14" t="e">
        <v>#N/A</v>
      </c>
      <c r="K80" s="152" t="s">
        <v>19</v>
      </c>
      <c r="L80" s="420"/>
    </row>
    <row r="81">
      <c r="A81" s="156" t="s">
        <v>1568</v>
      </c>
      <c r="B81" s="157">
        <v>93.0</v>
      </c>
      <c r="C81" s="199">
        <v>0.09</v>
      </c>
      <c r="D81" s="158">
        <v>1.0</v>
      </c>
      <c r="E81" s="200"/>
      <c r="F81" s="157">
        <v>89.0</v>
      </c>
      <c r="G81" s="157">
        <v>5.0</v>
      </c>
      <c r="H81" s="158">
        <v>0.056</v>
      </c>
      <c r="I81" s="156" t="s">
        <v>691</v>
      </c>
      <c r="J81" s="16" t="e">
        <v>#N/A</v>
      </c>
      <c r="K81" s="156" t="s">
        <v>387</v>
      </c>
      <c r="L81" s="423"/>
    </row>
    <row r="82">
      <c r="A82" s="152" t="s">
        <v>223</v>
      </c>
      <c r="B82" s="153">
        <v>80.0</v>
      </c>
      <c r="C82" s="197">
        <v>0.08</v>
      </c>
      <c r="D82" s="154">
        <v>1.0</v>
      </c>
      <c r="E82" s="198"/>
      <c r="F82" s="153">
        <v>80.0</v>
      </c>
      <c r="G82" s="153">
        <v>5.0</v>
      </c>
      <c r="H82" s="154">
        <v>0.063</v>
      </c>
      <c r="I82" s="152" t="s">
        <v>662</v>
      </c>
      <c r="J82" s="14" t="e">
        <v>#N/A</v>
      </c>
      <c r="K82" s="152" t="s">
        <v>19</v>
      </c>
      <c r="L82" s="420"/>
    </row>
    <row r="83">
      <c r="A83" s="156" t="s">
        <v>224</v>
      </c>
      <c r="B83" s="157">
        <v>25.0</v>
      </c>
      <c r="C83" s="199">
        <v>0.17</v>
      </c>
      <c r="D83" s="158">
        <v>1.0</v>
      </c>
      <c r="E83" s="200"/>
      <c r="F83" s="157">
        <v>16.0</v>
      </c>
      <c r="G83" s="157">
        <v>5.0</v>
      </c>
      <c r="H83" s="158">
        <v>0.313</v>
      </c>
      <c r="I83" s="156" t="s">
        <v>662</v>
      </c>
      <c r="J83" s="16" t="e">
        <v>#N/A</v>
      </c>
      <c r="K83" s="156" t="s">
        <v>19</v>
      </c>
      <c r="L83" s="423"/>
    </row>
    <row r="84">
      <c r="A84" s="152" t="s">
        <v>225</v>
      </c>
      <c r="B84" s="153">
        <v>59.0</v>
      </c>
      <c r="C84" s="197">
        <v>0.5</v>
      </c>
      <c r="D84" s="154">
        <v>1.0</v>
      </c>
      <c r="E84" s="198"/>
      <c r="F84" s="153">
        <v>53.0</v>
      </c>
      <c r="G84" s="153">
        <v>5.0</v>
      </c>
      <c r="H84" s="154">
        <v>0.094</v>
      </c>
      <c r="I84" s="152" t="s">
        <v>662</v>
      </c>
      <c r="J84" s="14" t="e">
        <v>#N/A</v>
      </c>
      <c r="K84" s="152" t="s">
        <v>19</v>
      </c>
      <c r="L84" s="420"/>
    </row>
    <row r="85">
      <c r="A85" s="156" t="s">
        <v>1565</v>
      </c>
      <c r="B85" s="157">
        <v>32.0</v>
      </c>
      <c r="C85" s="199">
        <v>0.33</v>
      </c>
      <c r="D85" s="158">
        <v>1.0</v>
      </c>
      <c r="E85" s="200"/>
      <c r="F85" s="157">
        <v>32.0</v>
      </c>
      <c r="G85" s="157">
        <v>5.0</v>
      </c>
      <c r="H85" s="158">
        <v>0.156</v>
      </c>
      <c r="I85" s="156" t="s">
        <v>662</v>
      </c>
      <c r="J85" s="16" t="e">
        <v>#N/A</v>
      </c>
      <c r="K85" s="156" t="s">
        <v>43</v>
      </c>
      <c r="L85" s="423"/>
    </row>
    <row r="86">
      <c r="A86" s="152" t="s">
        <v>1566</v>
      </c>
      <c r="B86" s="153">
        <v>34.0</v>
      </c>
      <c r="C86" s="197">
        <v>0.2</v>
      </c>
      <c r="D86" s="154">
        <v>1.0</v>
      </c>
      <c r="E86" s="198"/>
      <c r="F86" s="153">
        <v>36.0</v>
      </c>
      <c r="G86" s="153">
        <v>5.0</v>
      </c>
      <c r="H86" s="154">
        <v>0.139</v>
      </c>
      <c r="I86" s="152" t="s">
        <v>662</v>
      </c>
      <c r="J86" s="14" t="e">
        <v>#N/A</v>
      </c>
      <c r="K86" s="152" t="s">
        <v>43</v>
      </c>
      <c r="L86" s="420"/>
    </row>
    <row r="87">
      <c r="A87" s="156" t="s">
        <v>1550</v>
      </c>
      <c r="B87" s="157">
        <v>45.0</v>
      </c>
      <c r="C87" s="199">
        <v>0.26</v>
      </c>
      <c r="D87" s="158">
        <v>1.0</v>
      </c>
      <c r="E87" s="200"/>
      <c r="F87" s="157">
        <v>42.0</v>
      </c>
      <c r="G87" s="157">
        <v>5.0</v>
      </c>
      <c r="H87" s="158">
        <v>0.119</v>
      </c>
      <c r="I87" s="156" t="s">
        <v>662</v>
      </c>
      <c r="J87" s="16" t="e">
        <v>#N/A</v>
      </c>
      <c r="K87" s="156" t="s">
        <v>43</v>
      </c>
      <c r="L87" s="423"/>
    </row>
    <row r="88">
      <c r="A88" s="152" t="s">
        <v>132</v>
      </c>
      <c r="B88" s="153">
        <v>34.0</v>
      </c>
      <c r="C88" s="197">
        <v>0.5</v>
      </c>
      <c r="D88" s="154">
        <v>1.0</v>
      </c>
      <c r="E88" s="198"/>
      <c r="F88" s="153">
        <v>27.0</v>
      </c>
      <c r="G88" s="153">
        <v>5.0</v>
      </c>
      <c r="H88" s="154">
        <v>0.185</v>
      </c>
      <c r="I88" s="152" t="s">
        <v>662</v>
      </c>
      <c r="J88" s="152" t="s">
        <v>132</v>
      </c>
      <c r="K88" s="152">
        <v>0.0</v>
      </c>
      <c r="L88" s="420"/>
    </row>
    <row r="89">
      <c r="A89" s="156" t="s">
        <v>302</v>
      </c>
      <c r="B89" s="157">
        <v>71.0</v>
      </c>
      <c r="C89" s="199">
        <v>1.0</v>
      </c>
      <c r="D89" s="158">
        <v>1.0</v>
      </c>
      <c r="E89" s="200"/>
      <c r="F89" s="157">
        <v>68.0</v>
      </c>
      <c r="G89" s="157">
        <v>5.0</v>
      </c>
      <c r="H89" s="158">
        <v>0.074</v>
      </c>
      <c r="I89" s="156" t="s">
        <v>662</v>
      </c>
      <c r="J89" s="16" t="e">
        <v>#N/A</v>
      </c>
      <c r="K89" s="156" t="s">
        <v>43</v>
      </c>
      <c r="L89" s="423"/>
    </row>
    <row r="90">
      <c r="A90" s="152" t="s">
        <v>1567</v>
      </c>
      <c r="B90" s="153">
        <v>88.0</v>
      </c>
      <c r="C90" s="197">
        <v>1.0</v>
      </c>
      <c r="D90" s="154">
        <v>1.0</v>
      </c>
      <c r="E90" s="198"/>
      <c r="F90" s="153">
        <v>83.0</v>
      </c>
      <c r="G90" s="153">
        <v>5.0</v>
      </c>
      <c r="H90" s="154">
        <v>0.06</v>
      </c>
      <c r="I90" s="152" t="s">
        <v>662</v>
      </c>
      <c r="J90" s="14" t="e">
        <v>#N/A</v>
      </c>
      <c r="K90" s="152" t="s">
        <v>43</v>
      </c>
      <c r="L90" s="420"/>
    </row>
    <row r="91">
      <c r="A91" s="156" t="s">
        <v>1547</v>
      </c>
      <c r="B91" s="157">
        <v>41.0</v>
      </c>
      <c r="C91" s="199">
        <v>0.63</v>
      </c>
      <c r="D91" s="158">
        <v>1.0</v>
      </c>
      <c r="E91" s="200"/>
      <c r="F91" s="157">
        <v>39.0</v>
      </c>
      <c r="G91" s="157">
        <v>5.0</v>
      </c>
      <c r="H91" s="158">
        <v>0.128</v>
      </c>
      <c r="I91" s="156" t="s">
        <v>662</v>
      </c>
      <c r="J91" s="16" t="e">
        <v>#N/A</v>
      </c>
      <c r="K91" s="156" t="s">
        <v>43</v>
      </c>
      <c r="L91" s="423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3" max="3" width="20.88"/>
  </cols>
  <sheetData>
    <row r="1">
      <c r="A1" s="238" t="s">
        <v>879</v>
      </c>
      <c r="B1" s="150" t="s">
        <v>2</v>
      </c>
      <c r="C1" s="150" t="s">
        <v>656</v>
      </c>
      <c r="D1" s="150" t="s">
        <v>657</v>
      </c>
      <c r="E1" s="150" t="s">
        <v>658</v>
      </c>
      <c r="F1" s="150" t="s">
        <v>659</v>
      </c>
      <c r="G1" s="150" t="s">
        <v>660</v>
      </c>
      <c r="H1" s="150" t="s">
        <v>661</v>
      </c>
      <c r="I1" s="150" t="s">
        <v>1569</v>
      </c>
      <c r="J1" s="151" t="s">
        <v>4</v>
      </c>
      <c r="K1" s="21" t="s">
        <v>5</v>
      </c>
      <c r="L1" s="21" t="s">
        <v>1570</v>
      </c>
    </row>
    <row r="2">
      <c r="A2" s="239">
        <v>239839.0</v>
      </c>
      <c r="B2" s="152" t="s">
        <v>1083</v>
      </c>
      <c r="C2" s="152" t="s">
        <v>103</v>
      </c>
      <c r="D2" s="153">
        <v>21.0</v>
      </c>
      <c r="E2" s="153">
        <v>13.0</v>
      </c>
      <c r="F2" s="153">
        <v>7.0</v>
      </c>
      <c r="G2" s="154">
        <v>0.538</v>
      </c>
      <c r="H2" s="152" t="s">
        <v>662</v>
      </c>
      <c r="I2" s="14" t="e">
        <v>#N/A</v>
      </c>
      <c r="J2" s="344" t="s">
        <v>43</v>
      </c>
      <c r="K2" s="426">
        <v>0.4375</v>
      </c>
      <c r="L2" s="21" t="s">
        <v>885</v>
      </c>
    </row>
    <row r="3">
      <c r="A3" s="241">
        <v>234769.0</v>
      </c>
      <c r="B3" s="156" t="s">
        <v>1571</v>
      </c>
      <c r="C3" s="156" t="s">
        <v>236</v>
      </c>
      <c r="D3" s="157">
        <v>27.0</v>
      </c>
      <c r="E3" s="157">
        <v>27.0</v>
      </c>
      <c r="F3" s="157">
        <v>12.0</v>
      </c>
      <c r="G3" s="158">
        <v>0.444</v>
      </c>
      <c r="H3" s="156" t="s">
        <v>662</v>
      </c>
      <c r="I3" s="16" t="e">
        <v>#N/A</v>
      </c>
      <c r="J3" s="345" t="s">
        <v>19</v>
      </c>
      <c r="K3" s="426">
        <v>0.0</v>
      </c>
      <c r="L3" s="21" t="s">
        <v>885</v>
      </c>
    </row>
    <row r="4">
      <c r="A4" s="239">
        <v>236397.0</v>
      </c>
      <c r="B4" s="152" t="s">
        <v>1572</v>
      </c>
      <c r="C4" s="152" t="s">
        <v>237</v>
      </c>
      <c r="D4" s="153">
        <v>11.0</v>
      </c>
      <c r="E4" s="153">
        <v>10.0</v>
      </c>
      <c r="F4" s="153">
        <v>4.0</v>
      </c>
      <c r="G4" s="154">
        <v>0.4</v>
      </c>
      <c r="H4" s="152" t="s">
        <v>662</v>
      </c>
      <c r="I4" s="14" t="e">
        <v>#N/A</v>
      </c>
      <c r="J4" s="344" t="s">
        <v>43</v>
      </c>
      <c r="K4" s="426">
        <v>0.0769</v>
      </c>
      <c r="L4" s="21" t="s">
        <v>885</v>
      </c>
    </row>
    <row r="5">
      <c r="A5" s="241">
        <v>234765.0</v>
      </c>
      <c r="B5" s="156" t="s">
        <v>1573</v>
      </c>
      <c r="C5" s="156" t="s">
        <v>238</v>
      </c>
      <c r="D5" s="157">
        <v>18.0</v>
      </c>
      <c r="E5" s="157">
        <v>17.0</v>
      </c>
      <c r="F5" s="157">
        <v>3.0</v>
      </c>
      <c r="G5" s="158">
        <v>0.176</v>
      </c>
      <c r="H5" s="156" t="s">
        <v>662</v>
      </c>
      <c r="I5" s="16" t="e">
        <v>#N/A</v>
      </c>
      <c r="J5" s="345" t="s">
        <v>43</v>
      </c>
      <c r="K5" s="426">
        <v>0.1379</v>
      </c>
      <c r="L5" s="21" t="s">
        <v>885</v>
      </c>
    </row>
    <row r="6">
      <c r="A6" s="239">
        <v>219829.0</v>
      </c>
      <c r="B6" s="152" t="s">
        <v>1574</v>
      </c>
      <c r="C6" s="152" t="s">
        <v>239</v>
      </c>
      <c r="D6" s="153">
        <v>26.0</v>
      </c>
      <c r="E6" s="153">
        <v>26.0</v>
      </c>
      <c r="F6" s="153">
        <v>3.0</v>
      </c>
      <c r="G6" s="154">
        <v>0.115</v>
      </c>
      <c r="H6" s="152" t="s">
        <v>662</v>
      </c>
      <c r="I6" s="14" t="e">
        <v>#N/A</v>
      </c>
      <c r="J6" s="344" t="s">
        <v>43</v>
      </c>
      <c r="K6" s="426">
        <v>0.0769</v>
      </c>
      <c r="L6" s="21" t="s">
        <v>885</v>
      </c>
    </row>
    <row r="7">
      <c r="A7" s="241">
        <v>243841.0</v>
      </c>
      <c r="B7" s="156" t="s">
        <v>1575</v>
      </c>
      <c r="C7" s="156" t="s">
        <v>240</v>
      </c>
      <c r="D7" s="157">
        <v>36.0</v>
      </c>
      <c r="E7" s="157">
        <v>35.0</v>
      </c>
      <c r="F7" s="157">
        <v>4.0</v>
      </c>
      <c r="G7" s="158">
        <v>0.114</v>
      </c>
      <c r="H7" s="156" t="s">
        <v>662</v>
      </c>
      <c r="I7" s="16" t="e">
        <v>#N/A</v>
      </c>
      <c r="J7" s="345" t="s">
        <v>43</v>
      </c>
      <c r="K7" s="426">
        <v>0.0857</v>
      </c>
      <c r="L7" s="21" t="s">
        <v>885</v>
      </c>
    </row>
    <row r="8">
      <c r="A8" s="239">
        <v>224362.0</v>
      </c>
      <c r="B8" s="152" t="s">
        <v>1576</v>
      </c>
      <c r="C8" s="152" t="s">
        <v>241</v>
      </c>
      <c r="D8" s="153">
        <v>41.0</v>
      </c>
      <c r="E8" s="153">
        <v>36.0</v>
      </c>
      <c r="F8" s="153">
        <v>4.0</v>
      </c>
      <c r="G8" s="154">
        <v>0.111</v>
      </c>
      <c r="H8" s="152" t="s">
        <v>662</v>
      </c>
      <c r="I8" s="14" t="e">
        <v>#N/A</v>
      </c>
      <c r="J8" s="344" t="s">
        <v>242</v>
      </c>
      <c r="K8" s="426">
        <v>0.0278</v>
      </c>
      <c r="L8" s="21" t="s">
        <v>885</v>
      </c>
    </row>
    <row r="9">
      <c r="A9" s="241">
        <v>245913.0</v>
      </c>
      <c r="B9" s="156" t="s">
        <v>1577</v>
      </c>
      <c r="C9" s="156" t="s">
        <v>243</v>
      </c>
      <c r="D9" s="157">
        <v>43.0</v>
      </c>
      <c r="E9" s="157">
        <v>39.0</v>
      </c>
      <c r="F9" s="157">
        <v>4.0</v>
      </c>
      <c r="G9" s="158">
        <v>0.103</v>
      </c>
      <c r="H9" s="156" t="s">
        <v>662</v>
      </c>
      <c r="I9" s="16" t="e">
        <v>#N/A</v>
      </c>
      <c r="J9" s="345" t="s">
        <v>43</v>
      </c>
      <c r="K9" s="426">
        <v>0.075</v>
      </c>
      <c r="L9" s="21" t="s">
        <v>885</v>
      </c>
    </row>
    <row r="10">
      <c r="A10" s="239">
        <v>243868.0</v>
      </c>
      <c r="B10" s="152" t="s">
        <v>1578</v>
      </c>
      <c r="C10" s="152" t="s">
        <v>244</v>
      </c>
      <c r="D10" s="153">
        <v>43.0</v>
      </c>
      <c r="E10" s="153">
        <v>42.0</v>
      </c>
      <c r="F10" s="153">
        <v>4.0</v>
      </c>
      <c r="G10" s="154">
        <v>0.095</v>
      </c>
      <c r="H10" s="152" t="s">
        <v>662</v>
      </c>
      <c r="I10" s="14" t="e">
        <v>#N/A</v>
      </c>
      <c r="J10" s="344" t="s">
        <v>43</v>
      </c>
      <c r="K10" s="426">
        <v>0.0714</v>
      </c>
      <c r="L10" s="21" t="s">
        <v>885</v>
      </c>
    </row>
    <row r="11">
      <c r="A11" s="241">
        <v>209756.0</v>
      </c>
      <c r="B11" s="156" t="s">
        <v>1579</v>
      </c>
      <c r="C11" s="156" t="s">
        <v>245</v>
      </c>
      <c r="D11" s="157">
        <v>55.0</v>
      </c>
      <c r="E11" s="157">
        <v>53.0</v>
      </c>
      <c r="F11" s="157">
        <v>5.0</v>
      </c>
      <c r="G11" s="158">
        <v>0.094</v>
      </c>
      <c r="H11" s="156" t="s">
        <v>662</v>
      </c>
      <c r="I11" s="16" t="e">
        <v>#N/A</v>
      </c>
      <c r="J11" s="345" t="s">
        <v>43</v>
      </c>
      <c r="K11" s="426">
        <v>0.0727</v>
      </c>
      <c r="L11" s="21" t="s">
        <v>885</v>
      </c>
    </row>
    <row r="12">
      <c r="A12" s="239">
        <v>210433.0</v>
      </c>
      <c r="B12" s="152" t="s">
        <v>1527</v>
      </c>
      <c r="C12" s="152" t="s">
        <v>112</v>
      </c>
      <c r="D12" s="153">
        <v>179.0</v>
      </c>
      <c r="E12" s="153">
        <v>159.0</v>
      </c>
      <c r="F12" s="153">
        <v>14.0</v>
      </c>
      <c r="G12" s="154">
        <v>0.088</v>
      </c>
      <c r="H12" s="152" t="s">
        <v>662</v>
      </c>
      <c r="I12" s="14" t="e">
        <v>#N/A</v>
      </c>
      <c r="J12" s="344" t="s">
        <v>43</v>
      </c>
      <c r="K12" s="426">
        <v>0.0552</v>
      </c>
      <c r="L12" s="21" t="s">
        <v>885</v>
      </c>
    </row>
    <row r="13">
      <c r="A13" s="241">
        <v>239021.0</v>
      </c>
      <c r="B13" s="156" t="s">
        <v>1580</v>
      </c>
      <c r="C13" s="156" t="s">
        <v>246</v>
      </c>
      <c r="D13" s="157">
        <v>51.0</v>
      </c>
      <c r="E13" s="157">
        <v>48.0</v>
      </c>
      <c r="F13" s="157">
        <v>4.0</v>
      </c>
      <c r="G13" s="158">
        <v>0.083</v>
      </c>
      <c r="H13" s="156" t="s">
        <v>662</v>
      </c>
      <c r="I13" s="16" t="e">
        <v>#N/A</v>
      </c>
      <c r="J13" s="345" t="s">
        <v>43</v>
      </c>
      <c r="K13" s="426">
        <v>0.0816</v>
      </c>
      <c r="L13" s="21" t="s">
        <v>885</v>
      </c>
    </row>
    <row r="14">
      <c r="A14" s="239">
        <v>222402.0</v>
      </c>
      <c r="B14" s="152" t="s">
        <v>1581</v>
      </c>
      <c r="C14" s="152" t="s">
        <v>247</v>
      </c>
      <c r="D14" s="153">
        <v>55.0</v>
      </c>
      <c r="E14" s="153">
        <v>52.0</v>
      </c>
      <c r="F14" s="153">
        <v>4.0</v>
      </c>
      <c r="G14" s="154">
        <v>0.077</v>
      </c>
      <c r="H14" s="152" t="s">
        <v>662</v>
      </c>
      <c r="I14" s="14" t="e">
        <v>#N/A</v>
      </c>
      <c r="J14" s="344" t="s">
        <v>43</v>
      </c>
      <c r="K14" s="426">
        <v>0.0577</v>
      </c>
      <c r="L14" s="21" t="s">
        <v>885</v>
      </c>
    </row>
    <row r="15">
      <c r="A15" s="241">
        <v>211307.0</v>
      </c>
      <c r="B15" s="156" t="s">
        <v>1582</v>
      </c>
      <c r="C15" s="156" t="s">
        <v>248</v>
      </c>
      <c r="D15" s="157">
        <v>76.0</v>
      </c>
      <c r="E15" s="157">
        <v>70.0</v>
      </c>
      <c r="F15" s="157">
        <v>5.0</v>
      </c>
      <c r="G15" s="158">
        <v>0.071</v>
      </c>
      <c r="H15" s="156" t="s">
        <v>662</v>
      </c>
      <c r="I15" s="16" t="e">
        <v>#N/A</v>
      </c>
      <c r="J15" s="345" t="s">
        <v>242</v>
      </c>
      <c r="K15" s="426">
        <v>0.0143</v>
      </c>
      <c r="L15" s="21" t="s">
        <v>885</v>
      </c>
    </row>
    <row r="16">
      <c r="A16" s="239">
        <v>150636.0</v>
      </c>
      <c r="B16" s="152" t="s">
        <v>1583</v>
      </c>
      <c r="C16" s="152" t="s">
        <v>249</v>
      </c>
      <c r="D16" s="153">
        <v>50.0</v>
      </c>
      <c r="E16" s="153">
        <v>43.0</v>
      </c>
      <c r="F16" s="153">
        <v>3.0</v>
      </c>
      <c r="G16" s="154">
        <v>0.07</v>
      </c>
      <c r="H16" s="152" t="s">
        <v>662</v>
      </c>
      <c r="I16" s="14" t="e">
        <v>#N/A</v>
      </c>
      <c r="J16" s="344" t="s">
        <v>242</v>
      </c>
      <c r="K16" s="426">
        <v>0.0222</v>
      </c>
      <c r="L16" s="21" t="s">
        <v>885</v>
      </c>
    </row>
    <row r="17">
      <c r="A17" s="241">
        <v>219139.0</v>
      </c>
      <c r="B17" s="156" t="s">
        <v>1584</v>
      </c>
      <c r="C17" s="156" t="s">
        <v>250</v>
      </c>
      <c r="D17" s="157">
        <v>43.0</v>
      </c>
      <c r="E17" s="157">
        <v>43.0</v>
      </c>
      <c r="F17" s="157">
        <v>3.0</v>
      </c>
      <c r="G17" s="158">
        <v>0.07</v>
      </c>
      <c r="H17" s="156" t="s">
        <v>662</v>
      </c>
      <c r="I17" s="16" t="e">
        <v>#N/A</v>
      </c>
      <c r="J17" s="345" t="s">
        <v>43</v>
      </c>
      <c r="K17" s="426">
        <v>0.0455</v>
      </c>
      <c r="L17" s="21" t="s">
        <v>885</v>
      </c>
    </row>
    <row r="18">
      <c r="A18" s="239">
        <v>134746.0</v>
      </c>
      <c r="B18" s="152" t="s">
        <v>1585</v>
      </c>
      <c r="C18" s="152" t="s">
        <v>251</v>
      </c>
      <c r="D18" s="153">
        <v>45.0</v>
      </c>
      <c r="E18" s="153">
        <v>44.0</v>
      </c>
      <c r="F18" s="153">
        <v>3.0</v>
      </c>
      <c r="G18" s="154">
        <v>0.068</v>
      </c>
      <c r="H18" s="152" t="s">
        <v>662</v>
      </c>
      <c r="I18" s="14" t="e">
        <v>#N/A</v>
      </c>
      <c r="J18" s="344" t="s">
        <v>43</v>
      </c>
      <c r="K18" s="426">
        <v>0.0455</v>
      </c>
      <c r="L18" s="21" t="s">
        <v>885</v>
      </c>
    </row>
    <row r="19">
      <c r="A19" s="241">
        <v>210433.0</v>
      </c>
      <c r="B19" s="156" t="s">
        <v>1586</v>
      </c>
      <c r="C19" s="156" t="s">
        <v>252</v>
      </c>
      <c r="D19" s="157">
        <v>70.0</v>
      </c>
      <c r="E19" s="157">
        <v>69.0</v>
      </c>
      <c r="F19" s="157">
        <v>4.0</v>
      </c>
      <c r="G19" s="158">
        <v>0.058</v>
      </c>
      <c r="H19" s="156" t="s">
        <v>662</v>
      </c>
      <c r="I19" s="16" t="e">
        <v>#N/A</v>
      </c>
      <c r="J19" s="345" t="s">
        <v>43</v>
      </c>
      <c r="K19" s="426">
        <v>0.0571</v>
      </c>
      <c r="L19" s="21" t="s">
        <v>885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88"/>
    <col hidden="1" min="9" max="11" width="12.63"/>
  </cols>
  <sheetData>
    <row r="1">
      <c r="A1" s="238" t="s">
        <v>822</v>
      </c>
      <c r="B1" s="150" t="s">
        <v>1503</v>
      </c>
      <c r="C1" s="150" t="s">
        <v>823</v>
      </c>
      <c r="D1" s="150" t="s">
        <v>656</v>
      </c>
      <c r="E1" s="150" t="s">
        <v>657</v>
      </c>
      <c r="F1" s="150" t="s">
        <v>658</v>
      </c>
      <c r="G1" s="150" t="s">
        <v>659</v>
      </c>
      <c r="H1" s="150" t="s">
        <v>660</v>
      </c>
      <c r="I1" s="150" t="s">
        <v>133</v>
      </c>
      <c r="J1" s="150" t="s">
        <v>89</v>
      </c>
      <c r="K1" s="150" t="s">
        <v>387</v>
      </c>
      <c r="L1" s="150" t="s">
        <v>675</v>
      </c>
      <c r="M1" s="150" t="s">
        <v>5</v>
      </c>
      <c r="N1" s="151" t="s">
        <v>6</v>
      </c>
      <c r="O1" s="21" t="s">
        <v>1570</v>
      </c>
    </row>
    <row r="2">
      <c r="A2" s="239">
        <v>234768.0</v>
      </c>
      <c r="B2" s="152" t="s">
        <v>848</v>
      </c>
      <c r="C2" s="152" t="s">
        <v>848</v>
      </c>
      <c r="D2" s="152" t="s">
        <v>213</v>
      </c>
      <c r="E2" s="153">
        <v>21.0</v>
      </c>
      <c r="F2" s="153">
        <v>22.0</v>
      </c>
      <c r="G2" s="153">
        <v>17.0</v>
      </c>
      <c r="H2" s="154">
        <v>0.773</v>
      </c>
      <c r="I2" s="154">
        <v>0.0357</v>
      </c>
      <c r="J2" s="154">
        <v>0.5714</v>
      </c>
      <c r="K2" s="154">
        <v>0.0357</v>
      </c>
      <c r="L2" s="152" t="s">
        <v>19</v>
      </c>
      <c r="M2" s="154">
        <v>0.5714</v>
      </c>
      <c r="N2" s="344" t="s">
        <v>662</v>
      </c>
      <c r="O2" s="21" t="s">
        <v>1587</v>
      </c>
    </row>
    <row r="3">
      <c r="A3" s="241">
        <v>237153.0</v>
      </c>
      <c r="B3" s="156" t="s">
        <v>1588</v>
      </c>
      <c r="C3" s="156" t="s">
        <v>1588</v>
      </c>
      <c r="D3" s="156" t="s">
        <v>166</v>
      </c>
      <c r="E3" s="157">
        <v>9.0</v>
      </c>
      <c r="F3" s="157">
        <v>8.0</v>
      </c>
      <c r="G3" s="157">
        <v>6.0</v>
      </c>
      <c r="H3" s="158">
        <v>0.75</v>
      </c>
      <c r="I3" s="158">
        <v>0.0</v>
      </c>
      <c r="J3" s="158">
        <v>0.5</v>
      </c>
      <c r="K3" s="158">
        <v>0.0</v>
      </c>
      <c r="L3" s="156" t="s">
        <v>19</v>
      </c>
      <c r="M3" s="158">
        <v>0.5</v>
      </c>
      <c r="N3" s="345" t="s">
        <v>662</v>
      </c>
      <c r="O3" s="21" t="s">
        <v>1587</v>
      </c>
    </row>
    <row r="4">
      <c r="A4" s="239">
        <v>236096.0</v>
      </c>
      <c r="B4" s="152" t="s">
        <v>1589</v>
      </c>
      <c r="C4" s="152" t="s">
        <v>1589</v>
      </c>
      <c r="D4" s="152" t="s">
        <v>255</v>
      </c>
      <c r="E4" s="153">
        <v>23.0</v>
      </c>
      <c r="F4" s="153">
        <v>18.0</v>
      </c>
      <c r="G4" s="153">
        <v>10.0</v>
      </c>
      <c r="H4" s="154">
        <v>0.556</v>
      </c>
      <c r="I4" s="154">
        <v>0.0</v>
      </c>
      <c r="J4" s="154">
        <v>0.45</v>
      </c>
      <c r="K4" s="154">
        <v>0.0</v>
      </c>
      <c r="L4" s="152" t="s">
        <v>19</v>
      </c>
      <c r="M4" s="154">
        <v>0.45</v>
      </c>
      <c r="N4" s="344" t="s">
        <v>662</v>
      </c>
      <c r="O4" s="21" t="s">
        <v>1587</v>
      </c>
    </row>
    <row r="5">
      <c r="A5" s="241">
        <v>234791.0</v>
      </c>
      <c r="B5" s="156" t="s">
        <v>1590</v>
      </c>
      <c r="C5" s="156" t="s">
        <v>1590</v>
      </c>
      <c r="D5" s="156" t="s">
        <v>254</v>
      </c>
      <c r="E5" s="157">
        <v>63.0</v>
      </c>
      <c r="F5" s="157">
        <v>56.0</v>
      </c>
      <c r="G5" s="157">
        <v>24.0</v>
      </c>
      <c r="H5" s="158">
        <v>0.429</v>
      </c>
      <c r="I5" s="158">
        <v>0.169</v>
      </c>
      <c r="J5" s="158">
        <v>0.2676</v>
      </c>
      <c r="K5" s="158">
        <v>0.0</v>
      </c>
      <c r="L5" s="156" t="s">
        <v>19</v>
      </c>
      <c r="M5" s="158">
        <v>0.2676</v>
      </c>
      <c r="N5" s="345" t="s">
        <v>662</v>
      </c>
      <c r="O5" s="21" t="s">
        <v>1587</v>
      </c>
    </row>
    <row r="6">
      <c r="A6" s="239">
        <v>234804.0</v>
      </c>
      <c r="B6" s="152" t="s">
        <v>1591</v>
      </c>
      <c r="C6" s="152" t="s">
        <v>1591</v>
      </c>
      <c r="D6" s="152" t="s">
        <v>158</v>
      </c>
      <c r="E6" s="153">
        <v>156.0</v>
      </c>
      <c r="F6" s="153">
        <v>141.0</v>
      </c>
      <c r="G6" s="153">
        <v>49.0</v>
      </c>
      <c r="H6" s="154">
        <v>0.348</v>
      </c>
      <c r="I6" s="154">
        <v>0.0407</v>
      </c>
      <c r="J6" s="154">
        <v>0.2616</v>
      </c>
      <c r="K6" s="154">
        <v>0.0</v>
      </c>
      <c r="L6" s="152" t="s">
        <v>19</v>
      </c>
      <c r="M6" s="154">
        <v>0.2616</v>
      </c>
      <c r="N6" s="344" t="s">
        <v>662</v>
      </c>
      <c r="O6" s="21" t="s">
        <v>1587</v>
      </c>
    </row>
    <row r="7">
      <c r="A7" s="241">
        <v>225336.0</v>
      </c>
      <c r="B7" s="156" t="s">
        <v>1103</v>
      </c>
      <c r="C7" s="156" t="s">
        <v>1103</v>
      </c>
      <c r="D7" s="156" t="s">
        <v>195</v>
      </c>
      <c r="E7" s="157">
        <v>22.0</v>
      </c>
      <c r="F7" s="157">
        <v>23.0</v>
      </c>
      <c r="G7" s="157">
        <v>7.0</v>
      </c>
      <c r="H7" s="158">
        <v>0.304</v>
      </c>
      <c r="I7" s="158">
        <v>0.0</v>
      </c>
      <c r="J7" s="158">
        <v>0.2593</v>
      </c>
      <c r="K7" s="158">
        <v>0.0</v>
      </c>
      <c r="L7" s="156" t="s">
        <v>19</v>
      </c>
      <c r="M7" s="158">
        <v>0.2593</v>
      </c>
      <c r="N7" s="345" t="s">
        <v>662</v>
      </c>
      <c r="O7" s="21" t="s">
        <v>1587</v>
      </c>
    </row>
    <row r="8">
      <c r="A8" s="239">
        <v>234804.0</v>
      </c>
      <c r="B8" s="152" t="s">
        <v>1592</v>
      </c>
      <c r="C8" s="152" t="s">
        <v>1592</v>
      </c>
      <c r="D8" s="152" t="s">
        <v>192</v>
      </c>
      <c r="E8" s="153">
        <v>24.0</v>
      </c>
      <c r="F8" s="153">
        <v>21.0</v>
      </c>
      <c r="G8" s="153">
        <v>7.0</v>
      </c>
      <c r="H8" s="154">
        <v>0.333</v>
      </c>
      <c r="I8" s="154">
        <v>0.04</v>
      </c>
      <c r="J8" s="154">
        <v>0.2</v>
      </c>
      <c r="K8" s="154">
        <v>0.0</v>
      </c>
      <c r="L8" s="152" t="s">
        <v>19</v>
      </c>
      <c r="M8" s="154">
        <v>0.2</v>
      </c>
      <c r="N8" s="344" t="s">
        <v>662</v>
      </c>
      <c r="O8" s="21" t="s">
        <v>1587</v>
      </c>
    </row>
    <row r="9">
      <c r="A9" s="241">
        <v>246240.0</v>
      </c>
      <c r="B9" s="156" t="s">
        <v>1593</v>
      </c>
      <c r="C9" s="156" t="s">
        <v>1593</v>
      </c>
      <c r="D9" s="156" t="s">
        <v>228</v>
      </c>
      <c r="E9" s="157">
        <v>81.0</v>
      </c>
      <c r="F9" s="157">
        <v>76.0</v>
      </c>
      <c r="G9" s="157">
        <v>24.0</v>
      </c>
      <c r="H9" s="158">
        <v>0.316</v>
      </c>
      <c r="I9" s="158">
        <v>0.0645</v>
      </c>
      <c r="J9" s="158">
        <v>0.1935</v>
      </c>
      <c r="K9" s="158">
        <v>0.1075</v>
      </c>
      <c r="L9" s="156" t="s">
        <v>19</v>
      </c>
      <c r="M9" s="158">
        <v>0.1935</v>
      </c>
      <c r="N9" s="345" t="s">
        <v>662</v>
      </c>
      <c r="O9" s="21" t="s">
        <v>1587</v>
      </c>
    </row>
    <row r="10">
      <c r="A10" s="239">
        <v>234791.0</v>
      </c>
      <c r="B10" s="152" t="s">
        <v>1594</v>
      </c>
      <c r="C10" s="152" t="s">
        <v>1594</v>
      </c>
      <c r="D10" s="152" t="s">
        <v>275</v>
      </c>
      <c r="E10" s="153">
        <v>21.0</v>
      </c>
      <c r="F10" s="153">
        <v>18.0</v>
      </c>
      <c r="G10" s="153">
        <v>8.0</v>
      </c>
      <c r="H10" s="154">
        <v>0.444</v>
      </c>
      <c r="I10" s="154">
        <v>0.1724</v>
      </c>
      <c r="J10" s="154">
        <v>0.1724</v>
      </c>
      <c r="K10" s="154">
        <v>0.0</v>
      </c>
      <c r="L10" s="152" t="s">
        <v>242</v>
      </c>
      <c r="M10" s="154">
        <v>0.1724</v>
      </c>
      <c r="N10" s="344" t="s">
        <v>662</v>
      </c>
      <c r="O10" s="21" t="s">
        <v>1587</v>
      </c>
    </row>
    <row r="11">
      <c r="A11" s="241">
        <v>238757.0</v>
      </c>
      <c r="B11" s="156" t="s">
        <v>1595</v>
      </c>
      <c r="C11" s="156" t="s">
        <v>1595</v>
      </c>
      <c r="D11" s="156" t="s">
        <v>1596</v>
      </c>
      <c r="E11" s="157">
        <v>24.0</v>
      </c>
      <c r="F11" s="157">
        <v>19.0</v>
      </c>
      <c r="G11" s="157">
        <v>5.0</v>
      </c>
      <c r="H11" s="158">
        <v>0.263</v>
      </c>
      <c r="I11" s="158">
        <v>0.125</v>
      </c>
      <c r="J11" s="158">
        <v>0.125</v>
      </c>
      <c r="K11" s="158">
        <v>0.0417</v>
      </c>
      <c r="L11" s="156" t="s">
        <v>242</v>
      </c>
      <c r="M11" s="158">
        <v>0.125</v>
      </c>
      <c r="N11" s="345" t="s">
        <v>662</v>
      </c>
      <c r="O11" s="21" t="s">
        <v>1587</v>
      </c>
    </row>
    <row r="12">
      <c r="A12" s="239">
        <v>225336.0</v>
      </c>
      <c r="B12" s="152" t="s">
        <v>1109</v>
      </c>
      <c r="C12" s="152" t="s">
        <v>1109</v>
      </c>
      <c r="D12" s="152" t="s">
        <v>151</v>
      </c>
      <c r="E12" s="153">
        <v>17.0</v>
      </c>
      <c r="F12" s="153">
        <v>17.0</v>
      </c>
      <c r="G12" s="153">
        <v>7.0</v>
      </c>
      <c r="H12" s="154">
        <v>0.412</v>
      </c>
      <c r="I12" s="154">
        <v>0.2857</v>
      </c>
      <c r="J12" s="154">
        <v>0.0952</v>
      </c>
      <c r="K12" s="154">
        <v>0.0</v>
      </c>
      <c r="L12" s="152" t="s">
        <v>242</v>
      </c>
      <c r="M12" s="154">
        <v>0.2857</v>
      </c>
      <c r="N12" s="344" t="s">
        <v>662</v>
      </c>
      <c r="O12" s="21" t="s">
        <v>1587</v>
      </c>
    </row>
    <row r="13">
      <c r="A13" s="241">
        <v>234791.0</v>
      </c>
      <c r="B13" s="156" t="s">
        <v>1592</v>
      </c>
      <c r="C13" s="156" t="s">
        <v>1592</v>
      </c>
      <c r="D13" s="156" t="s">
        <v>223</v>
      </c>
      <c r="E13" s="157">
        <v>123.0</v>
      </c>
      <c r="F13" s="157">
        <v>120.0</v>
      </c>
      <c r="G13" s="157">
        <v>7.0</v>
      </c>
      <c r="H13" s="158">
        <v>0.058</v>
      </c>
      <c r="I13" s="158">
        <v>0.0076</v>
      </c>
      <c r="J13" s="158">
        <v>0.0833</v>
      </c>
      <c r="K13" s="158">
        <v>0.0152</v>
      </c>
      <c r="L13" s="156" t="s">
        <v>19</v>
      </c>
      <c r="M13" s="158">
        <v>0.0833</v>
      </c>
      <c r="N13" s="345" t="s">
        <v>662</v>
      </c>
      <c r="O13" s="21" t="s">
        <v>1587</v>
      </c>
    </row>
    <row r="14">
      <c r="A14" s="239">
        <v>221928.0</v>
      </c>
      <c r="B14" s="152" t="s">
        <v>846</v>
      </c>
      <c r="C14" s="152" t="s">
        <v>846</v>
      </c>
      <c r="D14" s="152" t="s">
        <v>256</v>
      </c>
      <c r="E14" s="153">
        <v>99.0</v>
      </c>
      <c r="F14" s="153">
        <v>97.0</v>
      </c>
      <c r="G14" s="153">
        <v>7.0</v>
      </c>
      <c r="H14" s="154">
        <v>0.072</v>
      </c>
      <c r="I14" s="154">
        <v>0.0192</v>
      </c>
      <c r="J14" s="154">
        <v>0.0481</v>
      </c>
      <c r="K14" s="154">
        <v>0.0</v>
      </c>
      <c r="L14" s="152" t="s">
        <v>19</v>
      </c>
      <c r="M14" s="154">
        <v>0.0481</v>
      </c>
      <c r="N14" s="344" t="s">
        <v>662</v>
      </c>
      <c r="O14" s="21" t="s">
        <v>1587</v>
      </c>
    </row>
    <row r="15">
      <c r="A15" s="241">
        <v>234780.0</v>
      </c>
      <c r="B15" s="156" t="s">
        <v>1597</v>
      </c>
      <c r="C15" s="156" t="s">
        <v>1597</v>
      </c>
      <c r="D15" s="156" t="s">
        <v>257</v>
      </c>
      <c r="E15" s="157">
        <v>48.0</v>
      </c>
      <c r="F15" s="157">
        <v>45.0</v>
      </c>
      <c r="G15" s="157">
        <v>5.0</v>
      </c>
      <c r="H15" s="158">
        <v>0.111</v>
      </c>
      <c r="I15" s="158">
        <v>0.0638</v>
      </c>
      <c r="J15" s="158">
        <v>0.0426</v>
      </c>
      <c r="K15" s="158">
        <v>0.0</v>
      </c>
      <c r="L15" s="156" t="s">
        <v>43</v>
      </c>
      <c r="M15" s="158">
        <v>0.0638</v>
      </c>
      <c r="N15" s="345" t="s">
        <v>662</v>
      </c>
      <c r="O15" s="21" t="s">
        <v>1587</v>
      </c>
    </row>
    <row r="16">
      <c r="A16" s="239">
        <v>242146.0</v>
      </c>
      <c r="B16" s="152" t="s">
        <v>1598</v>
      </c>
      <c r="C16" s="152" t="s">
        <v>1598</v>
      </c>
      <c r="D16" s="152" t="s">
        <v>258</v>
      </c>
      <c r="E16" s="153">
        <v>41.0</v>
      </c>
      <c r="F16" s="153">
        <v>29.0</v>
      </c>
      <c r="G16" s="153">
        <v>8.0</v>
      </c>
      <c r="H16" s="154">
        <v>0.276</v>
      </c>
      <c r="I16" s="154">
        <v>0.1132</v>
      </c>
      <c r="J16" s="154">
        <v>0.0377</v>
      </c>
      <c r="K16" s="154">
        <v>0.0377</v>
      </c>
      <c r="L16" s="152" t="s">
        <v>43</v>
      </c>
      <c r="M16" s="154">
        <v>0.1132</v>
      </c>
      <c r="N16" s="344" t="s">
        <v>662</v>
      </c>
      <c r="O16" s="21" t="s">
        <v>1587</v>
      </c>
    </row>
    <row r="17">
      <c r="A17" s="241">
        <v>238757.0</v>
      </c>
      <c r="B17" s="156" t="s">
        <v>1599</v>
      </c>
      <c r="C17" s="156" t="s">
        <v>1599</v>
      </c>
      <c r="D17" s="156" t="s">
        <v>259</v>
      </c>
      <c r="E17" s="157">
        <v>55.0</v>
      </c>
      <c r="F17" s="157">
        <v>53.0</v>
      </c>
      <c r="G17" s="157">
        <v>8.0</v>
      </c>
      <c r="H17" s="158">
        <v>0.151</v>
      </c>
      <c r="I17" s="158">
        <v>0.0952</v>
      </c>
      <c r="J17" s="158">
        <v>0.0317</v>
      </c>
      <c r="K17" s="158">
        <v>0.0</v>
      </c>
      <c r="L17" s="156" t="s">
        <v>43</v>
      </c>
      <c r="M17" s="158">
        <v>0.0952</v>
      </c>
      <c r="N17" s="345" t="s">
        <v>662</v>
      </c>
      <c r="O17" s="21" t="s">
        <v>1587</v>
      </c>
    </row>
    <row r="18">
      <c r="A18" s="239">
        <v>241187.0</v>
      </c>
      <c r="B18" s="152" t="s">
        <v>1600</v>
      </c>
      <c r="C18" s="152" t="s">
        <v>1600</v>
      </c>
      <c r="D18" s="152" t="s">
        <v>260</v>
      </c>
      <c r="E18" s="153">
        <v>57.0</v>
      </c>
      <c r="F18" s="153">
        <v>57.0</v>
      </c>
      <c r="G18" s="153">
        <v>5.0</v>
      </c>
      <c r="H18" s="154">
        <v>0.088</v>
      </c>
      <c r="I18" s="154">
        <v>0.0571</v>
      </c>
      <c r="J18" s="154">
        <v>0.0286</v>
      </c>
      <c r="K18" s="154">
        <v>0.0</v>
      </c>
      <c r="L18" s="152" t="s">
        <v>43</v>
      </c>
      <c r="M18" s="154">
        <v>0.0571</v>
      </c>
      <c r="N18" s="344" t="s">
        <v>662</v>
      </c>
      <c r="O18" s="21" t="s">
        <v>1587</v>
      </c>
    </row>
    <row r="19">
      <c r="A19" s="241">
        <v>210433.0</v>
      </c>
      <c r="B19" s="156" t="s">
        <v>1527</v>
      </c>
      <c r="C19" s="156" t="s">
        <v>1527</v>
      </c>
      <c r="D19" s="156" t="s">
        <v>112</v>
      </c>
      <c r="E19" s="157">
        <v>129.0</v>
      </c>
      <c r="F19" s="157">
        <v>107.0</v>
      </c>
      <c r="G19" s="157">
        <v>6.0</v>
      </c>
      <c r="H19" s="158">
        <v>0.056</v>
      </c>
      <c r="I19" s="158">
        <v>0.0446</v>
      </c>
      <c r="J19" s="158">
        <v>0.0268</v>
      </c>
      <c r="K19" s="158">
        <v>0.0</v>
      </c>
      <c r="L19" s="156" t="s">
        <v>43</v>
      </c>
      <c r="M19" s="158">
        <v>0.0446</v>
      </c>
      <c r="N19" s="345" t="s">
        <v>662</v>
      </c>
      <c r="O19" s="21" t="s">
        <v>1587</v>
      </c>
    </row>
    <row r="20">
      <c r="A20" s="239">
        <v>241094.0</v>
      </c>
      <c r="B20" s="152" t="s">
        <v>1601</v>
      </c>
      <c r="C20" s="152" t="s">
        <v>1601</v>
      </c>
      <c r="D20" s="152" t="s">
        <v>261</v>
      </c>
      <c r="E20" s="153">
        <v>53.0</v>
      </c>
      <c r="F20" s="153">
        <v>47.0</v>
      </c>
      <c r="G20" s="153">
        <v>5.0</v>
      </c>
      <c r="H20" s="154">
        <v>0.106</v>
      </c>
      <c r="I20" s="154">
        <v>0.0577</v>
      </c>
      <c r="J20" s="154">
        <v>0.0192</v>
      </c>
      <c r="K20" s="154">
        <v>0.0192</v>
      </c>
      <c r="L20" s="152" t="s">
        <v>43</v>
      </c>
      <c r="M20" s="154">
        <v>0.0577</v>
      </c>
      <c r="N20" s="344" t="s">
        <v>662</v>
      </c>
      <c r="O20" s="21" t="s">
        <v>1587</v>
      </c>
    </row>
    <row r="21">
      <c r="A21" s="241">
        <v>241117.0</v>
      </c>
      <c r="B21" s="156" t="s">
        <v>1602</v>
      </c>
      <c r="C21" s="156" t="s">
        <v>1602</v>
      </c>
      <c r="D21" s="156" t="s">
        <v>1603</v>
      </c>
      <c r="E21" s="157">
        <v>71.0</v>
      </c>
      <c r="F21" s="157">
        <v>66.0</v>
      </c>
      <c r="G21" s="157">
        <v>10.0</v>
      </c>
      <c r="H21" s="158">
        <v>0.152</v>
      </c>
      <c r="I21" s="158">
        <v>0.0694</v>
      </c>
      <c r="J21" s="158">
        <v>0.0139</v>
      </c>
      <c r="K21" s="158">
        <v>0.0833</v>
      </c>
      <c r="L21" s="156" t="s">
        <v>137</v>
      </c>
      <c r="M21" s="158">
        <v>0.0833</v>
      </c>
      <c r="N21" s="345" t="s">
        <v>662</v>
      </c>
      <c r="O21" s="21" t="s">
        <v>1587</v>
      </c>
    </row>
    <row r="22">
      <c r="A22" s="239">
        <v>246233.0</v>
      </c>
      <c r="B22" s="152" t="s">
        <v>1473</v>
      </c>
      <c r="C22" s="152" t="s">
        <v>1473</v>
      </c>
      <c r="D22" s="152" t="s">
        <v>165</v>
      </c>
      <c r="E22" s="153">
        <v>174.0</v>
      </c>
      <c r="F22" s="153">
        <v>159.0</v>
      </c>
      <c r="G22" s="153">
        <v>17.0</v>
      </c>
      <c r="H22" s="154">
        <v>0.107</v>
      </c>
      <c r="I22" s="154">
        <v>0.0364</v>
      </c>
      <c r="J22" s="154">
        <v>0.0121</v>
      </c>
      <c r="K22" s="154">
        <v>0.0545</v>
      </c>
      <c r="L22" s="152" t="s">
        <v>137</v>
      </c>
      <c r="M22" s="154">
        <v>0.0545</v>
      </c>
      <c r="N22" s="344" t="s">
        <v>662</v>
      </c>
      <c r="O22" s="21" t="s">
        <v>1587</v>
      </c>
    </row>
    <row r="23">
      <c r="A23" s="241">
        <v>221282.0</v>
      </c>
      <c r="B23" s="156" t="s">
        <v>1604</v>
      </c>
      <c r="C23" s="156" t="s">
        <v>1604</v>
      </c>
      <c r="D23" s="156" t="s">
        <v>173</v>
      </c>
      <c r="E23" s="157">
        <v>110.0</v>
      </c>
      <c r="F23" s="157">
        <v>105.0</v>
      </c>
      <c r="G23" s="157">
        <v>9.0</v>
      </c>
      <c r="H23" s="158">
        <v>0.086</v>
      </c>
      <c r="I23" s="158">
        <v>0.0619</v>
      </c>
      <c r="J23" s="158">
        <v>0.0088</v>
      </c>
      <c r="K23" s="158">
        <v>0.0088</v>
      </c>
      <c r="L23" s="156" t="s">
        <v>43</v>
      </c>
      <c r="M23" s="158">
        <v>0.0619</v>
      </c>
      <c r="N23" s="345" t="s">
        <v>662</v>
      </c>
      <c r="O23" s="21" t="s">
        <v>1587</v>
      </c>
    </row>
    <row r="24">
      <c r="A24" s="239">
        <v>239999.0</v>
      </c>
      <c r="B24" s="152" t="s">
        <v>854</v>
      </c>
      <c r="C24" s="152" t="s">
        <v>854</v>
      </c>
      <c r="D24" s="152" t="s">
        <v>370</v>
      </c>
      <c r="E24" s="153">
        <v>48.0</v>
      </c>
      <c r="F24" s="153">
        <v>40.0</v>
      </c>
      <c r="G24" s="153">
        <v>7.0</v>
      </c>
      <c r="H24" s="154">
        <v>0.175</v>
      </c>
      <c r="I24" s="154">
        <v>0.0</v>
      </c>
      <c r="J24" s="154">
        <v>0.0</v>
      </c>
      <c r="K24" s="154">
        <v>0.1667</v>
      </c>
      <c r="L24" s="152" t="s">
        <v>137</v>
      </c>
      <c r="M24" s="154">
        <v>0.1667</v>
      </c>
      <c r="N24" s="344" t="s">
        <v>662</v>
      </c>
      <c r="O24" s="21" t="s">
        <v>1587</v>
      </c>
    </row>
    <row r="25">
      <c r="A25" s="241">
        <v>241119.0</v>
      </c>
      <c r="B25" s="156" t="s">
        <v>1605</v>
      </c>
      <c r="C25" s="156" t="s">
        <v>1605</v>
      </c>
      <c r="D25" s="156" t="s">
        <v>1606</v>
      </c>
      <c r="E25" s="157">
        <v>56.0</v>
      </c>
      <c r="F25" s="157">
        <v>52.0</v>
      </c>
      <c r="G25" s="157">
        <v>7.0</v>
      </c>
      <c r="H25" s="158">
        <v>0.135</v>
      </c>
      <c r="I25" s="158">
        <v>0.0339</v>
      </c>
      <c r="J25" s="158">
        <v>0.0</v>
      </c>
      <c r="K25" s="158">
        <v>0.0847</v>
      </c>
      <c r="L25" s="156" t="s">
        <v>43</v>
      </c>
      <c r="M25" s="158">
        <v>0.0847</v>
      </c>
      <c r="N25" s="345" t="s">
        <v>662</v>
      </c>
      <c r="O25" s="21" t="s">
        <v>1587</v>
      </c>
    </row>
    <row r="26">
      <c r="A26" s="239">
        <v>243674.0</v>
      </c>
      <c r="B26" s="152" t="s">
        <v>1607</v>
      </c>
      <c r="C26" s="152" t="s">
        <v>1607</v>
      </c>
      <c r="D26" s="152" t="s">
        <v>180</v>
      </c>
      <c r="E26" s="153">
        <v>54.0</v>
      </c>
      <c r="F26" s="153">
        <v>50.0</v>
      </c>
      <c r="G26" s="153">
        <v>6.0</v>
      </c>
      <c r="H26" s="154">
        <v>0.12</v>
      </c>
      <c r="I26" s="154">
        <v>0.1</v>
      </c>
      <c r="J26" s="154">
        <v>0.0</v>
      </c>
      <c r="K26" s="154">
        <v>0.02</v>
      </c>
      <c r="L26" s="152" t="s">
        <v>43</v>
      </c>
      <c r="M26" s="154">
        <v>0.1</v>
      </c>
      <c r="N26" s="344" t="s">
        <v>662</v>
      </c>
      <c r="O26" s="21" t="s">
        <v>1587</v>
      </c>
    </row>
    <row r="27">
      <c r="A27" s="241">
        <v>246018.0</v>
      </c>
      <c r="B27" s="156" t="s">
        <v>1608</v>
      </c>
      <c r="C27" s="156" t="s">
        <v>1608</v>
      </c>
      <c r="D27" s="156" t="s">
        <v>262</v>
      </c>
      <c r="E27" s="157">
        <v>43.0</v>
      </c>
      <c r="F27" s="157">
        <v>43.0</v>
      </c>
      <c r="G27" s="157">
        <v>5.0</v>
      </c>
      <c r="H27" s="158">
        <v>0.116</v>
      </c>
      <c r="I27" s="158">
        <v>0.0455</v>
      </c>
      <c r="J27" s="158">
        <v>0.0</v>
      </c>
      <c r="K27" s="158">
        <v>0.0682</v>
      </c>
      <c r="L27" s="156" t="s">
        <v>43</v>
      </c>
      <c r="M27" s="158">
        <v>0.0682</v>
      </c>
      <c r="N27" s="345" t="s">
        <v>662</v>
      </c>
      <c r="O27" s="21" t="s">
        <v>1587</v>
      </c>
    </row>
    <row r="28">
      <c r="A28" s="239">
        <v>149037.0</v>
      </c>
      <c r="B28" s="152" t="s">
        <v>1455</v>
      </c>
      <c r="C28" s="152" t="s">
        <v>1455</v>
      </c>
      <c r="D28" s="152" t="s">
        <v>193</v>
      </c>
      <c r="E28" s="153">
        <v>87.0</v>
      </c>
      <c r="F28" s="153">
        <v>76.0</v>
      </c>
      <c r="G28" s="153">
        <v>8.0</v>
      </c>
      <c r="H28" s="154">
        <v>0.105</v>
      </c>
      <c r="I28" s="154">
        <v>0.0759</v>
      </c>
      <c r="J28" s="154">
        <v>0.0</v>
      </c>
      <c r="K28" s="154">
        <v>0.038</v>
      </c>
      <c r="L28" s="152" t="s">
        <v>43</v>
      </c>
      <c r="M28" s="154">
        <v>0.0759</v>
      </c>
      <c r="N28" s="344" t="s">
        <v>662</v>
      </c>
      <c r="O28" s="21" t="s">
        <v>1587</v>
      </c>
    </row>
    <row r="29">
      <c r="A29" s="241">
        <v>246864.0</v>
      </c>
      <c r="B29" s="156" t="s">
        <v>1609</v>
      </c>
      <c r="C29" s="156" t="s">
        <v>1609</v>
      </c>
      <c r="D29" s="156" t="s">
        <v>388</v>
      </c>
      <c r="E29" s="157">
        <v>57.0</v>
      </c>
      <c r="F29" s="157">
        <v>55.0</v>
      </c>
      <c r="G29" s="157">
        <v>5.0</v>
      </c>
      <c r="H29" s="158">
        <v>0.091</v>
      </c>
      <c r="I29" s="158">
        <v>0.0877</v>
      </c>
      <c r="J29" s="158">
        <v>0.0</v>
      </c>
      <c r="K29" s="158">
        <v>0.0</v>
      </c>
      <c r="L29" s="156" t="s">
        <v>43</v>
      </c>
      <c r="M29" s="158">
        <v>0.0877</v>
      </c>
      <c r="N29" s="345" t="s">
        <v>662</v>
      </c>
      <c r="O29" s="21" t="s">
        <v>1587</v>
      </c>
    </row>
    <row r="30">
      <c r="A30" s="239">
        <v>247138.0</v>
      </c>
      <c r="B30" s="152" t="s">
        <v>1610</v>
      </c>
      <c r="C30" s="152" t="s">
        <v>1610</v>
      </c>
      <c r="D30" s="152" t="s">
        <v>263</v>
      </c>
      <c r="E30" s="153">
        <v>78.0</v>
      </c>
      <c r="F30" s="153">
        <v>76.0</v>
      </c>
      <c r="G30" s="153">
        <v>6.0</v>
      </c>
      <c r="H30" s="154">
        <v>0.079</v>
      </c>
      <c r="I30" s="154">
        <v>0.0385</v>
      </c>
      <c r="J30" s="154">
        <v>0.0</v>
      </c>
      <c r="K30" s="154">
        <v>0.0385</v>
      </c>
      <c r="L30" s="152" t="s">
        <v>43</v>
      </c>
      <c r="M30" s="154">
        <v>0.0385</v>
      </c>
      <c r="N30" s="344" t="s">
        <v>662</v>
      </c>
      <c r="O30" s="21" t="s">
        <v>1587</v>
      </c>
    </row>
    <row r="31">
      <c r="A31" s="241">
        <v>246232.0</v>
      </c>
      <c r="B31" s="156" t="s">
        <v>1473</v>
      </c>
      <c r="C31" s="156" t="s">
        <v>1473</v>
      </c>
      <c r="D31" s="156" t="s">
        <v>182</v>
      </c>
      <c r="E31" s="157">
        <v>118.0</v>
      </c>
      <c r="F31" s="157">
        <v>112.0</v>
      </c>
      <c r="G31" s="157">
        <v>8.0</v>
      </c>
      <c r="H31" s="158">
        <v>0.071</v>
      </c>
      <c r="I31" s="158">
        <v>0.0345</v>
      </c>
      <c r="J31" s="158">
        <v>0.0</v>
      </c>
      <c r="K31" s="158">
        <v>0.0345</v>
      </c>
      <c r="L31" s="156" t="s">
        <v>43</v>
      </c>
      <c r="M31" s="158">
        <v>0.0345</v>
      </c>
      <c r="N31" s="345" t="s">
        <v>662</v>
      </c>
      <c r="O31" s="21" t="s">
        <v>1587</v>
      </c>
    </row>
    <row r="32">
      <c r="A32" s="239">
        <v>236092.0</v>
      </c>
      <c r="B32" s="152" t="s">
        <v>1611</v>
      </c>
      <c r="C32" s="152" t="s">
        <v>1611</v>
      </c>
      <c r="D32" s="152" t="s">
        <v>264</v>
      </c>
      <c r="E32" s="153">
        <v>126.0</v>
      </c>
      <c r="F32" s="153">
        <v>115.0</v>
      </c>
      <c r="G32" s="153">
        <v>8.0</v>
      </c>
      <c r="H32" s="154">
        <v>0.07</v>
      </c>
      <c r="I32" s="154">
        <v>0.0656</v>
      </c>
      <c r="J32" s="154">
        <v>0.0</v>
      </c>
      <c r="K32" s="154">
        <v>0.0082</v>
      </c>
      <c r="L32" s="152" t="s">
        <v>43</v>
      </c>
      <c r="M32" s="154">
        <v>0.0656</v>
      </c>
      <c r="N32" s="344" t="s">
        <v>662</v>
      </c>
      <c r="O32" s="21" t="s">
        <v>1587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5" max="5" width="13.5"/>
  </cols>
  <sheetData>
    <row r="1">
      <c r="A1" s="150" t="s">
        <v>701</v>
      </c>
      <c r="B1" s="150" t="s">
        <v>657</v>
      </c>
      <c r="C1" s="150" t="s">
        <v>658</v>
      </c>
      <c r="D1" s="150" t="s">
        <v>659</v>
      </c>
      <c r="E1" s="150" t="s">
        <v>660</v>
      </c>
      <c r="F1" s="150" t="s">
        <v>1612</v>
      </c>
      <c r="G1" s="150" t="s">
        <v>676</v>
      </c>
      <c r="H1" s="151" t="s">
        <v>6</v>
      </c>
      <c r="I1" s="21" t="s">
        <v>1570</v>
      </c>
    </row>
    <row r="2">
      <c r="A2" s="152" t="s">
        <v>265</v>
      </c>
      <c r="B2" s="153">
        <v>16.0</v>
      </c>
      <c r="C2" s="153">
        <v>12.0</v>
      </c>
      <c r="D2" s="153">
        <v>12.0</v>
      </c>
      <c r="E2" s="154">
        <v>1.0</v>
      </c>
      <c r="F2" s="152" t="s">
        <v>19</v>
      </c>
      <c r="G2" s="154">
        <v>0.8</v>
      </c>
      <c r="H2" s="344" t="s">
        <v>662</v>
      </c>
      <c r="I2" s="236" t="s">
        <v>885</v>
      </c>
    </row>
    <row r="3">
      <c r="A3" s="156" t="s">
        <v>166</v>
      </c>
      <c r="B3" s="157">
        <v>54.0</v>
      </c>
      <c r="C3" s="157">
        <v>45.0</v>
      </c>
      <c r="D3" s="157">
        <v>37.0</v>
      </c>
      <c r="E3" s="158">
        <v>0.822</v>
      </c>
      <c r="F3" s="156" t="s">
        <v>19</v>
      </c>
      <c r="G3" s="158">
        <v>0.5758</v>
      </c>
      <c r="H3" s="345" t="s">
        <v>662</v>
      </c>
      <c r="I3" s="236" t="s">
        <v>885</v>
      </c>
    </row>
    <row r="4">
      <c r="A4" s="152" t="s">
        <v>254</v>
      </c>
      <c r="B4" s="153">
        <v>57.0</v>
      </c>
      <c r="C4" s="153">
        <v>48.0</v>
      </c>
      <c r="D4" s="153">
        <v>26.0</v>
      </c>
      <c r="E4" s="154">
        <v>0.542</v>
      </c>
      <c r="F4" s="152" t="s">
        <v>19</v>
      </c>
      <c r="G4" s="154">
        <v>0.5098</v>
      </c>
      <c r="H4" s="344" t="s">
        <v>662</v>
      </c>
      <c r="I4" s="236" t="s">
        <v>885</v>
      </c>
    </row>
    <row r="5">
      <c r="A5" s="156" t="s">
        <v>213</v>
      </c>
      <c r="B5" s="157">
        <v>76.0</v>
      </c>
      <c r="C5" s="157">
        <v>67.0</v>
      </c>
      <c r="D5" s="157">
        <v>50.0</v>
      </c>
      <c r="E5" s="158">
        <v>0.746</v>
      </c>
      <c r="F5" s="156" t="s">
        <v>19</v>
      </c>
      <c r="G5" s="158">
        <v>0.4796</v>
      </c>
      <c r="H5" s="345" t="s">
        <v>662</v>
      </c>
      <c r="I5" s="236" t="s">
        <v>885</v>
      </c>
    </row>
    <row r="6">
      <c r="A6" s="152" t="s">
        <v>266</v>
      </c>
      <c r="B6" s="153">
        <v>35.0</v>
      </c>
      <c r="C6" s="153">
        <v>25.0</v>
      </c>
      <c r="D6" s="153">
        <v>13.0</v>
      </c>
      <c r="E6" s="154">
        <v>0.52</v>
      </c>
      <c r="F6" s="152" t="s">
        <v>19</v>
      </c>
      <c r="G6" s="154">
        <v>0.4359</v>
      </c>
      <c r="H6" s="344" t="s">
        <v>662</v>
      </c>
      <c r="I6" s="236" t="s">
        <v>885</v>
      </c>
    </row>
    <row r="7">
      <c r="A7" s="156" t="s">
        <v>267</v>
      </c>
      <c r="B7" s="157">
        <v>27.0</v>
      </c>
      <c r="C7" s="157">
        <v>27.0</v>
      </c>
      <c r="D7" s="157">
        <v>12.0</v>
      </c>
      <c r="E7" s="158">
        <v>0.444</v>
      </c>
      <c r="F7" s="156" t="s">
        <v>19</v>
      </c>
      <c r="G7" s="158">
        <v>0.3793</v>
      </c>
      <c r="H7" s="345" t="s">
        <v>662</v>
      </c>
      <c r="I7" s="236" t="s">
        <v>885</v>
      </c>
    </row>
    <row r="8">
      <c r="A8" s="152" t="s">
        <v>268</v>
      </c>
      <c r="B8" s="153">
        <v>40.0</v>
      </c>
      <c r="C8" s="153">
        <v>41.0</v>
      </c>
      <c r="D8" s="153">
        <v>21.0</v>
      </c>
      <c r="E8" s="154">
        <v>0.512</v>
      </c>
      <c r="F8" s="152" t="s">
        <v>19</v>
      </c>
      <c r="G8" s="154">
        <v>0.3704</v>
      </c>
      <c r="H8" s="344" t="s">
        <v>662</v>
      </c>
      <c r="I8" s="236" t="s">
        <v>885</v>
      </c>
    </row>
    <row r="9">
      <c r="A9" s="156" t="s">
        <v>221</v>
      </c>
      <c r="B9" s="157">
        <v>21.0</v>
      </c>
      <c r="C9" s="157">
        <v>20.0</v>
      </c>
      <c r="D9" s="157">
        <v>6.0</v>
      </c>
      <c r="E9" s="158">
        <v>0.3</v>
      </c>
      <c r="F9" s="156" t="s">
        <v>19</v>
      </c>
      <c r="G9" s="158">
        <v>0.3333</v>
      </c>
      <c r="H9" s="345" t="s">
        <v>662</v>
      </c>
      <c r="I9" s="236" t="s">
        <v>885</v>
      </c>
    </row>
    <row r="10">
      <c r="A10" s="152" t="s">
        <v>269</v>
      </c>
      <c r="B10" s="153">
        <v>51.0</v>
      </c>
      <c r="C10" s="153">
        <v>47.0</v>
      </c>
      <c r="D10" s="153">
        <v>12.0</v>
      </c>
      <c r="E10" s="154">
        <v>0.255</v>
      </c>
      <c r="F10" s="152" t="s">
        <v>19</v>
      </c>
      <c r="G10" s="154">
        <v>0.2653</v>
      </c>
      <c r="H10" s="344" t="s">
        <v>662</v>
      </c>
      <c r="I10" s="236" t="s">
        <v>885</v>
      </c>
    </row>
    <row r="11">
      <c r="A11" s="156" t="s">
        <v>270</v>
      </c>
      <c r="B11" s="157">
        <v>17.0</v>
      </c>
      <c r="C11" s="157">
        <v>14.0</v>
      </c>
      <c r="D11" s="157">
        <v>5.0</v>
      </c>
      <c r="E11" s="158">
        <v>0.357</v>
      </c>
      <c r="F11" s="156" t="s">
        <v>19</v>
      </c>
      <c r="G11" s="158">
        <v>0.2222</v>
      </c>
      <c r="H11" s="345" t="s">
        <v>662</v>
      </c>
      <c r="I11" s="236" t="s">
        <v>885</v>
      </c>
    </row>
    <row r="12">
      <c r="A12" s="152" t="s">
        <v>271</v>
      </c>
      <c r="B12" s="153">
        <v>51.0</v>
      </c>
      <c r="C12" s="153">
        <v>51.0</v>
      </c>
      <c r="D12" s="153">
        <v>12.0</v>
      </c>
      <c r="E12" s="154">
        <v>0.235</v>
      </c>
      <c r="F12" s="152" t="s">
        <v>19</v>
      </c>
      <c r="G12" s="154">
        <v>0.193</v>
      </c>
      <c r="H12" s="344" t="s">
        <v>662</v>
      </c>
      <c r="I12" s="236" t="s">
        <v>885</v>
      </c>
    </row>
    <row r="13">
      <c r="A13" s="156" t="s">
        <v>272</v>
      </c>
      <c r="B13" s="157">
        <v>118.0</v>
      </c>
      <c r="C13" s="157">
        <v>113.0</v>
      </c>
      <c r="D13" s="157">
        <v>16.0</v>
      </c>
      <c r="E13" s="158">
        <v>0.142</v>
      </c>
      <c r="F13" s="156" t="s">
        <v>19</v>
      </c>
      <c r="G13" s="158">
        <v>0.1692</v>
      </c>
      <c r="H13" s="345" t="s">
        <v>662</v>
      </c>
      <c r="I13" s="236" t="s">
        <v>885</v>
      </c>
    </row>
    <row r="14">
      <c r="A14" s="152" t="s">
        <v>273</v>
      </c>
      <c r="B14" s="153">
        <v>20.0</v>
      </c>
      <c r="C14" s="153">
        <v>18.0</v>
      </c>
      <c r="D14" s="153">
        <v>5.0</v>
      </c>
      <c r="E14" s="154">
        <v>0.278</v>
      </c>
      <c r="F14" s="152" t="s">
        <v>19</v>
      </c>
      <c r="G14" s="154">
        <v>0.15</v>
      </c>
      <c r="H14" s="344" t="s">
        <v>662</v>
      </c>
      <c r="I14" s="236" t="s">
        <v>885</v>
      </c>
    </row>
    <row r="15">
      <c r="A15" s="156" t="s">
        <v>223</v>
      </c>
      <c r="B15" s="157">
        <v>152.0</v>
      </c>
      <c r="C15" s="157">
        <v>151.0</v>
      </c>
      <c r="D15" s="157">
        <v>18.0</v>
      </c>
      <c r="E15" s="158">
        <v>0.119</v>
      </c>
      <c r="F15" s="156" t="s">
        <v>19</v>
      </c>
      <c r="G15" s="158">
        <v>0.1364</v>
      </c>
      <c r="H15" s="345" t="s">
        <v>662</v>
      </c>
      <c r="I15" s="236" t="s">
        <v>885</v>
      </c>
    </row>
    <row r="16">
      <c r="A16" s="152" t="s">
        <v>274</v>
      </c>
      <c r="B16" s="153">
        <v>31.0</v>
      </c>
      <c r="C16" s="153">
        <v>33.0</v>
      </c>
      <c r="D16" s="153">
        <v>7.0</v>
      </c>
      <c r="E16" s="154">
        <v>0.212</v>
      </c>
      <c r="F16" s="152" t="s">
        <v>19</v>
      </c>
      <c r="G16" s="154">
        <v>0.1143</v>
      </c>
      <c r="H16" s="344" t="s">
        <v>662</v>
      </c>
      <c r="I16" s="236" t="s">
        <v>885</v>
      </c>
    </row>
    <row r="17">
      <c r="A17" s="156" t="s">
        <v>275</v>
      </c>
      <c r="B17" s="157">
        <v>43.0</v>
      </c>
      <c r="C17" s="157">
        <v>41.0</v>
      </c>
      <c r="D17" s="157">
        <v>14.0</v>
      </c>
      <c r="E17" s="158">
        <v>0.341</v>
      </c>
      <c r="F17" s="156" t="s">
        <v>43</v>
      </c>
      <c r="G17" s="158">
        <v>0.1818</v>
      </c>
      <c r="H17" s="345" t="s">
        <v>662</v>
      </c>
      <c r="I17" s="236" t="s">
        <v>885</v>
      </c>
    </row>
    <row r="18">
      <c r="A18" s="152" t="s">
        <v>276</v>
      </c>
      <c r="B18" s="153">
        <v>43.0</v>
      </c>
      <c r="C18" s="153">
        <v>42.0</v>
      </c>
      <c r="D18" s="153">
        <v>8.0</v>
      </c>
      <c r="E18" s="154">
        <v>0.19</v>
      </c>
      <c r="F18" s="152" t="s">
        <v>19</v>
      </c>
      <c r="G18" s="154">
        <v>0.1087</v>
      </c>
      <c r="H18" s="344" t="s">
        <v>662</v>
      </c>
      <c r="I18" s="236" t="s">
        <v>885</v>
      </c>
    </row>
    <row r="19">
      <c r="A19" s="156" t="s">
        <v>277</v>
      </c>
      <c r="B19" s="157">
        <v>44.0</v>
      </c>
      <c r="C19" s="157">
        <v>45.0</v>
      </c>
      <c r="D19" s="157">
        <v>6.0</v>
      </c>
      <c r="E19" s="158">
        <v>0.133</v>
      </c>
      <c r="F19" s="156" t="s">
        <v>19</v>
      </c>
      <c r="G19" s="158">
        <v>0.0962</v>
      </c>
      <c r="H19" s="345" t="s">
        <v>662</v>
      </c>
      <c r="I19" s="236" t="s">
        <v>885</v>
      </c>
    </row>
    <row r="20">
      <c r="A20" s="152" t="s">
        <v>278</v>
      </c>
      <c r="B20" s="153">
        <v>92.0</v>
      </c>
      <c r="C20" s="153">
        <v>88.0</v>
      </c>
      <c r="D20" s="153">
        <v>7.0</v>
      </c>
      <c r="E20" s="154">
        <v>0.08</v>
      </c>
      <c r="F20" s="152" t="s">
        <v>19</v>
      </c>
      <c r="G20" s="154">
        <v>0.0753</v>
      </c>
      <c r="H20" s="344" t="s">
        <v>662</v>
      </c>
      <c r="I20" s="236" t="s">
        <v>885</v>
      </c>
    </row>
    <row r="21">
      <c r="A21" s="156" t="s">
        <v>258</v>
      </c>
      <c r="B21" s="157">
        <v>64.0</v>
      </c>
      <c r="C21" s="157">
        <v>48.0</v>
      </c>
      <c r="D21" s="157">
        <v>11.0</v>
      </c>
      <c r="E21" s="158">
        <v>0.229</v>
      </c>
      <c r="F21" s="156" t="s">
        <v>43</v>
      </c>
      <c r="G21" s="158">
        <v>0.0833</v>
      </c>
      <c r="H21" s="345" t="s">
        <v>662</v>
      </c>
      <c r="I21" s="236" t="s">
        <v>885</v>
      </c>
    </row>
    <row r="22">
      <c r="A22" s="152" t="s">
        <v>279</v>
      </c>
      <c r="B22" s="153">
        <v>163.0</v>
      </c>
      <c r="C22" s="153">
        <v>161.0</v>
      </c>
      <c r="D22" s="153">
        <v>42.0</v>
      </c>
      <c r="E22" s="154">
        <v>0.261</v>
      </c>
      <c r="F22" s="152" t="s">
        <v>43</v>
      </c>
      <c r="G22" s="154">
        <v>0.1393</v>
      </c>
      <c r="H22" s="344" t="s">
        <v>662</v>
      </c>
      <c r="I22" s="236" t="s">
        <v>885</v>
      </c>
    </row>
    <row r="23">
      <c r="A23" s="156" t="s">
        <v>280</v>
      </c>
      <c r="B23" s="157">
        <v>70.0</v>
      </c>
      <c r="C23" s="157">
        <v>56.0</v>
      </c>
      <c r="D23" s="157">
        <v>27.0</v>
      </c>
      <c r="E23" s="158">
        <v>0.482</v>
      </c>
      <c r="F23" s="156" t="s">
        <v>43</v>
      </c>
      <c r="G23" s="158">
        <v>0.2281</v>
      </c>
      <c r="H23" s="345" t="s">
        <v>662</v>
      </c>
      <c r="I23" s="236" t="s">
        <v>885</v>
      </c>
    </row>
    <row r="24">
      <c r="A24" s="152" t="s">
        <v>145</v>
      </c>
      <c r="B24" s="153">
        <v>56.0</v>
      </c>
      <c r="C24" s="153">
        <v>56.0</v>
      </c>
      <c r="D24" s="153">
        <v>8.0</v>
      </c>
      <c r="E24" s="154">
        <v>0.143</v>
      </c>
      <c r="F24" s="152" t="s">
        <v>19</v>
      </c>
      <c r="G24" s="154">
        <v>0.0517</v>
      </c>
      <c r="H24" s="344" t="s">
        <v>662</v>
      </c>
      <c r="I24" s="236" t="s">
        <v>885</v>
      </c>
    </row>
    <row r="25">
      <c r="A25" s="156" t="s">
        <v>281</v>
      </c>
      <c r="B25" s="157">
        <v>125.0</v>
      </c>
      <c r="C25" s="157">
        <v>124.0</v>
      </c>
      <c r="D25" s="157">
        <v>8.0</v>
      </c>
      <c r="E25" s="158">
        <v>0.065</v>
      </c>
      <c r="F25" s="156" t="s">
        <v>19</v>
      </c>
      <c r="G25" s="158">
        <v>0.0397</v>
      </c>
      <c r="H25" s="345" t="s">
        <v>662</v>
      </c>
      <c r="I25" s="236" t="s">
        <v>885</v>
      </c>
    </row>
    <row r="26">
      <c r="A26" s="152" t="s">
        <v>282</v>
      </c>
      <c r="B26" s="153">
        <v>79.0</v>
      </c>
      <c r="C26" s="153">
        <v>81.0</v>
      </c>
      <c r="D26" s="153">
        <v>5.0</v>
      </c>
      <c r="E26" s="154">
        <v>0.062</v>
      </c>
      <c r="F26" s="152" t="s">
        <v>19</v>
      </c>
      <c r="G26" s="154">
        <v>0.0361</v>
      </c>
      <c r="H26" s="344" t="s">
        <v>662</v>
      </c>
      <c r="I26" s="236" t="s">
        <v>885</v>
      </c>
    </row>
    <row r="27">
      <c r="A27" s="156" t="s">
        <v>283</v>
      </c>
      <c r="B27" s="157">
        <v>160.0</v>
      </c>
      <c r="C27" s="157">
        <v>159.0</v>
      </c>
      <c r="D27" s="157">
        <v>10.0</v>
      </c>
      <c r="E27" s="158">
        <v>0.063</v>
      </c>
      <c r="F27" s="156" t="s">
        <v>19</v>
      </c>
      <c r="G27" s="158">
        <v>0.0247</v>
      </c>
      <c r="H27" s="345" t="s">
        <v>662</v>
      </c>
      <c r="I27" s="236" t="s">
        <v>885</v>
      </c>
    </row>
    <row r="28">
      <c r="A28" s="152" t="s">
        <v>284</v>
      </c>
      <c r="B28" s="153">
        <v>41.0</v>
      </c>
      <c r="C28" s="153">
        <v>41.0</v>
      </c>
      <c r="D28" s="153">
        <v>6.0</v>
      </c>
      <c r="E28" s="154">
        <v>0.146</v>
      </c>
      <c r="F28" s="152" t="s">
        <v>43</v>
      </c>
      <c r="G28" s="154">
        <v>0.1163</v>
      </c>
      <c r="H28" s="344" t="s">
        <v>662</v>
      </c>
      <c r="I28" s="236" t="s">
        <v>885</v>
      </c>
    </row>
    <row r="29">
      <c r="A29" s="156" t="s">
        <v>285</v>
      </c>
      <c r="B29" s="157">
        <v>48.0</v>
      </c>
      <c r="C29" s="157">
        <v>49.0</v>
      </c>
      <c r="D29" s="157">
        <v>11.0</v>
      </c>
      <c r="E29" s="158">
        <v>0.224</v>
      </c>
      <c r="F29" s="156" t="s">
        <v>43</v>
      </c>
      <c r="G29" s="158">
        <v>0.1132</v>
      </c>
      <c r="H29" s="345" t="s">
        <v>662</v>
      </c>
      <c r="I29" s="236" t="s">
        <v>885</v>
      </c>
    </row>
    <row r="30">
      <c r="A30" s="152" t="s">
        <v>286</v>
      </c>
      <c r="B30" s="153">
        <v>53.0</v>
      </c>
      <c r="C30" s="153">
        <v>51.0</v>
      </c>
      <c r="D30" s="153">
        <v>6.0</v>
      </c>
      <c r="E30" s="154">
        <v>0.118</v>
      </c>
      <c r="F30" s="152" t="s">
        <v>43</v>
      </c>
      <c r="G30" s="154">
        <v>0.0377</v>
      </c>
      <c r="H30" s="344" t="s">
        <v>662</v>
      </c>
      <c r="I30" s="236" t="s">
        <v>885</v>
      </c>
    </row>
    <row r="31">
      <c r="A31" s="156" t="s">
        <v>287</v>
      </c>
      <c r="B31" s="157">
        <v>60.0</v>
      </c>
      <c r="C31" s="157">
        <v>60.0</v>
      </c>
      <c r="D31" s="157">
        <v>6.0</v>
      </c>
      <c r="E31" s="158">
        <v>0.1</v>
      </c>
      <c r="F31" s="156" t="s">
        <v>43</v>
      </c>
      <c r="G31" s="158">
        <v>0.0645</v>
      </c>
      <c r="H31" s="345" t="s">
        <v>662</v>
      </c>
      <c r="I31" s="236" t="s">
        <v>885</v>
      </c>
    </row>
    <row r="32">
      <c r="A32" s="152" t="s">
        <v>197</v>
      </c>
      <c r="B32" s="153">
        <v>65.0</v>
      </c>
      <c r="C32" s="153">
        <v>64.0</v>
      </c>
      <c r="D32" s="153">
        <v>9.0</v>
      </c>
      <c r="E32" s="154">
        <v>0.141</v>
      </c>
      <c r="F32" s="152" t="s">
        <v>43</v>
      </c>
      <c r="G32" s="154">
        <v>0.0986</v>
      </c>
      <c r="H32" s="344" t="s">
        <v>662</v>
      </c>
      <c r="I32" s="236" t="s">
        <v>885</v>
      </c>
    </row>
    <row r="33">
      <c r="A33" s="156" t="s">
        <v>180</v>
      </c>
      <c r="B33" s="157">
        <v>103.0</v>
      </c>
      <c r="C33" s="157">
        <v>99.0</v>
      </c>
      <c r="D33" s="157">
        <v>12.0</v>
      </c>
      <c r="E33" s="158">
        <v>0.121</v>
      </c>
      <c r="F33" s="156" t="s">
        <v>43</v>
      </c>
      <c r="G33" s="158">
        <v>0.1048</v>
      </c>
      <c r="H33" s="345" t="s">
        <v>662</v>
      </c>
      <c r="I33" s="236" t="s">
        <v>885</v>
      </c>
    </row>
    <row r="34">
      <c r="A34" s="152" t="s">
        <v>288</v>
      </c>
      <c r="B34" s="153">
        <v>105.0</v>
      </c>
      <c r="C34" s="153">
        <v>102.0</v>
      </c>
      <c r="D34" s="153">
        <v>7.0</v>
      </c>
      <c r="E34" s="154">
        <v>0.069</v>
      </c>
      <c r="F34" s="152" t="s">
        <v>43</v>
      </c>
      <c r="G34" s="154">
        <v>0.0381</v>
      </c>
      <c r="H34" s="344" t="s">
        <v>662</v>
      </c>
      <c r="I34" s="236" t="s">
        <v>885</v>
      </c>
    </row>
    <row r="35">
      <c r="A35" s="156" t="s">
        <v>1613</v>
      </c>
      <c r="B35" s="157">
        <v>105.0</v>
      </c>
      <c r="C35" s="157">
        <v>100.0</v>
      </c>
      <c r="D35" s="157">
        <v>9.0</v>
      </c>
      <c r="E35" s="158">
        <v>0.09</v>
      </c>
      <c r="F35" s="156" t="s">
        <v>43</v>
      </c>
      <c r="G35" s="158">
        <v>0.0463</v>
      </c>
      <c r="H35" s="345" t="s">
        <v>662</v>
      </c>
      <c r="I35" s="236" t="s">
        <v>885</v>
      </c>
    </row>
    <row r="36">
      <c r="A36" s="152" t="s">
        <v>289</v>
      </c>
      <c r="B36" s="153">
        <v>185.0</v>
      </c>
      <c r="C36" s="153">
        <v>181.0</v>
      </c>
      <c r="D36" s="153">
        <v>14.0</v>
      </c>
      <c r="E36" s="154">
        <v>0.077</v>
      </c>
      <c r="F36" s="152" t="s">
        <v>43</v>
      </c>
      <c r="G36" s="154">
        <v>0.038</v>
      </c>
      <c r="H36" s="344" t="s">
        <v>662</v>
      </c>
      <c r="I36" s="236" t="s">
        <v>885</v>
      </c>
    </row>
    <row r="37">
      <c r="A37" s="156" t="s">
        <v>291</v>
      </c>
      <c r="B37" s="157">
        <v>183.0</v>
      </c>
      <c r="C37" s="157">
        <v>182.0</v>
      </c>
      <c r="D37" s="157">
        <v>10.0</v>
      </c>
      <c r="E37" s="158">
        <v>0.055</v>
      </c>
      <c r="F37" s="156" t="s">
        <v>43</v>
      </c>
      <c r="G37" s="158">
        <v>0.0374</v>
      </c>
      <c r="H37" s="345" t="s">
        <v>662</v>
      </c>
      <c r="I37" s="236" t="s">
        <v>885</v>
      </c>
    </row>
    <row r="38">
      <c r="A38" s="152" t="s">
        <v>173</v>
      </c>
      <c r="B38" s="153">
        <v>225.0</v>
      </c>
      <c r="C38" s="153">
        <v>222.0</v>
      </c>
      <c r="D38" s="153">
        <v>23.0</v>
      </c>
      <c r="E38" s="154">
        <v>0.104</v>
      </c>
      <c r="F38" s="152" t="s">
        <v>43</v>
      </c>
      <c r="G38" s="154">
        <v>0.0812</v>
      </c>
      <c r="H38" s="344" t="s">
        <v>662</v>
      </c>
      <c r="I38" s="236" t="s">
        <v>885</v>
      </c>
    </row>
    <row r="39">
      <c r="A39" s="156" t="s">
        <v>293</v>
      </c>
      <c r="B39" s="157">
        <v>17.0</v>
      </c>
      <c r="C39" s="157">
        <v>17.0</v>
      </c>
      <c r="D39" s="157">
        <v>5.0</v>
      </c>
      <c r="E39" s="158">
        <v>0.294</v>
      </c>
      <c r="F39" s="156" t="s">
        <v>43</v>
      </c>
      <c r="G39" s="158">
        <v>0.2353</v>
      </c>
      <c r="H39" s="345" t="s">
        <v>662</v>
      </c>
      <c r="I39" s="236" t="s">
        <v>885</v>
      </c>
    </row>
    <row r="40">
      <c r="A40" s="152" t="s">
        <v>294</v>
      </c>
      <c r="B40" s="153">
        <v>66.0</v>
      </c>
      <c r="C40" s="153">
        <v>62.0</v>
      </c>
      <c r="D40" s="153">
        <v>15.0</v>
      </c>
      <c r="E40" s="154">
        <v>0.242</v>
      </c>
      <c r="F40" s="152" t="s">
        <v>43</v>
      </c>
      <c r="G40" s="154">
        <v>0.1667</v>
      </c>
      <c r="H40" s="344" t="s">
        <v>662</v>
      </c>
      <c r="I40" s="236" t="s">
        <v>885</v>
      </c>
    </row>
    <row r="41">
      <c r="A41" s="156" t="s">
        <v>295</v>
      </c>
      <c r="B41" s="157">
        <v>18.0</v>
      </c>
      <c r="C41" s="157">
        <v>18.0</v>
      </c>
      <c r="D41" s="157">
        <v>5.0</v>
      </c>
      <c r="E41" s="158">
        <v>0.278</v>
      </c>
      <c r="F41" s="156" t="s">
        <v>43</v>
      </c>
      <c r="G41" s="158">
        <v>0.1538</v>
      </c>
      <c r="H41" s="345" t="s">
        <v>662</v>
      </c>
      <c r="I41" s="236" t="s">
        <v>885</v>
      </c>
    </row>
    <row r="42">
      <c r="A42" s="152" t="s">
        <v>259</v>
      </c>
      <c r="B42" s="153">
        <v>38.0</v>
      </c>
      <c r="C42" s="153">
        <v>34.0</v>
      </c>
      <c r="D42" s="153">
        <v>6.0</v>
      </c>
      <c r="E42" s="154">
        <v>0.176</v>
      </c>
      <c r="F42" s="152" t="s">
        <v>43</v>
      </c>
      <c r="G42" s="154">
        <v>0.125</v>
      </c>
      <c r="H42" s="344" t="s">
        <v>662</v>
      </c>
      <c r="I42" s="236" t="s">
        <v>885</v>
      </c>
    </row>
    <row r="43">
      <c r="A43" s="156" t="s">
        <v>296</v>
      </c>
      <c r="B43" s="157">
        <v>38.0</v>
      </c>
      <c r="C43" s="157">
        <v>36.0</v>
      </c>
      <c r="D43" s="157">
        <v>5.0</v>
      </c>
      <c r="E43" s="158">
        <v>0.139</v>
      </c>
      <c r="F43" s="156" t="s">
        <v>43</v>
      </c>
      <c r="G43" s="158">
        <v>0.1111</v>
      </c>
      <c r="H43" s="345" t="s">
        <v>662</v>
      </c>
      <c r="I43" s="236" t="s">
        <v>885</v>
      </c>
    </row>
    <row r="44">
      <c r="A44" s="152" t="s">
        <v>297</v>
      </c>
      <c r="B44" s="153">
        <v>35.0</v>
      </c>
      <c r="C44" s="153">
        <v>33.0</v>
      </c>
      <c r="D44" s="153">
        <v>6.0</v>
      </c>
      <c r="E44" s="154">
        <v>0.182</v>
      </c>
      <c r="F44" s="152" t="s">
        <v>43</v>
      </c>
      <c r="G44" s="154">
        <v>0.1053</v>
      </c>
      <c r="H44" s="344" t="s">
        <v>662</v>
      </c>
      <c r="I44" s="236" t="s">
        <v>885</v>
      </c>
    </row>
    <row r="45">
      <c r="A45" s="156" t="s">
        <v>298</v>
      </c>
      <c r="B45" s="157">
        <v>49.0</v>
      </c>
      <c r="C45" s="157">
        <v>48.0</v>
      </c>
      <c r="D45" s="157">
        <v>5.0</v>
      </c>
      <c r="E45" s="158">
        <v>0.104</v>
      </c>
      <c r="F45" s="156" t="s">
        <v>43</v>
      </c>
      <c r="G45" s="158">
        <v>0.1042</v>
      </c>
      <c r="H45" s="345" t="s">
        <v>662</v>
      </c>
      <c r="I45" s="236" t="s">
        <v>885</v>
      </c>
    </row>
    <row r="46">
      <c r="A46" s="152" t="s">
        <v>193</v>
      </c>
      <c r="B46" s="153">
        <v>225.0</v>
      </c>
      <c r="C46" s="153">
        <v>212.0</v>
      </c>
      <c r="D46" s="153">
        <v>19.0</v>
      </c>
      <c r="E46" s="154">
        <v>0.09</v>
      </c>
      <c r="F46" s="152" t="s">
        <v>43</v>
      </c>
      <c r="G46" s="154">
        <v>0.1009</v>
      </c>
      <c r="H46" s="344" t="s">
        <v>662</v>
      </c>
      <c r="I46" s="236" t="s">
        <v>885</v>
      </c>
    </row>
    <row r="47">
      <c r="A47" s="156" t="s">
        <v>299</v>
      </c>
      <c r="B47" s="157">
        <v>40.0</v>
      </c>
      <c r="C47" s="157">
        <v>39.0</v>
      </c>
      <c r="D47" s="157">
        <v>5.0</v>
      </c>
      <c r="E47" s="158">
        <v>0.128</v>
      </c>
      <c r="F47" s="156" t="s">
        <v>43</v>
      </c>
      <c r="G47" s="158">
        <v>0.1</v>
      </c>
      <c r="H47" s="345" t="s">
        <v>662</v>
      </c>
      <c r="I47" s="236" t="s">
        <v>885</v>
      </c>
    </row>
    <row r="48">
      <c r="A48" s="152" t="s">
        <v>300</v>
      </c>
      <c r="B48" s="153">
        <v>65.0</v>
      </c>
      <c r="C48" s="153">
        <v>62.0</v>
      </c>
      <c r="D48" s="153">
        <v>8.0</v>
      </c>
      <c r="E48" s="154">
        <v>0.129</v>
      </c>
      <c r="F48" s="152" t="s">
        <v>43</v>
      </c>
      <c r="G48" s="154">
        <v>0.0972</v>
      </c>
      <c r="H48" s="344" t="s">
        <v>662</v>
      </c>
      <c r="I48" s="236" t="s">
        <v>885</v>
      </c>
    </row>
    <row r="49">
      <c r="A49" s="156" t="s">
        <v>301</v>
      </c>
      <c r="B49" s="157">
        <v>132.0</v>
      </c>
      <c r="C49" s="157">
        <v>126.0</v>
      </c>
      <c r="D49" s="157">
        <v>12.0</v>
      </c>
      <c r="E49" s="158">
        <v>0.095</v>
      </c>
      <c r="F49" s="156" t="s">
        <v>43</v>
      </c>
      <c r="G49" s="158">
        <v>0.0827</v>
      </c>
      <c r="H49" s="345" t="s">
        <v>662</v>
      </c>
      <c r="I49" s="236" t="s">
        <v>885</v>
      </c>
    </row>
    <row r="50">
      <c r="A50" s="152" t="s">
        <v>302</v>
      </c>
      <c r="B50" s="153">
        <v>107.0</v>
      </c>
      <c r="C50" s="153">
        <v>103.0</v>
      </c>
      <c r="D50" s="153">
        <v>8.0</v>
      </c>
      <c r="E50" s="154">
        <v>0.078</v>
      </c>
      <c r="F50" s="152" t="s">
        <v>43</v>
      </c>
      <c r="G50" s="154">
        <v>0.0762</v>
      </c>
      <c r="H50" s="344" t="s">
        <v>662</v>
      </c>
      <c r="I50" s="236" t="s">
        <v>885</v>
      </c>
    </row>
    <row r="51">
      <c r="A51" s="156" t="s">
        <v>303</v>
      </c>
      <c r="B51" s="157">
        <v>49.0</v>
      </c>
      <c r="C51" s="157">
        <v>49.0</v>
      </c>
      <c r="D51" s="157">
        <v>5.0</v>
      </c>
      <c r="E51" s="158">
        <v>0.102</v>
      </c>
      <c r="F51" s="156" t="s">
        <v>43</v>
      </c>
      <c r="G51" s="158">
        <v>0.0566</v>
      </c>
      <c r="H51" s="345" t="s">
        <v>662</v>
      </c>
      <c r="I51" s="236" t="s">
        <v>885</v>
      </c>
    </row>
    <row r="52">
      <c r="A52" s="152" t="s">
        <v>304</v>
      </c>
      <c r="B52" s="153">
        <v>92.0</v>
      </c>
      <c r="C52" s="153">
        <v>90.0</v>
      </c>
      <c r="D52" s="153">
        <v>5.0</v>
      </c>
      <c r="E52" s="154">
        <v>0.056</v>
      </c>
      <c r="F52" s="152" t="s">
        <v>43</v>
      </c>
      <c r="G52" s="154">
        <v>0.0444</v>
      </c>
      <c r="H52" s="344" t="s">
        <v>662</v>
      </c>
      <c r="I52" s="236" t="s">
        <v>885</v>
      </c>
    </row>
    <row r="53">
      <c r="A53" s="156" t="s">
        <v>112</v>
      </c>
      <c r="B53" s="157">
        <v>236.0</v>
      </c>
      <c r="C53" s="157">
        <v>241.0</v>
      </c>
      <c r="D53" s="157">
        <v>15.0</v>
      </c>
      <c r="E53" s="158">
        <v>0.062</v>
      </c>
      <c r="F53" s="156" t="s">
        <v>43</v>
      </c>
      <c r="G53" s="158">
        <v>0.0442</v>
      </c>
      <c r="H53" s="345" t="s">
        <v>662</v>
      </c>
      <c r="I53" s="236" t="s">
        <v>885</v>
      </c>
    </row>
    <row r="54">
      <c r="A54" s="152" t="s">
        <v>305</v>
      </c>
      <c r="B54" s="153">
        <v>67.0</v>
      </c>
      <c r="C54" s="153">
        <v>64.0</v>
      </c>
      <c r="D54" s="153">
        <v>6.0</v>
      </c>
      <c r="E54" s="154">
        <v>0.094</v>
      </c>
      <c r="F54" s="152" t="s">
        <v>43</v>
      </c>
      <c r="G54" s="154">
        <v>0.0441</v>
      </c>
      <c r="H54" s="344" t="s">
        <v>662</v>
      </c>
      <c r="I54" s="236" t="s">
        <v>885</v>
      </c>
    </row>
    <row r="55">
      <c r="A55" s="156" t="s">
        <v>306</v>
      </c>
      <c r="B55" s="157">
        <v>118.0</v>
      </c>
      <c r="C55" s="157">
        <v>118.0</v>
      </c>
      <c r="D55" s="157">
        <v>6.0</v>
      </c>
      <c r="E55" s="158">
        <v>0.051</v>
      </c>
      <c r="F55" s="156" t="s">
        <v>43</v>
      </c>
      <c r="G55" s="158">
        <v>0.0413</v>
      </c>
      <c r="H55" s="345" t="s">
        <v>662</v>
      </c>
      <c r="I55" s="236" t="s">
        <v>885</v>
      </c>
    </row>
    <row r="56">
      <c r="A56" s="152" t="s">
        <v>307</v>
      </c>
      <c r="B56" s="153">
        <v>302.0</v>
      </c>
      <c r="C56" s="153">
        <v>302.0</v>
      </c>
      <c r="D56" s="153">
        <v>16.0</v>
      </c>
      <c r="E56" s="154">
        <v>0.053</v>
      </c>
      <c r="F56" s="152" t="s">
        <v>43</v>
      </c>
      <c r="G56" s="154">
        <v>0.0328</v>
      </c>
      <c r="H56" s="344" t="s">
        <v>662</v>
      </c>
      <c r="I56" s="236" t="s">
        <v>885</v>
      </c>
    </row>
    <row r="57">
      <c r="A57" s="156" t="s">
        <v>178</v>
      </c>
      <c r="B57" s="157">
        <v>214.0</v>
      </c>
      <c r="C57" s="157">
        <v>209.0</v>
      </c>
      <c r="D57" s="157">
        <v>11.0</v>
      </c>
      <c r="E57" s="158">
        <v>0.053</v>
      </c>
      <c r="F57" s="156" t="s">
        <v>43</v>
      </c>
      <c r="G57" s="158">
        <v>0.0323</v>
      </c>
      <c r="H57" s="345" t="s">
        <v>662</v>
      </c>
      <c r="I57" s="236" t="s">
        <v>885</v>
      </c>
    </row>
    <row r="58">
      <c r="A58" s="152" t="s">
        <v>308</v>
      </c>
      <c r="B58" s="153">
        <v>138.0</v>
      </c>
      <c r="C58" s="153">
        <v>139.0</v>
      </c>
      <c r="D58" s="153">
        <v>7.0</v>
      </c>
      <c r="E58" s="154">
        <v>0.05</v>
      </c>
      <c r="F58" s="152" t="s">
        <v>43</v>
      </c>
      <c r="G58" s="154">
        <v>0.047</v>
      </c>
      <c r="H58" s="344" t="s">
        <v>662</v>
      </c>
      <c r="I58" s="236" t="s">
        <v>885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</cols>
  <sheetData>
    <row r="1">
      <c r="A1" s="150" t="s">
        <v>656</v>
      </c>
      <c r="B1" s="150" t="s">
        <v>657</v>
      </c>
      <c r="C1" s="150" t="s">
        <v>658</v>
      </c>
      <c r="D1" s="150" t="s">
        <v>659</v>
      </c>
      <c r="E1" s="150" t="s">
        <v>660</v>
      </c>
      <c r="F1" s="151" t="s">
        <v>6</v>
      </c>
      <c r="G1" s="427" t="s">
        <v>4</v>
      </c>
      <c r="H1" s="150" t="s">
        <v>1614</v>
      </c>
      <c r="I1" s="236" t="s">
        <v>1570</v>
      </c>
    </row>
    <row r="2">
      <c r="A2" s="152" t="s">
        <v>310</v>
      </c>
      <c r="B2" s="153">
        <v>10.0</v>
      </c>
      <c r="C2" s="153">
        <v>7.0</v>
      </c>
      <c r="D2" s="153">
        <v>5.0</v>
      </c>
      <c r="E2" s="154">
        <v>0.714</v>
      </c>
      <c r="F2" s="152" t="s">
        <v>662</v>
      </c>
      <c r="G2" s="152" t="s">
        <v>43</v>
      </c>
      <c r="H2" s="155">
        <v>0.375</v>
      </c>
      <c r="I2" s="21" t="s">
        <v>885</v>
      </c>
    </row>
    <row r="3">
      <c r="A3" s="156" t="s">
        <v>262</v>
      </c>
      <c r="B3" s="157">
        <v>40.0</v>
      </c>
      <c r="C3" s="157">
        <v>38.0</v>
      </c>
      <c r="D3" s="157">
        <v>6.0</v>
      </c>
      <c r="E3" s="158">
        <v>0.158</v>
      </c>
      <c r="F3" s="156" t="s">
        <v>662</v>
      </c>
      <c r="G3" s="156" t="s">
        <v>43</v>
      </c>
      <c r="H3" s="159">
        <v>0.1053</v>
      </c>
      <c r="I3" s="21" t="s">
        <v>885</v>
      </c>
    </row>
    <row r="4">
      <c r="A4" s="152" t="s">
        <v>311</v>
      </c>
      <c r="B4" s="153">
        <v>42.0</v>
      </c>
      <c r="C4" s="153">
        <v>37.0</v>
      </c>
      <c r="D4" s="153">
        <v>4.0</v>
      </c>
      <c r="E4" s="154">
        <v>0.108</v>
      </c>
      <c r="F4" s="152" t="s">
        <v>662</v>
      </c>
      <c r="G4" s="152" t="s">
        <v>43</v>
      </c>
      <c r="H4" s="155">
        <v>0.0526</v>
      </c>
      <c r="I4" s="21" t="s">
        <v>885</v>
      </c>
    </row>
    <row r="5">
      <c r="A5" s="156" t="s">
        <v>312</v>
      </c>
      <c r="B5" s="157">
        <v>58.0</v>
      </c>
      <c r="C5" s="157">
        <v>55.0</v>
      </c>
      <c r="D5" s="157">
        <v>5.0</v>
      </c>
      <c r="E5" s="158">
        <v>0.091</v>
      </c>
      <c r="F5" s="156" t="s">
        <v>662</v>
      </c>
      <c r="G5" s="156" t="s">
        <v>43</v>
      </c>
      <c r="H5" s="159">
        <v>0.0364</v>
      </c>
      <c r="I5" s="21" t="s">
        <v>885</v>
      </c>
    </row>
    <row r="6">
      <c r="A6" s="152" t="s">
        <v>313</v>
      </c>
      <c r="B6" s="153">
        <v>60.0</v>
      </c>
      <c r="C6" s="153">
        <v>58.0</v>
      </c>
      <c r="D6" s="153">
        <v>6.0</v>
      </c>
      <c r="E6" s="154">
        <v>0.103</v>
      </c>
      <c r="F6" s="152" t="s">
        <v>662</v>
      </c>
      <c r="G6" s="152" t="s">
        <v>43</v>
      </c>
      <c r="H6" s="155">
        <v>0.0508</v>
      </c>
      <c r="I6" s="21" t="s">
        <v>885</v>
      </c>
    </row>
    <row r="7">
      <c r="A7" s="156" t="s">
        <v>314</v>
      </c>
      <c r="B7" s="157">
        <v>67.0</v>
      </c>
      <c r="C7" s="157">
        <v>63.0</v>
      </c>
      <c r="D7" s="157">
        <v>4.0</v>
      </c>
      <c r="E7" s="158">
        <v>0.063</v>
      </c>
      <c r="F7" s="156" t="s">
        <v>662</v>
      </c>
      <c r="G7" s="156" t="s">
        <v>43</v>
      </c>
      <c r="H7" s="159">
        <v>0.0317</v>
      </c>
      <c r="I7" s="21" t="s">
        <v>885</v>
      </c>
    </row>
    <row r="8">
      <c r="A8" s="152" t="s">
        <v>86</v>
      </c>
      <c r="B8" s="153">
        <v>141.0</v>
      </c>
      <c r="C8" s="153">
        <v>130.0</v>
      </c>
      <c r="D8" s="153">
        <v>8.0</v>
      </c>
      <c r="E8" s="154">
        <v>0.062</v>
      </c>
      <c r="F8" s="152" t="s">
        <v>662</v>
      </c>
      <c r="G8" s="152" t="s">
        <v>43</v>
      </c>
      <c r="H8" s="155">
        <v>0.0376</v>
      </c>
      <c r="I8" s="21" t="s">
        <v>885</v>
      </c>
    </row>
    <row r="9">
      <c r="A9" s="156" t="s">
        <v>315</v>
      </c>
      <c r="B9" s="157">
        <v>90.0</v>
      </c>
      <c r="C9" s="157">
        <v>86.0</v>
      </c>
      <c r="D9" s="157">
        <v>5.0</v>
      </c>
      <c r="E9" s="158">
        <v>0.058</v>
      </c>
      <c r="F9" s="156" t="s">
        <v>662</v>
      </c>
      <c r="G9" s="156" t="s">
        <v>43</v>
      </c>
      <c r="H9" s="159">
        <v>0.0349</v>
      </c>
      <c r="I9" s="21" t="s">
        <v>885</v>
      </c>
    </row>
    <row r="10">
      <c r="A10" s="152" t="s">
        <v>172</v>
      </c>
      <c r="B10" s="153">
        <v>52.0</v>
      </c>
      <c r="C10" s="153">
        <v>49.0</v>
      </c>
      <c r="D10" s="153">
        <v>4.0</v>
      </c>
      <c r="E10" s="154">
        <v>0.082</v>
      </c>
      <c r="F10" s="152" t="s">
        <v>662</v>
      </c>
      <c r="G10" s="152" t="s">
        <v>43</v>
      </c>
      <c r="H10" s="155">
        <v>0.0727</v>
      </c>
      <c r="I10" s="21" t="s">
        <v>885</v>
      </c>
    </row>
    <row r="11">
      <c r="A11" s="156" t="s">
        <v>316</v>
      </c>
      <c r="B11" s="157">
        <v>50.0</v>
      </c>
      <c r="C11" s="157">
        <v>49.0</v>
      </c>
      <c r="D11" s="157">
        <v>4.0</v>
      </c>
      <c r="E11" s="158">
        <v>0.082</v>
      </c>
      <c r="F11" s="156" t="s">
        <v>662</v>
      </c>
      <c r="G11" s="156" t="s">
        <v>43</v>
      </c>
      <c r="H11" s="159">
        <v>0.0612</v>
      </c>
      <c r="I11" s="21" t="s">
        <v>885</v>
      </c>
    </row>
    <row r="12">
      <c r="A12" s="152" t="s">
        <v>317</v>
      </c>
      <c r="B12" s="153">
        <v>30.0</v>
      </c>
      <c r="C12" s="153">
        <v>29.0</v>
      </c>
      <c r="D12" s="153">
        <v>4.0</v>
      </c>
      <c r="E12" s="154">
        <v>0.138</v>
      </c>
      <c r="F12" s="152" t="s">
        <v>662</v>
      </c>
      <c r="G12" s="152" t="s">
        <v>43</v>
      </c>
      <c r="H12" s="155">
        <v>0.1379</v>
      </c>
      <c r="I12" s="21" t="s">
        <v>885</v>
      </c>
    </row>
    <row r="13">
      <c r="A13" s="156" t="s">
        <v>318</v>
      </c>
      <c r="B13" s="157">
        <v>29.0</v>
      </c>
      <c r="C13" s="157">
        <v>28.0</v>
      </c>
      <c r="D13" s="157">
        <v>4.0</v>
      </c>
      <c r="E13" s="158">
        <v>0.143</v>
      </c>
      <c r="F13" s="156" t="s">
        <v>662</v>
      </c>
      <c r="G13" s="156" t="s">
        <v>43</v>
      </c>
      <c r="H13" s="159">
        <v>0.1429</v>
      </c>
      <c r="I13" s="21" t="s">
        <v>885</v>
      </c>
    </row>
    <row r="14">
      <c r="A14" s="152" t="s">
        <v>319</v>
      </c>
      <c r="B14" s="153">
        <v>93.0</v>
      </c>
      <c r="C14" s="153">
        <v>86.0</v>
      </c>
      <c r="D14" s="153">
        <v>6.0</v>
      </c>
      <c r="E14" s="154">
        <v>0.07</v>
      </c>
      <c r="F14" s="152" t="s">
        <v>662</v>
      </c>
      <c r="G14" s="152" t="s">
        <v>320</v>
      </c>
      <c r="H14" s="155">
        <v>0.0341</v>
      </c>
      <c r="I14" s="21" t="s">
        <v>885</v>
      </c>
    </row>
    <row r="15">
      <c r="A15" s="156" t="s">
        <v>321</v>
      </c>
      <c r="B15" s="157">
        <v>47.0</v>
      </c>
      <c r="C15" s="157">
        <v>47.0</v>
      </c>
      <c r="D15" s="157">
        <v>5.0</v>
      </c>
      <c r="E15" s="158">
        <v>0.106</v>
      </c>
      <c r="F15" s="156" t="s">
        <v>662</v>
      </c>
      <c r="G15" s="156" t="s">
        <v>320</v>
      </c>
      <c r="H15" s="159">
        <v>0.0612</v>
      </c>
      <c r="I15" s="21" t="s">
        <v>885</v>
      </c>
    </row>
    <row r="16">
      <c r="A16" s="152" t="s">
        <v>322</v>
      </c>
      <c r="B16" s="153">
        <v>41.0</v>
      </c>
      <c r="C16" s="153">
        <v>37.0</v>
      </c>
      <c r="D16" s="153">
        <v>5.0</v>
      </c>
      <c r="E16" s="154">
        <v>0.135</v>
      </c>
      <c r="F16" s="152" t="s">
        <v>662</v>
      </c>
      <c r="G16" s="152" t="s">
        <v>320</v>
      </c>
      <c r="H16" s="155">
        <v>0.0526</v>
      </c>
      <c r="I16" s="21" t="s">
        <v>885</v>
      </c>
    </row>
    <row r="17">
      <c r="A17" s="156" t="s">
        <v>323</v>
      </c>
      <c r="B17" s="157">
        <v>57.0</v>
      </c>
      <c r="C17" s="157">
        <v>50.0</v>
      </c>
      <c r="D17" s="157">
        <v>4.0</v>
      </c>
      <c r="E17" s="158">
        <v>0.08</v>
      </c>
      <c r="F17" s="156" t="s">
        <v>662</v>
      </c>
      <c r="G17" s="156" t="s">
        <v>320</v>
      </c>
      <c r="H17" s="159">
        <v>0.0385</v>
      </c>
      <c r="I17" s="21" t="s">
        <v>885</v>
      </c>
    </row>
    <row r="18">
      <c r="A18" s="152" t="s">
        <v>324</v>
      </c>
      <c r="B18" s="153">
        <v>14.0</v>
      </c>
      <c r="C18" s="153">
        <v>10.0</v>
      </c>
      <c r="D18" s="153">
        <v>4.0</v>
      </c>
      <c r="E18" s="154">
        <v>0.4</v>
      </c>
      <c r="F18" s="152" t="s">
        <v>662</v>
      </c>
      <c r="G18" s="152" t="s">
        <v>137</v>
      </c>
      <c r="H18" s="155">
        <v>0.2143</v>
      </c>
      <c r="I18" s="21" t="s">
        <v>885</v>
      </c>
    </row>
    <row r="19">
      <c r="A19" s="156" t="s">
        <v>325</v>
      </c>
      <c r="B19" s="157">
        <v>41.0</v>
      </c>
      <c r="C19" s="157">
        <v>40.0</v>
      </c>
      <c r="D19" s="157">
        <v>5.0</v>
      </c>
      <c r="E19" s="158">
        <v>0.125</v>
      </c>
      <c r="F19" s="156" t="s">
        <v>662</v>
      </c>
      <c r="G19" s="156" t="s">
        <v>137</v>
      </c>
      <c r="H19" s="159">
        <v>0.0682</v>
      </c>
      <c r="I19" s="21" t="s">
        <v>885</v>
      </c>
    </row>
    <row r="20">
      <c r="A20" s="152" t="s">
        <v>326</v>
      </c>
      <c r="B20" s="153">
        <v>74.0</v>
      </c>
      <c r="C20" s="153">
        <v>69.0</v>
      </c>
      <c r="D20" s="153">
        <v>4.0</v>
      </c>
      <c r="E20" s="154">
        <v>0.058</v>
      </c>
      <c r="F20" s="152" t="s">
        <v>662</v>
      </c>
      <c r="G20" s="152" t="s">
        <v>137</v>
      </c>
      <c r="H20" s="155">
        <v>0.0282</v>
      </c>
      <c r="I20" s="21" t="s">
        <v>885</v>
      </c>
    </row>
    <row r="21">
      <c r="A21" s="156" t="s">
        <v>136</v>
      </c>
      <c r="B21" s="157">
        <v>84.0</v>
      </c>
      <c r="C21" s="157">
        <v>75.0</v>
      </c>
      <c r="D21" s="157">
        <v>4.0</v>
      </c>
      <c r="E21" s="158">
        <v>0.053</v>
      </c>
      <c r="F21" s="156" t="s">
        <v>662</v>
      </c>
      <c r="G21" s="156" t="s">
        <v>137</v>
      </c>
      <c r="H21" s="159">
        <v>0.0263</v>
      </c>
      <c r="I21" s="21" t="s">
        <v>885</v>
      </c>
    </row>
    <row r="22">
      <c r="A22" s="152" t="s">
        <v>327</v>
      </c>
      <c r="B22" s="153">
        <v>121.0</v>
      </c>
      <c r="C22" s="153">
        <v>118.0</v>
      </c>
      <c r="D22" s="153">
        <v>6.0</v>
      </c>
      <c r="E22" s="154">
        <v>0.051</v>
      </c>
      <c r="F22" s="152" t="s">
        <v>662</v>
      </c>
      <c r="G22" s="152" t="s">
        <v>137</v>
      </c>
      <c r="H22" s="155">
        <v>0.0336</v>
      </c>
      <c r="I22" s="21" t="s">
        <v>885</v>
      </c>
    </row>
    <row r="23">
      <c r="A23" s="156" t="s">
        <v>328</v>
      </c>
      <c r="B23" s="157">
        <v>20.0</v>
      </c>
      <c r="C23" s="157">
        <v>18.0</v>
      </c>
      <c r="D23" s="157">
        <v>7.0</v>
      </c>
      <c r="E23" s="158">
        <v>0.389</v>
      </c>
      <c r="F23" s="156" t="s">
        <v>662</v>
      </c>
      <c r="G23" s="156" t="s">
        <v>137</v>
      </c>
      <c r="H23" s="159">
        <v>0.2273</v>
      </c>
      <c r="I23" s="21" t="s">
        <v>885</v>
      </c>
    </row>
    <row r="24">
      <c r="A24" s="152" t="s">
        <v>329</v>
      </c>
      <c r="B24" s="153">
        <v>45.0</v>
      </c>
      <c r="C24" s="153">
        <v>43.0</v>
      </c>
      <c r="D24" s="153">
        <v>4.0</v>
      </c>
      <c r="E24" s="154">
        <v>0.093</v>
      </c>
      <c r="F24" s="152" t="s">
        <v>662</v>
      </c>
      <c r="G24" s="152" t="s">
        <v>137</v>
      </c>
      <c r="H24" s="155">
        <v>0.0652</v>
      </c>
      <c r="I24" s="21" t="s">
        <v>885</v>
      </c>
    </row>
    <row r="25">
      <c r="A25" s="156" t="s">
        <v>330</v>
      </c>
      <c r="B25" s="157">
        <v>77.0</v>
      </c>
      <c r="C25" s="157">
        <v>72.0</v>
      </c>
      <c r="D25" s="157">
        <v>17.0</v>
      </c>
      <c r="E25" s="158">
        <v>0.236</v>
      </c>
      <c r="F25" s="156" t="s">
        <v>662</v>
      </c>
      <c r="G25" s="156" t="s">
        <v>19</v>
      </c>
      <c r="H25" s="159">
        <v>0.1625</v>
      </c>
      <c r="I25" s="21" t="s">
        <v>885</v>
      </c>
    </row>
    <row r="26">
      <c r="A26" s="152" t="s">
        <v>331</v>
      </c>
      <c r="B26" s="153">
        <v>8.0</v>
      </c>
      <c r="C26" s="153">
        <v>8.0</v>
      </c>
      <c r="D26" s="153">
        <v>5.0</v>
      </c>
      <c r="E26" s="154">
        <v>0.625</v>
      </c>
      <c r="F26" s="152" t="s">
        <v>662</v>
      </c>
      <c r="G26" s="152" t="s">
        <v>19</v>
      </c>
      <c r="H26" s="155">
        <v>0.4167</v>
      </c>
      <c r="I26" s="21" t="s">
        <v>885</v>
      </c>
    </row>
    <row r="27">
      <c r="A27" s="156" t="s">
        <v>332</v>
      </c>
      <c r="B27" s="157">
        <v>9.0</v>
      </c>
      <c r="C27" s="157">
        <v>9.0</v>
      </c>
      <c r="D27" s="157">
        <v>4.0</v>
      </c>
      <c r="E27" s="158">
        <v>0.444</v>
      </c>
      <c r="F27" s="156" t="s">
        <v>662</v>
      </c>
      <c r="G27" s="156" t="s">
        <v>19</v>
      </c>
      <c r="H27" s="159">
        <v>0.5455</v>
      </c>
      <c r="I27" s="21" t="s">
        <v>885</v>
      </c>
    </row>
    <row r="28">
      <c r="A28" s="152" t="s">
        <v>334</v>
      </c>
      <c r="B28" s="153">
        <v>4.0</v>
      </c>
      <c r="C28" s="153">
        <v>4.0</v>
      </c>
      <c r="D28" s="153">
        <v>4.0</v>
      </c>
      <c r="E28" s="154">
        <v>1.0</v>
      </c>
      <c r="F28" s="152" t="s">
        <v>662</v>
      </c>
      <c r="G28" s="152" t="s">
        <v>19</v>
      </c>
      <c r="H28" s="155">
        <v>0.6667</v>
      </c>
      <c r="I28" s="21" t="s">
        <v>885</v>
      </c>
    </row>
    <row r="29">
      <c r="A29" s="156" t="s">
        <v>335</v>
      </c>
      <c r="B29" s="157">
        <v>98.0</v>
      </c>
      <c r="C29" s="157">
        <v>95.0</v>
      </c>
      <c r="D29" s="157">
        <v>5.0</v>
      </c>
      <c r="E29" s="158">
        <v>0.053</v>
      </c>
      <c r="F29" s="156" t="s">
        <v>662</v>
      </c>
      <c r="G29" s="156" t="s">
        <v>336</v>
      </c>
      <c r="H29" s="159">
        <v>0.0313</v>
      </c>
    </row>
    <row r="30">
      <c r="A30" s="152" t="s">
        <v>337</v>
      </c>
      <c r="B30" s="153">
        <v>52.0</v>
      </c>
      <c r="C30" s="153">
        <v>53.0</v>
      </c>
      <c r="D30" s="153">
        <v>4.0</v>
      </c>
      <c r="E30" s="154">
        <v>0.075</v>
      </c>
      <c r="F30" s="152" t="s">
        <v>662</v>
      </c>
      <c r="G30" s="152" t="s">
        <v>336</v>
      </c>
      <c r="H30" s="155">
        <v>0.0182</v>
      </c>
    </row>
    <row r="31">
      <c r="A31" s="156" t="s">
        <v>338</v>
      </c>
      <c r="B31" s="157">
        <v>66.0</v>
      </c>
      <c r="C31" s="157">
        <v>63.0</v>
      </c>
      <c r="D31" s="157">
        <v>4.0</v>
      </c>
      <c r="E31" s="158">
        <v>0.063</v>
      </c>
      <c r="F31" s="156" t="s">
        <v>662</v>
      </c>
      <c r="G31" s="156" t="s">
        <v>336</v>
      </c>
      <c r="H31" s="159">
        <v>0.0159</v>
      </c>
    </row>
    <row r="32">
      <c r="A32" s="152" t="s">
        <v>339</v>
      </c>
      <c r="B32" s="153">
        <v>73.0</v>
      </c>
      <c r="C32" s="153">
        <v>72.0</v>
      </c>
      <c r="D32" s="153">
        <v>4.0</v>
      </c>
      <c r="E32" s="154">
        <v>0.056</v>
      </c>
      <c r="F32" s="152" t="s">
        <v>662</v>
      </c>
      <c r="G32" s="152" t="s">
        <v>336</v>
      </c>
      <c r="H32" s="155">
        <v>0.0395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hidden="1" min="2" max="6" width="12.63"/>
  </cols>
  <sheetData>
    <row r="1">
      <c r="A1" s="150" t="s">
        <v>656</v>
      </c>
      <c r="B1" s="150" t="s">
        <v>657</v>
      </c>
      <c r="C1" s="150" t="s">
        <v>658</v>
      </c>
      <c r="D1" s="150" t="s">
        <v>659</v>
      </c>
      <c r="E1" s="150" t="s">
        <v>660</v>
      </c>
      <c r="F1" s="150" t="s">
        <v>661</v>
      </c>
      <c r="G1" s="3" t="s">
        <v>4</v>
      </c>
      <c r="H1" s="151" t="s">
        <v>5</v>
      </c>
      <c r="I1" s="21" t="s">
        <v>1615</v>
      </c>
    </row>
    <row r="2">
      <c r="A2" s="152" t="s">
        <v>341</v>
      </c>
      <c r="B2" s="153">
        <v>15.0</v>
      </c>
      <c r="C2" s="153">
        <v>14.0</v>
      </c>
      <c r="D2" s="153">
        <v>5.0</v>
      </c>
      <c r="E2" s="154">
        <v>0.357</v>
      </c>
      <c r="F2" s="152" t="s">
        <v>662</v>
      </c>
      <c r="G2" s="152" t="s">
        <v>43</v>
      </c>
      <c r="H2" s="155">
        <v>0.2778</v>
      </c>
    </row>
    <row r="3">
      <c r="A3" s="156" t="s">
        <v>342</v>
      </c>
      <c r="B3" s="157">
        <v>34.0</v>
      </c>
      <c r="C3" s="157">
        <v>32.0</v>
      </c>
      <c r="D3" s="157">
        <v>5.0</v>
      </c>
      <c r="E3" s="158">
        <v>0.156</v>
      </c>
      <c r="F3" s="156" t="s">
        <v>662</v>
      </c>
      <c r="G3" s="156" t="s">
        <v>43</v>
      </c>
      <c r="H3" s="159">
        <v>0.1143</v>
      </c>
    </row>
    <row r="4">
      <c r="A4" s="152" t="s">
        <v>343</v>
      </c>
      <c r="B4" s="153">
        <v>46.0</v>
      </c>
      <c r="C4" s="153">
        <v>45.0</v>
      </c>
      <c r="D4" s="153">
        <v>7.0</v>
      </c>
      <c r="E4" s="154">
        <v>0.156</v>
      </c>
      <c r="F4" s="152" t="s">
        <v>662</v>
      </c>
      <c r="G4" s="152" t="s">
        <v>43</v>
      </c>
      <c r="H4" s="155">
        <v>0.1587</v>
      </c>
    </row>
    <row r="5">
      <c r="A5" s="156" t="s">
        <v>344</v>
      </c>
      <c r="B5" s="157">
        <v>37.0</v>
      </c>
      <c r="C5" s="157">
        <v>33.0</v>
      </c>
      <c r="D5" s="157">
        <v>5.0</v>
      </c>
      <c r="E5" s="158">
        <v>0.152</v>
      </c>
      <c r="F5" s="156" t="s">
        <v>662</v>
      </c>
      <c r="G5" s="156" t="s">
        <v>43</v>
      </c>
      <c r="H5" s="159">
        <v>0.0857</v>
      </c>
    </row>
    <row r="6">
      <c r="A6" s="152" t="s">
        <v>345</v>
      </c>
      <c r="B6" s="153">
        <v>43.0</v>
      </c>
      <c r="C6" s="153">
        <v>41.0</v>
      </c>
      <c r="D6" s="153">
        <v>6.0</v>
      </c>
      <c r="E6" s="154">
        <v>0.146</v>
      </c>
      <c r="F6" s="152" t="s">
        <v>662</v>
      </c>
      <c r="G6" s="152" t="s">
        <v>43</v>
      </c>
      <c r="H6" s="155">
        <v>0.0732</v>
      </c>
    </row>
    <row r="7">
      <c r="A7" s="156" t="s">
        <v>346</v>
      </c>
      <c r="B7" s="157">
        <v>37.0</v>
      </c>
      <c r="C7" s="157">
        <v>36.0</v>
      </c>
      <c r="D7" s="157">
        <v>5.0</v>
      </c>
      <c r="E7" s="158">
        <v>0.139</v>
      </c>
      <c r="F7" s="156" t="s">
        <v>662</v>
      </c>
      <c r="G7" s="156" t="s">
        <v>43</v>
      </c>
      <c r="H7" s="159">
        <v>0.0556</v>
      </c>
    </row>
    <row r="8">
      <c r="A8" s="152" t="s">
        <v>347</v>
      </c>
      <c r="B8" s="153">
        <v>82.0</v>
      </c>
      <c r="C8" s="153">
        <v>77.0</v>
      </c>
      <c r="D8" s="153">
        <v>8.0</v>
      </c>
      <c r="E8" s="154">
        <v>0.104</v>
      </c>
      <c r="F8" s="152" t="s">
        <v>662</v>
      </c>
      <c r="G8" s="152" t="s">
        <v>43</v>
      </c>
      <c r="H8" s="155">
        <v>0.0759</v>
      </c>
    </row>
    <row r="9">
      <c r="A9" s="156" t="s">
        <v>348</v>
      </c>
      <c r="B9" s="157">
        <v>71.0</v>
      </c>
      <c r="C9" s="157">
        <v>70.0</v>
      </c>
      <c r="D9" s="157">
        <v>7.0</v>
      </c>
      <c r="E9" s="158">
        <v>0.1</v>
      </c>
      <c r="F9" s="156" t="s">
        <v>662</v>
      </c>
      <c r="G9" s="156" t="s">
        <v>43</v>
      </c>
      <c r="H9" s="159">
        <v>0.0704</v>
      </c>
    </row>
    <row r="10">
      <c r="A10" s="152" t="s">
        <v>349</v>
      </c>
      <c r="B10" s="153">
        <v>54.0</v>
      </c>
      <c r="C10" s="153">
        <v>53.0</v>
      </c>
      <c r="D10" s="153">
        <v>5.0</v>
      </c>
      <c r="E10" s="154">
        <v>0.094</v>
      </c>
      <c r="F10" s="152" t="s">
        <v>662</v>
      </c>
      <c r="G10" s="152" t="s">
        <v>43</v>
      </c>
      <c r="H10" s="155">
        <v>0.0741</v>
      </c>
    </row>
    <row r="11">
      <c r="A11" s="152" t="s">
        <v>350</v>
      </c>
      <c r="B11" s="153">
        <v>54.0</v>
      </c>
      <c r="C11" s="153">
        <v>55.0</v>
      </c>
      <c r="D11" s="153">
        <v>5.0</v>
      </c>
      <c r="E11" s="154">
        <v>0.091</v>
      </c>
      <c r="F11" s="152" t="s">
        <v>662</v>
      </c>
      <c r="G11" s="152" t="s">
        <v>43</v>
      </c>
      <c r="H11" s="155">
        <v>0.0727</v>
      </c>
    </row>
    <row r="12">
      <c r="A12" s="156" t="s">
        <v>351</v>
      </c>
      <c r="B12" s="157">
        <v>130.0</v>
      </c>
      <c r="C12" s="157">
        <v>125.0</v>
      </c>
      <c r="D12" s="157">
        <v>10.0</v>
      </c>
      <c r="E12" s="158">
        <v>0.08</v>
      </c>
      <c r="F12" s="156" t="s">
        <v>662</v>
      </c>
      <c r="G12" s="156" t="s">
        <v>43</v>
      </c>
      <c r="H12" s="159">
        <v>0.0462</v>
      </c>
    </row>
    <row r="13">
      <c r="A13" s="156" t="s">
        <v>352</v>
      </c>
      <c r="B13" s="157">
        <v>76.0</v>
      </c>
      <c r="C13" s="157">
        <v>77.0</v>
      </c>
      <c r="D13" s="157">
        <v>6.0</v>
      </c>
      <c r="E13" s="158">
        <v>0.078</v>
      </c>
      <c r="F13" s="156" t="s">
        <v>662</v>
      </c>
      <c r="G13" s="156" t="s">
        <v>43</v>
      </c>
      <c r="H13" s="159">
        <v>0.0506</v>
      </c>
    </row>
    <row r="14">
      <c r="A14" s="152" t="s">
        <v>353</v>
      </c>
      <c r="B14" s="153">
        <v>91.0</v>
      </c>
      <c r="C14" s="153">
        <v>89.0</v>
      </c>
      <c r="D14" s="153">
        <v>6.0</v>
      </c>
      <c r="E14" s="154">
        <v>0.067</v>
      </c>
      <c r="F14" s="152" t="s">
        <v>662</v>
      </c>
      <c r="G14" s="152" t="s">
        <v>43</v>
      </c>
      <c r="H14" s="155">
        <v>0.0659</v>
      </c>
    </row>
    <row r="15">
      <c r="A15" s="152" t="s">
        <v>354</v>
      </c>
      <c r="B15" s="153">
        <v>125.0</v>
      </c>
      <c r="C15" s="153">
        <v>117.0</v>
      </c>
      <c r="D15" s="153">
        <v>7.0</v>
      </c>
      <c r="E15" s="154">
        <v>0.06</v>
      </c>
      <c r="F15" s="152" t="s">
        <v>662</v>
      </c>
      <c r="G15" s="152" t="s">
        <v>43</v>
      </c>
      <c r="H15" s="155">
        <v>0.0504</v>
      </c>
    </row>
    <row r="16">
      <c r="A16" s="156" t="s">
        <v>355</v>
      </c>
      <c r="B16" s="157">
        <v>95.0</v>
      </c>
      <c r="C16" s="157">
        <v>92.0</v>
      </c>
      <c r="D16" s="157">
        <v>5.0</v>
      </c>
      <c r="E16" s="158">
        <v>0.054</v>
      </c>
      <c r="F16" s="156" t="s">
        <v>662</v>
      </c>
      <c r="G16" s="156" t="s">
        <v>43</v>
      </c>
      <c r="H16" s="159">
        <v>0.0417</v>
      </c>
    </row>
    <row r="17">
      <c r="A17" s="152" t="s">
        <v>356</v>
      </c>
      <c r="B17" s="153">
        <v>195.0</v>
      </c>
      <c r="C17" s="153">
        <v>187.0</v>
      </c>
      <c r="D17" s="153">
        <v>10.0</v>
      </c>
      <c r="E17" s="154">
        <v>0.053</v>
      </c>
      <c r="F17" s="152" t="s">
        <v>662</v>
      </c>
      <c r="G17" s="152" t="s">
        <v>43</v>
      </c>
      <c r="H17" s="155">
        <v>0.0423</v>
      </c>
    </row>
    <row r="18">
      <c r="A18" s="156" t="s">
        <v>357</v>
      </c>
      <c r="B18" s="157">
        <v>119.0</v>
      </c>
      <c r="C18" s="157">
        <v>116.0</v>
      </c>
      <c r="D18" s="157">
        <v>6.0</v>
      </c>
      <c r="E18" s="158">
        <v>0.052</v>
      </c>
      <c r="F18" s="156" t="s">
        <v>662</v>
      </c>
      <c r="G18" s="156" t="s">
        <v>43</v>
      </c>
      <c r="H18" s="159">
        <v>0.042</v>
      </c>
    </row>
    <row r="19">
      <c r="A19" s="152" t="s">
        <v>358</v>
      </c>
      <c r="B19" s="153">
        <v>61.0</v>
      </c>
      <c r="C19" s="153">
        <v>64.0</v>
      </c>
      <c r="D19" s="153">
        <v>8.0</v>
      </c>
      <c r="E19" s="154">
        <v>0.125</v>
      </c>
      <c r="F19" s="152" t="s">
        <v>662</v>
      </c>
      <c r="G19" s="152" t="s">
        <v>320</v>
      </c>
      <c r="H19" s="155">
        <v>0.087</v>
      </c>
    </row>
    <row r="20">
      <c r="A20" s="156" t="s">
        <v>359</v>
      </c>
      <c r="B20" s="157">
        <v>99.0</v>
      </c>
      <c r="C20" s="157">
        <v>96.0</v>
      </c>
      <c r="D20" s="157">
        <v>9.0</v>
      </c>
      <c r="E20" s="158">
        <v>0.094</v>
      </c>
      <c r="F20" s="156" t="s">
        <v>662</v>
      </c>
      <c r="G20" s="156" t="s">
        <v>320</v>
      </c>
      <c r="H20" s="159">
        <v>0.0408</v>
      </c>
    </row>
    <row r="21">
      <c r="A21" s="152" t="s">
        <v>214</v>
      </c>
      <c r="B21" s="153">
        <v>72.0</v>
      </c>
      <c r="C21" s="153">
        <v>71.0</v>
      </c>
      <c r="D21" s="153">
        <v>5.0</v>
      </c>
      <c r="E21" s="154">
        <v>0.07</v>
      </c>
      <c r="F21" s="152" t="s">
        <v>662</v>
      </c>
      <c r="G21" s="152" t="s">
        <v>320</v>
      </c>
      <c r="H21" s="155">
        <v>0.0278</v>
      </c>
    </row>
    <row r="22">
      <c r="A22" s="156" t="s">
        <v>360</v>
      </c>
      <c r="B22" s="157">
        <v>88.0</v>
      </c>
      <c r="C22" s="157">
        <v>87.0</v>
      </c>
      <c r="D22" s="157">
        <v>6.0</v>
      </c>
      <c r="E22" s="158">
        <v>0.069</v>
      </c>
      <c r="F22" s="156" t="s">
        <v>662</v>
      </c>
      <c r="G22" s="156" t="s">
        <v>320</v>
      </c>
      <c r="H22" s="159">
        <v>0.0345</v>
      </c>
    </row>
    <row r="23">
      <c r="A23" s="156" t="s">
        <v>361</v>
      </c>
      <c r="B23" s="157">
        <v>91.0</v>
      </c>
      <c r="C23" s="157">
        <v>89.0</v>
      </c>
      <c r="D23" s="157">
        <v>5.0</v>
      </c>
      <c r="E23" s="158">
        <v>0.056</v>
      </c>
      <c r="F23" s="156" t="s">
        <v>662</v>
      </c>
      <c r="G23" s="156" t="s">
        <v>320</v>
      </c>
      <c r="H23" s="159">
        <v>0.0333</v>
      </c>
    </row>
    <row r="24">
      <c r="A24" s="156" t="s">
        <v>362</v>
      </c>
      <c r="B24" s="157">
        <v>100.0</v>
      </c>
      <c r="C24" s="157">
        <v>95.0</v>
      </c>
      <c r="D24" s="157">
        <v>5.0</v>
      </c>
      <c r="E24" s="158">
        <v>0.053</v>
      </c>
      <c r="F24" s="156" t="s">
        <v>662</v>
      </c>
      <c r="G24" s="156" t="s">
        <v>320</v>
      </c>
      <c r="H24" s="159">
        <v>0.0204</v>
      </c>
    </row>
    <row r="25">
      <c r="A25" s="152" t="s">
        <v>363</v>
      </c>
      <c r="B25" s="153">
        <v>96.0</v>
      </c>
      <c r="C25" s="153">
        <v>96.0</v>
      </c>
      <c r="D25" s="153">
        <v>8.0</v>
      </c>
      <c r="E25" s="154">
        <v>0.083</v>
      </c>
      <c r="F25" s="152" t="s">
        <v>662</v>
      </c>
      <c r="G25" s="152" t="s">
        <v>364</v>
      </c>
      <c r="H25" s="155">
        <v>0.0417</v>
      </c>
    </row>
    <row r="26">
      <c r="A26" s="152" t="s">
        <v>365</v>
      </c>
      <c r="B26" s="153">
        <v>64.0</v>
      </c>
      <c r="C26" s="153">
        <v>64.0</v>
      </c>
      <c r="D26" s="153">
        <v>5.0</v>
      </c>
      <c r="E26" s="154">
        <v>0.078</v>
      </c>
      <c r="F26" s="152" t="s">
        <v>662</v>
      </c>
      <c r="G26" s="152" t="s">
        <v>364</v>
      </c>
      <c r="H26" s="155">
        <v>0.0313</v>
      </c>
    </row>
    <row r="27">
      <c r="A27" s="156" t="s">
        <v>366</v>
      </c>
      <c r="B27" s="157">
        <v>9.0</v>
      </c>
      <c r="C27" s="157">
        <v>9.0</v>
      </c>
      <c r="D27" s="157">
        <v>5.0</v>
      </c>
      <c r="E27" s="158">
        <v>0.556</v>
      </c>
      <c r="F27" s="156" t="s">
        <v>662</v>
      </c>
      <c r="G27" s="156" t="s">
        <v>137</v>
      </c>
      <c r="H27" s="159">
        <v>0.3636</v>
      </c>
    </row>
    <row r="28">
      <c r="A28" s="152" t="s">
        <v>367</v>
      </c>
      <c r="B28" s="153">
        <v>26.0</v>
      </c>
      <c r="C28" s="153">
        <v>15.0</v>
      </c>
      <c r="D28" s="153">
        <v>7.0</v>
      </c>
      <c r="E28" s="154">
        <v>0.467</v>
      </c>
      <c r="F28" s="152" t="s">
        <v>662</v>
      </c>
      <c r="G28" s="152" t="s">
        <v>137</v>
      </c>
      <c r="H28" s="155">
        <v>0.4</v>
      </c>
    </row>
    <row r="29">
      <c r="A29" s="152" t="s">
        <v>368</v>
      </c>
      <c r="B29" s="153">
        <v>37.0</v>
      </c>
      <c r="C29" s="153">
        <v>37.0</v>
      </c>
      <c r="D29" s="153">
        <v>5.0</v>
      </c>
      <c r="E29" s="154">
        <v>0.135</v>
      </c>
      <c r="F29" s="152" t="s">
        <v>662</v>
      </c>
      <c r="G29" s="152" t="s">
        <v>137</v>
      </c>
      <c r="H29" s="155">
        <v>0.0769</v>
      </c>
    </row>
    <row r="30">
      <c r="A30" s="156" t="s">
        <v>369</v>
      </c>
      <c r="B30" s="157">
        <v>56.0</v>
      </c>
      <c r="C30" s="157">
        <v>54.0</v>
      </c>
      <c r="D30" s="157">
        <v>7.0</v>
      </c>
      <c r="E30" s="158">
        <v>0.13</v>
      </c>
      <c r="F30" s="156" t="s">
        <v>662</v>
      </c>
      <c r="G30" s="156" t="s">
        <v>137</v>
      </c>
      <c r="H30" s="159">
        <v>0.0714</v>
      </c>
    </row>
    <row r="31">
      <c r="A31" s="156" t="s">
        <v>370</v>
      </c>
      <c r="B31" s="157">
        <v>51.0</v>
      </c>
      <c r="C31" s="157">
        <v>44.0</v>
      </c>
      <c r="D31" s="157">
        <v>5.0</v>
      </c>
      <c r="E31" s="158">
        <v>0.114</v>
      </c>
      <c r="F31" s="156" t="s">
        <v>662</v>
      </c>
      <c r="G31" s="156" t="s">
        <v>137</v>
      </c>
      <c r="H31" s="159">
        <v>0.0769</v>
      </c>
    </row>
    <row r="32">
      <c r="A32" s="156" t="s">
        <v>371</v>
      </c>
      <c r="B32" s="157">
        <v>73.0</v>
      </c>
      <c r="C32" s="157">
        <v>71.0</v>
      </c>
      <c r="D32" s="157">
        <v>6.0</v>
      </c>
      <c r="E32" s="158">
        <v>0.085</v>
      </c>
      <c r="F32" s="156" t="s">
        <v>694</v>
      </c>
      <c r="G32" s="156" t="s">
        <v>137</v>
      </c>
      <c r="H32" s="159">
        <v>0.0822</v>
      </c>
    </row>
    <row r="33">
      <c r="A33" s="156" t="s">
        <v>372</v>
      </c>
      <c r="B33" s="157">
        <v>84.0</v>
      </c>
      <c r="C33" s="157">
        <v>91.0</v>
      </c>
      <c r="D33" s="157">
        <v>6.0</v>
      </c>
      <c r="E33" s="158">
        <v>0.066</v>
      </c>
      <c r="F33" s="156" t="s">
        <v>662</v>
      </c>
      <c r="G33" s="156" t="s">
        <v>137</v>
      </c>
      <c r="H33" s="159">
        <v>0.0326</v>
      </c>
    </row>
    <row r="34">
      <c r="A34" s="152" t="s">
        <v>373</v>
      </c>
      <c r="B34" s="153">
        <v>131.0</v>
      </c>
      <c r="C34" s="153">
        <v>126.0</v>
      </c>
      <c r="D34" s="153">
        <v>7.0</v>
      </c>
      <c r="E34" s="154">
        <v>0.056</v>
      </c>
      <c r="F34" s="152" t="s">
        <v>662</v>
      </c>
      <c r="G34" s="152" t="s">
        <v>137</v>
      </c>
      <c r="H34" s="155">
        <v>0.0397</v>
      </c>
    </row>
    <row r="35">
      <c r="A35" s="152" t="s">
        <v>374</v>
      </c>
      <c r="B35" s="153">
        <v>182.0</v>
      </c>
      <c r="C35" s="153">
        <v>174.0</v>
      </c>
      <c r="D35" s="153">
        <v>9.0</v>
      </c>
      <c r="E35" s="154">
        <v>0.052</v>
      </c>
      <c r="F35" s="152" t="s">
        <v>662</v>
      </c>
      <c r="G35" s="152" t="s">
        <v>137</v>
      </c>
      <c r="H35" s="155">
        <v>0.0452</v>
      </c>
    </row>
    <row r="36">
      <c r="A36" s="152" t="s">
        <v>375</v>
      </c>
      <c r="B36" s="153">
        <v>9.0</v>
      </c>
      <c r="C36" s="153">
        <v>9.0</v>
      </c>
      <c r="D36" s="153">
        <v>9.0</v>
      </c>
      <c r="E36" s="154">
        <v>1.0</v>
      </c>
      <c r="F36" s="152" t="s">
        <v>662</v>
      </c>
      <c r="G36" s="152" t="s">
        <v>19</v>
      </c>
      <c r="H36" s="155">
        <v>0.5833</v>
      </c>
    </row>
    <row r="37">
      <c r="A37" s="156" t="s">
        <v>376</v>
      </c>
      <c r="B37" s="157">
        <v>15.0</v>
      </c>
      <c r="C37" s="157">
        <v>14.0</v>
      </c>
      <c r="D37" s="157">
        <v>6.0</v>
      </c>
      <c r="E37" s="158">
        <v>0.429</v>
      </c>
      <c r="F37" s="156" t="s">
        <v>662</v>
      </c>
      <c r="G37" s="156" t="s">
        <v>19</v>
      </c>
      <c r="H37" s="159">
        <v>0.2</v>
      </c>
    </row>
    <row r="38">
      <c r="A38" s="156" t="s">
        <v>377</v>
      </c>
      <c r="B38" s="157">
        <v>16.0</v>
      </c>
      <c r="C38" s="157">
        <v>15.0</v>
      </c>
      <c r="D38" s="157">
        <v>5.0</v>
      </c>
      <c r="E38" s="158">
        <v>0.333</v>
      </c>
      <c r="F38" s="156" t="s">
        <v>662</v>
      </c>
      <c r="G38" s="156" t="s">
        <v>19</v>
      </c>
      <c r="H38" s="159">
        <v>0.2353</v>
      </c>
    </row>
    <row r="39">
      <c r="A39" s="152" t="s">
        <v>378</v>
      </c>
      <c r="B39" s="153">
        <v>71.0</v>
      </c>
      <c r="C39" s="153">
        <v>68.0</v>
      </c>
      <c r="D39" s="153">
        <v>5.0</v>
      </c>
      <c r="E39" s="154">
        <v>0.074</v>
      </c>
      <c r="F39" s="152" t="s">
        <v>662</v>
      </c>
      <c r="G39" s="152" t="s">
        <v>19</v>
      </c>
      <c r="H39" s="155">
        <v>0.0571</v>
      </c>
    </row>
    <row r="40">
      <c r="A40" s="156" t="s">
        <v>379</v>
      </c>
      <c r="B40" s="157">
        <v>71.0</v>
      </c>
      <c r="C40" s="157">
        <v>71.0</v>
      </c>
      <c r="D40" s="157">
        <v>5.0</v>
      </c>
      <c r="E40" s="158">
        <v>0.07</v>
      </c>
      <c r="F40" s="156" t="s">
        <v>662</v>
      </c>
      <c r="G40" s="156" t="s">
        <v>19</v>
      </c>
      <c r="H40" s="159">
        <v>0.0417</v>
      </c>
    </row>
    <row r="41">
      <c r="A41" s="152" t="s">
        <v>380</v>
      </c>
      <c r="B41" s="153">
        <v>80.0</v>
      </c>
      <c r="C41" s="153">
        <v>77.0</v>
      </c>
      <c r="D41" s="153">
        <v>5.0</v>
      </c>
      <c r="E41" s="154">
        <v>0.065</v>
      </c>
      <c r="F41" s="152" t="s">
        <v>662</v>
      </c>
      <c r="G41" s="152" t="s">
        <v>19</v>
      </c>
      <c r="H41" s="155">
        <v>0.0385</v>
      </c>
    </row>
    <row r="42">
      <c r="A42" s="152" t="s">
        <v>381</v>
      </c>
      <c r="B42" s="153">
        <v>116.0</v>
      </c>
      <c r="C42" s="153">
        <v>114.0</v>
      </c>
      <c r="D42" s="153">
        <v>7.0</v>
      </c>
      <c r="E42" s="154">
        <v>0.061</v>
      </c>
      <c r="F42" s="152" t="s">
        <v>662</v>
      </c>
      <c r="G42" s="152" t="s">
        <v>19</v>
      </c>
      <c r="H42" s="155">
        <v>0.0424</v>
      </c>
    </row>
    <row r="43">
      <c r="A43" s="152" t="s">
        <v>382</v>
      </c>
      <c r="B43" s="153">
        <v>119.0</v>
      </c>
      <c r="C43" s="153">
        <v>118.0</v>
      </c>
      <c r="D43" s="153">
        <v>6.0</v>
      </c>
      <c r="E43" s="154">
        <v>0.051</v>
      </c>
      <c r="F43" s="152" t="s">
        <v>662</v>
      </c>
      <c r="G43" s="152" t="s">
        <v>19</v>
      </c>
      <c r="H43" s="155">
        <v>0.042</v>
      </c>
    </row>
    <row r="44">
      <c r="A44" s="152" t="s">
        <v>383</v>
      </c>
      <c r="B44" s="153">
        <v>25.0</v>
      </c>
      <c r="C44" s="153">
        <v>22.0</v>
      </c>
      <c r="D44" s="153">
        <v>6.0</v>
      </c>
      <c r="E44" s="154">
        <v>0.273</v>
      </c>
      <c r="F44" s="152" t="s">
        <v>662</v>
      </c>
      <c r="G44" s="152" t="s">
        <v>384</v>
      </c>
      <c r="H44" s="155">
        <v>0.1429</v>
      </c>
    </row>
    <row r="45">
      <c r="A45" s="156" t="s">
        <v>385</v>
      </c>
      <c r="B45" s="157">
        <v>83.0</v>
      </c>
      <c r="C45" s="157">
        <v>83.0</v>
      </c>
      <c r="D45" s="157">
        <v>5.0</v>
      </c>
      <c r="E45" s="158">
        <v>0.06</v>
      </c>
      <c r="F45" s="156" t="s">
        <v>662</v>
      </c>
      <c r="G45" s="156" t="s">
        <v>384</v>
      </c>
      <c r="H45" s="159">
        <v>0.0238</v>
      </c>
    </row>
    <row r="46">
      <c r="A46" s="156" t="s">
        <v>386</v>
      </c>
      <c r="B46" s="157">
        <v>118.0</v>
      </c>
      <c r="C46" s="157">
        <v>108.0</v>
      </c>
      <c r="D46" s="157">
        <v>7.0</v>
      </c>
      <c r="E46" s="158">
        <v>0.065</v>
      </c>
      <c r="F46" s="156" t="s">
        <v>662</v>
      </c>
      <c r="G46" s="156" t="s">
        <v>336</v>
      </c>
      <c r="H46" s="159">
        <v>0.0268</v>
      </c>
    </row>
  </sheetData>
  <autoFilter ref="$A$1:$I$46">
    <sortState ref="A1:I46">
      <sortCondition ref="G1:G46"/>
    </sortState>
  </autoFil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0" t="s">
        <v>656</v>
      </c>
      <c r="B1" s="150" t="s">
        <v>657</v>
      </c>
      <c r="C1" s="150" t="s">
        <v>672</v>
      </c>
      <c r="D1" s="150" t="s">
        <v>658</v>
      </c>
      <c r="E1" s="150" t="s">
        <v>659</v>
      </c>
      <c r="F1" s="150" t="s">
        <v>660</v>
      </c>
      <c r="G1" s="150" t="s">
        <v>661</v>
      </c>
      <c r="H1" s="150" t="s">
        <v>43</v>
      </c>
      <c r="I1" s="150" t="s">
        <v>19</v>
      </c>
      <c r="J1" s="150" t="s">
        <v>137</v>
      </c>
      <c r="K1" s="150" t="s">
        <v>336</v>
      </c>
      <c r="L1" s="150" t="s">
        <v>405</v>
      </c>
      <c r="M1" s="150" t="s">
        <v>4</v>
      </c>
      <c r="N1" s="151" t="s">
        <v>5</v>
      </c>
    </row>
    <row r="2">
      <c r="A2" s="152" t="s">
        <v>390</v>
      </c>
      <c r="B2" s="153">
        <v>4.0</v>
      </c>
      <c r="C2" s="197">
        <v>0.24</v>
      </c>
      <c r="D2" s="153">
        <v>5.0</v>
      </c>
      <c r="E2" s="153">
        <v>3.0</v>
      </c>
      <c r="F2" s="154">
        <v>0.6</v>
      </c>
      <c r="G2" s="152" t="s">
        <v>662</v>
      </c>
      <c r="H2" s="154">
        <v>0.3333</v>
      </c>
      <c r="I2" s="154">
        <v>0.1667</v>
      </c>
      <c r="J2" s="154">
        <v>0.0</v>
      </c>
      <c r="K2" s="154">
        <v>0.0</v>
      </c>
      <c r="L2" s="154">
        <v>0.0</v>
      </c>
      <c r="M2" s="152" t="s">
        <v>43</v>
      </c>
      <c r="N2" s="155">
        <v>0.3333</v>
      </c>
    </row>
    <row r="3">
      <c r="A3" s="156" t="s">
        <v>391</v>
      </c>
      <c r="B3" s="157">
        <v>17.0</v>
      </c>
      <c r="C3" s="199">
        <v>1.0</v>
      </c>
      <c r="D3" s="157">
        <v>16.0</v>
      </c>
      <c r="E3" s="157">
        <v>5.0</v>
      </c>
      <c r="F3" s="158">
        <v>0.313</v>
      </c>
      <c r="G3" s="156" t="s">
        <v>662</v>
      </c>
      <c r="H3" s="158">
        <v>0.2222</v>
      </c>
      <c r="I3" s="158">
        <v>0.0</v>
      </c>
      <c r="J3" s="158">
        <v>0.0</v>
      </c>
      <c r="K3" s="158">
        <v>0.0556</v>
      </c>
      <c r="L3" s="158">
        <v>0.0556</v>
      </c>
      <c r="M3" s="156" t="s">
        <v>43</v>
      </c>
      <c r="N3" s="159">
        <v>0.2222</v>
      </c>
    </row>
    <row r="4">
      <c r="A4" s="152" t="s">
        <v>199</v>
      </c>
      <c r="B4" s="153">
        <v>14.0</v>
      </c>
      <c r="C4" s="197">
        <v>0.58</v>
      </c>
      <c r="D4" s="153">
        <v>14.0</v>
      </c>
      <c r="E4" s="153">
        <v>3.0</v>
      </c>
      <c r="F4" s="154">
        <v>0.214</v>
      </c>
      <c r="G4" s="152" t="s">
        <v>662</v>
      </c>
      <c r="H4" s="154">
        <v>0.2143</v>
      </c>
      <c r="I4" s="154">
        <v>0.0</v>
      </c>
      <c r="J4" s="154">
        <v>0.0</v>
      </c>
      <c r="K4" s="154">
        <v>0.0</v>
      </c>
      <c r="L4" s="154">
        <v>0.0714</v>
      </c>
      <c r="M4" s="152" t="s">
        <v>43</v>
      </c>
      <c r="N4" s="155">
        <v>0.2143</v>
      </c>
    </row>
    <row r="5">
      <c r="A5" s="156" t="s">
        <v>347</v>
      </c>
      <c r="B5" s="157">
        <v>29.0</v>
      </c>
      <c r="C5" s="199">
        <v>0.73</v>
      </c>
      <c r="D5" s="157">
        <v>23.0</v>
      </c>
      <c r="E5" s="157">
        <v>3.0</v>
      </c>
      <c r="F5" s="158">
        <v>0.13</v>
      </c>
      <c r="G5" s="156" t="s">
        <v>662</v>
      </c>
      <c r="H5" s="158">
        <v>0.125</v>
      </c>
      <c r="I5" s="158">
        <v>0.0</v>
      </c>
      <c r="J5" s="158">
        <v>0.0</v>
      </c>
      <c r="K5" s="158">
        <v>0.0</v>
      </c>
      <c r="L5" s="158">
        <v>0.0</v>
      </c>
      <c r="M5" s="156" t="s">
        <v>43</v>
      </c>
      <c r="N5" s="159">
        <v>0.125</v>
      </c>
    </row>
    <row r="6">
      <c r="A6" s="152" t="s">
        <v>180</v>
      </c>
      <c r="B6" s="153">
        <v>23.0</v>
      </c>
      <c r="C6" s="197">
        <v>1.0</v>
      </c>
      <c r="D6" s="153">
        <v>22.0</v>
      </c>
      <c r="E6" s="153">
        <v>3.0</v>
      </c>
      <c r="F6" s="154">
        <v>0.136</v>
      </c>
      <c r="G6" s="152" t="s">
        <v>662</v>
      </c>
      <c r="H6" s="154">
        <v>0.0909</v>
      </c>
      <c r="I6" s="154">
        <v>0.0455</v>
      </c>
      <c r="J6" s="154">
        <v>0.0</v>
      </c>
      <c r="K6" s="154">
        <v>0.0</v>
      </c>
      <c r="L6" s="154">
        <v>0.0</v>
      </c>
      <c r="M6" s="152" t="s">
        <v>43</v>
      </c>
      <c r="N6" s="155">
        <v>0.0909</v>
      </c>
    </row>
    <row r="7">
      <c r="A7" s="156" t="s">
        <v>392</v>
      </c>
      <c r="B7" s="157">
        <v>39.0</v>
      </c>
      <c r="C7" s="199">
        <v>0.68</v>
      </c>
      <c r="D7" s="157">
        <v>35.0</v>
      </c>
      <c r="E7" s="157">
        <v>3.0</v>
      </c>
      <c r="F7" s="158">
        <v>0.086</v>
      </c>
      <c r="G7" s="156" t="s">
        <v>662</v>
      </c>
      <c r="H7" s="158">
        <v>0.0833</v>
      </c>
      <c r="I7" s="158">
        <v>0.0</v>
      </c>
      <c r="J7" s="158">
        <v>0.0</v>
      </c>
      <c r="K7" s="158">
        <v>0.0</v>
      </c>
      <c r="L7" s="158">
        <v>0.0278</v>
      </c>
      <c r="M7" s="156" t="s">
        <v>43</v>
      </c>
      <c r="N7" s="159">
        <v>0.0833</v>
      </c>
    </row>
    <row r="8">
      <c r="A8" s="152" t="s">
        <v>193</v>
      </c>
      <c r="B8" s="153">
        <v>44.0</v>
      </c>
      <c r="C8" s="197">
        <v>0.9</v>
      </c>
      <c r="D8" s="153">
        <v>42.0</v>
      </c>
      <c r="E8" s="153">
        <v>3.0</v>
      </c>
      <c r="F8" s="154">
        <v>0.071</v>
      </c>
      <c r="G8" s="152" t="s">
        <v>662</v>
      </c>
      <c r="H8" s="154">
        <v>0.0714</v>
      </c>
      <c r="I8" s="154">
        <v>0.0</v>
      </c>
      <c r="J8" s="154">
        <v>0.0</v>
      </c>
      <c r="K8" s="154">
        <v>0.0</v>
      </c>
      <c r="L8" s="154">
        <v>0.0476</v>
      </c>
      <c r="M8" s="152" t="s">
        <v>43</v>
      </c>
      <c r="N8" s="155">
        <v>0.0714</v>
      </c>
    </row>
    <row r="9">
      <c r="A9" s="156" t="s">
        <v>393</v>
      </c>
      <c r="B9" s="157">
        <v>72.0</v>
      </c>
      <c r="C9" s="199">
        <v>0.89</v>
      </c>
      <c r="D9" s="157">
        <v>70.0</v>
      </c>
      <c r="E9" s="157">
        <v>4.0</v>
      </c>
      <c r="F9" s="158">
        <v>0.057</v>
      </c>
      <c r="G9" s="156" t="s">
        <v>662</v>
      </c>
      <c r="H9" s="158">
        <v>0.0571</v>
      </c>
      <c r="I9" s="158">
        <v>0.0</v>
      </c>
      <c r="J9" s="158">
        <v>0.0143</v>
      </c>
      <c r="K9" s="158">
        <v>0.0</v>
      </c>
      <c r="L9" s="158">
        <v>0.0286</v>
      </c>
      <c r="M9" s="156" t="s">
        <v>43</v>
      </c>
      <c r="N9" s="159">
        <v>0.0571</v>
      </c>
    </row>
    <row r="10">
      <c r="A10" s="152" t="s">
        <v>307</v>
      </c>
      <c r="B10" s="153">
        <v>91.0</v>
      </c>
      <c r="C10" s="197">
        <v>0.57</v>
      </c>
      <c r="D10" s="153">
        <v>91.0</v>
      </c>
      <c r="E10" s="153">
        <v>8.0</v>
      </c>
      <c r="F10" s="154">
        <v>0.088</v>
      </c>
      <c r="G10" s="152" t="s">
        <v>662</v>
      </c>
      <c r="H10" s="154">
        <v>0.0543</v>
      </c>
      <c r="I10" s="154">
        <v>0.0</v>
      </c>
      <c r="J10" s="154">
        <v>0.0435</v>
      </c>
      <c r="K10" s="154">
        <v>0.0109</v>
      </c>
      <c r="L10" s="154">
        <v>0.0109</v>
      </c>
      <c r="M10" s="152" t="s">
        <v>43</v>
      </c>
      <c r="N10" s="155">
        <v>0.0543</v>
      </c>
    </row>
    <row r="11">
      <c r="A11" s="156" t="s">
        <v>352</v>
      </c>
      <c r="B11" s="157">
        <v>59.0</v>
      </c>
      <c r="C11" s="199">
        <v>0.66</v>
      </c>
      <c r="D11" s="157">
        <v>56.0</v>
      </c>
      <c r="E11" s="157">
        <v>3.0</v>
      </c>
      <c r="F11" s="158">
        <v>0.054</v>
      </c>
      <c r="G11" s="156" t="s">
        <v>662</v>
      </c>
      <c r="H11" s="158">
        <v>0.0351</v>
      </c>
      <c r="I11" s="158">
        <v>0.0</v>
      </c>
      <c r="J11" s="158">
        <v>0.0</v>
      </c>
      <c r="K11" s="158">
        <v>0.0175</v>
      </c>
      <c r="L11" s="158">
        <v>0.0175</v>
      </c>
      <c r="M11" s="156" t="s">
        <v>43</v>
      </c>
      <c r="N11" s="159">
        <v>0.0351</v>
      </c>
    </row>
    <row r="12">
      <c r="A12" s="152" t="s">
        <v>178</v>
      </c>
      <c r="B12" s="153">
        <v>48.0</v>
      </c>
      <c r="C12" s="197">
        <v>0.87</v>
      </c>
      <c r="D12" s="153">
        <v>42.0</v>
      </c>
      <c r="E12" s="153">
        <v>4.0</v>
      </c>
      <c r="F12" s="154">
        <v>0.095</v>
      </c>
      <c r="G12" s="152" t="s">
        <v>662</v>
      </c>
      <c r="H12" s="154">
        <v>0.0638</v>
      </c>
      <c r="I12" s="154">
        <v>0.0</v>
      </c>
      <c r="J12" s="154">
        <v>0.0638</v>
      </c>
      <c r="K12" s="154">
        <v>0.0</v>
      </c>
      <c r="L12" s="154">
        <v>0.0426</v>
      </c>
      <c r="M12" s="152" t="s">
        <v>320</v>
      </c>
      <c r="N12" s="155">
        <v>0.0638</v>
      </c>
    </row>
    <row r="13">
      <c r="A13" s="156" t="s">
        <v>394</v>
      </c>
      <c r="B13" s="157">
        <v>25.0</v>
      </c>
      <c r="C13" s="199">
        <v>0.21</v>
      </c>
      <c r="D13" s="157">
        <v>25.0</v>
      </c>
      <c r="E13" s="157">
        <v>4.0</v>
      </c>
      <c r="F13" s="158">
        <v>0.16</v>
      </c>
      <c r="G13" s="156" t="s">
        <v>662</v>
      </c>
      <c r="H13" s="158">
        <v>0.08</v>
      </c>
      <c r="I13" s="158">
        <v>0.04</v>
      </c>
      <c r="J13" s="158">
        <v>0.0</v>
      </c>
      <c r="K13" s="158">
        <v>0.04</v>
      </c>
      <c r="L13" s="158">
        <v>0.16</v>
      </c>
      <c r="M13" s="156" t="s">
        <v>395</v>
      </c>
      <c r="N13" s="159">
        <v>0.16</v>
      </c>
    </row>
    <row r="14">
      <c r="A14" s="152" t="s">
        <v>396</v>
      </c>
      <c r="B14" s="153">
        <v>47.0</v>
      </c>
      <c r="C14" s="197">
        <v>0.25</v>
      </c>
      <c r="D14" s="153">
        <v>47.0</v>
      </c>
      <c r="E14" s="153">
        <v>6.0</v>
      </c>
      <c r="F14" s="154">
        <v>0.128</v>
      </c>
      <c r="G14" s="152" t="s">
        <v>662</v>
      </c>
      <c r="H14" s="154">
        <v>0.1</v>
      </c>
      <c r="I14" s="154">
        <v>0.0</v>
      </c>
      <c r="J14" s="154">
        <v>0.04</v>
      </c>
      <c r="K14" s="154">
        <v>0.0</v>
      </c>
      <c r="L14" s="154">
        <v>0.14</v>
      </c>
      <c r="M14" s="152" t="s">
        <v>395</v>
      </c>
      <c r="N14" s="155">
        <v>0.14</v>
      </c>
    </row>
    <row r="15">
      <c r="A15" s="156" t="s">
        <v>313</v>
      </c>
      <c r="B15" s="157">
        <v>41.0</v>
      </c>
      <c r="C15" s="199">
        <v>0.84</v>
      </c>
      <c r="D15" s="157">
        <v>39.0</v>
      </c>
      <c r="E15" s="157">
        <v>4.0</v>
      </c>
      <c r="F15" s="158">
        <v>0.103</v>
      </c>
      <c r="G15" s="156" t="s">
        <v>662</v>
      </c>
      <c r="H15" s="158">
        <v>0.0769</v>
      </c>
      <c r="I15" s="158">
        <v>0.0256</v>
      </c>
      <c r="J15" s="158">
        <v>0.0</v>
      </c>
      <c r="K15" s="158">
        <v>0.0</v>
      </c>
      <c r="L15" s="158">
        <v>0.1282</v>
      </c>
      <c r="M15" s="156" t="s">
        <v>395</v>
      </c>
      <c r="N15" s="159">
        <v>0.1282</v>
      </c>
    </row>
    <row r="16">
      <c r="A16" s="152" t="s">
        <v>338</v>
      </c>
      <c r="B16" s="153">
        <v>65.0</v>
      </c>
      <c r="C16" s="197">
        <v>0.3</v>
      </c>
      <c r="D16" s="153">
        <v>62.0</v>
      </c>
      <c r="E16" s="153">
        <v>4.0</v>
      </c>
      <c r="F16" s="154">
        <v>0.065</v>
      </c>
      <c r="G16" s="152" t="s">
        <v>662</v>
      </c>
      <c r="H16" s="154">
        <v>0.0462</v>
      </c>
      <c r="I16" s="154">
        <v>0.0</v>
      </c>
      <c r="J16" s="154">
        <v>0.0154</v>
      </c>
      <c r="K16" s="154">
        <v>0.0</v>
      </c>
      <c r="L16" s="154">
        <v>0.1077</v>
      </c>
      <c r="M16" s="152" t="s">
        <v>395</v>
      </c>
      <c r="N16" s="155">
        <v>0.1077</v>
      </c>
    </row>
    <row r="17">
      <c r="A17" s="156" t="s">
        <v>397</v>
      </c>
      <c r="B17" s="157">
        <v>74.0</v>
      </c>
      <c r="C17" s="199">
        <v>0.41</v>
      </c>
      <c r="D17" s="157">
        <v>71.0</v>
      </c>
      <c r="E17" s="157">
        <v>6.0</v>
      </c>
      <c r="F17" s="158">
        <v>0.085</v>
      </c>
      <c r="G17" s="156" t="s">
        <v>662</v>
      </c>
      <c r="H17" s="158">
        <v>0.0405</v>
      </c>
      <c r="I17" s="158">
        <v>0.0</v>
      </c>
      <c r="J17" s="158">
        <v>0.0</v>
      </c>
      <c r="K17" s="158">
        <v>0.0405</v>
      </c>
      <c r="L17" s="158">
        <v>0.0</v>
      </c>
      <c r="M17" s="156" t="s">
        <v>398</v>
      </c>
      <c r="N17" s="159">
        <v>0.0405</v>
      </c>
    </row>
    <row r="18">
      <c r="A18" s="152" t="s">
        <v>399</v>
      </c>
      <c r="B18" s="153">
        <v>58.0</v>
      </c>
      <c r="C18" s="197">
        <v>0.4</v>
      </c>
      <c r="D18" s="153">
        <v>55.0</v>
      </c>
      <c r="E18" s="153">
        <v>3.0</v>
      </c>
      <c r="F18" s="154">
        <v>0.055</v>
      </c>
      <c r="G18" s="152" t="s">
        <v>662</v>
      </c>
      <c r="H18" s="154">
        <v>0.0357</v>
      </c>
      <c r="I18" s="154">
        <v>0.0</v>
      </c>
      <c r="J18" s="154">
        <v>0.0</v>
      </c>
      <c r="K18" s="154">
        <v>0.0179</v>
      </c>
      <c r="L18" s="154">
        <v>0.0357</v>
      </c>
      <c r="M18" s="152" t="s">
        <v>364</v>
      </c>
      <c r="N18" s="155">
        <v>0.0357</v>
      </c>
    </row>
    <row r="19">
      <c r="A19" s="156" t="s">
        <v>400</v>
      </c>
      <c r="B19" s="157">
        <v>21.0</v>
      </c>
      <c r="C19" s="199">
        <v>0.58</v>
      </c>
      <c r="D19" s="157">
        <v>22.0</v>
      </c>
      <c r="E19" s="157">
        <v>8.0</v>
      </c>
      <c r="F19" s="158">
        <v>0.364</v>
      </c>
      <c r="G19" s="156" t="s">
        <v>662</v>
      </c>
      <c r="H19" s="158">
        <v>0.0</v>
      </c>
      <c r="I19" s="158">
        <v>0.0</v>
      </c>
      <c r="J19" s="158">
        <v>0.32</v>
      </c>
      <c r="K19" s="158">
        <v>0.0</v>
      </c>
      <c r="L19" s="158">
        <v>0.08</v>
      </c>
      <c r="M19" s="156" t="s">
        <v>137</v>
      </c>
      <c r="N19" s="159">
        <v>0.32</v>
      </c>
    </row>
    <row r="20">
      <c r="A20" s="152" t="s">
        <v>401</v>
      </c>
      <c r="B20" s="153">
        <v>22.0</v>
      </c>
      <c r="C20" s="197">
        <v>0.18</v>
      </c>
      <c r="D20" s="153">
        <v>19.0</v>
      </c>
      <c r="E20" s="153">
        <v>6.0</v>
      </c>
      <c r="F20" s="154">
        <v>0.316</v>
      </c>
      <c r="G20" s="152" t="s">
        <v>662</v>
      </c>
      <c r="H20" s="154">
        <v>0.1304</v>
      </c>
      <c r="I20" s="154">
        <v>0.0</v>
      </c>
      <c r="J20" s="154">
        <v>0.1739</v>
      </c>
      <c r="K20" s="154">
        <v>0.0</v>
      </c>
      <c r="L20" s="154">
        <v>0.1304</v>
      </c>
      <c r="M20" s="152" t="s">
        <v>137</v>
      </c>
      <c r="N20" s="155">
        <v>0.1739</v>
      </c>
    </row>
    <row r="21">
      <c r="A21" s="156" t="s">
        <v>402</v>
      </c>
      <c r="B21" s="157">
        <v>17.0</v>
      </c>
      <c r="C21" s="199">
        <v>0.15</v>
      </c>
      <c r="D21" s="157">
        <v>17.0</v>
      </c>
      <c r="E21" s="157">
        <v>3.0</v>
      </c>
      <c r="F21" s="158">
        <v>0.176</v>
      </c>
      <c r="G21" s="156" t="s">
        <v>662</v>
      </c>
      <c r="H21" s="158">
        <v>0.0588</v>
      </c>
      <c r="I21" s="158">
        <v>0.0</v>
      </c>
      <c r="J21" s="158">
        <v>0.1176</v>
      </c>
      <c r="K21" s="158">
        <v>0.0</v>
      </c>
      <c r="L21" s="158">
        <v>0.0</v>
      </c>
      <c r="M21" s="156" t="s">
        <v>137</v>
      </c>
      <c r="N21" s="159">
        <v>0.1176</v>
      </c>
    </row>
    <row r="22">
      <c r="A22" s="152" t="s">
        <v>369</v>
      </c>
      <c r="B22" s="153">
        <v>43.0</v>
      </c>
      <c r="C22" s="197">
        <v>0.73</v>
      </c>
      <c r="D22" s="153">
        <v>39.0</v>
      </c>
      <c r="E22" s="153">
        <v>4.0</v>
      </c>
      <c r="F22" s="154">
        <v>0.103</v>
      </c>
      <c r="G22" s="152" t="s">
        <v>662</v>
      </c>
      <c r="H22" s="154">
        <v>0.0</v>
      </c>
      <c r="I22" s="154">
        <v>0.0</v>
      </c>
      <c r="J22" s="154">
        <v>0.1</v>
      </c>
      <c r="K22" s="154">
        <v>0.0</v>
      </c>
      <c r="L22" s="154">
        <v>0.1</v>
      </c>
      <c r="M22" s="152" t="s">
        <v>137</v>
      </c>
      <c r="N22" s="155">
        <v>0.1</v>
      </c>
    </row>
    <row r="23">
      <c r="A23" s="156" t="s">
        <v>403</v>
      </c>
      <c r="B23" s="157">
        <v>30.0</v>
      </c>
      <c r="C23" s="199">
        <v>0.49</v>
      </c>
      <c r="D23" s="157">
        <v>32.0</v>
      </c>
      <c r="E23" s="157">
        <v>4.0</v>
      </c>
      <c r="F23" s="158">
        <v>0.125</v>
      </c>
      <c r="G23" s="156" t="s">
        <v>662</v>
      </c>
      <c r="H23" s="158">
        <v>0.0</v>
      </c>
      <c r="I23" s="158">
        <v>0.0</v>
      </c>
      <c r="J23" s="158">
        <v>0.0938</v>
      </c>
      <c r="K23" s="158">
        <v>0.0313</v>
      </c>
      <c r="L23" s="158">
        <v>0.0</v>
      </c>
      <c r="M23" s="156" t="s">
        <v>137</v>
      </c>
      <c r="N23" s="159">
        <v>0.0938</v>
      </c>
    </row>
    <row r="24">
      <c r="A24" s="152" t="s">
        <v>374</v>
      </c>
      <c r="B24" s="153">
        <v>50.0</v>
      </c>
      <c r="C24" s="197">
        <v>0.77</v>
      </c>
      <c r="D24" s="153">
        <v>48.0</v>
      </c>
      <c r="E24" s="153">
        <v>3.0</v>
      </c>
      <c r="F24" s="154">
        <v>0.063</v>
      </c>
      <c r="G24" s="152" t="s">
        <v>662</v>
      </c>
      <c r="H24" s="154">
        <v>0.0</v>
      </c>
      <c r="I24" s="154">
        <v>0.0</v>
      </c>
      <c r="J24" s="154">
        <v>0.0816</v>
      </c>
      <c r="K24" s="154">
        <v>0.0</v>
      </c>
      <c r="L24" s="154">
        <v>0.0204</v>
      </c>
      <c r="M24" s="152" t="s">
        <v>137</v>
      </c>
      <c r="N24" s="155">
        <v>0.0816</v>
      </c>
    </row>
    <row r="25">
      <c r="A25" s="156" t="s">
        <v>182</v>
      </c>
      <c r="B25" s="157">
        <v>54.0</v>
      </c>
      <c r="C25" s="199">
        <v>0.83</v>
      </c>
      <c r="D25" s="157">
        <v>51.0</v>
      </c>
      <c r="E25" s="157">
        <v>5.0</v>
      </c>
      <c r="F25" s="158">
        <v>0.098</v>
      </c>
      <c r="G25" s="156" t="s">
        <v>662</v>
      </c>
      <c r="H25" s="158">
        <v>0.0392</v>
      </c>
      <c r="I25" s="158">
        <v>0.0</v>
      </c>
      <c r="J25" s="158">
        <v>0.0588</v>
      </c>
      <c r="K25" s="158">
        <v>0.0</v>
      </c>
      <c r="L25" s="158">
        <v>0.0196</v>
      </c>
      <c r="M25" s="156" t="s">
        <v>137</v>
      </c>
      <c r="N25" s="159">
        <v>0.0588</v>
      </c>
    </row>
    <row r="26">
      <c r="A26" s="152" t="s">
        <v>404</v>
      </c>
      <c r="B26" s="153">
        <v>30.0</v>
      </c>
      <c r="C26" s="197">
        <v>0.91</v>
      </c>
      <c r="D26" s="153">
        <v>28.0</v>
      </c>
      <c r="E26" s="153">
        <v>3.0</v>
      </c>
      <c r="F26" s="154">
        <v>0.107</v>
      </c>
      <c r="G26" s="152" t="s">
        <v>662</v>
      </c>
      <c r="H26" s="154">
        <v>0.0333</v>
      </c>
      <c r="I26" s="154">
        <v>0.0</v>
      </c>
      <c r="J26" s="154">
        <v>0.0667</v>
      </c>
      <c r="K26" s="154">
        <v>0.0</v>
      </c>
      <c r="L26" s="154">
        <v>0.2</v>
      </c>
      <c r="M26" s="152" t="s">
        <v>405</v>
      </c>
      <c r="N26" s="155">
        <v>0.2</v>
      </c>
    </row>
    <row r="27">
      <c r="A27" s="156" t="s">
        <v>330</v>
      </c>
      <c r="B27" s="157">
        <v>48.0</v>
      </c>
      <c r="C27" s="199">
        <v>0.96</v>
      </c>
      <c r="D27" s="157">
        <v>38.0</v>
      </c>
      <c r="E27" s="157">
        <v>5.0</v>
      </c>
      <c r="F27" s="158">
        <v>0.132</v>
      </c>
      <c r="G27" s="156" t="s">
        <v>662</v>
      </c>
      <c r="H27" s="158">
        <v>0.0455</v>
      </c>
      <c r="I27" s="158">
        <v>0.0455</v>
      </c>
      <c r="J27" s="158">
        <v>0.0455</v>
      </c>
      <c r="K27" s="158">
        <v>0.0</v>
      </c>
      <c r="L27" s="158">
        <v>0.1591</v>
      </c>
      <c r="M27" s="156" t="s">
        <v>405</v>
      </c>
      <c r="N27" s="159">
        <v>0.1591</v>
      </c>
    </row>
    <row r="28">
      <c r="A28" s="152" t="s">
        <v>406</v>
      </c>
      <c r="B28" s="153">
        <v>34.0</v>
      </c>
      <c r="C28" s="197">
        <v>0.67</v>
      </c>
      <c r="D28" s="153">
        <v>33.0</v>
      </c>
      <c r="E28" s="153">
        <v>3.0</v>
      </c>
      <c r="F28" s="154">
        <v>0.091</v>
      </c>
      <c r="G28" s="152" t="s">
        <v>662</v>
      </c>
      <c r="H28" s="154">
        <v>0.0476</v>
      </c>
      <c r="I28" s="154">
        <v>0.0</v>
      </c>
      <c r="J28" s="154">
        <v>0.0476</v>
      </c>
      <c r="K28" s="154">
        <v>0.0</v>
      </c>
      <c r="L28" s="154">
        <v>0.0952</v>
      </c>
      <c r="M28" s="152" t="s">
        <v>405</v>
      </c>
      <c r="N28" s="155">
        <v>0.0952</v>
      </c>
    </row>
    <row r="29">
      <c r="A29" s="156" t="s">
        <v>407</v>
      </c>
      <c r="B29" s="157">
        <v>57.0</v>
      </c>
      <c r="C29" s="199">
        <v>0.57</v>
      </c>
      <c r="D29" s="157">
        <v>55.0</v>
      </c>
      <c r="E29" s="157">
        <v>3.0</v>
      </c>
      <c r="F29" s="158">
        <v>0.055</v>
      </c>
      <c r="G29" s="156" t="s">
        <v>662</v>
      </c>
      <c r="H29" s="158">
        <v>0.0179</v>
      </c>
      <c r="I29" s="158">
        <v>0.0179</v>
      </c>
      <c r="J29" s="158">
        <v>0.0</v>
      </c>
      <c r="K29" s="158">
        <v>0.0179</v>
      </c>
      <c r="L29" s="158">
        <v>0.0536</v>
      </c>
      <c r="M29" s="156" t="s">
        <v>405</v>
      </c>
      <c r="N29" s="159">
        <v>0.0536</v>
      </c>
    </row>
    <row r="30">
      <c r="A30" s="152" t="s">
        <v>408</v>
      </c>
      <c r="B30" s="153">
        <v>81.0</v>
      </c>
      <c r="C30" s="197">
        <v>0.49</v>
      </c>
      <c r="D30" s="153">
        <v>75.0</v>
      </c>
      <c r="E30" s="153">
        <v>4.0</v>
      </c>
      <c r="F30" s="154">
        <v>0.053</v>
      </c>
      <c r="G30" s="152" t="s">
        <v>662</v>
      </c>
      <c r="H30" s="154">
        <v>0.0133</v>
      </c>
      <c r="I30" s="154">
        <v>0.0</v>
      </c>
      <c r="J30" s="154">
        <v>0.0267</v>
      </c>
      <c r="K30" s="154">
        <v>0.0133</v>
      </c>
      <c r="L30" s="154">
        <v>0.0267</v>
      </c>
      <c r="M30" s="152" t="s">
        <v>409</v>
      </c>
      <c r="N30" s="155">
        <v>0.0267</v>
      </c>
    </row>
    <row r="31">
      <c r="A31" s="156" t="s">
        <v>334</v>
      </c>
      <c r="B31" s="157">
        <v>4.0</v>
      </c>
      <c r="C31" s="199">
        <v>0.05</v>
      </c>
      <c r="D31" s="157">
        <v>4.0</v>
      </c>
      <c r="E31" s="157">
        <v>3.0</v>
      </c>
      <c r="F31" s="158">
        <v>0.75</v>
      </c>
      <c r="G31" s="156" t="s">
        <v>662</v>
      </c>
      <c r="H31" s="158">
        <v>0.0</v>
      </c>
      <c r="I31" s="158">
        <v>0.6</v>
      </c>
      <c r="J31" s="158">
        <v>0.0</v>
      </c>
      <c r="K31" s="158">
        <v>0.0</v>
      </c>
      <c r="L31" s="158">
        <v>0.0</v>
      </c>
      <c r="M31" s="156" t="s">
        <v>19</v>
      </c>
      <c r="N31" s="159">
        <v>0.6</v>
      </c>
    </row>
    <row r="32">
      <c r="A32" s="152" t="s">
        <v>213</v>
      </c>
      <c r="B32" s="153">
        <v>18.0</v>
      </c>
      <c r="C32" s="197">
        <v>0.82</v>
      </c>
      <c r="D32" s="153">
        <v>11.0</v>
      </c>
      <c r="E32" s="153">
        <v>8.0</v>
      </c>
      <c r="F32" s="154">
        <v>0.727</v>
      </c>
      <c r="G32" s="152" t="s">
        <v>662</v>
      </c>
      <c r="H32" s="154">
        <v>0.0526</v>
      </c>
      <c r="I32" s="154">
        <v>0.4211</v>
      </c>
      <c r="J32" s="154">
        <v>0.0526</v>
      </c>
      <c r="K32" s="154">
        <v>0.0</v>
      </c>
      <c r="L32" s="154">
        <v>0.0526</v>
      </c>
      <c r="M32" s="152" t="s">
        <v>19</v>
      </c>
      <c r="N32" s="155">
        <v>0.4211</v>
      </c>
    </row>
    <row r="33">
      <c r="A33" s="156" t="s">
        <v>272</v>
      </c>
      <c r="B33" s="157">
        <v>26.0</v>
      </c>
      <c r="C33" s="199">
        <v>0.12</v>
      </c>
      <c r="D33" s="157">
        <v>19.0</v>
      </c>
      <c r="E33" s="157">
        <v>3.0</v>
      </c>
      <c r="F33" s="158">
        <v>0.158</v>
      </c>
      <c r="G33" s="156" t="s">
        <v>662</v>
      </c>
      <c r="H33" s="158">
        <v>0.0</v>
      </c>
      <c r="I33" s="158">
        <v>0.2813</v>
      </c>
      <c r="J33" s="158">
        <v>0.0</v>
      </c>
      <c r="K33" s="158">
        <v>0.0</v>
      </c>
      <c r="L33" s="158">
        <v>0.0938</v>
      </c>
      <c r="M33" s="156" t="s">
        <v>19</v>
      </c>
      <c r="N33" s="159">
        <v>0.2813</v>
      </c>
    </row>
    <row r="34">
      <c r="A34" s="152" t="s">
        <v>410</v>
      </c>
      <c r="B34" s="153">
        <v>49.0</v>
      </c>
      <c r="C34" s="197">
        <v>0.96</v>
      </c>
      <c r="D34" s="153">
        <v>27.0</v>
      </c>
      <c r="E34" s="153">
        <v>17.0</v>
      </c>
      <c r="F34" s="154">
        <v>0.63</v>
      </c>
      <c r="G34" s="152" t="s">
        <v>662</v>
      </c>
      <c r="H34" s="154">
        <v>0.2456</v>
      </c>
      <c r="I34" s="154">
        <v>0.2632</v>
      </c>
      <c r="J34" s="154">
        <v>0.0</v>
      </c>
      <c r="K34" s="154">
        <v>0.0175</v>
      </c>
      <c r="L34" s="154">
        <v>0.0351</v>
      </c>
      <c r="M34" s="152" t="s">
        <v>19</v>
      </c>
      <c r="N34" s="155">
        <v>0.2632</v>
      </c>
    </row>
    <row r="35">
      <c r="A35" s="156" t="s">
        <v>411</v>
      </c>
      <c r="B35" s="157">
        <v>10.0</v>
      </c>
      <c r="C35" s="199">
        <v>0.59</v>
      </c>
      <c r="D35" s="157">
        <v>8.0</v>
      </c>
      <c r="E35" s="157">
        <v>3.0</v>
      </c>
      <c r="F35" s="158">
        <v>0.375</v>
      </c>
      <c r="G35" s="156" t="s">
        <v>662</v>
      </c>
      <c r="H35" s="158">
        <v>0.0909</v>
      </c>
      <c r="I35" s="158">
        <v>0.1818</v>
      </c>
      <c r="J35" s="158">
        <v>0.0</v>
      </c>
      <c r="K35" s="158">
        <v>0.0</v>
      </c>
      <c r="L35" s="158">
        <v>0.0</v>
      </c>
      <c r="M35" s="156" t="s">
        <v>19</v>
      </c>
      <c r="N35" s="159">
        <v>0.1818</v>
      </c>
    </row>
    <row r="36">
      <c r="A36" s="152" t="s">
        <v>267</v>
      </c>
      <c r="B36" s="153">
        <v>17.0</v>
      </c>
      <c r="C36" s="197">
        <v>1.0</v>
      </c>
      <c r="D36" s="153">
        <v>15.0</v>
      </c>
      <c r="E36" s="153">
        <v>3.0</v>
      </c>
      <c r="F36" s="154">
        <v>0.2</v>
      </c>
      <c r="G36" s="152" t="s">
        <v>662</v>
      </c>
      <c r="H36" s="154">
        <v>0.0</v>
      </c>
      <c r="I36" s="154">
        <v>0.1667</v>
      </c>
      <c r="J36" s="154">
        <v>0.0</v>
      </c>
      <c r="K36" s="154">
        <v>0.0</v>
      </c>
      <c r="L36" s="154">
        <v>0.1111</v>
      </c>
      <c r="M36" s="152" t="s">
        <v>19</v>
      </c>
      <c r="N36" s="155">
        <v>0.1667</v>
      </c>
    </row>
    <row r="37">
      <c r="A37" s="156" t="s">
        <v>311</v>
      </c>
      <c r="B37" s="157">
        <v>43.0</v>
      </c>
      <c r="C37" s="199">
        <v>0.96</v>
      </c>
      <c r="D37" s="157">
        <v>43.0</v>
      </c>
      <c r="E37" s="157">
        <v>6.0</v>
      </c>
      <c r="F37" s="158">
        <v>0.14</v>
      </c>
      <c r="G37" s="156" t="s">
        <v>662</v>
      </c>
      <c r="H37" s="158">
        <v>0.0</v>
      </c>
      <c r="I37" s="158">
        <v>0.1163</v>
      </c>
      <c r="J37" s="158">
        <v>0.0</v>
      </c>
      <c r="K37" s="158">
        <v>0.0233</v>
      </c>
      <c r="L37" s="158">
        <v>0.0233</v>
      </c>
      <c r="M37" s="156" t="s">
        <v>19</v>
      </c>
      <c r="N37" s="159">
        <v>0.1163</v>
      </c>
    </row>
    <row r="38">
      <c r="A38" s="152" t="s">
        <v>346</v>
      </c>
      <c r="B38" s="153">
        <v>26.0</v>
      </c>
      <c r="C38" s="197">
        <v>0.67</v>
      </c>
      <c r="D38" s="153">
        <v>26.0</v>
      </c>
      <c r="E38" s="153">
        <v>3.0</v>
      </c>
      <c r="F38" s="154">
        <v>0.115</v>
      </c>
      <c r="G38" s="152" t="s">
        <v>662</v>
      </c>
      <c r="H38" s="154">
        <v>0.0</v>
      </c>
      <c r="I38" s="154">
        <v>0.1034</v>
      </c>
      <c r="J38" s="154">
        <v>0.0</v>
      </c>
      <c r="K38" s="154">
        <v>0.0</v>
      </c>
      <c r="L38" s="154">
        <v>0.0</v>
      </c>
      <c r="M38" s="152" t="s">
        <v>19</v>
      </c>
      <c r="N38" s="155">
        <v>0.1034</v>
      </c>
    </row>
    <row r="39">
      <c r="A39" s="156" t="s">
        <v>214</v>
      </c>
      <c r="B39" s="157">
        <v>57.0</v>
      </c>
      <c r="C39" s="199">
        <v>0.26</v>
      </c>
      <c r="D39" s="157">
        <v>56.0</v>
      </c>
      <c r="E39" s="157">
        <v>6.0</v>
      </c>
      <c r="F39" s="158">
        <v>0.107</v>
      </c>
      <c r="G39" s="156" t="s">
        <v>662</v>
      </c>
      <c r="H39" s="158">
        <v>0.0333</v>
      </c>
      <c r="I39" s="158">
        <v>0.1</v>
      </c>
      <c r="J39" s="158">
        <v>0.0</v>
      </c>
      <c r="K39" s="158">
        <v>0.0</v>
      </c>
      <c r="L39" s="158">
        <v>0.05</v>
      </c>
      <c r="M39" s="156" t="s">
        <v>19</v>
      </c>
      <c r="N39" s="159">
        <v>0.1</v>
      </c>
    </row>
    <row r="40">
      <c r="A40" s="152" t="s">
        <v>412</v>
      </c>
      <c r="B40" s="153">
        <v>31.0</v>
      </c>
      <c r="C40" s="197">
        <v>0.34</v>
      </c>
      <c r="D40" s="153">
        <v>32.0</v>
      </c>
      <c r="E40" s="153">
        <v>3.0</v>
      </c>
      <c r="F40" s="154">
        <v>0.094</v>
      </c>
      <c r="G40" s="152" t="s">
        <v>662</v>
      </c>
      <c r="H40" s="154">
        <v>0.0</v>
      </c>
      <c r="I40" s="154">
        <v>0.0909</v>
      </c>
      <c r="J40" s="154">
        <v>0.0</v>
      </c>
      <c r="K40" s="154">
        <v>0.0</v>
      </c>
      <c r="L40" s="154">
        <v>0.0</v>
      </c>
      <c r="M40" s="152" t="s">
        <v>19</v>
      </c>
      <c r="N40" s="155">
        <v>0.0909</v>
      </c>
    </row>
    <row r="41">
      <c r="A41" s="156" t="s">
        <v>413</v>
      </c>
      <c r="B41" s="157">
        <v>41.0</v>
      </c>
      <c r="C41" s="199">
        <v>0.26</v>
      </c>
      <c r="D41" s="157">
        <v>38.0</v>
      </c>
      <c r="E41" s="157">
        <v>3.0</v>
      </c>
      <c r="F41" s="158">
        <v>0.079</v>
      </c>
      <c r="G41" s="156" t="s">
        <v>662</v>
      </c>
      <c r="H41" s="158">
        <v>0.025</v>
      </c>
      <c r="I41" s="158">
        <v>0.05</v>
      </c>
      <c r="J41" s="158">
        <v>0.0</v>
      </c>
      <c r="K41" s="158">
        <v>0.0</v>
      </c>
      <c r="L41" s="158">
        <v>0.025</v>
      </c>
      <c r="M41" s="156" t="s">
        <v>19</v>
      </c>
      <c r="N41" s="159">
        <v>0.05</v>
      </c>
    </row>
    <row r="42">
      <c r="A42" s="152" t="s">
        <v>414</v>
      </c>
      <c r="B42" s="153">
        <v>18.0</v>
      </c>
      <c r="C42" s="197">
        <v>0.25</v>
      </c>
      <c r="D42" s="153">
        <v>19.0</v>
      </c>
      <c r="E42" s="153">
        <v>3.0</v>
      </c>
      <c r="F42" s="154">
        <v>0.158</v>
      </c>
      <c r="G42" s="152" t="s">
        <v>662</v>
      </c>
      <c r="H42" s="154">
        <v>0.0526</v>
      </c>
      <c r="I42" s="154">
        <v>0.0526</v>
      </c>
      <c r="J42" s="154">
        <v>0.0526</v>
      </c>
      <c r="K42" s="154">
        <v>0.0</v>
      </c>
      <c r="L42" s="154">
        <v>0.0</v>
      </c>
      <c r="M42" s="152" t="s">
        <v>415</v>
      </c>
      <c r="N42" s="155">
        <v>0.0526</v>
      </c>
    </row>
    <row r="43">
      <c r="A43" s="156" t="s">
        <v>416</v>
      </c>
      <c r="B43" s="157">
        <v>42.0</v>
      </c>
      <c r="C43" s="199">
        <v>0.35</v>
      </c>
      <c r="D43" s="157">
        <v>42.0</v>
      </c>
      <c r="E43" s="157">
        <v>4.0</v>
      </c>
      <c r="F43" s="158">
        <v>0.095</v>
      </c>
      <c r="G43" s="156" t="s">
        <v>662</v>
      </c>
      <c r="H43" s="158">
        <v>0.0476</v>
      </c>
      <c r="I43" s="158">
        <v>0.0</v>
      </c>
      <c r="J43" s="158">
        <v>0.0476</v>
      </c>
      <c r="K43" s="158">
        <v>0.0</v>
      </c>
      <c r="L43" s="158">
        <v>0.0476</v>
      </c>
      <c r="M43" s="156" t="s">
        <v>415</v>
      </c>
      <c r="N43" s="159">
        <v>0.0476</v>
      </c>
    </row>
    <row r="44">
      <c r="A44" s="152" t="s">
        <v>417</v>
      </c>
      <c r="B44" s="153">
        <v>22.0</v>
      </c>
      <c r="C44" s="197">
        <v>0.12</v>
      </c>
      <c r="D44" s="153">
        <v>21.0</v>
      </c>
      <c r="E44" s="153">
        <v>3.0</v>
      </c>
      <c r="F44" s="154">
        <v>0.143</v>
      </c>
      <c r="G44" s="152" t="s">
        <v>662</v>
      </c>
      <c r="H44" s="154">
        <v>0.0476</v>
      </c>
      <c r="I44" s="154">
        <v>0.0</v>
      </c>
      <c r="J44" s="154">
        <v>0.0476</v>
      </c>
      <c r="K44" s="154">
        <v>0.0476</v>
      </c>
      <c r="L44" s="154">
        <v>0.0</v>
      </c>
      <c r="M44" s="152" t="s">
        <v>415</v>
      </c>
      <c r="N44" s="155">
        <v>0.0476</v>
      </c>
    </row>
    <row r="45">
      <c r="A45" s="156" t="s">
        <v>418</v>
      </c>
      <c r="B45" s="157">
        <v>35.0</v>
      </c>
      <c r="C45" s="199">
        <v>0.36</v>
      </c>
      <c r="D45" s="157">
        <v>34.0</v>
      </c>
      <c r="E45" s="157">
        <v>3.0</v>
      </c>
      <c r="F45" s="158">
        <v>0.088</v>
      </c>
      <c r="G45" s="156" t="s">
        <v>662</v>
      </c>
      <c r="H45" s="158">
        <v>0.0294</v>
      </c>
      <c r="I45" s="158">
        <v>0.0294</v>
      </c>
      <c r="J45" s="158">
        <v>0.0</v>
      </c>
      <c r="K45" s="158">
        <v>0.0294</v>
      </c>
      <c r="L45" s="158">
        <v>0.0</v>
      </c>
      <c r="M45" s="156" t="s">
        <v>415</v>
      </c>
      <c r="N45" s="159">
        <v>0.0294</v>
      </c>
    </row>
  </sheetData>
  <drawing r:id="rId1"/>
</worksheet>
</file>