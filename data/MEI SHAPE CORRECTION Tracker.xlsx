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ing New Correction" sheetId="1" r:id="rId5"/>
    <sheet state="visible" name="RIMLESS" sheetId="2" r:id="rId6"/>
    <sheet state="visible" name="15-17 OCT" sheetId="3" r:id="rId7"/>
    <sheet state="visible" name="22-25OCT" sheetId="4" r:id="rId8"/>
    <sheet state="visible" name="10-14 OCT" sheetId="5" r:id="rId9"/>
    <sheet state="visible" name="type reject" sheetId="6" r:id="rId10"/>
    <sheet state="visible" name="8-9 oct" sheetId="7" r:id="rId11"/>
    <sheet state="visible" name="raw" sheetId="8" r:id="rId12"/>
    <sheet state="visible" name="6-7 oct" sheetId="9" r:id="rId13"/>
    <sheet state="visible" name="30SEP-1OCT" sheetId="10" r:id="rId14"/>
    <sheet state="visible" name="2OCT-5OCT" sheetId="11" r:id="rId15"/>
    <sheet state="visible" name="28-29 SEP" sheetId="12" r:id="rId16"/>
    <sheet state="visible" name="24-27 SEP" sheetId="13" r:id="rId17"/>
    <sheet state="visible" name="23-24 Sep" sheetId="14" r:id="rId18"/>
    <sheet state="visible" name="Loose Fitting" sheetId="15" r:id="rId19"/>
    <sheet state="visible" name="20-22 Sep" sheetId="16" r:id="rId20"/>
    <sheet state="visible" name="15-19 SEP" sheetId="17" r:id="rId21"/>
    <sheet state="visible" name="12-14 SEP" sheetId="18" r:id="rId22"/>
    <sheet state="visible" name="SHAPE 10-12 SEP" sheetId="19" r:id="rId23"/>
    <sheet state="visible" name="daily report" sheetId="20" r:id="rId24"/>
    <sheet state="visible" name="Sheet32" sheetId="21" r:id="rId25"/>
    <sheet state="visible" name="IMPORTANT" sheetId="22" r:id="rId26"/>
    <sheet state="visible" name="JUNE ANALYSIS SUMMARY" sheetId="23" r:id="rId27"/>
    <sheet state="visible" name="20-25 May" sheetId="24" r:id="rId28"/>
    <sheet state="visible" name="25-27 JUNE" sheetId="25" r:id="rId29"/>
    <sheet state="visible" name="21-24 JUNE" sheetId="26" r:id="rId30"/>
    <sheet state="visible" name="1-10 JUNE" sheetId="27" r:id="rId31"/>
    <sheet state="visible" name="17-20 JUNE" sheetId="28" r:id="rId32"/>
    <sheet state="visible" name="28-30 JUNE" sheetId="29" r:id="rId33"/>
    <sheet state="visible" name="14-18 JULY" sheetId="30" r:id="rId34"/>
    <sheet state="visible" name="19-23 JULY" sheetId="31" r:id="rId35"/>
    <sheet state="visible" name="21-28 JULY" sheetId="32" r:id="rId36"/>
    <sheet state="visible" name="29JULY-3AUG " sheetId="33" r:id="rId37"/>
    <sheet state="visible" name="1-7 AUG" sheetId="34" r:id="rId38"/>
    <sheet state="visible" name="2-8 aug " sheetId="35" r:id="rId39"/>
    <sheet state="visible" name="7-14 Aug" sheetId="36" r:id="rId40"/>
    <sheet state="visible" name="15-20 AUG" sheetId="37" r:id="rId41"/>
    <sheet state="visible" name="21-24 AUG" sheetId="38" r:id="rId42"/>
    <sheet state="visible" name="25AUG-2SEP" sheetId="39" r:id="rId43"/>
    <sheet state="visible" name="2-4 SEP" sheetId="40" r:id="rId44"/>
    <sheet state="visible" name="2-7SEP" sheetId="41" r:id="rId45"/>
    <sheet state="visible" name="8-9 SEP" sheetId="42" r:id="rId46"/>
  </sheets>
  <definedNames>
    <definedName hidden="1" localSheetId="0" name="_xlnm._FilterDatabase">'Tracing New Correction'!$A$1:$Q$109</definedName>
    <definedName hidden="1" localSheetId="2" name="_xlnm._FilterDatabase">'15-17 OCT'!$A$1:$N$30</definedName>
    <definedName hidden="1" localSheetId="4" name="_xlnm._FilterDatabase">'10-14 OCT'!$A$1:$Q$53</definedName>
    <definedName hidden="1" localSheetId="6" name="_xlnm._FilterDatabase">'8-9 oct'!$A$1:$Q$48</definedName>
    <definedName hidden="1" localSheetId="10" name="_xlnm._FilterDatabase">'2OCT-5OCT'!$A$1:$P$36</definedName>
    <definedName hidden="1" localSheetId="12" name="_xlnm._FilterDatabase">'24-27 SEP'!$A$1:$P$61</definedName>
    <definedName hidden="1" localSheetId="14" name="_xlnm._FilterDatabase">'Loose Fitting'!$A$1:$A$1000</definedName>
    <definedName hidden="1" localSheetId="21" name="_xlnm._FilterDatabase">IMPORTANT!$A$2:$E$156</definedName>
    <definedName hidden="1" localSheetId="33" name="_xlnm._FilterDatabase">'1-7 AUG'!$A$1:$J$37</definedName>
    <definedName hidden="1" localSheetId="40" name="_xlnm._FilterDatabase">'2-7SEP'!$A$1:$I$46</definedName>
  </definedNames>
  <calcPr/>
</workbook>
</file>

<file path=xl/sharedStrings.xml><?xml version="1.0" encoding="utf-8"?>
<sst xmlns="http://schemas.openxmlformats.org/spreadsheetml/2006/main" count="12282" uniqueCount="1853">
  <si>
    <t>Lenskart@123</t>
  </si>
  <si>
    <t>PID</t>
  </si>
  <si>
    <t>Pid.invoice</t>
  </si>
  <si>
    <t>ISSUE</t>
  </si>
  <si>
    <t>PERCENTAGE</t>
  </si>
  <si>
    <t>FRAME TYPE</t>
  </si>
  <si>
    <t>A</t>
  </si>
  <si>
    <t>B</t>
  </si>
  <si>
    <t>CIRC R</t>
  </si>
  <si>
    <t>CIRC L</t>
  </si>
  <si>
    <t>AFTER</t>
  </si>
  <si>
    <t>A1</t>
  </si>
  <si>
    <t>B1</t>
  </si>
  <si>
    <t>CIRC R1</t>
  </si>
  <si>
    <t>CIRC L1</t>
  </si>
  <si>
    <t>REMARK</t>
  </si>
  <si>
    <t>DONE BY</t>
  </si>
  <si>
    <t>SMALL</t>
  </si>
  <si>
    <t>FULL RIM</t>
  </si>
  <si>
    <t>TRACING</t>
  </si>
  <si>
    <t>AMIRUN</t>
  </si>
  <si>
    <t>220126.H2630</t>
  </si>
  <si>
    <t>W/SHAPE</t>
  </si>
  <si>
    <t>ANJALI</t>
  </si>
  <si>
    <t>217022.CIN-000001644019</t>
  </si>
  <si>
    <t>241210.IN26037D</t>
  </si>
  <si>
    <t>137935.FS2605A</t>
  </si>
  <si>
    <t>224781.IN24062K</t>
  </si>
  <si>
    <t>149862.LM2622</t>
  </si>
  <si>
    <t>204342.LM2620</t>
  </si>
  <si>
    <t>242242.KC078260402</t>
  </si>
  <si>
    <t>219829.LSK20260528-A1</t>
  </si>
  <si>
    <t>BIG</t>
  </si>
  <si>
    <t>241185.IN26034J</t>
  </si>
  <si>
    <t>134949.IN026050803D</t>
  </si>
  <si>
    <t>HALF RIM</t>
  </si>
  <si>
    <t>134949.IN026051603B</t>
  </si>
  <si>
    <t>146619.26WLS-170B</t>
  </si>
  <si>
    <t>242763.IN26032K</t>
  </si>
  <si>
    <t>207481.IHR127B2C0001820</t>
  </si>
  <si>
    <t>238613.CIN-000001387618</t>
  </si>
  <si>
    <t>234800.IRJ127B2C0000209</t>
  </si>
  <si>
    <t>DEVENDRA</t>
  </si>
  <si>
    <t>207481.IN26034L</t>
  </si>
  <si>
    <t>149861.LM2622C</t>
  </si>
  <si>
    <t>241097.IRJ127B2C0001228</t>
  </si>
  <si>
    <t xml:space="preserve">       14-07-2026</t>
  </si>
  <si>
    <t>234796.CIN-000001467074</t>
  </si>
  <si>
    <t>228997.FKS26199O</t>
  </si>
  <si>
    <t>206728.FKS26191F</t>
  </si>
  <si>
    <t>243247.FKS26166F</t>
  </si>
  <si>
    <t>222575.FKS26200G</t>
  </si>
  <si>
    <t>206126.FKS26201B</t>
  </si>
  <si>
    <t>234796.CIN-000001462531</t>
  </si>
  <si>
    <t>225336.IRJ126B2C00013</t>
  </si>
  <si>
    <t>DHAVAL</t>
  </si>
  <si>
    <t>207375.FKS26109G</t>
  </si>
  <si>
    <t>206132.FKS26185B</t>
  </si>
  <si>
    <t>146012.H2556</t>
  </si>
  <si>
    <t>201100.26WLS-271B</t>
  </si>
  <si>
    <t>236913.CIN-000000706524</t>
  </si>
  <si>
    <t>222575.FKS26199F</t>
  </si>
  <si>
    <t>150798.ZD260004A</t>
  </si>
  <si>
    <t>208956.IHR127B2C0002662</t>
  </si>
  <si>
    <t>241210.IN26038C</t>
  </si>
  <si>
    <t>227450.263044-E</t>
  </si>
  <si>
    <t>208272.IHR127B2C0002726</t>
  </si>
  <si>
    <t>208956.IHR127B2C0002656</t>
  </si>
  <si>
    <t>231942.IHR127B2C0002485</t>
  </si>
  <si>
    <t>150584.IN26039P</t>
  </si>
  <si>
    <t>234791.IRJ127B2C0001369</t>
  </si>
  <si>
    <t>220988.CL2024017A</t>
  </si>
  <si>
    <t>215403.KC078260402B</t>
  </si>
  <si>
    <t>207481.IHR127B2C0001875</t>
  </si>
  <si>
    <t>137974.FKS26209D</t>
  </si>
  <si>
    <t>210178.FKS26174C</t>
  </si>
  <si>
    <t>smLL</t>
  </si>
  <si>
    <t>small</t>
  </si>
  <si>
    <t>149844.LM2631</t>
  </si>
  <si>
    <t>206775.WMW26YFS0127A</t>
  </si>
  <si>
    <t>247079.IRJ127B2C0001432</t>
  </si>
  <si>
    <t>151889.LK260501</t>
  </si>
  <si>
    <t>227571.26Y079</t>
  </si>
  <si>
    <t>234769.IRJ127B2C0001392</t>
  </si>
  <si>
    <t>227035.26Y079</t>
  </si>
  <si>
    <t>210433.FKS26145M</t>
  </si>
  <si>
    <t>241091.IRJ127B2C0001669</t>
  </si>
  <si>
    <t>234804.IRJ127B2C0001660</t>
  </si>
  <si>
    <t>146622.26WLS-332E</t>
  </si>
  <si>
    <t>207671.IHR127B2C0002885</t>
  </si>
  <si>
    <t>ADITI</t>
  </si>
  <si>
    <t>239839.CIN-000001093608</t>
  </si>
  <si>
    <t>206775.WMW26YFS0128D</t>
  </si>
  <si>
    <t>241119.IRJ127B2C0001593</t>
  </si>
  <si>
    <t>241079.IRJ127B2C0001331</t>
  </si>
  <si>
    <t>234793.CIN-000001260002</t>
  </si>
  <si>
    <t>146653.F2610C</t>
  </si>
  <si>
    <t>208272.IHR127B2C0002441</t>
  </si>
  <si>
    <t>241854.IN26047E</t>
  </si>
  <si>
    <t>227606.26Y105</t>
  </si>
  <si>
    <t>210433.FKS26205K</t>
  </si>
  <si>
    <t>134951.IN026051203E</t>
  </si>
  <si>
    <t>204392.LM2620</t>
  </si>
  <si>
    <t>240000.IN026072002I</t>
  </si>
  <si>
    <t>241119.IRJ127B2C0001561</t>
  </si>
  <si>
    <t>219826.LSK26062202-A12</t>
  </si>
  <si>
    <t>210178.FKS26169</t>
  </si>
  <si>
    <t>MANUAL</t>
  </si>
  <si>
    <t>241075.IRJ127B2C0001561</t>
  </si>
  <si>
    <t>147021.26WLS-310J</t>
  </si>
  <si>
    <t>239021.FKS26212</t>
  </si>
  <si>
    <t>137971.FKS26228H</t>
  </si>
  <si>
    <t>235299.26L049B</t>
  </si>
  <si>
    <t>148908.26WLS-313A</t>
  </si>
  <si>
    <t>217644.FKS26184A</t>
  </si>
  <si>
    <t>207551.FKS26182E</t>
  </si>
  <si>
    <t>237932.IRJ127B2C0000347</t>
  </si>
  <si>
    <t>219830.LSK26070101-A5</t>
  </si>
  <si>
    <t>219952.SLK260408B</t>
  </si>
  <si>
    <t>242206.26WLS-310C</t>
  </si>
  <si>
    <t>big</t>
  </si>
  <si>
    <t>236092.IHR127B2C0001152</t>
  </si>
  <si>
    <t>241119.IRJ127B2C0001503</t>
  </si>
  <si>
    <t>242911.26L171D</t>
  </si>
  <si>
    <t>CHIP</t>
  </si>
  <si>
    <t>246227.LSK26071701-A1</t>
  </si>
  <si>
    <t>chio</t>
  </si>
  <si>
    <t>228997.FKS26238E</t>
  </si>
  <si>
    <t>204348.LM2631</t>
  </si>
  <si>
    <t>244798.26WLS-331B</t>
  </si>
  <si>
    <t>234804.IRJ127B2C0001870</t>
  </si>
  <si>
    <t>245621.FKS26200I</t>
  </si>
  <si>
    <t>218967.IRJ127B2C0001055</t>
  </si>
  <si>
    <t>221176.FKS26237</t>
  </si>
  <si>
    <t>243169.IN26032B</t>
  </si>
  <si>
    <t>217873.263058-G</t>
  </si>
  <si>
    <t>222900.IN026042503</t>
  </si>
  <si>
    <t>241113.IRJ127B2C0001336</t>
  </si>
  <si>
    <t>225336.IRJ127B2C0000270</t>
  </si>
  <si>
    <t>241183.IN26052B</t>
  </si>
  <si>
    <t>151703.FKS26155G</t>
  </si>
  <si>
    <t>234791.IRJ127B2C0002010</t>
  </si>
  <si>
    <t>241106.IRJ127B2C0001740</t>
  </si>
  <si>
    <t>w/shape</t>
  </si>
  <si>
    <t>236092.IHR127B2C0003142</t>
  </si>
  <si>
    <t>234804.IRJ127B2C0002031</t>
  </si>
  <si>
    <t>F.V</t>
  </si>
  <si>
    <t>241854.IN26050L</t>
  </si>
  <si>
    <t>242767.IN6033I</t>
  </si>
  <si>
    <t>151703.FKS26046K</t>
  </si>
  <si>
    <t>frame variation</t>
  </si>
  <si>
    <t>208956.IHR127B2C0003125</t>
  </si>
  <si>
    <t>246233.LSK26060502-A12</t>
  </si>
  <si>
    <t>237153.TOD-22973D</t>
  </si>
  <si>
    <t>208951.IHR127B2C0002904</t>
  </si>
  <si>
    <t>241119.IRJ127B2C0001743</t>
  </si>
  <si>
    <t>BIG SIZE</t>
  </si>
  <si>
    <t>219823.LSK26070602</t>
  </si>
  <si>
    <t>238757.26WLS-357A</t>
  </si>
  <si>
    <t>137971.FKS26228F</t>
  </si>
  <si>
    <t>221282.LSK26072102-A11</t>
  </si>
  <si>
    <t>224484.H2632</t>
  </si>
  <si>
    <t>235432.263105-Q</t>
  </si>
  <si>
    <t>241119.IRJ127B2C0001488</t>
  </si>
  <si>
    <t>BIZ SIZE</t>
  </si>
  <si>
    <t>138420.26WLS-331K</t>
  </si>
  <si>
    <t>241100.IRJ127B2C0001377</t>
  </si>
  <si>
    <t>243674.FKS26197M</t>
  </si>
  <si>
    <t>246226.LSK26071201-A4</t>
  </si>
  <si>
    <t>246232.LSK26060502-A12</t>
  </si>
  <si>
    <t>246242.LSK26072102-A5</t>
  </si>
  <si>
    <t>SMALL SIZE</t>
  </si>
  <si>
    <t>239983.IN026072002F</t>
  </si>
  <si>
    <t>241113.IRJ127B2C0002050</t>
  </si>
  <si>
    <t>241097.IRJ127B2C0001772</t>
  </si>
  <si>
    <t>241115.IRJ127B2C0001778</t>
  </si>
  <si>
    <t>148906.26WLS-331D</t>
  </si>
  <si>
    <t>219834.LSK26072202-A5</t>
  </si>
  <si>
    <t>231612.IN26039P</t>
  </si>
  <si>
    <t>234804.IRJ127B2C0002022</t>
  </si>
  <si>
    <t>149037.26WLS-314I</t>
  </si>
  <si>
    <t>211293.FKS26182C</t>
  </si>
  <si>
    <t>225336.IRJ127B2C0000539</t>
  </si>
  <si>
    <t>234799.IRJ126B2C0000757</t>
  </si>
  <si>
    <t>239839.CIN-000001218048</t>
  </si>
  <si>
    <t>241091.IRJ127B2C0001630</t>
  </si>
  <si>
    <t>244415.GLS-20260610-B</t>
  </si>
  <si>
    <t>217873.263052-G</t>
  </si>
  <si>
    <t>239999.IN026062703J</t>
  </si>
  <si>
    <t>241106.IRJ127B2C0001944</t>
  </si>
  <si>
    <t>246234.LSK26070201-A3</t>
  </si>
  <si>
    <t>208951.IHR127B2C0002574</t>
  </si>
  <si>
    <t>211293.FKS26182E</t>
  </si>
  <si>
    <t>218967.IRJ127B2C0001339</t>
  </si>
  <si>
    <t>234794.IRJ127B2C0001614</t>
  </si>
  <si>
    <t>236135.26L125</t>
  </si>
  <si>
    <t>241117.IRJ127B2C0001811</t>
  </si>
  <si>
    <t>218967.IRJ127B2C0001096</t>
  </si>
  <si>
    <t>219545.FKS26200O</t>
  </si>
  <si>
    <t>220721.INSI-26-191495</t>
  </si>
  <si>
    <t>234768.IRJ127B2C0002027</t>
  </si>
  <si>
    <t>234791.IRJ127B2C0001994</t>
  </si>
  <si>
    <t>238827.IRJ127B2C0001462</t>
  </si>
  <si>
    <t>241089.IRJ127B2C0001669</t>
  </si>
  <si>
    <t>242697.IRJ127B2C0001542</t>
  </si>
  <si>
    <t>247064.IRJ127B2C0001329</t>
  </si>
  <si>
    <t>247069.IRJ127B2C0001434</t>
  </si>
  <si>
    <t>134826.FKS26258S</t>
  </si>
  <si>
    <t>218967.IRJ127B2C0001805</t>
  </si>
  <si>
    <t>225336.IRJ126B2C0001387</t>
  </si>
  <si>
    <t>234791.IRJ127B2C0002022</t>
  </si>
  <si>
    <t>238757.26WLS-313B</t>
  </si>
  <si>
    <t>239183.26L049B</t>
  </si>
  <si>
    <t>149080.FKS26274R</t>
  </si>
  <si>
    <t>Mukul</t>
  </si>
  <si>
    <t>246240.LSK26072202-A3</t>
  </si>
  <si>
    <t>238524.GLS-20260706-B</t>
  </si>
  <si>
    <t>243248.FKS26178L</t>
  </si>
  <si>
    <t>137975.FKS26249A</t>
  </si>
  <si>
    <r>
      <rPr>
        <color rgb="FF1155CC"/>
        <u/>
      </rPr>
      <t>CCC161701603</t>
    </r>
  </si>
  <si>
    <r>
      <rPr>
        <color rgb="FF1155CC"/>
        <u/>
      </rPr>
      <t>CCC161701774</t>
    </r>
  </si>
  <si>
    <t>DEEPANSHU</t>
  </si>
  <si>
    <r>
      <rPr>
        <color rgb="FF1155CC"/>
        <u/>
      </rPr>
      <t>CCC161701769</t>
    </r>
  </si>
  <si>
    <t>234769.IRJ127B2C0001978</t>
  </si>
  <si>
    <t>236397.INSI-26-191496</t>
  </si>
  <si>
    <t>234765.IRJ127B2C0001017</t>
  </si>
  <si>
    <t>219829.LSK26080101-A5</t>
  </si>
  <si>
    <t>243841.FKS26217P</t>
  </si>
  <si>
    <t>224362.HD20251365B</t>
  </si>
  <si>
    <t>BIG/SMALL</t>
  </si>
  <si>
    <t>245913.FKS26218I</t>
  </si>
  <si>
    <t>243868.IN026062702E</t>
  </si>
  <si>
    <t>209756.LSK26062202-A2</t>
  </si>
  <si>
    <t>239021.FKS26217N</t>
  </si>
  <si>
    <t>222402.FS2613E</t>
  </si>
  <si>
    <t>211307.FS2616B</t>
  </si>
  <si>
    <t>150636.26WLS-319I</t>
  </si>
  <si>
    <t>219139.IN026063003B</t>
  </si>
  <si>
    <t>134746.FKS26205O</t>
  </si>
  <si>
    <t>210433.FKS26198P</t>
  </si>
  <si>
    <t>219262.IHR126B2C0003865</t>
  </si>
  <si>
    <t>234791.IRJ127B2C0002154</t>
  </si>
  <si>
    <t>236096.IHR127B2C0003725</t>
  </si>
  <si>
    <t>221928.IN26052S</t>
  </si>
  <si>
    <t>234780.IRJ127B2C0001089</t>
  </si>
  <si>
    <t>242146.LSK26072102-A1</t>
  </si>
  <si>
    <t>238757.26WLS-380D</t>
  </si>
  <si>
    <t>241187.IN26056C</t>
  </si>
  <si>
    <t>241094.IRJ127B2C0002149</t>
  </si>
  <si>
    <t>246018.LSK26072102-A2</t>
  </si>
  <si>
    <t>247138.FKS26245</t>
  </si>
  <si>
    <t>236092.IHR127B2C0001165</t>
  </si>
  <si>
    <t>234793.CIN-000001870615</t>
  </si>
  <si>
    <t>246823.26WLS-359A</t>
  </si>
  <si>
    <t>246815.26WLS-359A</t>
  </si>
  <si>
    <t>225336.IRJ127B2C0001005</t>
  </si>
  <si>
    <t>242597.FKS26263D</t>
  </si>
  <si>
    <t>225336.IRJ127B2C0000212</t>
  </si>
  <si>
    <t>242597.FKS26263E</t>
  </si>
  <si>
    <t>234791.IRJ127B2C0002097</t>
  </si>
  <si>
    <t>225336.IRJ127B2C0000223</t>
  </si>
  <si>
    <t>146619.26WLS-358E</t>
  </si>
  <si>
    <t>234791.IRJ127B2C0001913</t>
  </si>
  <si>
    <t>246830.26WLS-359A</t>
  </si>
  <si>
    <t>241106.IRJ127B2C0002135</t>
  </si>
  <si>
    <t>241189.IN26052E</t>
  </si>
  <si>
    <t>238757.26WLS-354P</t>
  </si>
  <si>
    <t>246234.LSK26073001-A4</t>
  </si>
  <si>
    <t>235324.26WLS-359G</t>
  </si>
  <si>
    <t>245621.FKS26191J</t>
  </si>
  <si>
    <t>221928.IN26052Q</t>
  </si>
  <si>
    <t>241265.FKS26291P</t>
  </si>
  <si>
    <t>241092.IRJ127B2C0002243</t>
  </si>
  <si>
    <t>246458.FKS26222M</t>
  </si>
  <si>
    <t>221282.LSK26062202-A3</t>
  </si>
  <si>
    <t>243843.FKS26209K</t>
  </si>
  <si>
    <t>221176.FKS26218E</t>
  </si>
  <si>
    <t>JATIN</t>
  </si>
  <si>
    <t>241187.IN26056A</t>
  </si>
  <si>
    <t>161..48</t>
  </si>
  <si>
    <t>245914.FKS26248A</t>
  </si>
  <si>
    <t>241089.IRJ127B2C0001681</t>
  </si>
  <si>
    <t>241124.IRJ127B2C0002017</t>
  </si>
  <si>
    <t>246459.FKS26222M</t>
  </si>
  <si>
    <t>246019.LSK26072901-A6</t>
  </si>
  <si>
    <t>244802.26WLS-331B</t>
  </si>
  <si>
    <t>254393.FKS26276D</t>
  </si>
  <si>
    <t>241106.IRJ127B2C0001631</t>
  </si>
  <si>
    <t>148906.26WLS-358H</t>
  </si>
  <si>
    <t>243673.FKS26222H</t>
  </si>
  <si>
    <t>241106.IRJ127B2C0002245</t>
  </si>
  <si>
    <t>150798.ZD260004C</t>
  </si>
  <si>
    <t>242138.LSK26070601-A2</t>
  </si>
  <si>
    <t>236092.IHR127B2C0002153</t>
  </si>
  <si>
    <t>219823.LSK26070602-A4</t>
  </si>
  <si>
    <t>241100.IRJ127B2C0002300</t>
  </si>
  <si>
    <t>146653.F2604A</t>
  </si>
  <si>
    <t>204382.LM2639D</t>
  </si>
  <si>
    <t>245915.FKS26272</t>
  </si>
  <si>
    <t>221172.FKS26289E</t>
  </si>
  <si>
    <t>227454.263099-K</t>
  </si>
  <si>
    <t>245911.FKS26201I</t>
  </si>
  <si>
    <t>201103.26WLS-379C</t>
  </si>
  <si>
    <t>221176.FKS26201E</t>
  </si>
  <si>
    <t>241079.IRJ127B2C0001441</t>
  </si>
  <si>
    <t>242174.LSK26071701-A6</t>
  </si>
  <si>
    <t>239026.FKS26199D</t>
  </si>
  <si>
    <t>BIG/CHIP</t>
  </si>
  <si>
    <t>216622.FKS26201B</t>
  </si>
  <si>
    <t>241119.IRJ127B2C0002452</t>
  </si>
  <si>
    <t>237328.25WLS-404C</t>
  </si>
  <si>
    <t>246240.LSK26070601-A6</t>
  </si>
  <si>
    <t>241100.IRJ127B2C0002304</t>
  </si>
  <si>
    <t>239026.FKS26290A</t>
  </si>
  <si>
    <t>221176.FKS26218</t>
  </si>
  <si>
    <t>239999.IN026061604F</t>
  </si>
  <si>
    <t>220238.KC078260814</t>
  </si>
  <si>
    <t>238757.26WLS-394M</t>
  </si>
  <si>
    <t>241112.IRJ127B2C0001544</t>
  </si>
  <si>
    <t>218966.IRJ127B2C0000086</t>
  </si>
  <si>
    <t>M Q C F</t>
  </si>
  <si>
    <t>237932.IRJ127B2C0001035</t>
  </si>
  <si>
    <t>204348.LM2639B</t>
  </si>
  <si>
    <t>WRONG SHAPE</t>
  </si>
  <si>
    <t>222272.26L151D</t>
  </si>
  <si>
    <t>236141.26L123F</t>
  </si>
  <si>
    <t>137971.FKS26291H</t>
  </si>
  <si>
    <t>244802.26WLS-396C</t>
  </si>
  <si>
    <t>244411.GLS-20260628-B</t>
  </si>
  <si>
    <t>245914.FKS26289A</t>
  </si>
  <si>
    <t>241114.IRJ127B2C0002472</t>
  </si>
  <si>
    <t>227450.263099-K</t>
  </si>
  <si>
    <t>220721.INSI-26-192084</t>
  </si>
  <si>
    <t>242175.LSK26071701-A4</t>
  </si>
  <si>
    <t>235135.IN026072701B</t>
  </si>
  <si>
    <t>241117.IRJ127B2C0002430</t>
  </si>
  <si>
    <t>221282.LSK26062202-A6</t>
  </si>
  <si>
    <t>221165.FKS26201E</t>
  </si>
  <si>
    <t>245912.FKS26218I</t>
  </si>
  <si>
    <t>210178.FKS26236</t>
  </si>
  <si>
    <t>222280.26L160B</t>
  </si>
  <si>
    <t>245905.FKS26210E</t>
  </si>
  <si>
    <t>241091.IRJ127B2C0002464</t>
  </si>
  <si>
    <t>246862.FKS26210F</t>
  </si>
  <si>
    <t>217079.LSK26072202-A6</t>
  </si>
  <si>
    <t>241119.IRJ127B2C0002282</t>
  </si>
  <si>
    <t>241100.IRJ127B2C0002277</t>
  </si>
  <si>
    <t>243273.LSK26072402-A3</t>
  </si>
  <si>
    <t>221165.FKS26289D</t>
  </si>
  <si>
    <t>217079.LSK26072402-A2</t>
  </si>
  <si>
    <t>150584.IN26047K</t>
  </si>
  <si>
    <t>BIG/WRONG SHAPE</t>
  </si>
  <si>
    <t>246820.26WLS-394I</t>
  </si>
  <si>
    <t>240000.IN026072001D</t>
  </si>
  <si>
    <t>240000.IN026071404E</t>
  </si>
  <si>
    <t>208758.INSI-26-192122</t>
  </si>
  <si>
    <t>235307.LSK26070801-A2</t>
  </si>
  <si>
    <t>239999.IN026072701J</t>
  </si>
  <si>
    <t>243052.263064-G</t>
  </si>
  <si>
    <t>221165.FKS26268A</t>
  </si>
  <si>
    <t>219823.LSK26070602-A10</t>
  </si>
  <si>
    <t>242138.LSK26070602-A2</t>
  </si>
  <si>
    <t>241448.26WLS-358B</t>
  </si>
  <si>
    <t>240000.IN026061604F</t>
  </si>
  <si>
    <t>241446.26WLS-380C</t>
  </si>
  <si>
    <t>241832.IN26050T</t>
  </si>
  <si>
    <t>211318.26WLS-358C</t>
  </si>
  <si>
    <t>147938.FKS26138U</t>
  </si>
  <si>
    <t>241183.IN26052K</t>
  </si>
  <si>
    <t>237938.IHR127B2C0003206</t>
  </si>
  <si>
    <t>239999.IN026060904E</t>
  </si>
  <si>
    <t>SMALL/CHIP</t>
  </si>
  <si>
    <t>241184.IN26054L</t>
  </si>
  <si>
    <t>243867.IN026072402J</t>
  </si>
  <si>
    <t>chip</t>
  </si>
  <si>
    <t>246864.FKS26220</t>
  </si>
  <si>
    <t>246892.263136-D</t>
  </si>
  <si>
    <t>242762.IN26054K</t>
  </si>
  <si>
    <t>241121.IRJ127B2C0002397</t>
  </si>
  <si>
    <t>246865.FKS26210F</t>
  </si>
  <si>
    <t>242286.FKS26309C</t>
  </si>
  <si>
    <t>201104.26WLS-148D</t>
  </si>
  <si>
    <t>BIG/SCRATCH</t>
  </si>
  <si>
    <t>221172.FKS26304B</t>
  </si>
  <si>
    <t>137934.FS2619C</t>
  </si>
  <si>
    <t>BIG/WRONG</t>
  </si>
  <si>
    <t>137935.FS2619B</t>
  </si>
  <si>
    <t>240000.IN026072701J</t>
  </si>
  <si>
    <t>241100.IRJ127B2C0002458</t>
  </si>
  <si>
    <t>222262.LSK26080101-A4</t>
  </si>
  <si>
    <t>222276.25L357D</t>
  </si>
  <si>
    <t>241509.FKS26311C</t>
  </si>
  <si>
    <t>SCRATCH</t>
  </si>
  <si>
    <t>241119.IRJ127B2C0002373</t>
  </si>
  <si>
    <t>134756.FKS26286I</t>
  </si>
  <si>
    <t>236146.26L134G</t>
  </si>
  <si>
    <t>SCRATCH/CHIP</t>
  </si>
  <si>
    <t>234804.IRJ127B2C0002349</t>
  </si>
  <si>
    <t>242762.IN26029I</t>
  </si>
  <si>
    <t>241832.IN26050S</t>
  </si>
  <si>
    <t>245622.FKS26247J</t>
  </si>
  <si>
    <t>215378.263124-C</t>
  </si>
  <si>
    <t>WRONG</t>
  </si>
  <si>
    <t>241100.IRJ127B2C0002345</t>
  </si>
  <si>
    <t>225123.JD-C26062C</t>
  </si>
  <si>
    <t>222135.KC078260604</t>
  </si>
  <si>
    <t>212873.FKS26256N</t>
  </si>
  <si>
    <t>255858.FKS26294</t>
  </si>
  <si>
    <t>230537.KC078260519E</t>
  </si>
  <si>
    <t>206127.FKS26321C</t>
  </si>
  <si>
    <t>242597.FKS26314L</t>
  </si>
  <si>
    <t>207671.IHR127B2C0002624</t>
  </si>
  <si>
    <t>244257.26Y090</t>
  </si>
  <si>
    <t>241185.IN26054E</t>
  </si>
  <si>
    <t>241094.IRJ127B2C0002470</t>
  </si>
  <si>
    <t>206728.FKS26197H</t>
  </si>
  <si>
    <t>240785.FKS26297A</t>
  </si>
  <si>
    <t>210433.FKS26197T</t>
  </si>
  <si>
    <t>241093.IRJ127B2C0002248</t>
  </si>
  <si>
    <t>241100.IRJ127B2C0002578</t>
  </si>
  <si>
    <t>206728.FKS26191E</t>
  </si>
  <si>
    <t>221282.LSK26062202-A4</t>
  </si>
  <si>
    <t>241112.IRJ127B2C0002700</t>
  </si>
  <si>
    <t>211293.FKS26183H</t>
  </si>
  <si>
    <t>200859.INSI-26-192301</t>
  </si>
  <si>
    <t>239836.FKS26302G</t>
  </si>
  <si>
    <t>239999.IN026081002E</t>
  </si>
  <si>
    <t>231612.IN26054P</t>
  </si>
  <si>
    <t>242651.FKS26105L</t>
  </si>
  <si>
    <t>241186.IN26056C</t>
  </si>
  <si>
    <t>245911.FKS26218I</t>
  </si>
  <si>
    <t>221172.FKS26304A</t>
  </si>
  <si>
    <t>217659.FKS26190E</t>
  </si>
  <si>
    <t>239021.FKS26323A</t>
  </si>
  <si>
    <t>211293.FKS26182D</t>
  </si>
  <si>
    <t>241112.IRJ127B2C0002302</t>
  </si>
  <si>
    <t>241100.IRJ127B2C0002100</t>
  </si>
  <si>
    <t>241124.IRJ127B2C0002671</t>
  </si>
  <si>
    <t>242674.IRJ127B2C0001356</t>
  </si>
  <si>
    <t>CHIP/BIG</t>
  </si>
  <si>
    <t>218966.IRJ127B2C0000380</t>
  </si>
  <si>
    <t>225336.IRJ127B2C0002585</t>
  </si>
  <si>
    <t>206775.WMW26YFS0128A</t>
  </si>
  <si>
    <t>150584.IN26023F</t>
  </si>
  <si>
    <t>238022.FKS26267I</t>
  </si>
  <si>
    <t>209151.IN24033D</t>
  </si>
  <si>
    <t>238022.FKS26270J</t>
  </si>
  <si>
    <t>234807.CIN-000001021512</t>
  </si>
  <si>
    <t>wrong shape</t>
  </si>
  <si>
    <t>219834.LSK26082001-A3</t>
  </si>
  <si>
    <t>206775.WMW26YFS0209</t>
  </si>
  <si>
    <t>244642.IN026072002K</t>
  </si>
  <si>
    <t>148488.FKS26260O</t>
  </si>
  <si>
    <t>150609.FKS26325E</t>
  </si>
  <si>
    <t>241074.IRJ127B2C0002437</t>
  </si>
  <si>
    <t>247078.IRJ127B2C0002446</t>
  </si>
  <si>
    <t>236092.IHR127B2C0001880</t>
  </si>
  <si>
    <t>241117.IRJ127B2C0002503</t>
  </si>
  <si>
    <t>217079.LSK26082501-A7</t>
  </si>
  <si>
    <t>222280.26L160C</t>
  </si>
  <si>
    <t>BIG /SCRATCH</t>
  </si>
  <si>
    <t>241089.IRJ127B2C0001744</t>
  </si>
  <si>
    <t>222135.KC078260616</t>
  </si>
  <si>
    <t>236398.INSI-26-192183</t>
  </si>
  <si>
    <t>243170.IN26067B</t>
  </si>
  <si>
    <t>CHIP/SCRACTH</t>
  </si>
  <si>
    <t>241100.IRJ127B2C0002669</t>
  </si>
  <si>
    <t>241124.IRJ127B2C0002521</t>
  </si>
  <si>
    <t>236141.26L108B</t>
  </si>
  <si>
    <t>152984.FKS26261F</t>
  </si>
  <si>
    <t>236095.IHR126B2C0000520</t>
  </si>
  <si>
    <t>208956.IHR127B2C0002976</t>
  </si>
  <si>
    <t>242175.LSK26070602-A12</t>
  </si>
  <si>
    <t>137971.FKS26175E</t>
  </si>
  <si>
    <t>242143.LSK26071101-A3</t>
  </si>
  <si>
    <t>242597.FKS26314K</t>
  </si>
  <si>
    <t>SMALL SHAPE</t>
  </si>
  <si>
    <t>239316.IN026082901D</t>
  </si>
  <si>
    <t>210178.FKS26182H</t>
  </si>
  <si>
    <t>221176.FKS26188C</t>
  </si>
  <si>
    <t>234791.IRJ127B2C0002125</t>
  </si>
  <si>
    <t>239839.IRJ127B2C0002441</t>
  </si>
  <si>
    <t>241114.IRJ127B2C0002429</t>
  </si>
  <si>
    <t>big/chip</t>
  </si>
  <si>
    <t>241119.IRJ127B2C0002561</t>
  </si>
  <si>
    <t>big/scratch</t>
  </si>
  <si>
    <t>207671.IHR127B2C0003243</t>
  </si>
  <si>
    <t>211292.FKS26336G</t>
  </si>
  <si>
    <t>240000.IN026081704Q</t>
  </si>
  <si>
    <t>chip/big</t>
  </si>
  <si>
    <t>220577.H2632</t>
  </si>
  <si>
    <t>chip/scratch</t>
  </si>
  <si>
    <t>239030.FKS26274B</t>
  </si>
  <si>
    <t>scratch</t>
  </si>
  <si>
    <t>149602.FKS26286C</t>
  </si>
  <si>
    <t>241124.IRJ127B2C0002431</t>
  </si>
  <si>
    <t>238757.26WLS-425K</t>
  </si>
  <si>
    <t>scratch/big</t>
  </si>
  <si>
    <t>241124.IRJ127B2C0002185</t>
  </si>
  <si>
    <t>242145.LSK26072101-A3</t>
  </si>
  <si>
    <t>242221.IRJ127B2C0001909</t>
  </si>
  <si>
    <t>241098.IRJ127B2C0001765</t>
  </si>
  <si>
    <t>209756.LSK26081401-A8</t>
  </si>
  <si>
    <t>225339.IRJ127B2C0002575-CH01</t>
  </si>
  <si>
    <t>234780.IRJ127B2C0001056</t>
  </si>
  <si>
    <t>241958.FKS26305J</t>
  </si>
  <si>
    <t>POP OUT</t>
  </si>
  <si>
    <t>ok</t>
  </si>
  <si>
    <t>229137.FKS25155B</t>
  </si>
  <si>
    <t>219769.IN26072A</t>
  </si>
  <si>
    <t>136711.FKS26199F</t>
  </si>
  <si>
    <t>212873.FKS26256M</t>
  </si>
  <si>
    <t>221163.FKS26151B</t>
  </si>
  <si>
    <t>221282.LSK20250819-A4</t>
  </si>
  <si>
    <t>219829.LSK26060502-A4</t>
  </si>
  <si>
    <t>OK</t>
  </si>
  <si>
    <t>221282.LSK20260331-A2</t>
  </si>
  <si>
    <t>222135.KC078250426</t>
  </si>
  <si>
    <t>242238.IRJ127B2C0001549</t>
  </si>
  <si>
    <t>209756.LSK26081401-A9</t>
  </si>
  <si>
    <t>222135.KC078260408B</t>
  </si>
  <si>
    <t>241085.IRJ127B2C0002091</t>
  </si>
  <si>
    <t>150609.FKS26325F</t>
  </si>
  <si>
    <t>136711.FKS26239G</t>
  </si>
  <si>
    <t>241958.FKS26214A</t>
  </si>
  <si>
    <t>207551.FKS26247D</t>
  </si>
  <si>
    <t>206728.FKS26320B</t>
  </si>
  <si>
    <t>218966.IRJ127B2C0001180</t>
  </si>
  <si>
    <t>\52.30</t>
  </si>
  <si>
    <t>237234.26WLS-319A</t>
  </si>
  <si>
    <t>242174.LSK26083101-A6</t>
  </si>
  <si>
    <t>241446.26WLS-327B</t>
  </si>
  <si>
    <t>241387.IN26059H</t>
  </si>
  <si>
    <t>WITHOUT SHAPE</t>
  </si>
  <si>
    <t>218966.IRJ127B2C0002541</t>
  </si>
  <si>
    <t>238663.GLS-20260125</t>
  </si>
  <si>
    <t>242597.FKS26305M</t>
  </si>
  <si>
    <t>255334.FKS26331B</t>
  </si>
  <si>
    <t>229137.FKS26124B</t>
  </si>
  <si>
    <t xml:space="preserve">POP OUT </t>
  </si>
  <si>
    <t>210424.FKS25184H</t>
  </si>
  <si>
    <t>241098.IRJ127B2C0002854</t>
  </si>
  <si>
    <t>227040.26Y135</t>
  </si>
  <si>
    <t>GITANJALI</t>
  </si>
  <si>
    <t>234768.IRJ127B2C0002729</t>
  </si>
  <si>
    <t>241117.IRJ127B2C0002473</t>
  </si>
  <si>
    <t>217079.LSK26090401-A6</t>
  </si>
  <si>
    <t>221174.FKS26289F</t>
  </si>
  <si>
    <t>246043.LSK26072102-A8</t>
  </si>
  <si>
    <t>213182.LSK26082001-A6</t>
  </si>
  <si>
    <t>239157.FKS26333</t>
  </si>
  <si>
    <t>240793.FKS26283B</t>
  </si>
  <si>
    <t>242145.LSK26071201-A1</t>
  </si>
  <si>
    <t>131321.CL2024011F</t>
  </si>
  <si>
    <t>241089.IRJ127B2C0002215</t>
  </si>
  <si>
    <t>241114.IRJ127B2C0002433</t>
  </si>
  <si>
    <t>247077.IRJ127B2C0002793</t>
  </si>
  <si>
    <t>210178.FKS26249A</t>
  </si>
  <si>
    <t>234792.IRJ126B2C0000606</t>
  </si>
  <si>
    <t>219825.LSK26060502-A15</t>
  </si>
  <si>
    <t>137971.FKS26308D</t>
  </si>
  <si>
    <t>207481.IHR127B2C0001227</t>
  </si>
  <si>
    <t>207481.IN24045G</t>
  </si>
  <si>
    <t>NO SHAPE FOUND</t>
  </si>
  <si>
    <t>234796.IRJ127B2C0002709</t>
  </si>
  <si>
    <t>241855.IN26061M</t>
  </si>
  <si>
    <t>150584.IN25040G</t>
  </si>
  <si>
    <t>210271.CIN-000001765536</t>
  </si>
  <si>
    <t>237234.25WLS-528B</t>
  </si>
  <si>
    <t>134746.FKS26140O</t>
  </si>
  <si>
    <t>220577.H2629</t>
  </si>
  <si>
    <t>149080.FKS26191T</t>
  </si>
  <si>
    <t>150636.26WLS-083F</t>
  </si>
  <si>
    <t>207370.FKS26349C</t>
  </si>
  <si>
    <t>241100.IRJ127B2C0002611</t>
  </si>
  <si>
    <t>221172.FKS26345G</t>
  </si>
  <si>
    <t>241100.IRJ127B2C0002818</t>
  </si>
  <si>
    <t>243276.LSK26090901-A2</t>
  </si>
  <si>
    <t>246230.LSK26090901-A1</t>
  </si>
  <si>
    <t>137971.FKS26307H</t>
  </si>
  <si>
    <t>241099.IRJ127B2C0002942</t>
  </si>
  <si>
    <t>242813.IN26072B</t>
  </si>
  <si>
    <t>239999.IN026062202D</t>
  </si>
  <si>
    <t>246819.26WLS-379A</t>
  </si>
  <si>
    <t>241117.IRJ127B2C0002780</t>
  </si>
  <si>
    <t>241119.IRJ127B2C0002900</t>
  </si>
  <si>
    <t>241075.IRJ127B2C0002281</t>
  </si>
  <si>
    <t>211318.26WLS-379C</t>
  </si>
  <si>
    <t>SCRATCH/BIG</t>
  </si>
  <si>
    <t>219826.LSK26061102-A5</t>
  </si>
  <si>
    <t>221176.FKS26334A</t>
  </si>
  <si>
    <t>215405.KC078260319F</t>
  </si>
  <si>
    <t>218967.IRJ127B2C0003141</t>
  </si>
  <si>
    <t>221174.FKS26158D</t>
  </si>
  <si>
    <t>221172.FKS26345H</t>
  </si>
  <si>
    <t>219826.LSK26090901-A6</t>
  </si>
  <si>
    <t>221176.FKS26218F</t>
  </si>
  <si>
    <t>244245.LSK26090901-A4</t>
  </si>
  <si>
    <t>238759.26WLS-407N</t>
  </si>
  <si>
    <t>223230.263082-D</t>
  </si>
  <si>
    <t>234793.CIN-000001870615.org</t>
  </si>
  <si>
    <t>213182.LSK26083101-A4</t>
  </si>
  <si>
    <t>236092.IHR127B2C0002208</t>
  </si>
  <si>
    <t>238534.GLS-20260906-B</t>
  </si>
  <si>
    <t>238761.26WLS-442E</t>
  </si>
  <si>
    <t>241085.IRJ127B2C0003005</t>
  </si>
  <si>
    <t>238524.GLS-20260828-B</t>
  </si>
  <si>
    <t>240551.LSK26090901-A2</t>
  </si>
  <si>
    <t>239021.FKS26350A</t>
  </si>
  <si>
    <t>216744.HD20261284</t>
  </si>
  <si>
    <t>149080.FKS26205O</t>
  </si>
  <si>
    <t>201103.26WLS-328E</t>
  </si>
  <si>
    <t>227040.26Y100D</t>
  </si>
  <si>
    <t>220577.H2528A</t>
  </si>
  <si>
    <t>234765.IRJ127B2C0001833</t>
  </si>
  <si>
    <t>253884.26WLS-407K</t>
  </si>
  <si>
    <t>221163.FKS26375C</t>
  </si>
  <si>
    <t>HIGH FRAME VARIATION</t>
  </si>
  <si>
    <t>218966.IRJ127B2C0001181</t>
  </si>
  <si>
    <t>242697.IRJ127B2C0003012</t>
  </si>
  <si>
    <t>242596.FKS26341C</t>
  </si>
  <si>
    <t>149598.FKS26169E</t>
  </si>
  <si>
    <t>241387.IN26075D</t>
  </si>
  <si>
    <t>238757.26WLS-426B</t>
  </si>
  <si>
    <t>151705.FKS26154D</t>
  </si>
  <si>
    <t>234798.IRJ127B2C0001735</t>
  </si>
  <si>
    <t>237932.CIN-000001368359</t>
  </si>
  <si>
    <t>240554.LSK26090901-A2</t>
  </si>
  <si>
    <t>LOOSE FITTING</t>
  </si>
  <si>
    <t>246852.FKS26229D</t>
  </si>
  <si>
    <t>241183.IN26038A</t>
  </si>
  <si>
    <t>241805.IN026042004A</t>
  </si>
  <si>
    <t>241120.IRJ127B2C0002380</t>
  </si>
  <si>
    <t>241078.IRJ127B2C0003036</t>
  </si>
  <si>
    <t>241089.IRJ127B2C0000907</t>
  </si>
  <si>
    <t>241129.IRJ127B2C0002959</t>
  </si>
  <si>
    <t>240553.LSK26090901-A2</t>
  </si>
  <si>
    <t>241855.IN26061O</t>
  </si>
  <si>
    <t>240552.LSK26090901-A2</t>
  </si>
  <si>
    <t>241115.IRJ127B2C0002794</t>
  </si>
  <si>
    <t>216742.HD20261284</t>
  </si>
  <si>
    <t>255278.IN26061J</t>
  </si>
  <si>
    <t>234792.IRJ127B2C0003071</t>
  </si>
  <si>
    <t>247077.IRJ127B2C0002918</t>
  </si>
  <si>
    <t>241115.IRJ127B2C0002813</t>
  </si>
  <si>
    <t>239839.IRJ127B2C0002534</t>
  </si>
  <si>
    <t>247065.IRJ127B2C0002420</t>
  </si>
  <si>
    <t>241095.IRJ127B2C0002020-CH01</t>
  </si>
  <si>
    <t>254395.FKS26340J</t>
  </si>
  <si>
    <t>237934.IRJ127B2C0002934</t>
  </si>
  <si>
    <t>241117.IRJ127B2C0002872</t>
  </si>
  <si>
    <t>241106.IRJ127B2C0002276</t>
  </si>
  <si>
    <t>241089.IRJ127B2C0003157</t>
  </si>
  <si>
    <t>241188.IN26062I</t>
  </si>
  <si>
    <t>201557.FKS26325A</t>
  </si>
  <si>
    <t>219829.LSK26090401-A11</t>
  </si>
  <si>
    <t>211293.FKS26367D</t>
  </si>
  <si>
    <t>245116.GLS-20260819-B</t>
  </si>
  <si>
    <t>242275.FKS26286A</t>
  </si>
  <si>
    <t>247069.IRJ127B2C0002270</t>
  </si>
  <si>
    <t>241098.IRJ127B2C0002720</t>
  </si>
  <si>
    <t>148480.FKS26353D</t>
  </si>
  <si>
    <t xml:space="preserve">WRONG </t>
  </si>
  <si>
    <t>CORRECTED</t>
  </si>
  <si>
    <t>234791.IRJ127B2C</t>
  </si>
  <si>
    <t>207671.IHR127B2C0003244</t>
  </si>
  <si>
    <t>234510.FKS26398B</t>
  </si>
  <si>
    <t>241833.IN26023B</t>
  </si>
  <si>
    <t>208951.IHR127B2C0004675</t>
  </si>
  <si>
    <t>215926.IHR127B2C0004691</t>
  </si>
  <si>
    <t>234791.IRJ127B2C0002984</t>
  </si>
  <si>
    <t>238761.26WLS-443G</t>
  </si>
  <si>
    <t>242174.LSK26091601-A9</t>
  </si>
  <si>
    <t>241075.IRJ127B2C0002293</t>
  </si>
  <si>
    <t>210442.FKS26364O</t>
  </si>
  <si>
    <t>236103.IHR127B2C0003831</t>
  </si>
  <si>
    <t>240000.IN026062203J</t>
  </si>
  <si>
    <t>241113.IRJ127B2C0003011</t>
  </si>
  <si>
    <t>242598.FKS26356K</t>
  </si>
  <si>
    <t>243151.FKS26286B</t>
  </si>
  <si>
    <t>247078.IRJ127B2C0003016</t>
  </si>
  <si>
    <t>211293.FKS26398A</t>
  </si>
  <si>
    <t>219829.LSK20260529-A3</t>
  </si>
  <si>
    <t>241089.IRJ127B2C0002912</t>
  </si>
  <si>
    <t>241114.IRJ127B2C0002514</t>
  </si>
  <si>
    <t>241117.IRJ127B2C0002923</t>
  </si>
  <si>
    <t>244418.GLS-20260706-A</t>
  </si>
  <si>
    <t>VIVEK</t>
  </si>
  <si>
    <t>242697.IRJ127B2C0001704</t>
  </si>
  <si>
    <t>227040.26Y168A</t>
  </si>
  <si>
    <t>238755.26WLS-379G</t>
  </si>
  <si>
    <t>237234.26WLS-313L</t>
  </si>
  <si>
    <t>pop out</t>
  </si>
  <si>
    <t>optyl</t>
  </si>
  <si>
    <t>255273.IN26066D</t>
  </si>
  <si>
    <t>W-SHAPE</t>
  </si>
  <si>
    <t>137935.FS2621A</t>
  </si>
  <si>
    <t>201232.INSI-26-191496</t>
  </si>
  <si>
    <t>242175.LSK26081801-A4</t>
  </si>
  <si>
    <t>241271.FKS26302O</t>
  </si>
  <si>
    <t>151705.FKS26067C</t>
  </si>
  <si>
    <t>241855.IN26075K</t>
  </si>
  <si>
    <t>240000.IN026082301H</t>
  </si>
  <si>
    <t>242597.FKS26341E</t>
  </si>
  <si>
    <t>238583.GLS-20260913-B</t>
  </si>
  <si>
    <t>238663.GLS-20260913-B</t>
  </si>
  <si>
    <t>207551.FKS26183D</t>
  </si>
  <si>
    <t>241097.IRJ127B2C0002926</t>
  </si>
  <si>
    <t>224444.LKT26039-3</t>
  </si>
  <si>
    <t>242598.FKS26354N</t>
  </si>
  <si>
    <t>234800.IRJ127B2C0002417</t>
  </si>
  <si>
    <t>CT02954</t>
  </si>
  <si>
    <t>241189.IN26077D</t>
  </si>
  <si>
    <t>151705.FKS26350E</t>
  </si>
  <si>
    <t>241184.IN26001A</t>
  </si>
  <si>
    <t>235135.IN026082901</t>
  </si>
  <si>
    <t>234804.IRJ127B2C00028</t>
  </si>
  <si>
    <t>236113.IHR127B2C0004294</t>
  </si>
  <si>
    <t>236909.IRJ127B2C0000250</t>
  </si>
  <si>
    <t>236103.IHR127B2C0003401</t>
  </si>
  <si>
    <t>240428.HV26827B</t>
  </si>
  <si>
    <t>212972.IHR127B2C0004820</t>
  </si>
  <si>
    <t>239021.FKS26323B</t>
  </si>
  <si>
    <t>208272.IHR127B2C0002454</t>
  </si>
  <si>
    <t>150021.IN25044D</t>
  </si>
  <si>
    <t>254349.FKS26387E</t>
  </si>
  <si>
    <t>218763.FKS26362J</t>
  </si>
  <si>
    <t>201097.25WLS-506F</t>
  </si>
  <si>
    <t>247531.FKS26320D</t>
  </si>
  <si>
    <t>241089.IRJ127B2C0002944</t>
  </si>
  <si>
    <t>216521.IHR127B2C0004620</t>
  </si>
  <si>
    <t>207370.FKS26256L</t>
  </si>
  <si>
    <t>149080.FKS26302K</t>
  </si>
  <si>
    <t>245622.FKS26222D</t>
  </si>
  <si>
    <t>219829.LSK26061102-A15</t>
  </si>
  <si>
    <t>241119.IRJ127B2C0002975</t>
  </si>
  <si>
    <t>INVENTORY ZERO</t>
  </si>
  <si>
    <t>221176.FKS26201D</t>
  </si>
  <si>
    <t>FRAME VARIATION</t>
  </si>
  <si>
    <t>236103.IHR127B2C0003806</t>
  </si>
  <si>
    <t>216521.IHR127B2C0004612</t>
  </si>
  <si>
    <t>207672.CIN-000001590037</t>
  </si>
  <si>
    <t>208951.IHR127B2C0003014</t>
  </si>
  <si>
    <t>245975.IN026053002A</t>
  </si>
  <si>
    <t>151701.FKS26388B</t>
  </si>
  <si>
    <t>221172.FKS26394I</t>
  </si>
  <si>
    <t>DONE</t>
  </si>
  <si>
    <t>254394.FKS26298G</t>
  </si>
  <si>
    <t>216521.IHR127B2C0004614</t>
  </si>
  <si>
    <t>244786.26WLS-396C</t>
  </si>
  <si>
    <t>238654.GLS-20260831-A</t>
  </si>
  <si>
    <t>209756.LSK20260511-A5</t>
  </si>
  <si>
    <t>210178.FKS26247D</t>
  </si>
  <si>
    <t>224484.H2650B</t>
  </si>
  <si>
    <t>219830.LSK26082001-A5</t>
  </si>
  <si>
    <t>150583.IN26039O</t>
  </si>
  <si>
    <t>242598.FKS26371K</t>
  </si>
  <si>
    <t>242632.IN26018C</t>
  </si>
  <si>
    <t>256500.THM260001</t>
  </si>
  <si>
    <t>240552.LSK26090902-A4</t>
  </si>
  <si>
    <t>207671.IN26087C</t>
  </si>
  <si>
    <t>239999.IN026062702I</t>
  </si>
  <si>
    <t>241120.IRJ127B2C0002672</t>
  </si>
  <si>
    <t>236141.26L150D</t>
  </si>
  <si>
    <t>239030.FKS26200F</t>
  </si>
  <si>
    <t>150583.IN26079M</t>
  </si>
  <si>
    <t>217446.IHR127B2C0004569</t>
  </si>
  <si>
    <t>256501.THM260001</t>
  </si>
  <si>
    <t>234793.IRJ127B2C0003071</t>
  </si>
  <si>
    <t>208956.IN26078B</t>
  </si>
  <si>
    <t>225336.IRJ127B2C0003252</t>
  </si>
  <si>
    <t>241114.IRJ127B2C0003056</t>
  </si>
  <si>
    <t>207481.IHR127B2C0003258</t>
  </si>
  <si>
    <t>222262.LSK26091801-A13</t>
  </si>
  <si>
    <t>241093.IRJ127B2C0002798</t>
  </si>
  <si>
    <t>244799.26WLS-331A</t>
  </si>
  <si>
    <t>219823.LSK26100801-A10</t>
  </si>
  <si>
    <t>146617.26WLS-443F</t>
  </si>
  <si>
    <t>147939.CIN-000001885688</t>
  </si>
  <si>
    <t>222403.FS2621B</t>
  </si>
  <si>
    <t>245622.FKS26200H</t>
  </si>
  <si>
    <t>150129.INSI-26-193599</t>
  </si>
  <si>
    <t>245988.263120-G</t>
  </si>
  <si>
    <t>219139.IN026092903A</t>
  </si>
  <si>
    <t>241118.IRJ127B2C0002488</t>
  </si>
  <si>
    <t>234804.IRJ127B2C0002849</t>
  </si>
  <si>
    <t>241085.IRJ127B2C0002716</t>
  </si>
  <si>
    <t>256503.THM260001</t>
  </si>
  <si>
    <t>242175.LSK26091601-A5</t>
  </si>
  <si>
    <t>245915.FKS26394L</t>
  </si>
  <si>
    <t>241119.IRJ127B2C0003398</t>
  </si>
  <si>
    <t>246908.263174-B</t>
  </si>
  <si>
    <t>234769.IRJ127B2C0003240</t>
  </si>
  <si>
    <t>242632.IN26079K</t>
  </si>
  <si>
    <t>206824.IHR127B2C0004880</t>
  </si>
  <si>
    <t>245641.TOD-23022</t>
  </si>
  <si>
    <t>UNDER OBSERVATION</t>
  </si>
  <si>
    <t>238021.FKS26271</t>
  </si>
  <si>
    <t>254869.IN26070A</t>
  </si>
  <si>
    <t>234798.IRJ127B2C0002925</t>
  </si>
  <si>
    <t>241272.FKS26274V</t>
  </si>
  <si>
    <t>135212.IN026092903H</t>
  </si>
  <si>
    <t>236103.IHR127B2C0003798</t>
  </si>
  <si>
    <t>217079.LSK26090401-A10</t>
  </si>
  <si>
    <t>241210.IN26077D</t>
  </si>
  <si>
    <t>210433.FKS26413L</t>
  </si>
  <si>
    <t>217667.FKS26182B</t>
  </si>
  <si>
    <t>219532.FKS26385K</t>
  </si>
  <si>
    <t>224484.H2646A</t>
  </si>
  <si>
    <t>loose fitting</t>
  </si>
  <si>
    <t>216712.IHR127B2C0004868</t>
  </si>
  <si>
    <t>240335.IN026052702</t>
  </si>
  <si>
    <t>241836.IN26018B</t>
  </si>
  <si>
    <t>241100.IRJ127B2C0003566</t>
  </si>
  <si>
    <t>241855.IN26066I</t>
  </si>
  <si>
    <t>241855.IN26066I.org</t>
  </si>
  <si>
    <t>241839.IN26085J</t>
  </si>
  <si>
    <t>219826.LSK26062202-A8</t>
  </si>
  <si>
    <t>234791.IRJ127B2C0003326</t>
  </si>
  <si>
    <t>207551.FKS26397</t>
  </si>
  <si>
    <t>241117.IRJ127B2C0003089</t>
  </si>
  <si>
    <t>218967.IRJ127B2C0003346</t>
  </si>
  <si>
    <t>234806.IRJ127B2C0002730</t>
  </si>
  <si>
    <t>150581.IN26034E</t>
  </si>
  <si>
    <t>206828.IHR127B2C0004994</t>
  </si>
  <si>
    <t>221163.FKS26417D</t>
  </si>
  <si>
    <t>209756.LSK20260602-A2</t>
  </si>
  <si>
    <t>247539.FKS26285F</t>
  </si>
  <si>
    <t>241099.IRJ127B2C0003296</t>
  </si>
  <si>
    <t>212972.IHR127B2C0004683</t>
  </si>
  <si>
    <t>216712.IHR127B2C0004868.</t>
  </si>
  <si>
    <t>241097.IRJ127B2C0003339</t>
  </si>
  <si>
    <t>234512.FKS26287</t>
  </si>
  <si>
    <t>245132.GLS-20260824-B</t>
  </si>
  <si>
    <t>241958.FKS26255B</t>
  </si>
  <si>
    <t>146653.F2615D</t>
  </si>
  <si>
    <t>229137.FKS26251D</t>
  </si>
  <si>
    <t>234805.IRJ127B2C0000735</t>
  </si>
  <si>
    <t>146653.F2615C</t>
  </si>
  <si>
    <t>241189.IN26056C</t>
  </si>
  <si>
    <t>216521.IHR127B2C0004613</t>
  </si>
  <si>
    <t>253871.26WLS-470B</t>
  </si>
  <si>
    <t>222576.FKS26430G</t>
  </si>
  <si>
    <t>238741.IN26089A</t>
  </si>
  <si>
    <t>247175.FKS26378</t>
  </si>
  <si>
    <t>236092.IHR127B2C0001881</t>
  </si>
  <si>
    <t>209151.IN24026N</t>
  </si>
  <si>
    <t>DRILL &amp; POSITION OK</t>
  </si>
  <si>
    <t>PID.INVOICE</t>
  </si>
  <si>
    <t>Total Items</t>
  </si>
  <si>
    <t>QC Done (DOT)</t>
  </si>
  <si>
    <t>MEI Fail (DOT)</t>
  </si>
  <si>
    <t>MEI Fail % (DOT)</t>
  </si>
  <si>
    <t>First frame_type</t>
  </si>
  <si>
    <t>ISSUE PERCENTAGE</t>
  </si>
  <si>
    <t>Full Rim</t>
  </si>
  <si>
    <t>255133.KC078260911G</t>
  </si>
  <si>
    <t>CHIP/SCRATCH</t>
  </si>
  <si>
    <t>135941.IN026060904</t>
  </si>
  <si>
    <t>149136.F02508</t>
  </si>
  <si>
    <t>217718.HV26687B</t>
  </si>
  <si>
    <t>Rimless</t>
  </si>
  <si>
    <t>241117.IRJ127B2C0002779</t>
  </si>
  <si>
    <t>211292.FKS26362E</t>
  </si>
  <si>
    <t>242697.IRJ127B2C0001170</t>
  </si>
  <si>
    <t>frame_product_id</t>
  </si>
  <si>
    <t>invoice</t>
  </si>
  <si>
    <t>vendor_invoice</t>
  </si>
  <si>
    <t>Dot Invoice %</t>
  </si>
  <si>
    <t>Vendor Invoice %</t>
  </si>
  <si>
    <t>Base Invoice %</t>
  </si>
  <si>
    <t>POP OUT Hold %</t>
  </si>
  <si>
    <t>FKS26289A</t>
  </si>
  <si>
    <t>LSK26091801-A13</t>
  </si>
  <si>
    <t>H2650B</t>
  </si>
  <si>
    <t>IRJ127B2C0003252</t>
  </si>
  <si>
    <t>FKS26272</t>
  </si>
  <si>
    <t>263082-D</t>
  </si>
  <si>
    <t>IRJ127B2C0003056</t>
  </si>
  <si>
    <t>IRJ127B2C0003089</t>
  </si>
  <si>
    <t>IRJ127B2C0002984</t>
  </si>
  <si>
    <t>IN026081002E</t>
  </si>
  <si>
    <t>IN026072701J</t>
  </si>
  <si>
    <t>26WLS-331A</t>
  </si>
  <si>
    <t>FKS26317E</t>
  </si>
  <si>
    <t>207551.FKS26317E</t>
  </si>
  <si>
    <t>pid.invoices</t>
  </si>
  <si>
    <t>POP OUT Hold %2</t>
  </si>
  <si>
    <t>218966.IRJ127B2C0000918</t>
  </si>
  <si>
    <t>241120.IRJ127B2C0002479</t>
  </si>
  <si>
    <t>241100.IRJ127B2C0003130</t>
  </si>
  <si>
    <t>236141.26L101D</t>
  </si>
  <si>
    <t>236141.26L109A</t>
  </si>
  <si>
    <t>238662.GLS-20260913-A</t>
  </si>
  <si>
    <t>134947.IN026053002E</t>
  </si>
  <si>
    <t>219823.LSK26070602-A7</t>
  </si>
  <si>
    <t>219825.LSK26090401-A3</t>
  </si>
  <si>
    <t>241107.IRJ127B2C0002597</t>
  </si>
  <si>
    <t>241114.IRJ127B2C0002411</t>
  </si>
  <si>
    <t>241186.IN26074C</t>
  </si>
  <si>
    <t>241386.IN26082J</t>
  </si>
  <si>
    <t>242253.FKS26367A</t>
  </si>
  <si>
    <t>243673.FKS26333</t>
  </si>
  <si>
    <t>Pid.Invoice</t>
  </si>
  <si>
    <t>Type reject</t>
  </si>
  <si>
    <t>TIME Period</t>
  </si>
  <si>
    <t>wrong</t>
  </si>
  <si>
    <t>issue</t>
  </si>
  <si>
    <t>percentage</t>
  </si>
  <si>
    <t>Available</t>
  </si>
  <si>
    <t>30 Sep-1Oct</t>
  </si>
  <si>
    <t>2Oct-5Oct</t>
  </si>
  <si>
    <t>6Oct-7Oct</t>
  </si>
  <si>
    <t>8Oct-9Oct</t>
  </si>
  <si>
    <t>10Oct-14Oct</t>
  </si>
  <si>
    <t>CHECK</t>
  </si>
  <si>
    <t>246856.FKS26219B</t>
  </si>
  <si>
    <t>241210.IN26054L</t>
  </si>
  <si>
    <t>238757.26WLS-442E</t>
  </si>
  <si>
    <t>219823.LSK26081401-A6</t>
  </si>
  <si>
    <t>234768.IRJ127B2C0003062</t>
  </si>
  <si>
    <t>WRONG/BIG</t>
  </si>
  <si>
    <t>234791.IRJ127B2C0001934</t>
  </si>
  <si>
    <t>CHIP/SMALL</t>
  </si>
  <si>
    <t>234791.IRJ127B2C0002414</t>
  </si>
  <si>
    <t>SMALL/SCRATCH</t>
  </si>
  <si>
    <t>150798.ZD260012A</t>
  </si>
  <si>
    <t>246857.FKS26205N</t>
  </si>
  <si>
    <t>SCRATCH/WRONG SHAPE</t>
  </si>
  <si>
    <t>Issue</t>
  </si>
  <si>
    <t>scrach</t>
  </si>
  <si>
    <t>Column1</t>
  </si>
  <si>
    <t>231593.25Y019</t>
  </si>
  <si>
    <t>WRONG/SHAPE</t>
  </si>
  <si>
    <t>247067.IRJ127B2C0002556</t>
  </si>
  <si>
    <t>236095.IHR127B2C0000582</t>
  </si>
  <si>
    <t>CHIP/WRONG</t>
  </si>
  <si>
    <t>234785.IRJ127B2C0001532</t>
  </si>
  <si>
    <t>SCRATCH/WRONG</t>
  </si>
  <si>
    <t>235309.LSK26061102-A12</t>
  </si>
  <si>
    <t>242571.FKS26298H</t>
  </si>
  <si>
    <t>241119.IRJ127B2C0002927</t>
  </si>
  <si>
    <t>236345.HD2026958E</t>
  </si>
  <si>
    <t>Half Rim</t>
  </si>
  <si>
    <t>222575.FKS26317B</t>
  </si>
  <si>
    <t>217718.HV26705</t>
  </si>
  <si>
    <t>242258.FKS26291F</t>
  </si>
  <si>
    <t>211293.FKS26320</t>
  </si>
  <si>
    <t>PID.Invoice</t>
  </si>
  <si>
    <t>pid.invoice</t>
  </si>
  <si>
    <t>Sum of Count of barcode</t>
  </si>
  <si>
    <t>done by</t>
  </si>
  <si>
    <t>150581.IN26029C</t>
  </si>
  <si>
    <t>150581.IN26034H</t>
  </si>
  <si>
    <t>150581.IN26039G</t>
  </si>
  <si>
    <t>150581.IN26026G</t>
  </si>
  <si>
    <t>150581.IN26011B</t>
  </si>
  <si>
    <t>150581.IN26013E</t>
  </si>
  <si>
    <t>SHAPE NOT PRESENT</t>
  </si>
  <si>
    <t>151703.FKS26175G</t>
  </si>
  <si>
    <t>151703.FKS26170A</t>
  </si>
  <si>
    <t>151703.FKS26308C</t>
  </si>
  <si>
    <t>151703.FKS26285D</t>
  </si>
  <si>
    <t>151703.FKS26199F</t>
  </si>
  <si>
    <t>151703.FKS26154A</t>
  </si>
  <si>
    <t>151703.FKS26154O</t>
  </si>
  <si>
    <t>151703.FKS26119F</t>
  </si>
  <si>
    <t>204392.LM2647C</t>
  </si>
  <si>
    <t>204392.LM2644A</t>
  </si>
  <si>
    <t>204402.LM2647C</t>
  </si>
  <si>
    <t>204402.LM2644A</t>
  </si>
  <si>
    <t>207481.IN26071J</t>
  </si>
  <si>
    <t>207481.IN26049D</t>
  </si>
  <si>
    <t>207481.IN26071I</t>
  </si>
  <si>
    <t>207481.IN26068B</t>
  </si>
  <si>
    <t>207481.IN26057C</t>
  </si>
  <si>
    <t>207481.IHR127B2C0003241</t>
  </si>
  <si>
    <t>207481.IHR127B2C0002955</t>
  </si>
  <si>
    <t>207481.IHR127B2C0003013</t>
  </si>
  <si>
    <t>207481.IHR127B2C0002083</t>
  </si>
  <si>
    <t>207481.IHR127B2C0003275</t>
  </si>
  <si>
    <t>207481.IHR127B2C0002069</t>
  </si>
  <si>
    <t>207481.IHR127B2C0002998</t>
  </si>
  <si>
    <t>207481.IHR127B2C0001885</t>
  </si>
  <si>
    <t>207481.IHR127B2C0001842</t>
  </si>
  <si>
    <t>207481.IHR127B2C0002092</t>
  </si>
  <si>
    <t>207481.IHR127B2C0001190</t>
  </si>
  <si>
    <t>207481.IHR127B2C0001895</t>
  </si>
  <si>
    <t>218763.FKS26317H</t>
  </si>
  <si>
    <t>218763.FKS26325D</t>
  </si>
  <si>
    <t>218763.FKS26190O</t>
  </si>
  <si>
    <t>218763.FKS26200N</t>
  </si>
  <si>
    <t>218763.FKS26180M</t>
  </si>
  <si>
    <t>218763.FKS26209L</t>
  </si>
  <si>
    <t>218763.FKS26200L</t>
  </si>
  <si>
    <t>218763.FKS26231O</t>
  </si>
  <si>
    <t>218763.FKS26231P</t>
  </si>
  <si>
    <t>218763.FKS26197N</t>
  </si>
  <si>
    <t>218763.FKS26198N</t>
  </si>
  <si>
    <t>222271.26L150E</t>
  </si>
  <si>
    <t>222271.26L150C</t>
  </si>
  <si>
    <t>222271.26L165E</t>
  </si>
  <si>
    <t>222271.26L254B</t>
  </si>
  <si>
    <t>222271.26L165G</t>
  </si>
  <si>
    <t>222271.26L204D</t>
  </si>
  <si>
    <t>222271.26L279G</t>
  </si>
  <si>
    <t>222271.26L160B</t>
  </si>
  <si>
    <t>DHANENDRA</t>
  </si>
  <si>
    <t>222271.26L261F</t>
  </si>
  <si>
    <t>222272.26L150E</t>
  </si>
  <si>
    <t>222272.26L165E</t>
  </si>
  <si>
    <t>222272.26L165C</t>
  </si>
  <si>
    <t>222272.26L143B</t>
  </si>
  <si>
    <t>222272.26L165B</t>
  </si>
  <si>
    <t>223230.263046-B</t>
  </si>
  <si>
    <t>223230.263046-A</t>
  </si>
  <si>
    <t>223230.263068-E</t>
  </si>
  <si>
    <t>223230.263068-F</t>
  </si>
  <si>
    <t>223230.263080-C</t>
  </si>
  <si>
    <t>224841.263092-F</t>
  </si>
  <si>
    <t>231696.TOD-23050</t>
  </si>
  <si>
    <t>235324.26WLS-438A</t>
  </si>
  <si>
    <t>235324.26WLS-437K</t>
  </si>
  <si>
    <t>235324.26WLS-425F</t>
  </si>
  <si>
    <t>235327.26WLS-395K</t>
  </si>
  <si>
    <t>235327.26WLS-359D</t>
  </si>
  <si>
    <t>235327.26WLS-380O</t>
  </si>
  <si>
    <t>235327.26WLS-425P</t>
  </si>
  <si>
    <t>235327.26WLS-359E</t>
  </si>
  <si>
    <t>236146.26L181</t>
  </si>
  <si>
    <t>236146.26L171</t>
  </si>
  <si>
    <t>236146.26L108A</t>
  </si>
  <si>
    <t>236146.26L182D</t>
  </si>
  <si>
    <t>236146.26L108B</t>
  </si>
  <si>
    <t>237758.HV26784</t>
  </si>
  <si>
    <t>238755.26WLS-426B</t>
  </si>
  <si>
    <t>238755.26WLS-394H</t>
  </si>
  <si>
    <t>238755.26WLS-394F</t>
  </si>
  <si>
    <t>241183.IN26052J</t>
  </si>
  <si>
    <t>241183.IN26055E</t>
  </si>
  <si>
    <t>241183.IN26052D</t>
  </si>
  <si>
    <t>241183.IN26067D</t>
  </si>
  <si>
    <t>241186.IN26052E</t>
  </si>
  <si>
    <t>241186.IN26058F</t>
  </si>
  <si>
    <t>241186.IN26038C</t>
  </si>
  <si>
    <t>241186.IN26049B</t>
  </si>
  <si>
    <t>241186.IN26001A</t>
  </si>
  <si>
    <t>241187.IN26062T</t>
  </si>
  <si>
    <t>241187.IN26055F</t>
  </si>
  <si>
    <t>241187.IN26054L</t>
  </si>
  <si>
    <t>241187.IN26044F</t>
  </si>
  <si>
    <t>241187.IN26044G</t>
  </si>
  <si>
    <t>241187.IN26056D</t>
  </si>
  <si>
    <t>241188.IN26062M</t>
  </si>
  <si>
    <t>241188.IN26055E</t>
  </si>
  <si>
    <t>241188.IN26054A</t>
  </si>
  <si>
    <t>241188.IN26054G</t>
  </si>
  <si>
    <t>241188.IN26067G</t>
  </si>
  <si>
    <t>241188.IN26054L</t>
  </si>
  <si>
    <t>241188.IN26054M</t>
  </si>
  <si>
    <t>241188.IN26055F</t>
  </si>
  <si>
    <t>241406.IN26066J</t>
  </si>
  <si>
    <t>241406.IN26050H</t>
  </si>
  <si>
    <t>241854.IN26070G</t>
  </si>
  <si>
    <t>241854.IN26066I</t>
  </si>
  <si>
    <t>243073.263117-B</t>
  </si>
  <si>
    <t>245621.FKS26270I</t>
  </si>
  <si>
    <t>check1</t>
  </si>
  <si>
    <t>IRJ127B2C0002437</t>
  </si>
  <si>
    <t>IRJ127B2C0002125</t>
  </si>
  <si>
    <t>IRJ127B2C0002446</t>
  </si>
  <si>
    <t>IHR127B2C0001880</t>
  </si>
  <si>
    <t>IRJ127B2C0001934</t>
  </si>
  <si>
    <t>IRJ127B2C0002503</t>
  </si>
  <si>
    <t>LSK26082501-A7</t>
  </si>
  <si>
    <t>26L160C</t>
  </si>
  <si>
    <t>FKS26228F</t>
  </si>
  <si>
    <t>26L160B</t>
  </si>
  <si>
    <t>IRJ127B2C0001744</t>
  </si>
  <si>
    <t>KC078260616</t>
  </si>
  <si>
    <t>INSI-26-192183</t>
  </si>
  <si>
    <t>IN26067B</t>
  </si>
  <si>
    <t>IN026062702I</t>
  </si>
  <si>
    <t>IN026071404E</t>
  </si>
  <si>
    <t>IN026061604F</t>
  </si>
  <si>
    <t>IRJ127B2C0002669</t>
  </si>
  <si>
    <t>IRJ127B2C0002521</t>
  </si>
  <si>
    <t>LSK26062202-A3</t>
  </si>
  <si>
    <t>26L108B</t>
  </si>
  <si>
    <t>IN26052S</t>
  </si>
  <si>
    <t>FKS26261F</t>
  </si>
  <si>
    <t>IRJ127B2C0002027</t>
  </si>
  <si>
    <t>IHR126B2C0000520</t>
  </si>
  <si>
    <t>IHR127B2C0002976</t>
  </si>
  <si>
    <t>IRJ127B2C0001369</t>
  </si>
  <si>
    <t>LSK26070602-A12</t>
  </si>
  <si>
    <t>FKS26175E</t>
  </si>
  <si>
    <t>LSK26071101-A3</t>
  </si>
  <si>
    <t>LSK26070602-A2</t>
  </si>
  <si>
    <t>CIN-000001870615</t>
  </si>
  <si>
    <t>IRJ127B2C0002414</t>
  </si>
  <si>
    <t>26WLS-331B</t>
  </si>
  <si>
    <t>246227.LSK26070801-A3</t>
  </si>
  <si>
    <t>148524.FKS26186J</t>
  </si>
  <si>
    <t>241113.IRJ127B2C0001389</t>
  </si>
  <si>
    <t>210433.FKS26198O</t>
  </si>
  <si>
    <t>241854.IN26045F</t>
  </si>
  <si>
    <t>241119.IRJ127B2C0001558</t>
  </si>
  <si>
    <t>241124.IRJ127B2C0001634</t>
  </si>
  <si>
    <t>241089.IRJ127B2C0001689</t>
  </si>
  <si>
    <t>241117.IRJ127B2C0001436</t>
  </si>
  <si>
    <t>137971.FKS26223B</t>
  </si>
  <si>
    <t>247071.IRJ127B2C0001379</t>
  </si>
  <si>
    <t>215983.CL2026014B</t>
  </si>
  <si>
    <t>246235.LSK26070201-A3</t>
  </si>
  <si>
    <t>241185.IN26006G</t>
  </si>
  <si>
    <t>241386.IN26045F</t>
  </si>
  <si>
    <t>137971.FKS26178D</t>
  </si>
  <si>
    <t>213182.LSK26062202-A7</t>
  </si>
  <si>
    <t>FAIL REASON</t>
  </si>
  <si>
    <t>FAIL COUNT</t>
  </si>
  <si>
    <t>status</t>
  </si>
  <si>
    <t>228743.26YC063B</t>
  </si>
  <si>
    <t>228743.26YC063</t>
  </si>
  <si>
    <t>228743.26YC049</t>
  </si>
  <si>
    <t>228743.26YC064B</t>
  </si>
  <si>
    <t>234796.IRJ126B2C0001235</t>
  </si>
  <si>
    <t>220126.H2628B</t>
  </si>
  <si>
    <t>225336.IRJ126B2C0003378</t>
  </si>
  <si>
    <t>234797.IRJ127B2C0000394</t>
  </si>
  <si>
    <t>234797.IRJ127B2C0000958</t>
  </si>
  <si>
    <t>243271.LSK26060502-A8</t>
  </si>
  <si>
    <t>219825.LSK20260521-A3</t>
  </si>
  <si>
    <t>241097.IRJ127B2C0001064</t>
  </si>
  <si>
    <t>201272.FKS26098A</t>
  </si>
  <si>
    <t>201272.SLK260409E</t>
  </si>
  <si>
    <t>241112.IRJ127B2C000801</t>
  </si>
  <si>
    <t>241112.IRJ127B2C0000715</t>
  </si>
  <si>
    <t>241112.IRJ127B2C0000829</t>
  </si>
  <si>
    <t>241112.IRJ127B2C000797</t>
  </si>
  <si>
    <t>241112.IRJ127B2C0001028</t>
  </si>
  <si>
    <t>217873.263053-E</t>
  </si>
  <si>
    <t>241115.IRJ127B2C0001394</t>
  </si>
  <si>
    <t>241115.IRJ127B2C0000868</t>
  </si>
  <si>
    <t>147022.26WLS-301E</t>
  </si>
  <si>
    <t>147022.26WLS-279C</t>
  </si>
  <si>
    <t>147022.26WLS-310I</t>
  </si>
  <si>
    <t>207551.FKS26148A</t>
  </si>
  <si>
    <t>207551.FKS26147G</t>
  </si>
  <si>
    <t>207551.FKS26164D</t>
  </si>
  <si>
    <t>207551.FKS26165</t>
  </si>
  <si>
    <t>222135.KC078260409B</t>
  </si>
  <si>
    <t>222135.KC078260408D</t>
  </si>
  <si>
    <t>211293.FKS26129C</t>
  </si>
  <si>
    <t>211293.FKS26132D</t>
  </si>
  <si>
    <t>211293.FKS26182F</t>
  </si>
  <si>
    <t>234793.CIN-000001587106</t>
  </si>
  <si>
    <t>234793.CBOS000000622517</t>
  </si>
  <si>
    <t>234793.IRJ127B2C0000608</t>
  </si>
  <si>
    <t>218966.IRJ127B2C000807</t>
  </si>
  <si>
    <t>227606.26Y086</t>
  </si>
  <si>
    <t>227606.26Y071</t>
  </si>
  <si>
    <t>227606.26Y087</t>
  </si>
  <si>
    <t>218222.IHR127B2C0002800</t>
  </si>
  <si>
    <t>218222.CIN-000001075510</t>
  </si>
  <si>
    <t>220577.H2630</t>
  </si>
  <si>
    <t>220577.H2628</t>
  </si>
  <si>
    <t>220577.H2617</t>
  </si>
  <si>
    <t>220577.H2629A</t>
  </si>
  <si>
    <t>221174.FKS26167E</t>
  </si>
  <si>
    <t>221174.FKS26167H</t>
  </si>
  <si>
    <t>221174.FKS26176</t>
  </si>
  <si>
    <t>221174.FKS26167F</t>
  </si>
  <si>
    <t>137971.FKS26112C</t>
  </si>
  <si>
    <t>137971.FKS26178C</t>
  </si>
  <si>
    <t>137971.FKS26096B</t>
  </si>
  <si>
    <t>137971.FKS26124C</t>
  </si>
  <si>
    <t>207671.IHR127B2C0002260</t>
  </si>
  <si>
    <t>207671.IHR127B2C0002511</t>
  </si>
  <si>
    <t>207671.IN26041E</t>
  </si>
  <si>
    <t>207671.IHR127B2C0002233</t>
  </si>
  <si>
    <t>207671.IHR127B2C0002647</t>
  </si>
  <si>
    <t>134746.FKS26148F</t>
  </si>
  <si>
    <t>134746.FKS26162K</t>
  </si>
  <si>
    <t>134746.FKS26103D</t>
  </si>
  <si>
    <t>134746.FKS26165F</t>
  </si>
  <si>
    <t>201272.FKS26132A</t>
  </si>
  <si>
    <t>201272.FKS26132F</t>
  </si>
  <si>
    <t>219952.SLK260408</t>
  </si>
  <si>
    <t>219952.SLK260408A</t>
  </si>
  <si>
    <t>146653.F2604B</t>
  </si>
  <si>
    <t>146653.F2606</t>
  </si>
  <si>
    <t>235326.26WLS-084H</t>
  </si>
  <si>
    <t>235326.26WLS-069E</t>
  </si>
  <si>
    <t>149022.SLK260507</t>
  </si>
  <si>
    <t>149022.SLK260505</t>
  </si>
  <si>
    <t>146619.26WLS-261N</t>
  </si>
  <si>
    <t>241183.IN26041D</t>
  </si>
  <si>
    <t>241210.IN26036D</t>
  </si>
  <si>
    <t>241189.IN26027H</t>
  </si>
  <si>
    <t>241189.IN26014E</t>
  </si>
  <si>
    <t>217207.IHR127B2C0001174</t>
  </si>
  <si>
    <t>204402.LM2620E</t>
  </si>
  <si>
    <t>204402.LM2620</t>
  </si>
  <si>
    <t>204402.LM2622C</t>
  </si>
  <si>
    <t>241187.IN26040E</t>
  </si>
  <si>
    <t>241187.IN26030K</t>
  </si>
  <si>
    <t>241187.IN26034K</t>
  </si>
  <si>
    <t>241187.IN26040F</t>
  </si>
  <si>
    <t>234791.IRJ127B2C0001239</t>
  </si>
  <si>
    <t>234791.IRJ127B2C0001082</t>
  </si>
  <si>
    <t>234791.IRJ127B2C0000595</t>
  </si>
  <si>
    <t>220126.H2622B</t>
  </si>
  <si>
    <t>237931.IRJ127B2C0000578</t>
  </si>
  <si>
    <t>237931.IRJ127B2C0000541</t>
  </si>
  <si>
    <t>236911.IRJ126B2C0000900</t>
  </si>
  <si>
    <t>236911.CIN-000001549503</t>
  </si>
  <si>
    <t>149021.SLK260505A</t>
  </si>
  <si>
    <t>149021.SLK260507B</t>
  </si>
  <si>
    <t>149021.SLK260502B</t>
  </si>
  <si>
    <t>222009.FKS26110N</t>
  </si>
  <si>
    <t>222009.FKS26133J</t>
  </si>
  <si>
    <t>227450.263084-H</t>
  </si>
  <si>
    <t>236151.26Y049B</t>
  </si>
  <si>
    <t>236151.26Y074A</t>
  </si>
  <si>
    <t>236151.26Y074B</t>
  </si>
  <si>
    <t>233711.26WLS-210G</t>
  </si>
  <si>
    <t>234783.IRJ127B2C0000747</t>
  </si>
  <si>
    <t>234783.IRJ127B2C0000776</t>
  </si>
  <si>
    <t xml:space="preserve"> </t>
  </si>
  <si>
    <t>COLOUR CODE LEGEND</t>
  </si>
  <si>
    <t>🔴 RED</t>
  </si>
  <si>
    <t>MEI Fail% HIGHER than May reference – Critical attention needed</t>
  </si>
  <si>
    <t>🟡 YELLOW</t>
  </si>
  <si>
    <t>MEI Fail% SLIGHTLY INCREASED compared to May – Monitor closely</t>
  </si>
  <si>
    <t>🩷 PINK</t>
  </si>
  <si>
    <t>MEI Fail% DECREASED (Good improvement) vs May reference</t>
  </si>
  <si>
    <t>🟢 GREEN</t>
  </si>
  <si>
    <t>NEW PID/Invoice – Not present in May reference data</t>
  </si>
  <si>
    <t>Total PIDs Analysed</t>
  </si>
  <si>
    <t>RED – Higher MEI Fail%</t>
  </si>
  <si>
    <t>YELLOW – Slight Increase</t>
  </si>
  <si>
    <t>PINK – Good Decrease</t>
  </si>
  <si>
    <t>GREEN – New PID/Invoice</t>
  </si>
  <si>
    <t>CLASSIFICATION BREAKDOWN BY SHEET</t>
  </si>
  <si>
    <t>Sheet Period</t>
  </si>
  <si>
    <t>RED</t>
  </si>
  <si>
    <t>YELLOW</t>
  </si>
  <si>
    <t>PINK</t>
  </si>
  <si>
    <t>GREEN</t>
  </si>
  <si>
    <t>Total</t>
  </si>
  <si>
    <t>1-10 jUNE</t>
  </si>
  <si>
    <t>17-20 JUNE</t>
  </si>
  <si>
    <t>20-24 JUNE</t>
  </si>
  <si>
    <t>TOTAL</t>
  </si>
  <si>
    <t>🔴 RED: HIGH RISK – MEI Fail% INCREASED vs May Reference</t>
  </si>
  <si>
    <t>Issue %</t>
  </si>
  <si>
    <t>Jun MEI Fail%</t>
  </si>
  <si>
    <t>May MEI Fail%</t>
  </si>
  <si>
    <t>Δ Change</t>
  </si>
  <si>
    <t>QC Done</t>
  </si>
  <si>
    <t>Frame PID</t>
  </si>
  <si>
    <t>Invoice</t>
  </si>
  <si>
    <t>234798.CIN-000001389050</t>
  </si>
  <si>
    <t>17-20 June</t>
  </si>
  <si>
    <t>CIN-000001389050</t>
  </si>
  <si>
    <t>236095.IHR127B2C0000567</t>
  </si>
  <si>
    <t>1-10 June</t>
  </si>
  <si>
    <t>IHR127B2C0000567</t>
  </si>
  <si>
    <t>236095.IHR127B2C0000387</t>
  </si>
  <si>
    <t>20-24 June</t>
  </si>
  <si>
    <t>IHR127B2C0000387</t>
  </si>
  <si>
    <t>134949.IN026042005C</t>
  </si>
  <si>
    <t>IN026042005C</t>
  </si>
  <si>
    <t>236095.IHR126B2C0001613</t>
  </si>
  <si>
    <t>IHR126B2C0001613</t>
  </si>
  <si>
    <t>234792.CIN-000001885518</t>
  </si>
  <si>
    <t>CIN-000001885518</t>
  </si>
  <si>
    <t>IHR127B2C0000582</t>
  </si>
  <si>
    <t>134951.IN026051603H</t>
  </si>
  <si>
    <t>IN026051603H</t>
  </si>
  <si>
    <t>239839.CIN-000001839710</t>
  </si>
  <si>
    <t>CIN-000001839710</t>
  </si>
  <si>
    <t>263053-E</t>
  </si>
  <si>
    <t>221282.LSK20260516-A4</t>
  </si>
  <si>
    <t>LSK20260516-A4</t>
  </si>
  <si>
    <t>🩷 PINK: IMPROVED – MEI Fail% DECREASED vs May Reference</t>
  </si>
  <si>
    <t>LSK20260528-A1</t>
  </si>
  <si>
    <t>215983.CL2026012C</t>
  </si>
  <si>
    <t>CL2026012C</t>
  </si>
  <si>
    <t>FKS26124C</t>
  </si>
  <si>
    <t>137971.FKS26098</t>
  </si>
  <si>
    <t>FKS26098</t>
  </si>
  <si>
    <t>211307.FS2604B</t>
  </si>
  <si>
    <t>FS2604B</t>
  </si>
  <si>
    <t>263046-B</t>
  </si>
  <si>
    <t>211307.FS2609</t>
  </si>
  <si>
    <t>FS2609</t>
  </si>
  <si>
    <t>148157.26WLS-209O</t>
  </si>
  <si>
    <t>26WLS-209O</t>
  </si>
  <si>
    <t>211307.FS2604</t>
  </si>
  <si>
    <t>FS2604</t>
  </si>
  <si>
    <t>234800.IRJ127B2C0000175</t>
  </si>
  <si>
    <t>IRJ127B2C0000175</t>
  </si>
  <si>
    <t>235307.LSK20260325-A1</t>
  </si>
  <si>
    <t>LSK20260325-A1</t>
  </si>
  <si>
    <t>134951.IN026051603F</t>
  </si>
  <si>
    <t>SMALL,BIG</t>
  </si>
  <si>
    <t>2.2,2.2%</t>
  </si>
  <si>
    <t>IN026051603F</t>
  </si>
  <si>
    <t>134951.IN026050803C</t>
  </si>
  <si>
    <t>IN026050803C</t>
  </si>
  <si>
    <t>IN026050803D</t>
  </si>
  <si>
    <t>134949.IN026052504B</t>
  </si>
  <si>
    <t>IN026052504B</t>
  </si>
  <si>
    <t>134949.IN026052503F</t>
  </si>
  <si>
    <t>IN026052503F</t>
  </si>
  <si>
    <t>BIG,SMALL</t>
  </si>
  <si>
    <t>5.6,6.2%</t>
  </si>
  <si>
    <t>IN026051603B</t>
  </si>
  <si>
    <t>134949.IN026051603A</t>
  </si>
  <si>
    <t>IN026051603A</t>
  </si>
  <si>
    <t>YELLOW : SLIGHT INCREASE – MEI Fail% INCREASED vs May Reference</t>
  </si>
  <si>
    <t>CIN-000001093608</t>
  </si>
  <si>
    <t>148157.26WLS-227E</t>
  </si>
  <si>
    <t>26WLS-227E</t>
  </si>
  <si>
    <t>223232.263058-E</t>
  </si>
  <si>
    <t>263058-E</t>
  </si>
  <si>
    <t>211293.FKS26140C</t>
  </si>
  <si>
    <t>FKS26140C</t>
  </si>
  <si>
    <t>🟢 GREEN: NEW PIDs/Invoices – Not in May Reference</t>
  </si>
  <si>
    <t>N/A (New)</t>
  </si>
  <si>
    <t>New Entry</t>
  </si>
  <si>
    <t>26Y079</t>
  </si>
  <si>
    <t>217204.IHR127B2C0000609</t>
  </si>
  <si>
    <t>IHR127B2C0000609</t>
  </si>
  <si>
    <t>IRJ127B2C0000347</t>
  </si>
  <si>
    <t>IRJ127B2C0000223</t>
  </si>
  <si>
    <t>237933.IRJ127B2C0000322</t>
  </si>
  <si>
    <t>IRJ127B2C0000322</t>
  </si>
  <si>
    <t>218967.IRJ127B2C0000315</t>
  </si>
  <si>
    <t>IRJ127B2C0000315</t>
  </si>
  <si>
    <t>IRJ127B2C0000539</t>
  </si>
  <si>
    <t>241108.IRJ127B2C0000521</t>
  </si>
  <si>
    <t>IRJ127B2C0000521</t>
  </si>
  <si>
    <t>241091.IRJ127B2C0000832</t>
  </si>
  <si>
    <t>IRJ127B2C0000832</t>
  </si>
  <si>
    <t>IRJ127B2C0000212</t>
  </si>
  <si>
    <t>IRJ127B2C0000270</t>
  </si>
  <si>
    <t>IN026053002A</t>
  </si>
  <si>
    <t>151377.IRJ127B2C0000581</t>
  </si>
  <si>
    <t>IRJ127B2C0000581</t>
  </si>
  <si>
    <t>241124.IRJ127B2C0000548</t>
  </si>
  <si>
    <t>IRJ127B2C0000548</t>
  </si>
  <si>
    <t>143018.26L165A</t>
  </si>
  <si>
    <t>26L165A</t>
  </si>
  <si>
    <t>148906.26WLS-210J</t>
  </si>
  <si>
    <t>26WLS-210J</t>
  </si>
  <si>
    <t>236743.CIN-000001758007</t>
  </si>
  <si>
    <t>CIN-000001758007</t>
  </si>
  <si>
    <t>228743.26YC056</t>
  </si>
  <si>
    <t>26YC056</t>
  </si>
  <si>
    <t>241854.IN26035E</t>
  </si>
  <si>
    <t>IN26035E</t>
  </si>
  <si>
    <t>238648.GLS-20260511-1</t>
  </si>
  <si>
    <t>GLS-20260511-1</t>
  </si>
  <si>
    <t>241959.FKS26117A</t>
  </si>
  <si>
    <t>FKS26117A</t>
  </si>
  <si>
    <t>145512.FKS26132O</t>
  </si>
  <si>
    <t>FKS26132O</t>
  </si>
  <si>
    <t>222900.IN026051603</t>
  </si>
  <si>
    <t>IN026051603</t>
  </si>
  <si>
    <t>217207.IHR127B2C0000708</t>
  </si>
  <si>
    <t>IHR127B2C0000708</t>
  </si>
  <si>
    <t>224849.263068-D</t>
  </si>
  <si>
    <t>263068-D</t>
  </si>
  <si>
    <t>238833.IHR127B2C0001746</t>
  </si>
  <si>
    <t>IHR127B2C0001746</t>
  </si>
  <si>
    <t>238583.GLS-20260507-1</t>
  </si>
  <si>
    <t>GLS-20260507-1</t>
  </si>
  <si>
    <t>241120.IRJ127B2C0000631</t>
  </si>
  <si>
    <t>IRJ127B2C0000631</t>
  </si>
  <si>
    <t>234794.IRJ127B2C0000336</t>
  </si>
  <si>
    <t>IRJ127B2C0000336</t>
  </si>
  <si>
    <t>241463.WMW26YFS0110</t>
  </si>
  <si>
    <t>WMW26YFS0110</t>
  </si>
  <si>
    <t>228743.26YC055A</t>
  </si>
  <si>
    <t>26YC055A</t>
  </si>
  <si>
    <t>222900.IN026052503</t>
  </si>
  <si>
    <t>IN026052503</t>
  </si>
  <si>
    <t>213182.LSK20260427-A4</t>
  </si>
  <si>
    <t>LSK20260427-A4</t>
  </si>
  <si>
    <t>228743.26YC055</t>
  </si>
  <si>
    <t>26YC055</t>
  </si>
  <si>
    <t>137709.WMW26YFS0106</t>
  </si>
  <si>
    <t>WMW26YFS0106</t>
  </si>
  <si>
    <t>224353.HD20251360A</t>
  </si>
  <si>
    <t>HD20251360A</t>
  </si>
  <si>
    <t>219823.LSK20260516-A2</t>
  </si>
  <si>
    <t>LSK20260516-A2</t>
  </si>
  <si>
    <t>236135.26L113B</t>
  </si>
  <si>
    <t>26L113B</t>
  </si>
  <si>
    <t>241936.FKS26147N</t>
  </si>
  <si>
    <t>FKS26147N</t>
  </si>
  <si>
    <t>242272.FKS26112H</t>
  </si>
  <si>
    <t>FKS26112H</t>
  </si>
  <si>
    <t>26L123F</t>
  </si>
  <si>
    <t>219823.LSK20260430-A1</t>
  </si>
  <si>
    <t>LSK20260430-A1</t>
  </si>
  <si>
    <t>234804.IRJ127B2C0000547</t>
  </si>
  <si>
    <t>IRJ127B2C0000547</t>
  </si>
  <si>
    <t>238655.GLS-20260511-1</t>
  </si>
  <si>
    <t>220237.KC078260423</t>
  </si>
  <si>
    <t>KC078260423</t>
  </si>
  <si>
    <t>FRAME PID</t>
  </si>
  <si>
    <t>INVOICE</t>
  </si>
  <si>
    <t>Frame Type</t>
  </si>
  <si>
    <t>Aditi</t>
  </si>
  <si>
    <t>IN026042503B</t>
  </si>
  <si>
    <t>134951.IN026042503B</t>
  </si>
  <si>
    <t>LSK20260310-A5</t>
  </si>
  <si>
    <t>219834.LSK20260310-A5</t>
  </si>
  <si>
    <t>LSK20260427-A8</t>
  </si>
  <si>
    <t>240555.LSK20260427-A8</t>
  </si>
  <si>
    <t>CIN-000001690737</t>
  </si>
  <si>
    <t>207991.CIN-000001690737</t>
  </si>
  <si>
    <t>CIN-000001732589</t>
  </si>
  <si>
    <t>207991.CIN-000001732589</t>
  </si>
  <si>
    <t>CL2026008B</t>
  </si>
  <si>
    <t>215983.CL2026008B</t>
  </si>
  <si>
    <t>IRJ127B2C0000249</t>
  </si>
  <si>
    <t>241123.IRJ127B2C0000249</t>
  </si>
  <si>
    <t>FKS26132A</t>
  </si>
  <si>
    <t>LSK20260310-A2</t>
  </si>
  <si>
    <t>219834.LSK20260310-A2</t>
  </si>
  <si>
    <t>CIN-000001885501</t>
  </si>
  <si>
    <t>234765.CIN-000001885501</t>
  </si>
  <si>
    <t>IRJ127B2C0000208</t>
  </si>
  <si>
    <t>238829.IRJ127B2C0000208</t>
  </si>
  <si>
    <t>FKS26088N</t>
  </si>
  <si>
    <t>238846.FKS26088N</t>
  </si>
  <si>
    <t>IN026042504D</t>
  </si>
  <si>
    <t>134949.IN026042504D</t>
  </si>
  <si>
    <t>BIG,CHIP</t>
  </si>
  <si>
    <t>20,60</t>
  </si>
  <si>
    <t>26WLS-175D</t>
  </si>
  <si>
    <t>146617.26WLS-175D</t>
  </si>
  <si>
    <t>263052-B</t>
  </si>
  <si>
    <t>224842.263052-B</t>
  </si>
  <si>
    <t>IRJ127B2C0000361</t>
  </si>
  <si>
    <t>234785.IRJ127B2C0000361</t>
  </si>
  <si>
    <t>FKS26099C</t>
  </si>
  <si>
    <t>240781.FKS26099C</t>
  </si>
  <si>
    <t>KC078260326C</t>
  </si>
  <si>
    <t>242246.KC078260326C</t>
  </si>
  <si>
    <t>263052-G</t>
  </si>
  <si>
    <t>26L101A</t>
  </si>
  <si>
    <t>218062.26L101A</t>
  </si>
  <si>
    <t>CIN-000001368366</t>
  </si>
  <si>
    <t>234765.CIN-000001368366</t>
  </si>
  <si>
    <t>IHR127B2C0000315</t>
  </si>
  <si>
    <t>236095.IHR127B2C0000315</t>
  </si>
  <si>
    <t>GLS-20260407</t>
  </si>
  <si>
    <t>238662.GLS-20260407</t>
  </si>
  <si>
    <t>IRJ127B2C0000348</t>
  </si>
  <si>
    <t>238841.IRJ127B2C0000348</t>
  </si>
  <si>
    <t>IRJ126B2C0001744</t>
  </si>
  <si>
    <t>241064.IRJ126B2C0001744</t>
  </si>
  <si>
    <t>IRJ127B2C0000128</t>
  </si>
  <si>
    <t>241069.IRJ127B2C0000128</t>
  </si>
  <si>
    <t>PR2026IN10003B</t>
  </si>
  <si>
    <t>204540.PR2026IN10003B</t>
  </si>
  <si>
    <t>1.8,9.09</t>
  </si>
  <si>
    <t>LSK20260407-A4</t>
  </si>
  <si>
    <t>221282.LSK20260407-A4</t>
  </si>
  <si>
    <t>CL2024016H</t>
  </si>
  <si>
    <t>222442.CL2024016H</t>
  </si>
  <si>
    <t>LSK20250120-S1</t>
  </si>
  <si>
    <t>228870.LSK20250120-S1</t>
  </si>
  <si>
    <t>CIN-000001885698</t>
  </si>
  <si>
    <t>234800.CIN-000001885698</t>
  </si>
  <si>
    <t>LSK20260318-A2</t>
  </si>
  <si>
    <t>235307.LSK20260318-A2</t>
  </si>
  <si>
    <t>IRJ127B2C0000096</t>
  </si>
  <si>
    <t>241054.IRJ127B2C0000096</t>
  </si>
  <si>
    <t>IRJ127B2C0000290</t>
  </si>
  <si>
    <t>241112.IRJ127B2C0000290</t>
  </si>
  <si>
    <t>IN26007F</t>
  </si>
  <si>
    <t>241189.IN26007F</t>
  </si>
  <si>
    <t>MANUALLY</t>
  </si>
  <si>
    <t>263068-E</t>
  </si>
  <si>
    <t>IRJ127B2C0000950</t>
  </si>
  <si>
    <t>241117.IRJ127B2C0000950</t>
  </si>
  <si>
    <t>26WLS-244J</t>
  </si>
  <si>
    <t>148906.26WLS-244J</t>
  </si>
  <si>
    <t>26Y069</t>
  </si>
  <si>
    <t>227533.26Y069</t>
  </si>
  <si>
    <t>IRJ127B2C0000901</t>
  </si>
  <si>
    <t>241121.IRJ127B2C0000901</t>
  </si>
  <si>
    <t>26WLS-170B</t>
  </si>
  <si>
    <t>LSK20260510-A10</t>
  </si>
  <si>
    <t>213182.LSK20260510-A10</t>
  </si>
  <si>
    <t>H2628B</t>
  </si>
  <si>
    <t>26L143</t>
  </si>
  <si>
    <t>236135.26L143</t>
  </si>
  <si>
    <t>26L135F</t>
  </si>
  <si>
    <t>236146.26L135F</t>
  </si>
  <si>
    <t>IRJ127B2C0000580</t>
  </si>
  <si>
    <t>237931.IRJ127B2C0000580</t>
  </si>
  <si>
    <t>GLS-20260505-2</t>
  </si>
  <si>
    <t>238583.GLS-20260505-2</t>
  </si>
  <si>
    <t>GLS-20260531</t>
  </si>
  <si>
    <t>238584.GLS-20260531</t>
  </si>
  <si>
    <t>IRJ127B2C0000881</t>
  </si>
  <si>
    <t>241115.IRJ127B2C0000881</t>
  </si>
  <si>
    <t>IRJ127B2C0000969</t>
  </si>
  <si>
    <t>241117.IRJ127B2C0000969</t>
  </si>
  <si>
    <t>IN026041602A</t>
  </si>
  <si>
    <t>241285.IN026041602A</t>
  </si>
  <si>
    <t>HALF Rim</t>
  </si>
  <si>
    <t>SIMRAN</t>
  </si>
  <si>
    <t>ITS HALF RIM BUT SHOWES FULL RIM (GROOVE)</t>
  </si>
  <si>
    <t>F .VARIATION</t>
  </si>
  <si>
    <t>DATE</t>
  </si>
  <si>
    <t xml:space="preserve">CHIP </t>
  </si>
  <si>
    <t>234765.IRJ127B2C0001006</t>
  </si>
  <si>
    <t>146613.26WLS-210F</t>
  </si>
  <si>
    <t>227609.26L125B</t>
  </si>
  <si>
    <t>241933.FKS26169J</t>
  </si>
  <si>
    <t>NO ISSUE</t>
  </si>
  <si>
    <t>221172.FKS26158A</t>
  </si>
  <si>
    <t>134826.FKS26139M</t>
  </si>
  <si>
    <t>142997.26WLS-210F</t>
  </si>
  <si>
    <t>SCR</t>
  </si>
  <si>
    <t>219363.FKS26184A</t>
  </si>
  <si>
    <t>235326.26WLS-069C</t>
  </si>
  <si>
    <t>137971.FKS26174D</t>
  </si>
  <si>
    <t>241119.IRJ127B2C0001139</t>
  </si>
  <si>
    <t>224849.263080-D</t>
  </si>
  <si>
    <t>221174.FKS26095C</t>
  </si>
  <si>
    <t>220595.H2628C</t>
  </si>
  <si>
    <t>FKS26199O</t>
  </si>
  <si>
    <t xml:space="preserve">     </t>
  </si>
  <si>
    <t>CIN-000001467074</t>
  </si>
  <si>
    <t>LSK26060502-A15</t>
  </si>
  <si>
    <t>LSK26061102-A16</t>
  </si>
  <si>
    <t>221282.LSK26061102-A16</t>
  </si>
  <si>
    <t>IRJ127B2C0001196</t>
  </si>
  <si>
    <t>241079.IRJ127B2C0001196</t>
  </si>
  <si>
    <t>F2604A</t>
  </si>
  <si>
    <t>SLK260507</t>
  </si>
  <si>
    <t>IHR127B2C0002511</t>
  </si>
  <si>
    <t>FKS26197T</t>
  </si>
  <si>
    <t>26YC049</t>
  </si>
  <si>
    <t>CEGPL24-25/006</t>
  </si>
  <si>
    <t>143447.CEGPL24-25/006</t>
  </si>
  <si>
    <t>IHR127B2C0002603</t>
  </si>
  <si>
    <t>207671.IHR127B2C0002603</t>
  </si>
  <si>
    <t>H2630</t>
  </si>
  <si>
    <t>IRJ127B2C000807</t>
  </si>
  <si>
    <t>CIN-000001462531</t>
  </si>
  <si>
    <t>CIN-000000706524</t>
  </si>
  <si>
    <t>IN026041808C</t>
  </si>
  <si>
    <t>134949.IN026041808C</t>
  </si>
  <si>
    <t>LSK26060502-A14</t>
  </si>
  <si>
    <t>213180.LSK26060502-A14</t>
  </si>
  <si>
    <t>IRJ127B2C0001006</t>
  </si>
  <si>
    <t>IHR127B2C0000556</t>
  </si>
  <si>
    <t>236095.IHR127B2C0000556</t>
  </si>
  <si>
    <t>LSK26060502-A9</t>
  </si>
  <si>
    <t>213180.LSK26060502-A9</t>
  </si>
  <si>
    <t>263064-F</t>
  </si>
  <si>
    <t>223232.263064-F</t>
  </si>
  <si>
    <t>263095-B</t>
  </si>
  <si>
    <t>224848.263095-B</t>
  </si>
  <si>
    <t>IRJ126B2C0001387</t>
  </si>
  <si>
    <t>IRJ126B2C0001235</t>
  </si>
  <si>
    <t>LSK20260325-A2</t>
  </si>
  <si>
    <t>235309.LSK20260325-A2</t>
  </si>
  <si>
    <t>FKS26198D</t>
  </si>
  <si>
    <t>239026.FKS26198D</t>
  </si>
  <si>
    <t>IRJ127B2C0001139</t>
  </si>
  <si>
    <t>IN26042J</t>
  </si>
  <si>
    <t>241386.IN26042J</t>
  </si>
  <si>
    <t>IRJ127B2C0001199</t>
  </si>
  <si>
    <t>242697.IRJ127B2C0001199</t>
  </si>
  <si>
    <t>IHR127B2C0002485</t>
  </si>
  <si>
    <t>26WLS-271B</t>
  </si>
  <si>
    <t>IRJ127B2C0001450</t>
  </si>
  <si>
    <t>241117.IRJ127B2C0001450</t>
  </si>
  <si>
    <t>IRJ127B2C0001487</t>
  </si>
  <si>
    <t>241119.IRJ127B2C0001487</t>
  </si>
  <si>
    <t>0.2,0.2</t>
  </si>
  <si>
    <t>NOT CORRECTED</t>
  </si>
  <si>
    <t>LSK26060502-A8</t>
  </si>
  <si>
    <t>F2604B</t>
  </si>
  <si>
    <t>LSK26062202-A7</t>
  </si>
  <si>
    <t>IRJ127B2C0001488</t>
  </si>
  <si>
    <t>IRJ127B2C0001031</t>
  </si>
  <si>
    <t>234780.IRJ127B2C0001031</t>
  </si>
  <si>
    <t>IRJ127B2C0001394</t>
  </si>
  <si>
    <t>IRJ127B2C0001502</t>
  </si>
  <si>
    <t>241092.IRJ127B2C0001502</t>
  </si>
  <si>
    <t>IRJ127B2C0001376</t>
  </si>
  <si>
    <t>234791.IRJ127B2C0001376</t>
  </si>
  <si>
    <t>IN026062203</t>
  </si>
  <si>
    <t>235135.IN026062203</t>
  </si>
  <si>
    <t>IRJ127B2C0001387</t>
  </si>
  <si>
    <t>241094.IRJ127B2C0001387</t>
  </si>
  <si>
    <t>IRJ127B2C0001414</t>
  </si>
  <si>
    <t>241112.IRJ127B2C0001414</t>
  </si>
  <si>
    <t>IHR127B2C0002788</t>
  </si>
  <si>
    <t>207481.IHR127B2C0002788</t>
  </si>
  <si>
    <t>LSK26061101-A4</t>
  </si>
  <si>
    <t>213180.LSK26061101-A4</t>
  </si>
  <si>
    <t>KC078260409B</t>
  </si>
  <si>
    <t>IRJ126B2C0003378</t>
  </si>
  <si>
    <t>FKS26143D</t>
  </si>
  <si>
    <t>238918.FKS26143D</t>
  </si>
  <si>
    <t>FKS26197W</t>
  </si>
  <si>
    <t>241935.FKS26197W</t>
  </si>
  <si>
    <t>26WLS-310I</t>
  </si>
  <si>
    <t>147021.26WLS-310I</t>
  </si>
  <si>
    <t>IN26026G</t>
  </si>
  <si>
    <t>150583.IN26026G</t>
  </si>
  <si>
    <t>FKS26148A</t>
  </si>
  <si>
    <t>LSK26061101-A5</t>
  </si>
  <si>
    <t>213180.LSK26061101-A5</t>
  </si>
  <si>
    <t>IN026051603C</t>
  </si>
  <si>
    <t>222900.IN026051603C</t>
  </si>
  <si>
    <t>263044-E</t>
  </si>
  <si>
    <t>Already Done</t>
  </si>
  <si>
    <t>BIG /SMALL</t>
  </si>
  <si>
    <t>5.6/5.6</t>
  </si>
  <si>
    <t>GLS-20260409</t>
  </si>
  <si>
    <t>238662.GLS-20260409</t>
  </si>
  <si>
    <t>IRJ127B2C0001480</t>
  </si>
  <si>
    <t>241115.IRJ127B2C0001480</t>
  </si>
  <si>
    <t>26WLS-310E</t>
  </si>
  <si>
    <t>148157.26WLS-310E</t>
  </si>
  <si>
    <t>GLS-20260506-2</t>
  </si>
  <si>
    <t>238524.GLS-20260506-2</t>
  </si>
  <si>
    <t>SHAPE NOT FOUND</t>
  </si>
  <si>
    <t>FKS26210E</t>
  </si>
  <si>
    <t>245903.FKS26210E</t>
  </si>
  <si>
    <t>FKS26218</t>
  </si>
  <si>
    <t>IRJ127B2C0001482</t>
  </si>
  <si>
    <t>234794.IRJ127B2C0001482</t>
  </si>
  <si>
    <t>26L161A</t>
  </si>
  <si>
    <t>242912.26L161A</t>
  </si>
  <si>
    <t>FKS26200O</t>
  </si>
  <si>
    <t>IRJ127B2C0001371</t>
  </si>
  <si>
    <t>241113.IRJ127B2C0001371</t>
  </si>
  <si>
    <t>IRJ127B2C0001154</t>
  </si>
  <si>
    <t>241119.IRJ127B2C0001154</t>
  </si>
  <si>
    <t>IRJ127B2C0001470</t>
  </si>
  <si>
    <t>219197.IRJ127B2C0001470</t>
  </si>
  <si>
    <t>GLS-20260505-1</t>
  </si>
  <si>
    <t>239173.GLS-20260505-1</t>
  </si>
  <si>
    <t>IRJ127B2C0001370</t>
  </si>
  <si>
    <t>241120.IRJ127B2C0001370</t>
  </si>
  <si>
    <t>IRJ127B2C0001436</t>
  </si>
  <si>
    <t>241114.IRJ127B2C0001436</t>
  </si>
  <si>
    <t>26WLS-310C</t>
  </si>
  <si>
    <t>IRJ127B2C0001469</t>
  </si>
  <si>
    <t>241117.IRJ127B2C0001469</t>
  </si>
  <si>
    <t>IN026062703B</t>
  </si>
  <si>
    <t>235136.IN026062703B</t>
  </si>
  <si>
    <t>FKS26183G</t>
  </si>
  <si>
    <t>210178.FKS26183G</t>
  </si>
  <si>
    <t>FKS26183D</t>
  </si>
  <si>
    <t>211293.FKS26183D</t>
  </si>
  <si>
    <t>LSK26070101-A2</t>
  </si>
  <si>
    <t>219834.LSK26070101-A2</t>
  </si>
  <si>
    <t>FKS26214A</t>
  </si>
  <si>
    <t>KC078260402B</t>
  </si>
  <si>
    <t>IHR127B2C0001163</t>
  </si>
  <si>
    <t>236092.IHR127B2C0001163</t>
  </si>
  <si>
    <t>HV26552F</t>
  </si>
  <si>
    <t>229215.HV26552F</t>
  </si>
  <si>
    <t>IRJ127B2C0001349</t>
  </si>
  <si>
    <t>218967.IRJ127B2C0001349</t>
  </si>
  <si>
    <t>IRJ127B2C0001385</t>
  </si>
  <si>
    <t>241113.IRJ127B2C0001385</t>
  </si>
  <si>
    <t>IRJ127B2C0001558</t>
  </si>
  <si>
    <t>IRJ127B2C0001226</t>
  </si>
  <si>
    <t>234780.IRJ127B2C0001226</t>
  </si>
  <si>
    <t>FKS26182C</t>
  </si>
  <si>
    <t>207551.FKS26182C</t>
  </si>
  <si>
    <t>GLS-20260530</t>
  </si>
  <si>
    <t>238534.GLS-20260530</t>
  </si>
  <si>
    <t>6.7</t>
  </si>
  <si>
    <t>CL2026014B</t>
  </si>
  <si>
    <t>AS-6142598</t>
  </si>
  <si>
    <t>236983.AS-6142598</t>
  </si>
  <si>
    <t>26WLS-314I</t>
  </si>
  <si>
    <t>149278.26WLS-314I</t>
  </si>
  <si>
    <t>26L172C</t>
  </si>
  <si>
    <t>242911.26L172C</t>
  </si>
  <si>
    <t>IN26048E</t>
  </si>
  <si>
    <t>207671.IN26048E</t>
  </si>
  <si>
    <t>DO NOT CORRECT THIS PID AT ANY INVOICE</t>
  </si>
  <si>
    <t>26L049B</t>
  </si>
  <si>
    <t>SMALL(sIZE VARIATION BY ESPRESSO</t>
  </si>
  <si>
    <t>IRJ127B2C0001331</t>
  </si>
  <si>
    <t>IHR127B2C0002736</t>
  </si>
  <si>
    <t>207671.IHR127B2C0002736</t>
  </si>
  <si>
    <t>UNDER OBSERVATION BY IQC</t>
  </si>
  <si>
    <t>IRJ127B2C0001780</t>
  </si>
  <si>
    <t>225341.IRJ127B2C0001780</t>
  </si>
  <si>
    <t>CIN-000001218048</t>
  </si>
  <si>
    <t>IN026062202D</t>
  </si>
  <si>
    <t>26WLS-313B</t>
  </si>
  <si>
    <t>LSK26060502-A12</t>
  </si>
  <si>
    <t>IRJ127B2C0001392</t>
  </si>
  <si>
    <t>IRJ127B2C0001660</t>
  </si>
  <si>
    <t>IRJ127B2C0001379</t>
  </si>
  <si>
    <t>LSK26070201-A3</t>
  </si>
  <si>
    <t>LSK26070801-A3</t>
  </si>
  <si>
    <t>FKS26186J</t>
  </si>
  <si>
    <t>IRJ127B2C0001389</t>
  </si>
  <si>
    <t>FKS26198O</t>
  </si>
  <si>
    <t>IN26045F</t>
  </si>
  <si>
    <t>IRJ127B2C0001634</t>
  </si>
  <si>
    <t>IRJ127B2C0001689</t>
  </si>
  <si>
    <t>FKS26223B</t>
  </si>
  <si>
    <t>IN26006G</t>
  </si>
  <si>
    <t>FKS26178D</t>
  </si>
  <si>
    <t>IRJ127B2C0001368</t>
  </si>
  <si>
    <t>241100.IRJ127B2C0001368</t>
  </si>
  <si>
    <t>F2610C</t>
  </si>
  <si>
    <t>H2629</t>
  </si>
  <si>
    <t>LM2620B</t>
  </si>
  <si>
    <t>204392.LM2620B</t>
  </si>
  <si>
    <t>IRJ127B2C0001397</t>
  </si>
  <si>
    <t>234791.IRJ127B2C0001397</t>
  </si>
  <si>
    <t>LSK26060502-A5</t>
  </si>
  <si>
    <t>151528.LSK26060502-A5</t>
  </si>
  <si>
    <t>26Y105</t>
  </si>
  <si>
    <t>FKS26187B</t>
  </si>
  <si>
    <t>219754.FKS26187B</t>
  </si>
  <si>
    <t>245902.FKS26210E</t>
  </si>
  <si>
    <t>CT63069</t>
  </si>
  <si>
    <t>LM2620</t>
  </si>
  <si>
    <t>IRJ127B2C0001561</t>
  </si>
  <si>
    <t>26WLS-310J</t>
  </si>
  <si>
    <t>FKS26212</t>
  </si>
  <si>
    <t>IRJ127B2C0001870</t>
  </si>
  <si>
    <t>IN026051203E</t>
  </si>
  <si>
    <t>Done</t>
  </si>
  <si>
    <t>SLK260408B</t>
  </si>
  <si>
    <t>FKS26200I</t>
  </si>
  <si>
    <t>IN26047E</t>
  </si>
  <si>
    <t>FKS26182E</t>
  </si>
  <si>
    <t>FKS26184A</t>
  </si>
  <si>
    <t>26WLS-313A</t>
  </si>
  <si>
    <t>IHR127B2C0002848</t>
  </si>
  <si>
    <t>208951.IHR127B2C0002848</t>
  </si>
  <si>
    <t>LSK26071201-A4</t>
  </si>
  <si>
    <t>IRJ127B2C0001055</t>
  </si>
  <si>
    <t>263080-H</t>
  </si>
  <si>
    <t>236356.263080-H</t>
  </si>
  <si>
    <t>26WLS-309L</t>
  </si>
  <si>
    <t>147021.26WLS-309L</t>
  </si>
  <si>
    <t>IRJ127B2C0001530</t>
  </si>
  <si>
    <t>241094.IRJ127B2C0001530</t>
  </si>
  <si>
    <t>FKS26169</t>
  </si>
  <si>
    <t>FKS26205K</t>
  </si>
  <si>
    <t>263058-G</t>
  </si>
  <si>
    <t>FKS26228H</t>
  </si>
  <si>
    <t>IRJ127B2C0001336</t>
  </si>
  <si>
    <t>IN26032B</t>
  </si>
  <si>
    <t>FKS26237</t>
  </si>
  <si>
    <t>LSK26062202-A12</t>
  </si>
  <si>
    <t>FKS26230F</t>
  </si>
  <si>
    <t>221172.FKS26230F</t>
  </si>
  <si>
    <t>LSK26070101-A5</t>
  </si>
  <si>
    <t>check</t>
  </si>
  <si>
    <t>149097.IN26050A</t>
  </si>
  <si>
    <t>207551.FKS26174C</t>
  </si>
  <si>
    <t>219829.LSK26071201-A5</t>
  </si>
  <si>
    <t>238654.GLS-20260518-2</t>
  </si>
  <si>
    <t>218966.IRJ127B2C0000783</t>
  </si>
  <si>
    <t>225336.IRJ127B2C000790</t>
  </si>
  <si>
    <t>238530.GLS-20260707-B</t>
  </si>
  <si>
    <t>247070.IRJ127B2C0001431</t>
  </si>
  <si>
    <t>151154.26WLS-339J</t>
  </si>
  <si>
    <t>233155.HV26552B</t>
  </si>
  <si>
    <t>241079.IRJ127B2C0001399</t>
  </si>
  <si>
    <t>241087.IRJ127B2C0001621</t>
  </si>
  <si>
    <t>242716.IRJ127B2C0001359</t>
  </si>
  <si>
    <t xml:space="preserve">234804IRJ127B2C0001870
</t>
  </si>
  <si>
    <t>234791BH-PAL30-2</t>
  </si>
  <si>
    <t>Frame type</t>
  </si>
  <si>
    <t>date</t>
  </si>
  <si>
    <t>Column2</t>
  </si>
  <si>
    <t>5.2 b/9.59 c</t>
  </si>
  <si>
    <t>mixed inventory</t>
  </si>
  <si>
    <t>temple and tracing value are diff</t>
  </si>
  <si>
    <t>TBC</t>
  </si>
  <si>
    <t>Big Size</t>
  </si>
  <si>
    <t>206775.WMW26YFS0127</t>
  </si>
  <si>
    <t>no correction</t>
  </si>
  <si>
    <t>241078.IRJ127B2C0001769</t>
  </si>
  <si>
    <t>241079.IRJ127B2C0001382</t>
  </si>
  <si>
    <t>244794.26WLS-339O</t>
  </si>
  <si>
    <t>229215.HV26462</t>
  </si>
  <si>
    <t>STATUS</t>
  </si>
  <si>
    <t>IRJ127B2C0001978</t>
  </si>
  <si>
    <t>INSI-26-191496</t>
  </si>
  <si>
    <t>IRJ127B2C0001017</t>
  </si>
  <si>
    <t>LSK26080101-A5</t>
  </si>
  <si>
    <t>FKS26217P</t>
  </si>
  <si>
    <t>HD20251365B</t>
  </si>
  <si>
    <t>FKS26218I</t>
  </si>
  <si>
    <t>IN026062702E</t>
  </si>
  <si>
    <t>LSK26062202-A2</t>
  </si>
  <si>
    <t>FKS26217N</t>
  </si>
  <si>
    <t>FS2613E</t>
  </si>
  <si>
    <t>FS2616B</t>
  </si>
  <si>
    <t>26WLS-319I</t>
  </si>
  <si>
    <t>IN026063003B</t>
  </si>
  <si>
    <t>FKS26205O</t>
  </si>
  <si>
    <t>FKS26198P</t>
  </si>
  <si>
    <t>done</t>
  </si>
  <si>
    <t>TOD-22973D</t>
  </si>
  <si>
    <t>IHR127B2C0003725</t>
  </si>
  <si>
    <t>IRJ127B2C0002154</t>
  </si>
  <si>
    <t>IRJ127B2C0002031</t>
  </si>
  <si>
    <t>IRJ127B2C0002022</t>
  </si>
  <si>
    <t>LSK26072202-A3</t>
  </si>
  <si>
    <t>IRJ127B2C0001913</t>
  </si>
  <si>
    <t>26WLS-309E</t>
  </si>
  <si>
    <t>238757.26WLS-309E</t>
  </si>
  <si>
    <t>IRJ127B2C0001089</t>
  </si>
  <si>
    <t>LSK26072102-A1</t>
  </si>
  <si>
    <t>26WLS-380D</t>
  </si>
  <si>
    <t>IN26056C</t>
  </si>
  <si>
    <t>IRJ127B2C0002149</t>
  </si>
  <si>
    <t>IRJ127B2C0002115</t>
  </si>
  <si>
    <t>241117.IRJ127B2C0002115</t>
  </si>
  <si>
    <t>LSK26072102-A11</t>
  </si>
  <si>
    <t>IRJ127B2C0002080</t>
  </si>
  <si>
    <t>241119.IRJ127B2C0002080</t>
  </si>
  <si>
    <t>FKS26197M</t>
  </si>
  <si>
    <t>LSK26072102-A2</t>
  </si>
  <si>
    <t>FKS26220</t>
  </si>
  <si>
    <t>FKS26245</t>
  </si>
  <si>
    <t>IHR127B2C0001165</t>
  </si>
  <si>
    <t>reason</t>
  </si>
  <si>
    <t>213180.LSK26080101-A3</t>
  </si>
  <si>
    <t>Percentage</t>
  </si>
  <si>
    <t xml:space="preserve">STATUS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</si>
</sst>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mm-dd-yyyy"/>
    <numFmt numFmtId="166" formatCode="0.0%;\-0.0%;0.0%"/>
  </numFmts>
  <fonts count="39">
    <font>
      <sz val="10.0"/>
      <color rgb="FF000000"/>
      <name val="Arial"/>
      <scheme val="minor"/>
    </font>
    <font>
      <b/>
      <sz val="11.0"/>
      <color rgb="FFFFFFFF"/>
      <name val="Calibri"/>
    </font>
    <font>
      <b/>
      <color rgb="FF434343"/>
      <name val="Arial"/>
    </font>
    <font>
      <color theme="1"/>
      <name val="Arial"/>
      <scheme val="minor"/>
    </font>
    <font>
      <color rgb="FF1F1F1F"/>
      <name val="Arial"/>
      <scheme val="minor"/>
    </font>
    <font>
      <sz val="11.0"/>
      <color rgb="FF000000"/>
      <name val="Calibri"/>
    </font>
    <font>
      <b/>
      <color theme="1"/>
      <name val="Arial"/>
      <scheme val="minor"/>
    </font>
    <font>
      <u/>
      <color rgb="FF0000FF"/>
    </font>
    <font>
      <sz val="11.0"/>
      <color theme="1"/>
      <name val="Calibri"/>
    </font>
    <font/>
    <font>
      <u/>
      <color rgb="FF0000FF"/>
    </font>
    <font>
      <u/>
      <color rgb="FF0000FF"/>
    </font>
    <font>
      <color rgb="FF000000"/>
      <name val="Arial"/>
      <scheme val="minor"/>
    </font>
    <font>
      <u/>
      <color rgb="FF000000"/>
    </font>
    <font>
      <sz val="11.0"/>
      <color rgb="FFFF0000"/>
      <name val="Calibri"/>
    </font>
    <font>
      <sz val="11.0"/>
      <color rgb="FF9900FF"/>
      <name val="Calibri"/>
    </font>
    <font>
      <sz val="11.0"/>
      <color theme="5"/>
      <name val="Calibri"/>
    </font>
    <font>
      <color theme="5"/>
      <name val="Arial"/>
      <scheme val="minor"/>
    </font>
    <font>
      <color rgb="FFFF0000"/>
      <name val="Arial"/>
      <scheme val="minor"/>
    </font>
    <font>
      <u/>
      <color rgb="FF0000FF"/>
    </font>
    <font>
      <sz val="11.0"/>
      <color rgb="FF980000"/>
      <name val="Calibri"/>
    </font>
    <font>
      <color rgb="FF980000"/>
      <name val="Arial"/>
      <scheme val="minor"/>
    </font>
    <font>
      <b/>
      <color rgb="FFFFFFFF"/>
      <name val="Arial"/>
      <scheme val="minor"/>
    </font>
    <font>
      <color theme="1"/>
      <name val="Arial"/>
    </font>
    <font>
      <sz val="11.0"/>
      <color rgb="FF9C0006"/>
      <name val="Calibri"/>
    </font>
    <font>
      <b/>
      <sz val="11.0"/>
      <color rgb="FF000000"/>
      <name val="Calibri"/>
    </font>
    <font>
      <color rgb="FF000000"/>
      <name val="Arial"/>
    </font>
    <font>
      <b/>
      <sz val="14.0"/>
      <color rgb="FFFFFFFF"/>
      <name val="Calibri"/>
    </font>
    <font>
      <b/>
      <sz val="11.0"/>
      <color theme="1"/>
      <name val="Calibri"/>
    </font>
    <font>
      <b/>
      <sz val="18.0"/>
      <color rgb="FFFFFFFF"/>
      <name val="Calibri"/>
    </font>
    <font>
      <b/>
      <sz val="18.0"/>
      <color rgb="FF000000"/>
      <name val="Calibri"/>
    </font>
    <font>
      <color rgb="FF000000"/>
      <name val="Calibri"/>
    </font>
    <font>
      <b/>
      <color rgb="FFFFFFFF"/>
      <name val="Calibri"/>
    </font>
    <font>
      <b/>
      <sz val="13.0"/>
      <color rgb="FFFFFFFF"/>
      <name val="Calibri"/>
    </font>
    <font>
      <b/>
      <color rgb="FF000000"/>
      <name val="Calibri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b/>
      <color rgb="FFFFFFFF"/>
      <name val="Arial"/>
    </font>
  </fonts>
  <fills count="48">
    <fill>
      <patternFill patternType="none"/>
    </fill>
    <fill>
      <patternFill patternType="lightGray"/>
    </fill>
    <fill>
      <patternFill patternType="solid">
        <fgColor rgb="FF5B9BD5"/>
        <bgColor rgb="FF5B9BD5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DEBF7"/>
      </patternFill>
    </fill>
    <fill>
      <patternFill patternType="solid">
        <fgColor rgb="FFC27BA0"/>
        <bgColor rgb="FFC27BA0"/>
      </patternFill>
    </fill>
    <fill>
      <patternFill patternType="solid">
        <fgColor rgb="FFD5A6BD"/>
        <bgColor rgb="FFD5A6BD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theme="4"/>
        <bgColor theme="4"/>
      </patternFill>
    </fill>
    <fill>
      <patternFill patternType="solid">
        <fgColor rgb="FF4A86E8"/>
        <bgColor rgb="FF4A86E8"/>
      </patternFill>
    </fill>
    <fill>
      <patternFill patternType="solid">
        <fgColor rgb="FFCC0000"/>
        <bgColor rgb="FFCC0000"/>
      </patternFill>
    </fill>
    <fill>
      <patternFill patternType="solid">
        <fgColor theme="5"/>
        <bgColor theme="5"/>
      </patternFill>
    </fill>
    <fill>
      <patternFill patternType="solid">
        <fgColor rgb="FF6D9EEB"/>
        <bgColor rgb="FF6D9EEB"/>
      </patternFill>
    </fill>
    <fill>
      <patternFill patternType="solid">
        <fgColor rgb="FFFCE4D6"/>
        <bgColor rgb="FFFCE4D6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4472C4"/>
        <bgColor rgb="FF4472C4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FF66CC"/>
        <bgColor rgb="FFFF66CC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  <fill>
      <patternFill patternType="solid">
        <fgColor rgb="FF1F4E79"/>
        <bgColor rgb="FF1F4E79"/>
      </patternFill>
    </fill>
    <fill>
      <patternFill patternType="solid">
        <fgColor rgb="FFEBF3FB"/>
        <bgColor rgb="FFEBF3FB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  <fill>
      <patternFill patternType="solid">
        <fgColor rgb="FF2E75B6"/>
        <bgColor rgb="FF2E75B6"/>
      </patternFill>
    </fill>
    <fill>
      <patternFill patternType="solid">
        <fgColor rgb="FFFFCCCC"/>
        <bgColor rgb="FFFFCCCC"/>
      </patternFill>
    </fill>
    <fill>
      <patternFill patternType="solid">
        <fgColor rgb="FFC0305A"/>
        <bgColor rgb="FFC0305A"/>
      </patternFill>
    </fill>
    <fill>
      <patternFill patternType="solid">
        <fgColor rgb="FFFFD6E0"/>
        <bgColor rgb="FFFFD6E0"/>
      </patternFill>
    </fill>
    <fill>
      <patternFill patternType="solid">
        <fgColor rgb="FF107C10"/>
        <bgColor rgb="FF107C10"/>
      </patternFill>
    </fill>
    <fill>
      <patternFill patternType="solid">
        <fgColor rgb="FFC6EFCE"/>
        <bgColor rgb="FFC6EFCE"/>
      </patternFill>
    </fill>
    <fill>
      <patternFill patternType="solid">
        <fgColor rgb="FF92D050"/>
        <bgColor rgb="FF92D050"/>
      </patternFill>
    </fill>
    <fill>
      <patternFill patternType="solid">
        <fgColor rgb="FFFF3399"/>
        <bgColor rgb="FFFF3399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FFC7CE"/>
        <bgColor rgb="FFFFC7CE"/>
      </patternFill>
    </fill>
    <fill>
      <patternFill patternType="solid">
        <fgColor rgb="FF980000"/>
        <bgColor rgb="FF9800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9BC2E6"/>
      </bottom>
    </border>
    <border>
      <top style="thin">
        <color rgb="FF9BC2E6"/>
      </top>
      <bottom style="thin">
        <color rgb="FF9BC2E6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right style="thin">
        <color rgb="FF9BC2E6"/>
      </right>
      <bottom style="thin">
        <color rgb="FF9BC2E6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9BC2E6"/>
      </left>
      <bottom style="thin">
        <color rgb="FF9BC2E6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bottom" wrapText="0"/>
    </xf>
    <xf borderId="1" fillId="2" fontId="1" numFmtId="0" xfId="0" applyAlignment="1" applyBorder="1" applyFill="1" applyFont="1">
      <alignment horizontal="left" readingOrder="0" vertical="bottom"/>
    </xf>
    <xf borderId="1" fillId="3" fontId="2" numFmtId="0" xfId="0" applyAlignment="1" applyBorder="1" applyFill="1" applyFont="1">
      <alignment horizontal="center" readingOrder="0" vertical="bottom"/>
    </xf>
    <xf borderId="1" fillId="2" fontId="1" numFmtId="0" xfId="0" applyAlignment="1" applyBorder="1" applyFill="1" applyFont="1">
      <alignment horizontal="center" readingOrder="0" vertical="bottom"/>
    </xf>
    <xf borderId="1" fillId="0" fontId="3" numFmtId="0" xfId="0" applyBorder="1" applyFont="1"/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readingOrder="0"/>
    </xf>
    <xf borderId="1" fillId="0" fontId="3" numFmtId="10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center" readingOrder="0"/>
    </xf>
    <xf borderId="1" fillId="4" fontId="5" numFmtId="0" xfId="0" applyAlignment="1" applyBorder="1" applyFill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readingOrder="0"/>
    </xf>
    <xf borderId="1" fillId="0" fontId="3" numFmtId="9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/>
    </xf>
    <xf borderId="1" fillId="5" fontId="3" numFmtId="0" xfId="0" applyAlignment="1" applyBorder="1" applyFill="1" applyFont="1">
      <alignment horizontal="left" readingOrder="0"/>
    </xf>
    <xf borderId="1" fillId="6" fontId="3" numFmtId="0" xfId="0" applyAlignment="1" applyBorder="1" applyFill="1" applyFont="1">
      <alignment horizontal="center" readingOrder="0"/>
    </xf>
    <xf borderId="1" fillId="7" fontId="3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 shrinkToFit="0" vertical="bottom" wrapText="0"/>
    </xf>
    <xf borderId="1" fillId="0" fontId="5" numFmtId="0" xfId="0" applyAlignment="1" applyBorder="1" applyFont="1">
      <alignment horizontal="left" readingOrder="0" shrinkToFit="0" vertical="bottom" wrapText="0"/>
    </xf>
    <xf borderId="1" fillId="8" fontId="5" numFmtId="0" xfId="0" applyAlignment="1" applyBorder="1" applyFill="1" applyFont="1">
      <alignment horizontal="center" readingOrder="0" shrinkToFit="0" vertical="bottom" wrapText="0"/>
    </xf>
    <xf borderId="1" fillId="9" fontId="3" numFmtId="164" xfId="0" applyAlignment="1" applyBorder="1" applyFill="1" applyFont="1" applyNumberFormat="1">
      <alignment horizontal="center" readingOrder="0"/>
    </xf>
    <xf borderId="1" fillId="9" fontId="3" numFmtId="0" xfId="0" applyAlignment="1" applyBorder="1" applyFill="1" applyFont="1">
      <alignment horizontal="left" readingOrder="0"/>
    </xf>
    <xf borderId="1" fillId="9" fontId="3" numFmtId="0" xfId="0" applyAlignment="1" applyBorder="1" applyFill="1" applyFont="1">
      <alignment horizontal="left"/>
    </xf>
    <xf borderId="1" fillId="9" fontId="3" numFmtId="0" xfId="0" applyAlignment="1" applyBorder="1" applyFill="1" applyFont="1">
      <alignment horizontal="center"/>
    </xf>
    <xf borderId="1" fillId="9" fontId="3" numFmtId="0" xfId="0" applyAlignment="1" applyBorder="1" applyFill="1" applyFont="1">
      <alignment horizontal="center" readingOrder="0"/>
    </xf>
    <xf borderId="1" fillId="9" fontId="3" numFmtId="0" xfId="0" applyBorder="1" applyFill="1" applyFont="1"/>
    <xf borderId="1" fillId="0" fontId="3" numFmtId="0" xfId="0" applyAlignment="1" applyBorder="1" applyFont="1">
      <alignment readingOrder="0"/>
    </xf>
    <xf borderId="1" fillId="5" fontId="3" numFmtId="0" xfId="0" applyAlignment="1" applyBorder="1" applyFill="1" applyFont="1">
      <alignment horizontal="left"/>
    </xf>
    <xf borderId="1" fillId="5" fontId="3" numFmtId="0" xfId="0" applyAlignment="1" applyBorder="1" applyFill="1" applyFont="1">
      <alignment horizontal="center" readingOrder="0"/>
    </xf>
    <xf borderId="1" fillId="5" fontId="3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/>
    </xf>
    <xf borderId="1" fillId="4" fontId="8" numFmtId="0" xfId="0" applyAlignment="1" applyBorder="1" applyFill="1" applyFon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3" fontId="5" numFmtId="0" xfId="0" applyAlignment="1" applyBorder="1" applyFill="1" applyFont="1">
      <alignment horizontal="left" readingOrder="0" shrinkToFit="0" vertical="bottom" wrapText="0"/>
    </xf>
    <xf borderId="1" fillId="3" fontId="5" numFmtId="10" xfId="0" applyAlignment="1" applyBorder="1" applyFill="1" applyFont="1" applyNumberFormat="1">
      <alignment horizontal="left" readingOrder="0" shrinkToFit="0" vertical="bottom" wrapText="0"/>
    </xf>
    <xf borderId="1" fillId="3" fontId="3" numFmtId="0" xfId="0" applyAlignment="1" applyBorder="1" applyFill="1" applyFont="1">
      <alignment horizontal="left" readingOrder="0"/>
    </xf>
    <xf borderId="1" fillId="0" fontId="5" numFmtId="10" xfId="0" applyAlignment="1" applyBorder="1" applyFont="1" applyNumberFormat="1">
      <alignment horizontal="left" readingOrder="0" shrinkToFit="0" vertical="bottom" wrapText="0"/>
    </xf>
    <xf borderId="1" fillId="4" fontId="5" numFmtId="10" xfId="0" applyAlignment="1" applyBorder="1" applyFill="1" applyFont="1" applyNumberFormat="1">
      <alignment horizontal="left" readingOrder="0" shrinkToFit="0" vertical="bottom" wrapText="0"/>
    </xf>
    <xf borderId="2" fillId="5" fontId="3" numFmtId="0" xfId="0" applyAlignment="1" applyBorder="1" applyFill="1" applyFont="1">
      <alignment horizontal="center" readingOrder="0"/>
    </xf>
    <xf borderId="3" fillId="0" fontId="9" numFmtId="0" xfId="0" applyBorder="1" applyFont="1"/>
    <xf borderId="4" fillId="0" fontId="9" numFmtId="0" xfId="0" applyBorder="1" applyFont="1"/>
    <xf borderId="1" fillId="10" fontId="5" numFmtId="0" xfId="0" applyAlignment="1" applyBorder="1" applyFill="1" applyFont="1">
      <alignment horizontal="left" readingOrder="0" shrinkToFit="0" vertical="bottom" wrapText="0"/>
    </xf>
    <xf borderId="1" fillId="5" fontId="5" numFmtId="0" xfId="0" applyAlignment="1" applyBorder="1" applyFill="1" applyFont="1">
      <alignment horizontal="left" readingOrder="0" shrinkToFit="0" vertical="bottom" wrapText="0"/>
    </xf>
    <xf borderId="1" fillId="5" fontId="5" numFmtId="10" xfId="0" applyAlignment="1" applyBorder="1" applyFill="1" applyFont="1" applyNumberFormat="1">
      <alignment horizontal="left" readingOrder="0" shrinkToFit="0" vertical="bottom" wrapText="0"/>
    </xf>
    <xf borderId="1" fillId="11" fontId="3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left" readingOrder="0" shrinkToFit="0" vertical="bottom" wrapText="0"/>
    </xf>
    <xf borderId="1" fillId="11" fontId="5" numFmtId="10" xfId="0" applyAlignment="1" applyBorder="1" applyFill="1" applyFont="1" applyNumberFormat="1">
      <alignment horizontal="left" readingOrder="0" shrinkToFit="0" vertical="bottom" wrapText="0"/>
    </xf>
    <xf borderId="1" fillId="11" fontId="3" numFmtId="0" xfId="0" applyBorder="1" applyFill="1" applyFont="1"/>
    <xf borderId="1" fillId="7" fontId="5" numFmtId="0" xfId="0" applyAlignment="1" applyBorder="1" applyFill="1" applyFont="1">
      <alignment horizontal="left" readingOrder="0" shrinkToFit="0" vertical="bottom" wrapText="0"/>
    </xf>
    <xf borderId="1" fillId="6" fontId="5" numFmtId="0" xfId="0" applyAlignment="1" applyBorder="1" applyFill="1" applyFont="1">
      <alignment horizontal="left" readingOrder="0" shrinkToFit="0" vertical="bottom" wrapText="0"/>
    </xf>
    <xf borderId="1" fillId="11" fontId="3" numFmtId="0" xfId="0" applyAlignment="1" applyBorder="1" applyFill="1" applyFont="1">
      <alignment horizontal="center" readingOrder="0"/>
    </xf>
    <xf borderId="1" fillId="12" fontId="3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left" readingOrder="0" shrinkToFit="0" vertical="bottom" wrapText="0"/>
    </xf>
    <xf borderId="1" fillId="12" fontId="5" numFmtId="10" xfId="0" applyAlignment="1" applyBorder="1" applyFill="1" applyFont="1" applyNumberFormat="1">
      <alignment horizontal="left" readingOrder="0" shrinkToFit="0" vertical="bottom" wrapText="0"/>
    </xf>
    <xf borderId="1" fillId="12" fontId="3" numFmtId="0" xfId="0" applyAlignment="1" applyBorder="1" applyFill="1" applyFont="1">
      <alignment horizontal="center" readingOrder="0"/>
    </xf>
    <xf borderId="1" fillId="12" fontId="3" numFmtId="0" xfId="0" applyBorder="1" applyFill="1" applyFont="1"/>
    <xf borderId="1" fillId="9" fontId="5" numFmtId="0" xfId="0" applyAlignment="1" applyBorder="1" applyFill="1" applyFont="1">
      <alignment horizontal="left" readingOrder="0" shrinkToFit="0" vertical="bottom" wrapText="0"/>
    </xf>
    <xf borderId="1" fillId="9" fontId="5" numFmtId="10" xfId="0" applyAlignment="1" applyBorder="1" applyFill="1" applyFont="1" applyNumberFormat="1">
      <alignment horizontal="left" readingOrder="0" shrinkToFit="0" vertical="bottom" wrapText="0"/>
    </xf>
    <xf borderId="1" fillId="13" fontId="3" numFmtId="0" xfId="0" applyAlignment="1" applyBorder="1" applyFill="1" applyFont="1">
      <alignment horizontal="center"/>
    </xf>
    <xf borderId="1" fillId="13" fontId="5" numFmtId="0" xfId="0" applyAlignment="1" applyBorder="1" applyFill="1" applyFont="1">
      <alignment horizontal="left" readingOrder="0" shrinkToFit="0" vertical="bottom" wrapText="0"/>
    </xf>
    <xf borderId="1" fillId="13" fontId="5" numFmtId="10" xfId="0" applyAlignment="1" applyBorder="1" applyFill="1" applyFont="1" applyNumberFormat="1">
      <alignment horizontal="left" readingOrder="0" shrinkToFit="0" vertical="bottom" wrapText="0"/>
    </xf>
    <xf borderId="1" fillId="13" fontId="3" numFmtId="0" xfId="0" applyAlignment="1" applyBorder="1" applyFill="1" applyFont="1">
      <alignment horizontal="center" readingOrder="0"/>
    </xf>
    <xf borderId="1" fillId="13" fontId="3" numFmtId="0" xfId="0" applyBorder="1" applyFill="1" applyFont="1"/>
    <xf borderId="1" fillId="14" fontId="3" numFmtId="0" xfId="0" applyAlignment="1" applyBorder="1" applyFill="1" applyFont="1">
      <alignment horizontal="center"/>
    </xf>
    <xf borderId="1" fillId="14" fontId="5" numFmtId="0" xfId="0" applyAlignment="1" applyBorder="1" applyFill="1" applyFont="1">
      <alignment horizontal="left" readingOrder="0" shrinkToFit="0" vertical="bottom" wrapText="0"/>
    </xf>
    <xf borderId="1" fillId="14" fontId="5" numFmtId="10" xfId="0" applyAlignment="1" applyBorder="1" applyFill="1" applyFont="1" applyNumberFormat="1">
      <alignment horizontal="left" readingOrder="0" shrinkToFit="0" vertical="bottom" wrapText="0"/>
    </xf>
    <xf borderId="1" fillId="14" fontId="3" numFmtId="0" xfId="0" applyAlignment="1" applyBorder="1" applyFill="1" applyFont="1">
      <alignment horizontal="center" readingOrder="0"/>
    </xf>
    <xf borderId="1" fillId="14" fontId="3" numFmtId="0" xfId="0" applyBorder="1" applyFill="1" applyFont="1"/>
    <xf borderId="1" fillId="15" fontId="3" numFmtId="0" xfId="0" applyAlignment="1" applyBorder="1" applyFill="1" applyFont="1">
      <alignment horizontal="center"/>
    </xf>
    <xf borderId="1" fillId="15" fontId="5" numFmtId="0" xfId="0" applyAlignment="1" applyBorder="1" applyFill="1" applyFont="1">
      <alignment horizontal="left" readingOrder="0" shrinkToFit="0" vertical="bottom" wrapText="0"/>
    </xf>
    <xf borderId="1" fillId="15" fontId="5" numFmtId="10" xfId="0" applyAlignment="1" applyBorder="1" applyFill="1" applyFont="1" applyNumberFormat="1">
      <alignment horizontal="left" readingOrder="0" shrinkToFit="0" vertical="bottom" wrapText="0"/>
    </xf>
    <xf borderId="1" fillId="15" fontId="3" numFmtId="0" xfId="0" applyAlignment="1" applyBorder="1" applyFill="1" applyFont="1">
      <alignment horizontal="center" readingOrder="0"/>
    </xf>
    <xf borderId="1" fillId="15" fontId="3" numFmtId="0" xfId="0" applyBorder="1" applyFill="1" applyFont="1"/>
    <xf borderId="1" fillId="6" fontId="3" numFmtId="0" xfId="0" applyAlignment="1" applyBorder="1" applyFill="1" applyFont="1">
      <alignment horizontal="left" readingOrder="0"/>
    </xf>
    <xf borderId="1" fillId="6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1" fillId="9" fontId="12" numFmtId="164" xfId="0" applyAlignment="1" applyBorder="1" applyFill="1" applyFont="1" applyNumberFormat="1">
      <alignment horizontal="center" readingOrder="0"/>
    </xf>
    <xf borderId="1" fillId="9" fontId="13" numFmtId="0" xfId="0" applyAlignment="1" applyBorder="1" applyFill="1" applyFont="1">
      <alignment horizontal="left" readingOrder="0"/>
    </xf>
    <xf borderId="1" fillId="9" fontId="12" numFmtId="0" xfId="0" applyAlignment="1" applyBorder="1" applyFill="1" applyFont="1">
      <alignment horizontal="left"/>
    </xf>
    <xf borderId="1" fillId="9" fontId="12" numFmtId="0" xfId="0" applyAlignment="1" applyBorder="1" applyFill="1" applyFont="1">
      <alignment horizontal="center" readingOrder="0"/>
    </xf>
    <xf borderId="1" fillId="9" fontId="12" numFmtId="0" xfId="0" applyBorder="1" applyFill="1" applyFont="1"/>
    <xf borderId="1" fillId="16" fontId="5" numFmtId="0" xfId="0" applyAlignment="1" applyBorder="1" applyFill="1" applyFont="1">
      <alignment horizontal="left" readingOrder="0" shrinkToFit="0" vertical="bottom" wrapText="0"/>
    </xf>
    <xf borderId="1" fillId="16" fontId="5" numFmtId="10" xfId="0" applyAlignment="1" applyBorder="1" applyFill="1" applyFont="1" applyNumberFormat="1">
      <alignment horizontal="left" readingOrder="0" shrinkToFit="0" vertical="bottom" wrapText="0"/>
    </xf>
    <xf borderId="2" fillId="17" fontId="6" numFmtId="0" xfId="0" applyAlignment="1" applyBorder="1" applyFill="1" applyFont="1">
      <alignment horizontal="center" readingOrder="0"/>
    </xf>
    <xf borderId="5" fillId="18" fontId="8" numFmtId="0" xfId="0" applyAlignment="1" applyBorder="1" applyFill="1" applyFont="1">
      <alignment horizontal="left" readingOrder="0" shrinkToFit="0" wrapText="0"/>
    </xf>
    <xf borderId="1" fillId="18" fontId="5" numFmtId="0" xfId="0" applyAlignment="1" applyBorder="1" applyFill="1" applyFont="1">
      <alignment horizontal="left" readingOrder="0" shrinkToFit="0" vertical="bottom" wrapText="0"/>
    </xf>
    <xf borderId="1" fillId="18" fontId="5" numFmtId="10" xfId="0" applyAlignment="1" applyBorder="1" applyFill="1" applyFont="1" applyNumberFormat="1">
      <alignment horizontal="left" readingOrder="0" shrinkToFit="0" vertical="bottom" wrapText="0"/>
    </xf>
    <xf borderId="1" fillId="6" fontId="5" numFmtId="0" xfId="0" applyAlignment="1" applyBorder="1" applyFill="1" applyFont="1">
      <alignment horizontal="left" readingOrder="0" shrinkToFit="0" vertical="bottom" wrapText="0"/>
    </xf>
    <xf borderId="1" fillId="6" fontId="5" numFmtId="10" xfId="0" applyAlignment="1" applyBorder="1" applyFill="1" applyFont="1" applyNumberFormat="1">
      <alignment horizontal="left" readingOrder="0" shrinkToFit="0" vertical="bottom" wrapText="0"/>
    </xf>
    <xf borderId="1" fillId="0" fontId="5" numFmtId="0" xfId="0" applyAlignment="1" applyBorder="1" applyFont="1">
      <alignment horizontal="left" readingOrder="0" shrinkToFit="0" vertical="bottom" wrapText="0"/>
    </xf>
    <xf borderId="1" fillId="0" fontId="5" numFmtId="10" xfId="0" applyAlignment="1" applyBorder="1" applyFont="1" applyNumberFormat="1">
      <alignment horizontal="left" readingOrder="0" shrinkToFit="0" vertical="bottom" wrapText="0"/>
    </xf>
    <xf borderId="1" fillId="4" fontId="5" numFmtId="0" xfId="0" applyAlignment="1" applyBorder="1" applyFill="1" applyFont="1">
      <alignment horizontal="left" readingOrder="0" shrinkToFit="0" vertical="bottom" wrapText="0"/>
    </xf>
    <xf borderId="1" fillId="4" fontId="5" numFmtId="10" xfId="0" applyAlignment="1" applyBorder="1" applyFill="1" applyFont="1" applyNumberFormat="1">
      <alignment horizontal="left" readingOrder="0" shrinkToFit="0" vertical="bottom" wrapText="0"/>
    </xf>
    <xf borderId="1" fillId="4" fontId="5" numFmtId="0" xfId="0" applyAlignment="1" applyBorder="1" applyFill="1" applyFont="1">
      <alignment horizontal="center" readingOrder="0" shrinkToFit="0" vertical="bottom" wrapText="0"/>
    </xf>
    <xf borderId="1" fillId="5" fontId="5" numFmtId="0" xfId="0" applyAlignment="1" applyBorder="1" applyFill="1" applyFont="1">
      <alignment horizontal="left" readingOrder="0" shrinkToFit="0" vertical="bottom" wrapText="0"/>
    </xf>
    <xf borderId="1" fillId="5" fontId="5" numFmtId="10" xfId="0" applyAlignment="1" applyBorder="1" applyFill="1" applyFont="1" applyNumberFormat="1">
      <alignment horizontal="left" readingOrder="0" shrinkToFit="0" vertical="bottom" wrapText="0"/>
    </xf>
    <xf borderId="1" fillId="0" fontId="5" numFmtId="0" xfId="0" applyAlignment="1" applyBorder="1" applyFont="1">
      <alignment horizontal="center" readingOrder="0" shrinkToFit="0" vertical="bottom" wrapText="0"/>
    </xf>
    <xf borderId="1" fillId="18" fontId="5" numFmtId="0" xfId="0" applyAlignment="1" applyBorder="1" applyFill="1" applyFont="1">
      <alignment horizontal="center" readingOrder="0" shrinkToFit="0" vertical="bottom" wrapText="0"/>
    </xf>
    <xf borderId="1" fillId="6" fontId="5" numFmtId="10" xfId="0" applyAlignment="1" applyBorder="1" applyFill="1" applyFont="1" applyNumberFormat="1">
      <alignment horizontal="left" readingOrder="0" shrinkToFit="0" vertical="bottom" wrapText="0"/>
    </xf>
    <xf borderId="1" fillId="18" fontId="5" numFmtId="0" xfId="0" applyAlignment="1" applyBorder="1" applyFill="1" applyFont="1">
      <alignment horizontal="left" readingOrder="0" shrinkToFit="0" vertical="bottom" wrapText="0"/>
    </xf>
    <xf borderId="1" fillId="18" fontId="5" numFmtId="10" xfId="0" applyAlignment="1" applyBorder="1" applyFill="1" applyFont="1" applyNumberFormat="1">
      <alignment horizontal="left" readingOrder="0" shrinkToFit="0" vertical="bottom" wrapText="0"/>
    </xf>
    <xf borderId="1" fillId="19" fontId="14" numFmtId="0" xfId="0" applyAlignment="1" applyBorder="1" applyFill="1" applyFont="1">
      <alignment horizontal="left" readingOrder="0" shrinkToFit="0" vertical="bottom" wrapText="0"/>
    </xf>
    <xf borderId="1" fillId="19" fontId="14" numFmtId="10" xfId="0" applyAlignment="1" applyBorder="1" applyFill="1" applyFont="1" applyNumberFormat="1">
      <alignment horizontal="left" readingOrder="0" shrinkToFit="0" vertical="bottom" wrapText="0"/>
    </xf>
    <xf borderId="1" fillId="19" fontId="3" numFmtId="0" xfId="0" applyAlignment="1" applyBorder="1" applyFill="1" applyFont="1">
      <alignment horizontal="center"/>
    </xf>
    <xf borderId="1" fillId="19" fontId="3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left" readingOrder="0" shrinkToFit="0" vertical="bottom" wrapText="0"/>
    </xf>
    <xf borderId="1" fillId="2" fontId="5" numFmtId="10" xfId="0" applyAlignment="1" applyBorder="1" applyFill="1" applyFont="1" applyNumberFormat="1">
      <alignment horizontal="left" readingOrder="0" shrinkToFit="0" vertical="bottom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15" numFmtId="0" xfId="0" applyAlignment="1" applyBorder="1" applyFont="1">
      <alignment horizontal="left" readingOrder="0" shrinkToFit="0" vertical="bottom" wrapText="0"/>
    </xf>
    <xf borderId="1" fillId="0" fontId="15" numFmtId="10" xfId="0" applyAlignment="1" applyBorder="1" applyFont="1" applyNumberFormat="1">
      <alignment horizontal="left" readingOrder="0" shrinkToFit="0" vertical="bottom" wrapText="0"/>
    </xf>
    <xf borderId="1" fillId="17" fontId="16" numFmtId="0" xfId="0" applyAlignment="1" applyBorder="1" applyFill="1" applyFont="1">
      <alignment horizontal="left" readingOrder="0" shrinkToFit="0" vertical="bottom" wrapText="0"/>
    </xf>
    <xf borderId="1" fillId="17" fontId="16" numFmtId="10" xfId="0" applyAlignment="1" applyBorder="1" applyFill="1" applyFont="1" applyNumberFormat="1">
      <alignment horizontal="left" readingOrder="0" shrinkToFit="0" vertical="bottom" wrapText="0"/>
    </xf>
    <xf borderId="1" fillId="17" fontId="17" numFmtId="0" xfId="0" applyAlignment="1" applyBorder="1" applyFill="1" applyFont="1">
      <alignment horizontal="center" readingOrder="0"/>
    </xf>
    <xf borderId="1" fillId="17" fontId="17" numFmtId="0" xfId="0" applyAlignment="1" applyBorder="1" applyFill="1" applyFont="1">
      <alignment horizontal="center"/>
    </xf>
    <xf borderId="1" fillId="19" fontId="18" numFmtId="0" xfId="0" applyAlignment="1" applyBorder="1" applyFill="1" applyFont="1">
      <alignment horizontal="center" readingOrder="0"/>
    </xf>
    <xf borderId="1" fillId="19" fontId="18" numFmtId="0" xfId="0" applyAlignment="1" applyBorder="1" applyFill="1" applyFont="1">
      <alignment horizontal="center"/>
    </xf>
    <xf borderId="1" fillId="0" fontId="19" numFmtId="0" xfId="0" applyAlignment="1" applyBorder="1" applyFont="1">
      <alignment horizontal="left" readingOrder="0"/>
    </xf>
    <xf borderId="1" fillId="20" fontId="20" numFmtId="0" xfId="0" applyAlignment="1" applyBorder="1" applyFill="1" applyFont="1">
      <alignment horizontal="left" readingOrder="0" shrinkToFit="0" vertical="bottom" wrapText="0"/>
    </xf>
    <xf borderId="1" fillId="20" fontId="20" numFmtId="10" xfId="0" applyAlignment="1" applyBorder="1" applyFill="1" applyFont="1" applyNumberFormat="1">
      <alignment horizontal="left" readingOrder="0" shrinkToFit="0" vertical="bottom" wrapText="0"/>
    </xf>
    <xf borderId="1" fillId="20" fontId="21" numFmtId="0" xfId="0" applyAlignment="1" applyBorder="1" applyFill="1" applyFont="1">
      <alignment horizontal="center"/>
    </xf>
    <xf borderId="1" fillId="0" fontId="21" numFmtId="0" xfId="0" applyAlignment="1" applyBorder="1" applyFont="1">
      <alignment horizontal="center"/>
    </xf>
    <xf borderId="1" fillId="0" fontId="21" numFmtId="0" xfId="0" applyBorder="1" applyFont="1"/>
    <xf borderId="1" fillId="21" fontId="5" numFmtId="0" xfId="0" applyAlignment="1" applyBorder="1" applyFill="1" applyFont="1">
      <alignment horizontal="left" readingOrder="0" shrinkToFit="0" vertical="bottom" wrapText="0"/>
    </xf>
    <xf borderId="1" fillId="21" fontId="5" numFmtId="10" xfId="0" applyAlignment="1" applyBorder="1" applyFill="1" applyFont="1" applyNumberFormat="1">
      <alignment horizontal="left" readingOrder="0" shrinkToFit="0" vertical="bottom" wrapText="0"/>
    </xf>
    <xf borderId="1" fillId="18" fontId="8" numFmtId="0" xfId="0" applyAlignment="1" applyBorder="1" applyFill="1" applyFont="1">
      <alignment horizontal="left" readingOrder="0" shrinkToFit="0" wrapText="0"/>
    </xf>
    <xf borderId="1" fillId="0" fontId="8" numFmtId="0" xfId="0" applyAlignment="1" applyBorder="1" applyFont="1">
      <alignment horizontal="left" readingOrder="0" shrinkToFit="0" wrapText="0"/>
    </xf>
    <xf borderId="1" fillId="21" fontId="3" numFmtId="0" xfId="0" applyAlignment="1" applyBorder="1" applyFill="1" applyFont="1">
      <alignment horizontal="center" readingOrder="0"/>
    </xf>
    <xf borderId="1" fillId="21" fontId="3" numFmtId="0" xfId="0" applyAlignment="1" applyBorder="1" applyFill="1" applyFont="1">
      <alignment horizontal="center"/>
    </xf>
    <xf borderId="1" fillId="21" fontId="12" numFmtId="0" xfId="0" applyAlignment="1" applyBorder="1" applyFill="1" applyFont="1">
      <alignment horizontal="center" readingOrder="0"/>
    </xf>
    <xf borderId="1" fillId="21" fontId="12" numFmtId="0" xfId="0" applyAlignment="1" applyBorder="1" applyFill="1" applyFont="1">
      <alignment horizontal="center"/>
    </xf>
    <xf borderId="1" fillId="8" fontId="5" numFmtId="0" xfId="0" applyAlignment="1" applyBorder="1" applyFill="1" applyFont="1">
      <alignment horizontal="left" readingOrder="0" shrinkToFit="0" vertical="bottom" wrapText="0"/>
    </xf>
    <xf borderId="1" fillId="8" fontId="5" numFmtId="10" xfId="0" applyAlignment="1" applyBorder="1" applyFill="1" applyFont="1" applyNumberFormat="1">
      <alignment horizontal="left" readingOrder="0" shrinkToFit="0" vertical="bottom" wrapText="0"/>
    </xf>
    <xf borderId="2" fillId="0" fontId="6" numFmtId="0" xfId="0" applyAlignment="1" applyBorder="1" applyFont="1">
      <alignment horizontal="center" readingOrder="0"/>
    </xf>
    <xf borderId="1" fillId="8" fontId="8" numFmtId="0" xfId="0" applyAlignment="1" applyBorder="1" applyFill="1" applyFont="1">
      <alignment horizontal="left" vertical="bottom"/>
    </xf>
    <xf borderId="0" fillId="0" fontId="3" numFmtId="0" xfId="0" applyAlignment="1" applyFont="1">
      <alignment horizontal="center" readingOrder="0"/>
    </xf>
    <xf borderId="1" fillId="8" fontId="8" numFmtId="0" xfId="0" applyAlignment="1" applyBorder="1" applyFill="1" applyFont="1">
      <alignment horizontal="left" vertical="bottom"/>
    </xf>
    <xf borderId="1" fillId="12" fontId="3" numFmtId="164" xfId="0" applyAlignment="1" applyBorder="1" applyFill="1" applyFont="1" applyNumberFormat="1">
      <alignment horizontal="center" readingOrder="0"/>
    </xf>
    <xf borderId="1" fillId="12" fontId="3" numFmtId="0" xfId="0" applyAlignment="1" applyBorder="1" applyFill="1" applyFont="1">
      <alignment horizontal="left" readingOrder="0"/>
    </xf>
    <xf borderId="1" fillId="12" fontId="3" numFmtId="0" xfId="0" applyAlignment="1" applyBorder="1" applyFill="1" applyFont="1">
      <alignment horizontal="left"/>
    </xf>
    <xf borderId="2" fillId="3" fontId="12" numFmtId="0" xfId="0" applyAlignment="1" applyBorder="1" applyFill="1" applyFont="1">
      <alignment horizontal="center" readingOrder="0"/>
    </xf>
    <xf borderId="2" fillId="21" fontId="6" numFmtId="0" xfId="0" applyAlignment="1" applyBorder="1" applyFill="1" applyFont="1">
      <alignment horizontal="center" readingOrder="0"/>
    </xf>
    <xf borderId="6" fillId="21" fontId="5" numFmtId="0" xfId="0" applyAlignment="1" applyBorder="1" applyFill="1" applyFont="1">
      <alignment horizontal="left" readingOrder="0" shrinkToFit="0" vertical="bottom" wrapText="0"/>
    </xf>
    <xf borderId="6" fillId="21" fontId="5" numFmtId="10" xfId="0" applyAlignment="1" applyBorder="1" applyFill="1" applyFont="1" applyNumberFormat="1">
      <alignment horizontal="left" readingOrder="0" shrinkToFit="0" vertical="bottom" wrapText="0"/>
    </xf>
    <xf borderId="7" fillId="0" fontId="5" numFmtId="0" xfId="0" applyAlignment="1" applyBorder="1" applyFont="1">
      <alignment horizontal="left" readingOrder="0" shrinkToFit="0" vertical="bottom" wrapText="0"/>
    </xf>
    <xf borderId="7" fillId="0" fontId="5" numFmtId="10" xfId="0" applyAlignment="1" applyBorder="1" applyFont="1" applyNumberFormat="1">
      <alignment horizontal="left" readingOrder="0" shrinkToFit="0" vertical="bottom" wrapText="0"/>
    </xf>
    <xf borderId="7" fillId="0" fontId="5" numFmtId="0" xfId="0" applyAlignment="1" applyBorder="1" applyFont="1">
      <alignment horizontal="center" readingOrder="0" shrinkToFit="0" vertical="bottom" wrapText="0"/>
    </xf>
    <xf borderId="2" fillId="6" fontId="3" numFmtId="0" xfId="0" applyAlignment="1" applyBorder="1" applyFill="1" applyFont="1">
      <alignment horizontal="center" readingOrder="0"/>
    </xf>
    <xf borderId="1" fillId="8" fontId="5" numFmtId="0" xfId="0" applyAlignment="1" applyBorder="1" applyFill="1" applyFont="1">
      <alignment horizontal="left" readingOrder="0" shrinkToFit="0" vertical="bottom" wrapText="0"/>
    </xf>
    <xf borderId="1" fillId="8" fontId="5" numFmtId="10" xfId="0" applyAlignment="1" applyBorder="1" applyFill="1" applyFont="1" applyNumberFormat="1">
      <alignment horizontal="left" readingOrder="0" shrinkToFit="0" vertical="bottom" wrapText="0"/>
    </xf>
    <xf borderId="1" fillId="8" fontId="5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horizontal="center" readingOrder="0"/>
    </xf>
    <xf borderId="1" fillId="21" fontId="5" numFmtId="0" xfId="0" applyAlignment="1" applyBorder="1" applyFill="1" applyFont="1">
      <alignment horizontal="left" readingOrder="0" shrinkToFit="0" vertical="bottom" wrapText="0"/>
    </xf>
    <xf borderId="1" fillId="21" fontId="5" numFmtId="10" xfId="0" applyAlignment="1" applyBorder="1" applyFill="1" applyFont="1" applyNumberFormat="1">
      <alignment horizontal="left" readingOrder="0" shrinkToFit="0" vertical="bottom" wrapText="0"/>
    </xf>
    <xf borderId="2" fillId="21" fontId="22" numFmtId="0" xfId="0" applyAlignment="1" applyBorder="1" applyFill="1" applyFont="1">
      <alignment horizontal="center" readingOrder="0"/>
    </xf>
    <xf borderId="1" fillId="8" fontId="14" numFmtId="0" xfId="0" applyAlignment="1" applyBorder="1" applyFill="1" applyFont="1">
      <alignment horizontal="left" readingOrder="0" shrinkToFit="0" vertical="bottom" wrapText="0"/>
    </xf>
    <xf borderId="1" fillId="0" fontId="23" numFmtId="0" xfId="0" applyAlignment="1" applyBorder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1" fillId="8" fontId="5" numFmtId="0" xfId="0" applyAlignment="1" applyBorder="1" applyFill="1" applyFont="1">
      <alignment readingOrder="0" shrinkToFit="0" vertical="bottom" wrapText="0"/>
    </xf>
    <xf borderId="1" fillId="8" fontId="5" numFmtId="10" xfId="0" applyAlignment="1" applyBorder="1" applyFill="1" applyFont="1" applyNumberFormat="1">
      <alignment horizontal="right" readingOrder="0" shrinkToFit="0" vertical="bottom" wrapText="0"/>
    </xf>
    <xf borderId="1" fillId="0" fontId="3" numFmtId="0" xfId="0" applyAlignment="1" applyBorder="1" applyFont="1">
      <alignment horizontal="left" readingOrder="0"/>
    </xf>
    <xf borderId="1" fillId="21" fontId="3" numFmtId="0" xfId="0" applyAlignment="1" applyBorder="1" applyFill="1" applyFont="1">
      <alignment horizontal="left" readingOrder="0"/>
    </xf>
    <xf borderId="1" fillId="18" fontId="5" numFmtId="0" xfId="0" applyAlignment="1" applyBorder="1" applyFill="1" applyFont="1">
      <alignment readingOrder="0" shrinkToFit="0" vertical="bottom" wrapText="0"/>
    </xf>
    <xf borderId="1" fillId="18" fontId="5" numFmtId="10" xfId="0" applyAlignment="1" applyBorder="1" applyFill="1" applyFont="1" applyNumberFormat="1">
      <alignment horizontal="right" readingOrder="0" shrinkToFit="0" vertical="bottom" wrapText="0"/>
    </xf>
    <xf borderId="1" fillId="18" fontId="5" numFmtId="9" xfId="0" applyAlignment="1" applyBorder="1" applyFill="1" applyFont="1" applyNumberFormat="1">
      <alignment horizontal="right" readingOrder="0" shrinkToFit="0" vertical="bottom" wrapText="0"/>
    </xf>
    <xf borderId="1" fillId="8" fontId="24" numFmtId="0" xfId="0" applyAlignment="1" applyBorder="1" applyFill="1" applyFont="1">
      <alignment readingOrder="0" shrinkToFit="0" vertical="bottom" wrapText="0"/>
    </xf>
    <xf borderId="1" fillId="8" fontId="5" numFmtId="0" xfId="0" applyAlignment="1" applyBorder="1" applyFill="1" applyFont="1">
      <alignment readingOrder="0" shrinkToFit="0" vertical="bottom" wrapText="0"/>
    </xf>
    <xf borderId="1" fillId="8" fontId="5" numFmtId="10" xfId="0" applyAlignment="1" applyBorder="1" applyFill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7" fillId="2" fontId="1" numFmtId="0" xfId="0" applyAlignment="1" applyBorder="1" applyFill="1" applyFont="1">
      <alignment readingOrder="0" shrinkToFit="0" vertical="bottom" wrapText="0"/>
    </xf>
    <xf borderId="8" fillId="2" fontId="1" numFmtId="0" xfId="0" applyAlignment="1" applyBorder="1" applyFill="1" applyFont="1">
      <alignment readingOrder="0" shrinkToFit="0" vertical="bottom" wrapText="0"/>
    </xf>
    <xf borderId="7" fillId="4" fontId="5" numFmtId="0" xfId="0" applyAlignment="1" applyBorder="1" applyFill="1" applyFont="1">
      <alignment readingOrder="0" shrinkToFit="0" vertical="bottom" wrapText="0"/>
    </xf>
    <xf borderId="7" fillId="4" fontId="5" numFmtId="0" xfId="0" applyAlignment="1" applyBorder="1" applyFill="1" applyFont="1">
      <alignment horizontal="right" readingOrder="0" shrinkToFit="0" vertical="bottom" wrapText="0"/>
    </xf>
    <xf borderId="7" fillId="4" fontId="5" numFmtId="10" xfId="0" applyAlignment="1" applyBorder="1" applyFill="1" applyFont="1" applyNumberFormat="1">
      <alignment horizontal="right" readingOrder="0" shrinkToFit="0" vertical="bottom" wrapText="0"/>
    </xf>
    <xf borderId="8" fillId="4" fontId="5" numFmtId="10" xfId="0" applyAlignment="1" applyBorder="1" applyFill="1" applyFont="1" applyNumberFormat="1">
      <alignment horizontal="right" readingOrder="0" shrinkToFit="0" vertical="bottom" wrapText="0"/>
    </xf>
    <xf borderId="0" fillId="0" fontId="3" numFmtId="0" xfId="0" applyFont="1"/>
    <xf borderId="7" fillId="0" fontId="5" numFmtId="0" xfId="0" applyAlignment="1" applyBorder="1" applyFont="1">
      <alignment readingOrder="0" shrinkToFit="0" vertical="bottom" wrapText="0"/>
    </xf>
    <xf borderId="7" fillId="0" fontId="5" numFmtId="0" xfId="0" applyAlignment="1" applyBorder="1" applyFont="1">
      <alignment horizontal="right" readingOrder="0" shrinkToFit="0" vertical="bottom" wrapText="0"/>
    </xf>
    <xf borderId="7" fillId="0" fontId="5" numFmtId="10" xfId="0" applyAlignment="1" applyBorder="1" applyFont="1" applyNumberFormat="1">
      <alignment horizontal="right" readingOrder="0" shrinkToFit="0" vertical="bottom" wrapText="0"/>
    </xf>
    <xf borderId="8" fillId="0" fontId="5" numFmtId="10" xfId="0" applyAlignment="1" applyBorder="1" applyFont="1" applyNumberFormat="1">
      <alignment horizontal="right" readingOrder="0" shrinkToFit="0" vertical="bottom" wrapText="0"/>
    </xf>
    <xf borderId="7" fillId="22" fontId="5" numFmtId="0" xfId="0" applyAlignment="1" applyBorder="1" applyFill="1" applyFont="1">
      <alignment readingOrder="0" shrinkToFit="0" vertical="bottom" wrapText="0"/>
    </xf>
    <xf borderId="7" fillId="3" fontId="5" numFmtId="0" xfId="0" applyAlignment="1" applyBorder="1" applyFill="1" applyFont="1">
      <alignment readingOrder="0" shrinkToFit="0" vertical="bottom" wrapText="0"/>
    </xf>
    <xf borderId="9" fillId="2" fontId="1" numFmtId="0" xfId="0" applyAlignment="1" applyBorder="1" applyFill="1" applyFont="1">
      <alignment readingOrder="0" shrinkToFit="0" vertical="bottom" wrapText="0"/>
    </xf>
    <xf borderId="9" fillId="4" fontId="5" numFmtId="0" xfId="0" applyAlignment="1" applyBorder="1" applyFill="1" applyFont="1">
      <alignment horizontal="right" readingOrder="0" shrinkToFit="0" vertical="bottom" wrapText="0"/>
    </xf>
    <xf borderId="7" fillId="4" fontId="5" numFmtId="9" xfId="0" applyAlignment="1" applyBorder="1" applyFill="1" applyFont="1" applyNumberFormat="1">
      <alignment horizontal="right" readingOrder="0" shrinkToFit="0" vertical="bottom" wrapText="0"/>
    </xf>
    <xf borderId="7" fillId="4" fontId="5" numFmtId="0" xfId="0" applyAlignment="1" applyBorder="1" applyFill="1" applyFont="1">
      <alignment shrinkToFit="0" vertical="bottom" wrapText="0"/>
    </xf>
    <xf borderId="8" fillId="4" fontId="5" numFmtId="0" xfId="0" applyAlignment="1" applyBorder="1" applyFill="1" applyFont="1">
      <alignment readingOrder="0" shrinkToFit="0" vertical="bottom" wrapText="0"/>
    </xf>
    <xf borderId="9" fillId="0" fontId="5" numFmtId="0" xfId="0" applyAlignment="1" applyBorder="1" applyFont="1">
      <alignment horizontal="right" readingOrder="0" shrinkToFit="0" vertical="bottom" wrapText="0"/>
    </xf>
    <xf borderId="7" fillId="0" fontId="5" numFmtId="9" xfId="0" applyAlignment="1" applyBorder="1" applyFont="1" applyNumberFormat="1">
      <alignment horizontal="right" readingOrder="0" shrinkToFit="0" vertical="bottom" wrapText="0"/>
    </xf>
    <xf borderId="7" fillId="0" fontId="5" numFmtId="0" xfId="0" applyAlignment="1" applyBorder="1" applyFont="1">
      <alignment shrinkToFit="0" vertical="bottom" wrapText="0"/>
    </xf>
    <xf borderId="8" fillId="0" fontId="5" numFmtId="0" xfId="0" applyAlignment="1" applyBorder="1" applyFont="1">
      <alignment readingOrder="0" shrinkToFit="0" vertical="bottom" wrapText="0"/>
    </xf>
    <xf borderId="7" fillId="2" fontId="1" numFmtId="0" xfId="0" applyAlignment="1" applyBorder="1" applyFill="1" applyFont="1">
      <alignment horizontal="left" readingOrder="0" shrinkToFit="0" vertical="bottom" wrapText="0"/>
    </xf>
    <xf borderId="7" fillId="2" fontId="25" numFmtId="0" xfId="0" applyAlignment="1" applyBorder="1" applyFill="1" applyFont="1">
      <alignment readingOrder="0" shrinkToFit="0" vertical="bottom" wrapText="0"/>
    </xf>
    <xf borderId="6" fillId="23" fontId="1" numFmtId="0" xfId="0" applyAlignment="1" applyBorder="1" applyFill="1" applyFont="1">
      <alignment readingOrder="0" shrinkToFit="0" vertical="bottom" wrapText="0"/>
    </xf>
    <xf borderId="6" fillId="18" fontId="25" numFmtId="0" xfId="0" applyAlignment="1" applyBorder="1" applyFill="1" applyFont="1">
      <alignment readingOrder="0" shrinkToFit="0" vertical="bottom" wrapText="0"/>
    </xf>
    <xf borderId="6" fillId="24" fontId="5" numFmtId="0" xfId="0" applyAlignment="1" applyBorder="1" applyFill="1" applyFont="1">
      <alignment horizontal="right" readingOrder="0" shrinkToFit="0" vertical="bottom" wrapText="0"/>
    </xf>
    <xf borderId="6" fillId="24" fontId="5" numFmtId="9" xfId="0" applyAlignment="1" applyBorder="1" applyFill="1" applyFont="1" applyNumberFormat="1">
      <alignment horizontal="right" readingOrder="0" shrinkToFit="0" vertical="bottom" wrapText="0"/>
    </xf>
    <xf borderId="6" fillId="24" fontId="26" numFmtId="0" xfId="0" applyAlignment="1" applyBorder="1" applyFill="1" applyFont="1">
      <alignment readingOrder="0" shrinkToFit="0" vertical="bottom" wrapText="0"/>
    </xf>
    <xf borderId="6" fillId="24" fontId="5" numFmtId="10" xfId="0" applyAlignment="1" applyBorder="1" applyFill="1" applyFont="1" applyNumberFormat="1">
      <alignment horizontal="right" readingOrder="0" shrinkToFit="0" vertical="bottom" wrapText="0"/>
    </xf>
    <xf borderId="6" fillId="24" fontId="5" numFmtId="0" xfId="0" applyAlignment="1" applyBorder="1" applyFill="1" applyFont="1">
      <alignment readingOrder="0" shrinkToFit="0" vertical="bottom" wrapText="0"/>
    </xf>
    <xf borderId="6" fillId="25" fontId="1" numFmtId="0" xfId="0" applyAlignment="1" applyBorder="1" applyFill="1" applyFont="1">
      <alignment readingOrder="0" shrinkToFit="0" vertical="bottom" wrapText="0"/>
    </xf>
    <xf borderId="10" fillId="24" fontId="5" numFmtId="10" xfId="0" applyAlignment="1" applyBorder="1" applyFill="1" applyFont="1" applyNumberFormat="1">
      <alignment horizontal="right" readingOrder="0" shrinkToFit="0" vertical="bottom" wrapText="0"/>
    </xf>
    <xf borderId="6" fillId="26" fontId="1" numFmtId="0" xfId="0" applyAlignment="1" applyBorder="1" applyFill="1" applyFont="1">
      <alignment readingOrder="0" shrinkToFit="0" vertical="bottom" wrapText="0"/>
    </xf>
    <xf borderId="6" fillId="27" fontId="5" numFmtId="0" xfId="0" applyAlignment="1" applyBorder="1" applyFill="1" applyFont="1">
      <alignment horizontal="right" readingOrder="0" shrinkToFit="0" vertical="bottom" wrapText="0"/>
    </xf>
    <xf borderId="6" fillId="27" fontId="5" numFmtId="9" xfId="0" applyAlignment="1" applyBorder="1" applyFill="1" applyFont="1" applyNumberFormat="1">
      <alignment horizontal="right" readingOrder="0" shrinkToFit="0" vertical="bottom" wrapText="0"/>
    </xf>
    <xf borderId="6" fillId="27" fontId="26" numFmtId="0" xfId="0" applyAlignment="1" applyBorder="1" applyFill="1" applyFont="1">
      <alignment readingOrder="0" shrinkToFit="0" vertical="bottom" wrapText="0"/>
    </xf>
    <xf borderId="6" fillId="27" fontId="5" numFmtId="10" xfId="0" applyAlignment="1" applyBorder="1" applyFill="1" applyFont="1" applyNumberFormat="1">
      <alignment horizontal="right" readingOrder="0" shrinkToFit="0" vertical="bottom" wrapText="0"/>
    </xf>
    <xf borderId="6" fillId="27" fontId="5" numFmtId="0" xfId="0" applyAlignment="1" applyBorder="1" applyFill="1" applyFont="1">
      <alignment readingOrder="0" shrinkToFit="0" vertical="bottom" wrapText="0"/>
    </xf>
    <xf borderId="10" fillId="27" fontId="5" numFmtId="10" xfId="0" applyAlignment="1" applyBorder="1" applyFill="1" applyFont="1" applyNumberFormat="1">
      <alignment horizontal="right" readingOrder="0" shrinkToFit="0" vertical="bottom" wrapText="0"/>
    </xf>
    <xf borderId="6" fillId="27" fontId="14" numFmtId="0" xfId="0" applyAlignment="1" applyBorder="1" applyFill="1" applyFont="1">
      <alignment horizontal="right" readingOrder="0" shrinkToFit="0" vertical="bottom" wrapText="0"/>
    </xf>
    <xf borderId="6" fillId="27" fontId="14" numFmtId="9" xfId="0" applyAlignment="1" applyBorder="1" applyFill="1" applyFont="1" applyNumberFormat="1">
      <alignment horizontal="right" readingOrder="0" shrinkToFit="0" vertical="bottom" wrapText="0"/>
    </xf>
    <xf borderId="6" fillId="27" fontId="14" numFmtId="10" xfId="0" applyAlignment="1" applyBorder="1" applyFill="1" applyFont="1" applyNumberFormat="1">
      <alignment horizontal="right" readingOrder="0" shrinkToFit="0" vertical="bottom" wrapText="0"/>
    </xf>
    <xf borderId="6" fillId="27" fontId="14" numFmtId="0" xfId="0" applyAlignment="1" applyBorder="1" applyFill="1" applyFont="1">
      <alignment readingOrder="0" shrinkToFit="0" vertical="bottom" wrapText="0"/>
    </xf>
    <xf borderId="10" fillId="27" fontId="14" numFmtId="10" xfId="0" applyAlignment="1" applyBorder="1" applyFill="1" applyFont="1" applyNumberFormat="1">
      <alignment horizontal="right" readingOrder="0" shrinkToFit="0" vertical="bottom" wrapText="0"/>
    </xf>
    <xf borderId="6" fillId="3" fontId="5" numFmtId="0" xfId="0" applyAlignment="1" applyBorder="1" applyFill="1" applyFont="1">
      <alignment horizontal="right" readingOrder="0" shrinkToFit="0" vertical="bottom" wrapText="0"/>
    </xf>
    <xf borderId="6" fillId="3" fontId="5" numFmtId="9" xfId="0" applyAlignment="1" applyBorder="1" applyFill="1" applyFont="1" applyNumberFormat="1">
      <alignment horizontal="right" readingOrder="0" shrinkToFit="0" vertical="bottom" wrapText="0"/>
    </xf>
    <xf borderId="6" fillId="3" fontId="26" numFmtId="0" xfId="0" applyAlignment="1" applyBorder="1" applyFill="1" applyFont="1">
      <alignment readingOrder="0" shrinkToFit="0" vertical="bottom" wrapText="0"/>
    </xf>
    <xf borderId="6" fillId="3" fontId="5" numFmtId="10" xfId="0" applyAlignment="1" applyBorder="1" applyFill="1" applyFont="1" applyNumberFormat="1">
      <alignment horizontal="right" readingOrder="0" shrinkToFit="0" vertical="bottom" wrapText="0"/>
    </xf>
    <xf borderId="6" fillId="3" fontId="5" numFmtId="0" xfId="0" applyAlignment="1" applyBorder="1" applyFill="1" applyFont="1">
      <alignment readingOrder="0" shrinkToFit="0" vertical="bottom" wrapText="0"/>
    </xf>
    <xf borderId="6" fillId="28" fontId="5" numFmtId="0" xfId="0" applyAlignment="1" applyBorder="1" applyFill="1" applyFont="1">
      <alignment horizontal="right" readingOrder="0" shrinkToFit="0" vertical="bottom" wrapText="0"/>
    </xf>
    <xf borderId="6" fillId="28" fontId="5" numFmtId="9" xfId="0" applyAlignment="1" applyBorder="1" applyFill="1" applyFont="1" applyNumberFormat="1">
      <alignment horizontal="right" readingOrder="0" shrinkToFit="0" vertical="bottom" wrapText="0"/>
    </xf>
    <xf borderId="6" fillId="28" fontId="26" numFmtId="0" xfId="0" applyAlignment="1" applyBorder="1" applyFill="1" applyFont="1">
      <alignment readingOrder="0" shrinkToFit="0" vertical="bottom" wrapText="0"/>
    </xf>
    <xf borderId="6" fillId="28" fontId="5" numFmtId="10" xfId="0" applyAlignment="1" applyBorder="1" applyFill="1" applyFont="1" applyNumberFormat="1">
      <alignment horizontal="right" readingOrder="0" shrinkToFit="0" vertical="bottom" wrapText="0"/>
    </xf>
    <xf borderId="6" fillId="28" fontId="5" numFmtId="0" xfId="0" applyAlignment="1" applyBorder="1" applyFill="1" applyFont="1">
      <alignment readingOrder="0" shrinkToFit="0" vertical="bottom" wrapText="0"/>
    </xf>
    <xf borderId="10" fillId="28" fontId="5" numFmtId="10" xfId="0" applyAlignment="1" applyBorder="1" applyFill="1" applyFont="1" applyNumberFormat="1">
      <alignment horizontal="right" readingOrder="0" shrinkToFit="0" vertical="bottom" wrapText="0"/>
    </xf>
    <xf borderId="6" fillId="29" fontId="5" numFmtId="0" xfId="0" applyAlignment="1" applyBorder="1" applyFill="1" applyFont="1">
      <alignment horizontal="right" readingOrder="0" shrinkToFit="0" vertical="bottom" wrapText="0"/>
    </xf>
    <xf borderId="6" fillId="29" fontId="5" numFmtId="9" xfId="0" applyAlignment="1" applyBorder="1" applyFill="1" applyFont="1" applyNumberFormat="1">
      <alignment horizontal="right" readingOrder="0" shrinkToFit="0" vertical="bottom" wrapText="0"/>
    </xf>
    <xf borderId="6" fillId="29" fontId="26" numFmtId="0" xfId="0" applyAlignment="1" applyBorder="1" applyFill="1" applyFont="1">
      <alignment readingOrder="0" shrinkToFit="0" vertical="bottom" wrapText="0"/>
    </xf>
    <xf borderId="6" fillId="29" fontId="5" numFmtId="10" xfId="0" applyAlignment="1" applyBorder="1" applyFill="1" applyFont="1" applyNumberFormat="1">
      <alignment horizontal="right" readingOrder="0" shrinkToFit="0" vertical="bottom" wrapText="0"/>
    </xf>
    <xf borderId="6" fillId="29" fontId="5" numFmtId="0" xfId="0" applyAlignment="1" applyBorder="1" applyFill="1" applyFont="1">
      <alignment readingOrder="0" shrinkToFit="0" vertical="bottom" wrapText="0"/>
    </xf>
    <xf borderId="10" fillId="29" fontId="5" numFmtId="10" xfId="0" applyAlignment="1" applyBorder="1" applyFill="1" applyFont="1" applyNumberFormat="1">
      <alignment horizontal="right" readingOrder="0" shrinkToFit="0" vertical="bottom" wrapText="0"/>
    </xf>
    <xf borderId="0" fillId="0" fontId="12" numFmtId="0" xfId="0" applyFont="1"/>
    <xf borderId="0" fillId="0" fontId="3" numFmtId="0" xfId="0" applyAlignment="1" applyFont="1">
      <alignment horizontal="left" readingOrder="0"/>
    </xf>
    <xf borderId="7" fillId="21" fontId="5" numFmtId="0" xfId="0" applyAlignment="1" applyBorder="1" applyFill="1" applyFont="1">
      <alignment readingOrder="0" shrinkToFit="0" vertical="bottom" wrapText="0"/>
    </xf>
    <xf borderId="7" fillId="21" fontId="5" numFmtId="0" xfId="0" applyAlignment="1" applyBorder="1" applyFill="1" applyFont="1">
      <alignment horizontal="right" readingOrder="0" shrinkToFit="0" vertical="bottom" wrapText="0"/>
    </xf>
    <xf borderId="7" fillId="21" fontId="5" numFmtId="9" xfId="0" applyAlignment="1" applyBorder="1" applyFill="1" applyFont="1" applyNumberFormat="1">
      <alignment horizontal="right" readingOrder="0" shrinkToFit="0" vertical="bottom" wrapText="0"/>
    </xf>
    <xf borderId="7" fillId="21" fontId="5" numFmtId="10" xfId="0" applyAlignment="1" applyBorder="1" applyFill="1" applyFont="1" applyNumberFormat="1">
      <alignment horizontal="right" readingOrder="0" shrinkToFit="0" vertical="bottom" wrapText="0"/>
    </xf>
    <xf borderId="7" fillId="21" fontId="5" numFmtId="0" xfId="0" applyAlignment="1" applyBorder="1" applyFill="1" applyFont="1">
      <alignment shrinkToFit="0" vertical="bottom" wrapText="0"/>
    </xf>
    <xf borderId="8" fillId="21" fontId="5" numFmtId="10" xfId="0" applyAlignment="1" applyBorder="1" applyFill="1" applyFont="1" applyNumberFormat="1">
      <alignment horizontal="right" readingOrder="0" shrinkToFit="0" vertical="bottom" wrapText="0"/>
    </xf>
    <xf borderId="7" fillId="8" fontId="5" numFmtId="0" xfId="0" applyAlignment="1" applyBorder="1" applyFill="1" applyFont="1">
      <alignment readingOrder="0" shrinkToFit="0" vertical="bottom" wrapText="0"/>
    </xf>
    <xf borderId="7" fillId="21" fontId="8" numFmtId="0" xfId="0" applyAlignment="1" applyBorder="1" applyFill="1" applyFont="1">
      <alignment readingOrder="0" shrinkToFit="0" vertical="bottom" wrapText="0"/>
    </xf>
    <xf borderId="7" fillId="21" fontId="8" numFmtId="0" xfId="0" applyAlignment="1" applyBorder="1" applyFill="1" applyFont="1">
      <alignment horizontal="right" readingOrder="0" shrinkToFit="0" vertical="bottom" wrapText="0"/>
    </xf>
    <xf borderId="7" fillId="21" fontId="8" numFmtId="10" xfId="0" applyAlignment="1" applyBorder="1" applyFill="1" applyFont="1" applyNumberFormat="1">
      <alignment horizontal="right" readingOrder="0" shrinkToFit="0" vertical="bottom" wrapText="0"/>
    </xf>
    <xf borderId="7" fillId="16" fontId="5" numFmtId="0" xfId="0" applyAlignment="1" applyBorder="1" applyFill="1" applyFont="1">
      <alignment readingOrder="0" shrinkToFit="0" vertical="bottom" wrapText="0"/>
    </xf>
    <xf borderId="7" fillId="16" fontId="5" numFmtId="0" xfId="0" applyAlignment="1" applyBorder="1" applyFill="1" applyFont="1">
      <alignment horizontal="right" readingOrder="0" shrinkToFit="0" vertical="bottom" wrapText="0"/>
    </xf>
    <xf borderId="7" fillId="16" fontId="5" numFmtId="10" xfId="0" applyAlignment="1" applyBorder="1" applyFill="1" applyFont="1" applyNumberFormat="1">
      <alignment horizontal="right" readingOrder="0" shrinkToFit="0" vertical="bottom" wrapText="0"/>
    </xf>
    <xf borderId="7" fillId="4" fontId="5" numFmtId="0" xfId="0" applyAlignment="1" applyBorder="1" applyFill="1" applyFont="1">
      <alignment readingOrder="0" shrinkToFit="0" vertical="bottom" wrapText="0"/>
    </xf>
    <xf borderId="7" fillId="4" fontId="5" numFmtId="0" xfId="0" applyAlignment="1" applyBorder="1" applyFill="1" applyFont="1">
      <alignment horizontal="right" readingOrder="0" shrinkToFit="0" vertical="bottom" wrapText="0"/>
    </xf>
    <xf borderId="7" fillId="4" fontId="5" numFmtId="10" xfId="0" applyAlignment="1" applyBorder="1" applyFill="1" applyFont="1" applyNumberFormat="1">
      <alignment horizontal="right" readingOrder="0" shrinkToFit="0" vertical="bottom" wrapText="0"/>
    </xf>
    <xf borderId="7" fillId="0" fontId="5" numFmtId="0" xfId="0" applyAlignment="1" applyBorder="1" applyFont="1">
      <alignment readingOrder="0" shrinkToFit="0" vertical="bottom" wrapText="0"/>
    </xf>
    <xf borderId="7" fillId="0" fontId="5" numFmtId="0" xfId="0" applyAlignment="1" applyBorder="1" applyFont="1">
      <alignment horizontal="right" readingOrder="0" shrinkToFit="0" vertical="bottom" wrapText="0"/>
    </xf>
    <xf borderId="7" fillId="0" fontId="5" numFmtId="10" xfId="0" applyAlignment="1" applyBorder="1" applyFont="1" applyNumberFormat="1">
      <alignment horizontal="right" readingOrder="0" shrinkToFit="0" vertical="bottom" wrapText="0"/>
    </xf>
    <xf borderId="7" fillId="21" fontId="1" numFmtId="0" xfId="0" applyAlignment="1" applyBorder="1" applyFill="1" applyFont="1">
      <alignment readingOrder="0" shrinkToFit="0" vertical="bottom" wrapText="0"/>
    </xf>
    <xf borderId="7" fillId="4" fontId="14" numFmtId="0" xfId="0" applyAlignment="1" applyBorder="1" applyFill="1" applyFont="1">
      <alignment readingOrder="0" shrinkToFit="0" vertical="bottom" wrapText="0"/>
    </xf>
    <xf borderId="7" fillId="4" fontId="14" numFmtId="0" xfId="0" applyAlignment="1" applyBorder="1" applyFill="1" applyFont="1">
      <alignment horizontal="right" readingOrder="0" shrinkToFit="0" vertical="bottom" wrapText="0"/>
    </xf>
    <xf borderId="7" fillId="4" fontId="14" numFmtId="10" xfId="0" applyAlignment="1" applyBorder="1" applyFill="1" applyFont="1" applyNumberFormat="1">
      <alignment horizontal="right" readingOrder="0" shrinkToFit="0" vertical="bottom" wrapText="0"/>
    </xf>
    <xf borderId="8" fillId="4" fontId="14" numFmtId="10" xfId="0" applyAlignment="1" applyBorder="1" applyFill="1" applyFont="1" applyNumberFormat="1">
      <alignment horizontal="right" readingOrder="0" shrinkToFit="0" vertical="bottom" wrapText="0"/>
    </xf>
    <xf borderId="6" fillId="0" fontId="5" numFmtId="0" xfId="0" applyAlignment="1" applyBorder="1" applyFont="1">
      <alignment readingOrder="0" shrinkToFit="0" vertical="bottom" wrapText="0"/>
    </xf>
    <xf borderId="6" fillId="0" fontId="5" numFmtId="0" xfId="0" applyAlignment="1" applyBorder="1" applyFont="1">
      <alignment horizontal="right" readingOrder="0" shrinkToFit="0" vertical="bottom" wrapText="0"/>
    </xf>
    <xf borderId="6" fillId="0" fontId="5" numFmtId="10" xfId="0" applyAlignment="1" applyBorder="1" applyFont="1" applyNumberFormat="1">
      <alignment horizontal="right" readingOrder="0" shrinkToFit="0" vertical="bottom" wrapText="0"/>
    </xf>
    <xf borderId="10" fillId="0" fontId="5" numFmtId="10" xfId="0" applyAlignment="1" applyBorder="1" applyFont="1" applyNumberFormat="1">
      <alignment horizontal="right" readingOrder="0" shrinkToFit="0" vertical="bottom" wrapText="0"/>
    </xf>
    <xf borderId="6" fillId="4" fontId="5" numFmtId="0" xfId="0" applyAlignment="1" applyBorder="1" applyFill="1" applyFont="1">
      <alignment readingOrder="0" shrinkToFit="0" vertical="bottom" wrapText="0"/>
    </xf>
    <xf borderId="6" fillId="4" fontId="5" numFmtId="0" xfId="0" applyAlignment="1" applyBorder="1" applyFill="1" applyFont="1">
      <alignment horizontal="right" readingOrder="0" shrinkToFit="0" vertical="bottom" wrapText="0"/>
    </xf>
    <xf borderId="6" fillId="4" fontId="5" numFmtId="10" xfId="0" applyAlignment="1" applyBorder="1" applyFill="1" applyFont="1" applyNumberFormat="1">
      <alignment horizontal="right" readingOrder="0" shrinkToFit="0" vertical="bottom" wrapText="0"/>
    </xf>
    <xf borderId="10" fillId="4" fontId="5" numFmtId="10" xfId="0" applyAlignment="1" applyBorder="1" applyFill="1" applyFont="1" applyNumberFormat="1">
      <alignment horizontal="right" readingOrder="0" shrinkToFit="0" vertical="bottom" wrapText="0"/>
    </xf>
    <xf borderId="6" fillId="0" fontId="14" numFmtId="0" xfId="0" applyAlignment="1" applyBorder="1" applyFont="1">
      <alignment readingOrder="0" shrinkToFit="0" vertical="bottom" wrapText="0"/>
    </xf>
    <xf borderId="6" fillId="0" fontId="14" numFmtId="0" xfId="0" applyAlignment="1" applyBorder="1" applyFont="1">
      <alignment horizontal="right" readingOrder="0" shrinkToFit="0" vertical="bottom" wrapText="0"/>
    </xf>
    <xf borderId="6" fillId="0" fontId="14" numFmtId="10" xfId="0" applyAlignment="1" applyBorder="1" applyFont="1" applyNumberFormat="1">
      <alignment horizontal="right" readingOrder="0" shrinkToFit="0" vertical="bottom" wrapText="0"/>
    </xf>
    <xf borderId="10" fillId="0" fontId="14" numFmtId="10" xfId="0" applyAlignment="1" applyBorder="1" applyFont="1" applyNumberFormat="1">
      <alignment horizontal="right" readingOrder="0" shrinkToFit="0" vertical="bottom" wrapText="0"/>
    </xf>
    <xf borderId="6" fillId="4" fontId="14" numFmtId="0" xfId="0" applyAlignment="1" applyBorder="1" applyFill="1" applyFont="1">
      <alignment readingOrder="0" shrinkToFit="0" vertical="bottom" wrapText="0"/>
    </xf>
    <xf borderId="6" fillId="4" fontId="14" numFmtId="0" xfId="0" applyAlignment="1" applyBorder="1" applyFill="1" applyFont="1">
      <alignment horizontal="right" readingOrder="0" shrinkToFit="0" vertical="bottom" wrapText="0"/>
    </xf>
    <xf borderId="6" fillId="4" fontId="14" numFmtId="10" xfId="0" applyAlignment="1" applyBorder="1" applyFill="1" applyFont="1" applyNumberFormat="1">
      <alignment horizontal="right" readingOrder="0" shrinkToFit="0" vertical="bottom" wrapText="0"/>
    </xf>
    <xf borderId="10" fillId="4" fontId="14" numFmtId="10" xfId="0" applyAlignment="1" applyBorder="1" applyFill="1" applyFont="1" applyNumberFormat="1">
      <alignment horizontal="right" readingOrder="0" shrinkToFit="0" vertical="bottom" wrapText="0"/>
    </xf>
    <xf borderId="7" fillId="4" fontId="14" numFmtId="9" xfId="0" applyAlignment="1" applyBorder="1" applyFill="1" applyFont="1" applyNumberFormat="1">
      <alignment horizontal="right" readingOrder="0" shrinkToFit="0" vertical="bottom" wrapText="0"/>
    </xf>
    <xf borderId="7" fillId="4" fontId="14" numFmtId="0" xfId="0" applyAlignment="1" applyBorder="1" applyFill="1" applyFont="1">
      <alignment shrinkToFit="0" vertical="bottom" wrapText="0"/>
    </xf>
    <xf borderId="6" fillId="0" fontId="5" numFmtId="9" xfId="0" applyAlignment="1" applyBorder="1" applyFont="1" applyNumberFormat="1">
      <alignment horizontal="right" readingOrder="0" shrinkToFit="0" vertical="bottom" wrapText="0"/>
    </xf>
    <xf borderId="6" fillId="0" fontId="5" numFmtId="0" xfId="0" applyAlignment="1" applyBorder="1" applyFont="1">
      <alignment shrinkToFit="0" vertical="bottom" wrapText="0"/>
    </xf>
    <xf borderId="6" fillId="4" fontId="5" numFmtId="9" xfId="0" applyAlignment="1" applyBorder="1" applyFill="1" applyFont="1" applyNumberFormat="1">
      <alignment horizontal="right" readingOrder="0" shrinkToFit="0" vertical="bottom" wrapText="0"/>
    </xf>
    <xf borderId="6" fillId="4" fontId="5" numFmtId="0" xfId="0" applyAlignment="1" applyBorder="1" applyFill="1" applyFont="1">
      <alignment shrinkToFit="0" vertical="bottom" wrapText="0"/>
    </xf>
    <xf borderId="6" fillId="0" fontId="14" numFmtId="9" xfId="0" applyAlignment="1" applyBorder="1" applyFont="1" applyNumberFormat="1">
      <alignment horizontal="right" readingOrder="0" shrinkToFit="0" vertical="bottom" wrapText="0"/>
    </xf>
    <xf borderId="6" fillId="0" fontId="14" numFmtId="0" xfId="0" applyAlignment="1" applyBorder="1" applyFont="1">
      <alignment shrinkToFit="0" vertical="bottom" wrapText="0"/>
    </xf>
    <xf borderId="6" fillId="4" fontId="14" numFmtId="9" xfId="0" applyAlignment="1" applyBorder="1" applyFill="1" applyFont="1" applyNumberFormat="1">
      <alignment horizontal="right" readingOrder="0" shrinkToFit="0" vertical="bottom" wrapText="0"/>
    </xf>
    <xf borderId="6" fillId="4" fontId="14" numFmtId="0" xfId="0" applyAlignment="1" applyBorder="1" applyFill="1" applyFont="1">
      <alignment shrinkToFit="0" vertical="bottom" wrapText="0"/>
    </xf>
    <xf borderId="7" fillId="2" fontId="1" numFmtId="0" xfId="0" applyAlignment="1" applyBorder="1" applyFill="1" applyFont="1">
      <alignment readingOrder="0" shrinkToFit="0" vertical="bottom" wrapText="0"/>
    </xf>
    <xf borderId="8" fillId="2" fontId="1" numFmtId="0" xfId="0" applyAlignment="1" applyBorder="1" applyFill="1" applyFont="1">
      <alignment readingOrder="0" shrinkToFit="0" vertical="bottom" wrapText="0"/>
    </xf>
    <xf borderId="7" fillId="4" fontId="5" numFmtId="9" xfId="0" applyAlignment="1" applyBorder="1" applyFill="1" applyFont="1" applyNumberFormat="1">
      <alignment horizontal="right" readingOrder="0" shrinkToFit="0" vertical="bottom" wrapText="0"/>
    </xf>
    <xf borderId="7" fillId="4" fontId="5" numFmtId="0" xfId="0" applyAlignment="1" applyBorder="1" applyFill="1" applyFont="1">
      <alignment shrinkToFit="0" vertical="bottom" wrapText="0"/>
    </xf>
    <xf borderId="8" fillId="4" fontId="5" numFmtId="0" xfId="0" applyAlignment="1" applyBorder="1" applyFill="1" applyFont="1">
      <alignment horizontal="center" readingOrder="0" shrinkToFit="0" vertical="bottom" wrapText="0"/>
    </xf>
    <xf borderId="7" fillId="0" fontId="5" numFmtId="9" xfId="0" applyAlignment="1" applyBorder="1" applyFont="1" applyNumberFormat="1">
      <alignment horizontal="right" readingOrder="0" shrinkToFit="0" vertical="bottom" wrapText="0"/>
    </xf>
    <xf borderId="7" fillId="0" fontId="5" numFmtId="0" xfId="0" applyAlignment="1" applyBorder="1" applyFont="1">
      <alignment shrinkToFit="0" vertical="bottom" wrapText="0"/>
    </xf>
    <xf borderId="8" fillId="0" fontId="5" numFmtId="0" xfId="0" applyAlignment="1" applyBorder="1" applyFont="1">
      <alignment horizontal="center" readingOrder="0" shrinkToFit="0" vertical="bottom" wrapText="0"/>
    </xf>
    <xf borderId="7" fillId="30" fontId="5" numFmtId="0" xfId="0" applyAlignment="1" applyBorder="1" applyFill="1" applyFont="1">
      <alignment readingOrder="0" shrinkToFit="0" vertical="bottom" wrapText="0"/>
    </xf>
    <xf borderId="7" fillId="30" fontId="5" numFmtId="0" xfId="0" applyAlignment="1" applyBorder="1" applyFill="1" applyFont="1">
      <alignment horizontal="right" readingOrder="0" shrinkToFit="0" vertical="bottom" wrapText="0"/>
    </xf>
    <xf borderId="7" fillId="30" fontId="5" numFmtId="9" xfId="0" applyAlignment="1" applyBorder="1" applyFill="1" applyFont="1" applyNumberFormat="1">
      <alignment horizontal="right" readingOrder="0" shrinkToFit="0" vertical="bottom" wrapText="0"/>
    </xf>
    <xf borderId="7" fillId="30" fontId="5" numFmtId="10" xfId="0" applyAlignment="1" applyBorder="1" applyFill="1" applyFont="1" applyNumberFormat="1">
      <alignment horizontal="right" readingOrder="0" shrinkToFit="0" vertical="bottom" wrapText="0"/>
    </xf>
    <xf borderId="7" fillId="30" fontId="5" numFmtId="0" xfId="0" applyAlignment="1" applyBorder="1" applyFill="1" applyFont="1">
      <alignment shrinkToFit="0" vertical="bottom" wrapText="0"/>
    </xf>
    <xf borderId="7" fillId="16" fontId="5" numFmtId="9" xfId="0" applyAlignment="1" applyBorder="1" applyFill="1" applyFont="1" applyNumberFormat="1">
      <alignment horizontal="right" readingOrder="0" shrinkToFit="0" vertical="bottom" wrapText="0"/>
    </xf>
    <xf borderId="7" fillId="16" fontId="5" numFmtId="0" xfId="0" applyAlignment="1" applyBorder="1" applyFill="1" applyFont="1">
      <alignment shrinkToFit="0" vertical="bottom" wrapText="0"/>
    </xf>
    <xf borderId="7" fillId="21" fontId="8" numFmtId="9" xfId="0" applyAlignment="1" applyBorder="1" applyFill="1" applyFont="1" applyNumberFormat="1">
      <alignment horizontal="right" readingOrder="0" shrinkToFit="0" vertical="bottom" wrapText="0"/>
    </xf>
    <xf borderId="7" fillId="21" fontId="8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7" fillId="3" fontId="2" numFmtId="0" xfId="0" applyAlignment="1" applyBorder="1" applyFill="1" applyFont="1">
      <alignment horizontal="center" readingOrder="0" vertical="bottom"/>
    </xf>
    <xf borderId="6" fillId="3" fontId="2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readingOrder="0"/>
    </xf>
    <xf borderId="0" fillId="3" fontId="5" numFmtId="0" xfId="0" applyAlignment="1" applyFill="1" applyFont="1">
      <alignment readingOrder="0" shrinkToFit="0" vertical="bottom" wrapText="0"/>
    </xf>
    <xf borderId="0" fillId="3" fontId="5" numFmtId="0" xfId="0" applyAlignment="1" applyFill="1" applyFont="1">
      <alignment horizontal="right" readingOrder="0" shrinkToFit="0" vertical="bottom" wrapText="0"/>
    </xf>
    <xf borderId="0" fillId="21" fontId="5" numFmtId="0" xfId="0" applyAlignment="1" applyFill="1" applyFont="1">
      <alignment horizontal="right" readingOrder="0" shrinkToFit="0" vertical="bottom" wrapText="0"/>
    </xf>
    <xf borderId="0" fillId="21" fontId="6" numFmtId="0" xfId="0" applyAlignment="1" applyFill="1" applyFont="1">
      <alignment horizontal="center" readingOrder="0"/>
    </xf>
    <xf borderId="0" fillId="21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21" fontId="5" numFmtId="0" xfId="0" applyAlignment="1" applyFill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2" fillId="31" fontId="5" numFmtId="0" xfId="0" applyAlignment="1" applyBorder="1" applyFill="1" applyFont="1">
      <alignment horizontal="center" readingOrder="0" shrinkToFit="0" vertical="bottom" wrapText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right" readingOrder="0"/>
    </xf>
    <xf borderId="0" fillId="0" fontId="3" numFmtId="0" xfId="0" applyAlignment="1" applyFont="1">
      <alignment horizontal="right" readingOrder="0"/>
    </xf>
    <xf borderId="0" fillId="32" fontId="27" numFmtId="0" xfId="0" applyAlignment="1" applyFill="1" applyFont="1">
      <alignment horizontal="center" readingOrder="0"/>
    </xf>
    <xf borderId="0" fillId="32" fontId="1" numFmtId="0" xfId="0" applyAlignment="1" applyFill="1" applyFont="1">
      <alignment horizontal="center" readingOrder="0"/>
    </xf>
    <xf borderId="0" fillId="21" fontId="1" numFmtId="0" xfId="0" applyAlignment="1" applyFill="1" applyFont="1">
      <alignment horizontal="center" readingOrder="0"/>
    </xf>
    <xf borderId="0" fillId="33" fontId="8" numFmtId="0" xfId="0" applyAlignment="1" applyFill="1" applyFont="1">
      <alignment horizontal="left" readingOrder="0"/>
    </xf>
    <xf borderId="0" fillId="3" fontId="28" numFmtId="0" xfId="0" applyAlignment="1" applyFill="1" applyFont="1">
      <alignment horizontal="center" readingOrder="0"/>
    </xf>
    <xf borderId="0" fillId="34" fontId="28" numFmtId="0" xfId="0" applyAlignment="1" applyFill="1" applyFont="1">
      <alignment horizontal="center" readingOrder="0"/>
    </xf>
    <xf borderId="0" fillId="35" fontId="28" numFmtId="0" xfId="0" applyAlignment="1" applyFill="1" applyFont="1">
      <alignment horizontal="center" readingOrder="0"/>
    </xf>
    <xf borderId="0" fillId="36" fontId="1" numFmtId="0" xfId="0" applyAlignment="1" applyFill="1" applyFont="1">
      <alignment horizontal="center" readingOrder="0"/>
    </xf>
    <xf borderId="0" fillId="21" fontId="29" numFmtId="0" xfId="0" applyAlignment="1" applyFill="1" applyFont="1">
      <alignment horizontal="center" readingOrder="0"/>
    </xf>
    <xf borderId="0" fillId="3" fontId="30" numFmtId="0" xfId="0" applyAlignment="1" applyFill="1" applyFont="1">
      <alignment horizontal="center" readingOrder="0"/>
    </xf>
    <xf borderId="0" fillId="34" fontId="30" numFmtId="0" xfId="0" applyAlignment="1" applyFill="1" applyFont="1">
      <alignment horizontal="center" readingOrder="0"/>
    </xf>
    <xf borderId="0" fillId="35" fontId="30" numFmtId="0" xfId="0" applyAlignment="1" applyFill="1" applyFont="1">
      <alignment horizontal="center" readingOrder="0"/>
    </xf>
    <xf borderId="0" fillId="18" fontId="1" numFmtId="0" xfId="0" applyAlignment="1" applyFill="1" applyFont="1">
      <alignment horizontal="center" readingOrder="0"/>
    </xf>
    <xf borderId="11" fillId="33" fontId="31" numFmtId="0" xfId="0" applyAlignment="1" applyBorder="1" applyFill="1" applyFont="1">
      <alignment horizontal="center" readingOrder="0"/>
    </xf>
    <xf borderId="11" fillId="21" fontId="31" numFmtId="0" xfId="0" applyAlignment="1" applyBorder="1" applyFill="1" applyFont="1">
      <alignment horizontal="center" readingOrder="0"/>
    </xf>
    <xf borderId="11" fillId="3" fontId="31" numFmtId="0" xfId="0" applyAlignment="1" applyBorder="1" applyFill="1" applyFont="1">
      <alignment horizontal="center" readingOrder="0"/>
    </xf>
    <xf borderId="11" fillId="34" fontId="31" numFmtId="0" xfId="0" applyAlignment="1" applyBorder="1" applyFill="1" applyFont="1">
      <alignment horizontal="center" readingOrder="0"/>
    </xf>
    <xf borderId="11" fillId="35" fontId="31" numFmtId="0" xfId="0" applyAlignment="1" applyBorder="1" applyFill="1" applyFont="1">
      <alignment horizontal="center" readingOrder="0"/>
    </xf>
    <xf borderId="11" fillId="36" fontId="32" numFmtId="0" xfId="0" applyAlignment="1" applyBorder="1" applyFill="1" applyFont="1">
      <alignment horizontal="center" readingOrder="0"/>
    </xf>
    <xf borderId="0" fillId="21" fontId="33" numFmtId="0" xfId="0" applyAlignment="1" applyFill="1" applyFont="1">
      <alignment horizontal="center" readingOrder="0"/>
    </xf>
    <xf borderId="0" fillId="25" fontId="1" numFmtId="0" xfId="0" applyAlignment="1" applyFill="1" applyFont="1">
      <alignment horizontal="center" readingOrder="0"/>
    </xf>
    <xf borderId="11" fillId="37" fontId="34" numFmtId="0" xfId="0" applyAlignment="1" applyBorder="1" applyFill="1" applyFont="1">
      <alignment horizontal="center" readingOrder="0"/>
    </xf>
    <xf borderId="11" fillId="37" fontId="34" numFmtId="0" xfId="0" applyAlignment="1" applyBorder="1" applyFill="1" applyFont="1">
      <alignment horizontal="center"/>
    </xf>
    <xf borderId="11" fillId="37" fontId="34" numFmtId="10" xfId="0" applyAlignment="1" applyBorder="1" applyFill="1" applyFont="1" applyNumberFormat="1">
      <alignment horizontal="center" readingOrder="0"/>
    </xf>
    <xf borderId="11" fillId="21" fontId="32" numFmtId="0" xfId="0" applyAlignment="1" applyBorder="1" applyFill="1" applyFont="1">
      <alignment horizontal="center" readingOrder="0"/>
    </xf>
    <xf borderId="11" fillId="21" fontId="32" numFmtId="10" xfId="0" applyAlignment="1" applyBorder="1" applyFill="1" applyFont="1" applyNumberFormat="1">
      <alignment horizontal="center" readingOrder="0"/>
    </xf>
    <xf borderId="11" fillId="21" fontId="32" numFmtId="0" xfId="0" applyAlignment="1" applyBorder="1" applyFill="1" applyFont="1">
      <alignment horizontal="center"/>
    </xf>
    <xf borderId="0" fillId="38" fontId="33" numFmtId="0" xfId="0" applyAlignment="1" applyFill="1" applyFont="1">
      <alignment horizontal="center" readingOrder="0"/>
    </xf>
    <xf borderId="0" fillId="38" fontId="1" numFmtId="0" xfId="0" applyAlignment="1" applyFill="1" applyFont="1">
      <alignment horizontal="center" readingOrder="0"/>
    </xf>
    <xf borderId="11" fillId="34" fontId="35" numFmtId="0" xfId="0" applyAlignment="1" applyBorder="1" applyFill="1" applyFont="1">
      <alignment horizontal="center" readingOrder="0"/>
    </xf>
    <xf borderId="11" fillId="34" fontId="35" numFmtId="0" xfId="0" applyAlignment="1" applyBorder="1" applyFill="1" applyFont="1">
      <alignment horizontal="center"/>
    </xf>
    <xf borderId="11" fillId="34" fontId="35" numFmtId="10" xfId="0" applyAlignment="1" applyBorder="1" applyFill="1" applyFont="1" applyNumberFormat="1">
      <alignment horizontal="center" readingOrder="0"/>
    </xf>
    <xf borderId="11" fillId="39" fontId="35" numFmtId="0" xfId="0" applyAlignment="1" applyBorder="1" applyFill="1" applyFont="1">
      <alignment horizontal="center" readingOrder="0"/>
    </xf>
    <xf borderId="11" fillId="39" fontId="35" numFmtId="10" xfId="0" applyAlignment="1" applyBorder="1" applyFill="1" applyFont="1" applyNumberFormat="1">
      <alignment horizontal="center" readingOrder="0"/>
    </xf>
    <xf borderId="11" fillId="39" fontId="35" numFmtId="0" xfId="0" applyAlignment="1" applyBorder="1" applyFill="1" applyFont="1">
      <alignment horizontal="center"/>
    </xf>
    <xf borderId="0" fillId="7" fontId="33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18" fontId="3" numFmtId="0" xfId="0" applyFill="1" applyFont="1"/>
    <xf borderId="11" fillId="3" fontId="36" numFmtId="0" xfId="0" applyAlignment="1" applyBorder="1" applyFill="1" applyFont="1">
      <alignment horizontal="left" readingOrder="0"/>
    </xf>
    <xf borderId="11" fillId="3" fontId="36" numFmtId="0" xfId="0" applyAlignment="1" applyBorder="1" applyFill="1" applyFont="1">
      <alignment horizontal="center" readingOrder="0"/>
    </xf>
    <xf borderId="11" fillId="3" fontId="36" numFmtId="10" xfId="0" applyAlignment="1" applyBorder="1" applyFill="1" applyFont="1" applyNumberFormat="1">
      <alignment horizontal="center" readingOrder="0"/>
    </xf>
    <xf borderId="11" fillId="3" fontId="36" numFmtId="0" xfId="0" applyAlignment="1" applyBorder="1" applyFill="1" applyFont="1">
      <alignment horizontal="center"/>
    </xf>
    <xf borderId="0" fillId="40" fontId="33" numFmtId="0" xfId="0" applyAlignment="1" applyFill="1" applyFont="1">
      <alignment horizontal="center" readingOrder="0"/>
    </xf>
    <xf borderId="0" fillId="40" fontId="1" numFmtId="0" xfId="0" applyAlignment="1" applyFill="1" applyFont="1">
      <alignment horizontal="center" readingOrder="0"/>
    </xf>
    <xf borderId="11" fillId="35" fontId="36" numFmtId="0" xfId="0" applyAlignment="1" applyBorder="1" applyFill="1" applyFont="1">
      <alignment horizontal="center" readingOrder="0"/>
    </xf>
    <xf borderId="11" fillId="35" fontId="36" numFmtId="10" xfId="0" applyAlignment="1" applyBorder="1" applyFill="1" applyFont="1" applyNumberFormat="1">
      <alignment horizontal="center" readingOrder="0"/>
    </xf>
    <xf borderId="11" fillId="41" fontId="36" numFmtId="0" xfId="0" applyAlignment="1" applyBorder="1" applyFill="1" applyFont="1">
      <alignment horizontal="center" readingOrder="0"/>
    </xf>
    <xf borderId="11" fillId="41" fontId="36" numFmtId="10" xfId="0" applyAlignment="1" applyBorder="1" applyFill="1" applyFont="1" applyNumberFormat="1">
      <alignment horizontal="center" readingOrder="0"/>
    </xf>
    <xf borderId="11" fillId="41" fontId="36" numFmtId="0" xfId="0" applyAlignment="1" applyBorder="1" applyFill="1" applyFont="1">
      <alignment horizontal="center"/>
    </xf>
    <xf borderId="11" fillId="35" fontId="36" numFmtId="0" xfId="0" applyAlignment="1" applyBorder="1" applyFill="1" applyFont="1">
      <alignment horizontal="center"/>
    </xf>
    <xf borderId="9" fillId="2" fontId="1" numFmtId="1" xfId="0" applyAlignment="1" applyBorder="1" applyFill="1" applyFont="1" applyNumberFormat="1">
      <alignment horizontal="center" readingOrder="0" vertical="bottom"/>
    </xf>
    <xf borderId="7" fillId="2" fontId="1" numFmtId="0" xfId="0" applyAlignment="1" applyBorder="1" applyFill="1" applyFont="1">
      <alignment horizontal="center" readingOrder="0" vertical="bottom"/>
    </xf>
    <xf borderId="7" fillId="2" fontId="1" numFmtId="0" xfId="0" applyAlignment="1" applyBorder="1" applyFill="1" applyFont="1">
      <alignment horizontal="center" vertical="bottom"/>
    </xf>
    <xf borderId="7" fillId="2" fontId="1" numFmtId="3" xfId="0" applyAlignment="1" applyBorder="1" applyFill="1" applyFont="1" applyNumberFormat="1">
      <alignment horizontal="center" vertical="bottom"/>
    </xf>
    <xf borderId="7" fillId="3" fontId="2" numFmtId="0" xfId="0" applyAlignment="1" applyBorder="1" applyFill="1" applyFont="1">
      <alignment horizontal="center" vertical="bottom"/>
    </xf>
    <xf borderId="6" fillId="3" fontId="2" numFmtId="0" xfId="0" applyAlignment="1" applyBorder="1" applyFill="1" applyFont="1">
      <alignment horizontal="center" vertical="bottom"/>
    </xf>
    <xf borderId="7" fillId="3" fontId="2" numFmtId="0" xfId="0" applyAlignment="1" applyBorder="1" applyFill="1" applyFont="1">
      <alignment horizontal="center" readingOrder="0" vertical="bottom"/>
    </xf>
    <xf borderId="8" fillId="2" fontId="1" numFmtId="0" xfId="0" applyAlignment="1" applyBorder="1" applyFill="1" applyFont="1">
      <alignment horizontal="center" vertical="bottom"/>
    </xf>
    <xf borderId="9" fillId="21" fontId="8" numFmtId="1" xfId="0" applyAlignment="1" applyBorder="1" applyFill="1" applyFont="1" applyNumberFormat="1">
      <alignment horizontal="right" vertical="bottom"/>
    </xf>
    <xf borderId="7" fillId="21" fontId="8" numFmtId="0" xfId="0" applyAlignment="1" applyBorder="1" applyFill="1" applyFont="1">
      <alignment vertical="bottom"/>
    </xf>
    <xf borderId="7" fillId="21" fontId="8" numFmtId="3" xfId="0" applyAlignment="1" applyBorder="1" applyFill="1" applyFont="1" applyNumberFormat="1">
      <alignment horizontal="right" vertical="bottom"/>
    </xf>
    <xf borderId="7" fillId="21" fontId="28" numFmtId="166" xfId="0" applyAlignment="1" applyBorder="1" applyFill="1" applyFont="1" applyNumberFormat="1">
      <alignment horizontal="center" vertical="bottom"/>
    </xf>
    <xf borderId="7" fillId="4" fontId="28" numFmtId="0" xfId="0" applyAlignment="1" applyBorder="1" applyFill="1" applyFont="1">
      <alignment horizontal="center" vertical="bottom"/>
    </xf>
    <xf borderId="7" fillId="4" fontId="23" numFmtId="0" xfId="0" applyAlignment="1" applyBorder="1" applyFill="1" applyFont="1">
      <alignment vertical="bottom"/>
    </xf>
    <xf borderId="8" fillId="4" fontId="28" numFmtId="0" xfId="0" applyAlignment="1" applyBorder="1" applyFill="1" applyFont="1">
      <alignment horizontal="center" vertical="bottom"/>
    </xf>
    <xf borderId="0" fillId="21" fontId="8" numFmtId="0" xfId="0" applyAlignment="1" applyFill="1" applyFont="1">
      <alignment vertical="bottom"/>
    </xf>
    <xf borderId="9" fillId="42" fontId="8" numFmtId="1" xfId="0" applyAlignment="1" applyBorder="1" applyFill="1" applyFont="1" applyNumberFormat="1">
      <alignment horizontal="right" vertical="bottom"/>
    </xf>
    <xf borderId="7" fillId="42" fontId="8" numFmtId="0" xfId="0" applyAlignment="1" applyBorder="1" applyFill="1" applyFont="1">
      <alignment vertical="bottom"/>
    </xf>
    <xf borderId="7" fillId="42" fontId="8" numFmtId="3" xfId="0" applyAlignment="1" applyBorder="1" applyFill="1" applyFont="1" applyNumberFormat="1">
      <alignment horizontal="right" vertical="bottom"/>
    </xf>
    <xf borderId="7" fillId="42" fontId="28" numFmtId="166" xfId="0" applyAlignment="1" applyBorder="1" applyFill="1" applyFont="1" applyNumberFormat="1">
      <alignment horizontal="center" vertical="bottom"/>
    </xf>
    <xf borderId="7" fillId="0" fontId="28" numFmtId="0" xfId="0" applyAlignment="1" applyBorder="1" applyFont="1">
      <alignment horizontal="center" vertical="bottom"/>
    </xf>
    <xf borderId="7" fillId="0" fontId="23" numFmtId="0" xfId="0" applyAlignment="1" applyBorder="1" applyFont="1">
      <alignment vertical="bottom"/>
    </xf>
    <xf borderId="8" fillId="0" fontId="28" numFmtId="0" xfId="0" applyAlignment="1" applyBorder="1" applyFont="1">
      <alignment horizontal="center" vertical="bottom"/>
    </xf>
    <xf borderId="0" fillId="42" fontId="8" numFmtId="0" xfId="0" applyAlignment="1" applyFill="1" applyFont="1">
      <alignment vertical="bottom"/>
    </xf>
    <xf borderId="7" fillId="4" fontId="8" numFmtId="0" xfId="0" applyAlignment="1" applyBorder="1" applyFill="1" applyFont="1">
      <alignment horizontal="right" vertical="bottom"/>
    </xf>
    <xf borderId="9" fillId="43" fontId="8" numFmtId="1" xfId="0" applyAlignment="1" applyBorder="1" applyFill="1" applyFont="1" applyNumberFormat="1">
      <alignment horizontal="right" vertical="bottom"/>
    </xf>
    <xf borderId="7" fillId="43" fontId="8" numFmtId="0" xfId="0" applyAlignment="1" applyBorder="1" applyFill="1" applyFont="1">
      <alignment vertical="bottom"/>
    </xf>
    <xf borderId="7" fillId="43" fontId="8" numFmtId="3" xfId="0" applyAlignment="1" applyBorder="1" applyFill="1" applyFont="1" applyNumberFormat="1">
      <alignment horizontal="right" vertical="bottom"/>
    </xf>
    <xf borderId="7" fillId="43" fontId="28" numFmtId="166" xfId="0" applyAlignment="1" applyBorder="1" applyFill="1" applyFont="1" applyNumberFormat="1">
      <alignment horizontal="center" vertical="bottom"/>
    </xf>
    <xf borderId="7" fillId="0" fontId="8" numFmtId="0" xfId="0" applyAlignment="1" applyBorder="1" applyFont="1">
      <alignment horizontal="right" vertical="bottom"/>
    </xf>
    <xf borderId="0" fillId="43" fontId="8" numFmtId="0" xfId="0" applyAlignment="1" applyFill="1" applyFont="1">
      <alignment vertical="bottom"/>
    </xf>
    <xf borderId="9" fillId="44" fontId="8" numFmtId="1" xfId="0" applyAlignment="1" applyBorder="1" applyFill="1" applyFont="1" applyNumberFormat="1">
      <alignment horizontal="right" vertical="bottom"/>
    </xf>
    <xf borderId="9" fillId="3" fontId="8" numFmtId="1" xfId="0" applyAlignment="1" applyBorder="1" applyFill="1" applyFont="1" applyNumberFormat="1">
      <alignment horizontal="right" vertical="bottom"/>
    </xf>
    <xf borderId="7" fillId="3" fontId="8" numFmtId="0" xfId="0" applyAlignment="1" applyBorder="1" applyFill="1" applyFont="1">
      <alignment vertical="bottom"/>
    </xf>
    <xf borderId="7" fillId="3" fontId="8" numFmtId="3" xfId="0" applyAlignment="1" applyBorder="1" applyFill="1" applyFont="1" applyNumberFormat="1">
      <alignment horizontal="right" vertical="bottom"/>
    </xf>
    <xf borderId="7" fillId="3" fontId="28" numFmtId="166" xfId="0" applyAlignment="1" applyBorder="1" applyFill="1" applyFont="1" applyNumberFormat="1">
      <alignment horizontal="center" vertical="bottom"/>
    </xf>
    <xf borderId="0" fillId="3" fontId="8" numFmtId="0" xfId="0" applyAlignment="1" applyFill="1" applyFont="1">
      <alignment vertical="bottom"/>
    </xf>
    <xf borderId="7" fillId="2" fontId="1" numFmtId="0" xfId="0" applyAlignment="1" applyBorder="1" applyFill="1" applyFont="1">
      <alignment horizontal="center" readingOrder="0" vertical="bottom"/>
    </xf>
    <xf borderId="9" fillId="4" fontId="5" numFmtId="0" xfId="0" applyAlignment="1" applyBorder="1" applyFill="1" applyFont="1">
      <alignment horizontal="right" readingOrder="0" shrinkToFit="0" vertical="bottom" wrapText="0"/>
    </xf>
    <xf borderId="7" fillId="4" fontId="5" numFmtId="0" xfId="0" applyAlignment="1" applyBorder="1" applyFill="1" applyFont="1">
      <alignment horizontal="center" readingOrder="0" shrinkToFit="0" vertical="bottom" wrapText="0"/>
    </xf>
    <xf borderId="7" fillId="4" fontId="5" numFmtId="10" xfId="0" applyAlignment="1" applyBorder="1" applyFill="1" applyFont="1" applyNumberFormat="1">
      <alignment horizontal="center" readingOrder="0" shrinkToFit="0" vertical="bottom" wrapText="0"/>
    </xf>
    <xf borderId="7" fillId="4" fontId="5" numFmtId="0" xfId="0" applyAlignment="1" applyBorder="1" applyFill="1" applyFont="1">
      <alignment horizontal="center" shrinkToFit="0" vertical="bottom" wrapText="0"/>
    </xf>
    <xf borderId="8" fillId="4" fontId="5" numFmtId="0" xfId="0" applyAlignment="1" applyBorder="1" applyFill="1" applyFont="1">
      <alignment readingOrder="0" shrinkToFit="0" vertical="bottom" wrapText="0"/>
    </xf>
    <xf borderId="9" fillId="0" fontId="5" numFmtId="0" xfId="0" applyAlignment="1" applyBorder="1" applyFont="1">
      <alignment horizontal="right" readingOrder="0" shrinkToFit="0" vertical="bottom" wrapText="0"/>
    </xf>
    <xf borderId="7" fillId="0" fontId="5" numFmtId="0" xfId="0" applyAlignment="1" applyBorder="1" applyFont="1">
      <alignment horizontal="center" readingOrder="0" shrinkToFit="0" vertical="bottom" wrapText="0"/>
    </xf>
    <xf borderId="7" fillId="0" fontId="5" numFmtId="10" xfId="0" applyAlignment="1" applyBorder="1" applyFont="1" applyNumberFormat="1">
      <alignment horizontal="center" readingOrder="0" shrinkToFit="0" vertical="bottom" wrapText="0"/>
    </xf>
    <xf borderId="7" fillId="0" fontId="5" numFmtId="0" xfId="0" applyAlignment="1" applyBorder="1" applyFont="1">
      <alignment horizontal="center" shrinkToFit="0" vertical="bottom" wrapText="0"/>
    </xf>
    <xf borderId="8" fillId="0" fontId="5" numFmtId="0" xfId="0" applyAlignment="1" applyBorder="1" applyFont="1">
      <alignment readingOrder="0" shrinkToFit="0" vertical="bottom" wrapText="0"/>
    </xf>
    <xf borderId="9" fillId="2" fontId="1" numFmtId="0" xfId="0" applyAlignment="1" applyBorder="1" applyFill="1" applyFont="1">
      <alignment readingOrder="0" vertical="bottom"/>
    </xf>
    <xf borderId="7" fillId="2" fontId="1" numFmtId="0" xfId="0" applyAlignment="1" applyBorder="1" applyFill="1" applyFont="1">
      <alignment readingOrder="0" vertical="bottom"/>
    </xf>
    <xf borderId="7" fillId="2" fontId="1" numFmtId="0" xfId="0" applyAlignment="1" applyBorder="1" applyFill="1" applyFont="1">
      <alignment readingOrder="0" shrinkToFit="0" wrapText="0"/>
    </xf>
    <xf borderId="0" fillId="0" fontId="3" numFmtId="164" xfId="0" applyAlignment="1" applyFont="1" applyNumberFormat="1">
      <alignment readingOrder="0"/>
    </xf>
    <xf borderId="9" fillId="4" fontId="8" numFmtId="1" xfId="0" applyAlignment="1" applyBorder="1" applyFill="1" applyFont="1" applyNumberFormat="1">
      <alignment horizontal="center" vertical="bottom"/>
    </xf>
    <xf borderId="7" fillId="4" fontId="8" numFmtId="0" xfId="0" applyAlignment="1" applyBorder="1" applyFill="1" applyFont="1">
      <alignment horizontal="center" vertical="bottom"/>
    </xf>
    <xf borderId="7" fillId="4" fontId="8" numFmtId="3" xfId="0" applyAlignment="1" applyBorder="1" applyFill="1" applyFont="1" applyNumberFormat="1">
      <alignment horizontal="center" vertical="bottom"/>
    </xf>
    <xf borderId="7" fillId="4" fontId="8" numFmtId="10" xfId="0" applyAlignment="1" applyBorder="1" applyFill="1" applyFont="1" applyNumberFormat="1">
      <alignment horizontal="center" vertical="bottom"/>
    </xf>
    <xf borderId="0" fillId="0" fontId="37" numFmtId="0" xfId="0" applyAlignment="1" applyFont="1">
      <alignment horizontal="center" vertical="bottom"/>
    </xf>
    <xf borderId="8" fillId="4" fontId="8" numFmtId="0" xfId="0" applyAlignment="1" applyBorder="1" applyFill="1" applyFont="1">
      <alignment horizontal="center" vertical="bottom"/>
    </xf>
    <xf borderId="9" fillId="0" fontId="8" numFmtId="1" xfId="0" applyAlignment="1" applyBorder="1" applyFont="1" applyNumberFormat="1">
      <alignment horizontal="center" vertical="bottom"/>
    </xf>
    <xf borderId="7" fillId="0" fontId="8" numFmtId="3" xfId="0" applyAlignment="1" applyBorder="1" applyFont="1" applyNumberFormat="1">
      <alignment horizontal="center" vertical="bottom"/>
    </xf>
    <xf borderId="7" fillId="0" fontId="8" numFmtId="10" xfId="0" applyAlignment="1" applyBorder="1" applyFont="1" applyNumberFormat="1">
      <alignment horizontal="center" vertical="bottom"/>
    </xf>
    <xf borderId="8" fillId="0" fontId="8" numFmtId="0" xfId="0" applyAlignment="1" applyBorder="1" applyFont="1">
      <alignment horizontal="center" vertical="bottom"/>
    </xf>
    <xf borderId="7" fillId="3" fontId="8" numFmtId="0" xfId="0" applyAlignment="1" applyBorder="1" applyFill="1" applyFont="1">
      <alignment horizontal="center" vertical="bottom"/>
    </xf>
    <xf borderId="0" fillId="0" fontId="23" numFmtId="0" xfId="0" applyAlignment="1" applyFont="1">
      <alignment vertical="bottom"/>
    </xf>
    <xf borderId="0" fillId="2" fontId="1" numFmtId="0" xfId="0" applyAlignment="1" applyFill="1" applyFont="1">
      <alignment horizontal="left" readingOrder="0" shrinkToFit="0" vertical="bottom" wrapText="0"/>
    </xf>
    <xf borderId="9" fillId="2" fontId="1" numFmtId="0" xfId="0" applyAlignment="1" applyBorder="1" applyFill="1" applyFont="1">
      <alignment horizontal="left" readingOrder="0" shrinkToFit="0" vertical="bottom" wrapText="0"/>
    </xf>
    <xf borderId="7" fillId="2" fontId="1" numFmtId="10" xfId="0" applyAlignment="1" applyBorder="1" applyFill="1" applyFont="1" applyNumberFormat="1">
      <alignment horizontal="center" readingOrder="0" vertical="bottom"/>
    </xf>
    <xf borderId="8" fillId="2" fontId="1" numFmtId="0" xfId="0" applyAlignment="1" applyBorder="1" applyFill="1" applyFont="1">
      <alignment horizontal="left" readingOrder="0" shrinkToFit="0" vertical="bottom" wrapText="0"/>
    </xf>
    <xf borderId="0" fillId="4" fontId="5" numFmtId="164" xfId="0" applyAlignment="1" applyFill="1" applyFont="1" applyNumberFormat="1">
      <alignment horizontal="right" readingOrder="0" shrinkToFit="0" vertical="bottom" wrapText="0"/>
    </xf>
    <xf borderId="7" fillId="4" fontId="5" numFmtId="0" xfId="0" applyAlignment="1" applyBorder="1" applyFill="1" applyFont="1">
      <alignment horizontal="left" readingOrder="0" shrinkToFit="0" vertical="bottom" wrapText="0"/>
    </xf>
    <xf borderId="7" fillId="4" fontId="5" numFmtId="0" xfId="0" applyAlignment="1" applyBorder="1" applyFill="1" applyFont="1">
      <alignment horizontal="center" readingOrder="0" shrinkToFit="0" vertical="bottom" wrapText="0"/>
    </xf>
    <xf borderId="7" fillId="4" fontId="5" numFmtId="10" xfId="0" applyAlignment="1" applyBorder="1" applyFill="1" applyFont="1" applyNumberFormat="1">
      <alignment horizontal="center" readingOrder="0" shrinkToFit="0" vertical="bottom" wrapText="0"/>
    </xf>
    <xf borderId="8" fillId="4" fontId="5" numFmtId="0" xfId="0" applyAlignment="1" applyBorder="1" applyFill="1" applyFont="1">
      <alignment horizontal="left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7" fillId="0" fontId="5" numFmtId="10" xfId="0" applyAlignment="1" applyBorder="1" applyFont="1" applyNumberFormat="1">
      <alignment horizontal="center" readingOrder="0" shrinkToFit="0" vertical="bottom" wrapText="0"/>
    </xf>
    <xf borderId="8" fillId="0" fontId="5" numFmtId="0" xfId="0" applyAlignment="1" applyBorder="1" applyFont="1">
      <alignment horizontal="left" readingOrder="0"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7" fillId="0" fontId="5" numFmtId="0" xfId="0" applyAlignment="1" applyBorder="1" applyFont="1">
      <alignment horizontal="center" shrinkToFit="0" vertical="bottom" wrapText="0"/>
    </xf>
    <xf borderId="0" fillId="4" fontId="5" numFmtId="0" xfId="0" applyAlignment="1" applyFill="1" applyFont="1">
      <alignment horizontal="right" readingOrder="0" shrinkToFit="0" vertical="bottom" wrapText="0"/>
    </xf>
    <xf borderId="7" fillId="4" fontId="5" numFmtId="0" xfId="0" applyAlignment="1" applyBorder="1" applyFill="1" applyFont="1">
      <alignment horizontal="center" shrinkToFit="0" vertical="bottom" wrapText="0"/>
    </xf>
    <xf borderId="0" fillId="0" fontId="3" numFmtId="10" xfId="0" applyAlignment="1" applyFont="1" applyNumberFormat="1">
      <alignment horizontal="center"/>
    </xf>
    <xf borderId="0" fillId="0" fontId="3" numFmtId="10" xfId="0" applyFont="1" applyNumberFormat="1"/>
    <xf borderId="7" fillId="3" fontId="2" numFmtId="0" xfId="0" applyAlignment="1" applyBorder="1" applyFill="1" applyFont="1">
      <alignment horizontal="center" readingOrder="0" shrinkToFit="0" vertical="bottom" wrapText="0"/>
    </xf>
    <xf borderId="6" fillId="3" fontId="2" numFmtId="0" xfId="0" applyAlignment="1" applyBorder="1" applyFill="1" applyFont="1">
      <alignment horizontal="center" readingOrder="0" shrinkToFit="0" vertical="bottom" wrapText="0"/>
    </xf>
    <xf borderId="7" fillId="2" fontId="1" numFmtId="0" xfId="0" applyAlignment="1" applyBorder="1" applyFill="1" applyFont="1">
      <alignment horizontal="center" readingOrder="0" shrinkToFit="0" vertical="bottom" wrapText="0"/>
    </xf>
    <xf borderId="0" fillId="2" fontId="38" numFmtId="0" xfId="0" applyAlignment="1" applyFill="1" applyFont="1">
      <alignment readingOrder="0" shrinkToFit="0" vertical="bottom" wrapText="0"/>
    </xf>
    <xf borderId="9" fillId="4" fontId="5" numFmtId="0" xfId="0" applyAlignment="1" applyBorder="1" applyFill="1" applyFont="1">
      <alignment horizontal="center" readingOrder="0" shrinkToFit="0" vertical="bottom" wrapText="0"/>
    </xf>
    <xf borderId="9" fillId="0" fontId="5" numFmtId="0" xfId="0" applyAlignment="1" applyBorder="1" applyFont="1">
      <alignment horizontal="center" readingOrder="0" shrinkToFit="0" vertical="bottom" wrapText="0"/>
    </xf>
    <xf borderId="7" fillId="45" fontId="5" numFmtId="0" xfId="0" applyAlignment="1" applyBorder="1" applyFill="1" applyFont="1">
      <alignment horizontal="center" shrinkToFit="0" vertical="bottom" wrapText="0"/>
    </xf>
    <xf borderId="7" fillId="18" fontId="5" numFmtId="0" xfId="0" applyAlignment="1" applyBorder="1" applyFill="1" applyFont="1">
      <alignment horizontal="center" shrinkToFit="0" vertical="bottom" wrapText="0"/>
    </xf>
    <xf borderId="9" fillId="2" fontId="1" numFmtId="0" xfId="0" applyAlignment="1" applyBorder="1" applyFill="1" applyFont="1">
      <alignment horizontal="center" readingOrder="0" shrinkToFit="0" vertical="bottom" wrapText="0"/>
    </xf>
    <xf borderId="8" fillId="2" fontId="1" numFmtId="0" xfId="0" applyAlignment="1" applyBorder="1" applyFill="1" applyFont="1">
      <alignment horizontal="center" readingOrder="0" shrinkToFit="0" vertical="bottom" wrapText="0"/>
    </xf>
    <xf borderId="0" fillId="0" fontId="26" numFmtId="0" xfId="0" applyAlignment="1" applyFont="1">
      <alignment shrinkToFit="0" vertical="bottom" wrapText="0"/>
    </xf>
    <xf borderId="7" fillId="4" fontId="5" numFmtId="10" xfId="0" applyAlignment="1" applyBorder="1" applyFill="1" applyFont="1" applyNumberFormat="1">
      <alignment readingOrder="0" shrinkToFit="0" vertical="bottom" wrapText="0"/>
    </xf>
    <xf borderId="7" fillId="0" fontId="5" numFmtId="10" xfId="0" applyAlignment="1" applyBorder="1" applyFont="1" applyNumberFormat="1">
      <alignment readingOrder="0" shrinkToFit="0" vertical="bottom" wrapText="0"/>
    </xf>
    <xf borderId="7" fillId="0" fontId="9" numFmtId="0" xfId="0" applyBorder="1" applyFont="1"/>
    <xf borderId="12" fillId="4" fontId="5" numFmtId="0" xfId="0" applyAlignment="1" applyBorder="1" applyFill="1" applyFont="1">
      <alignment horizontal="right" readingOrder="0" shrinkToFit="0" vertical="bottom" wrapText="0"/>
    </xf>
    <xf borderId="6" fillId="4" fontId="5" numFmtId="0" xfId="0" applyAlignment="1" applyBorder="1" applyFill="1" applyFont="1">
      <alignment horizontal="center" readingOrder="0" shrinkToFit="0" vertical="bottom" wrapText="0"/>
    </xf>
    <xf borderId="6" fillId="4" fontId="5" numFmtId="10" xfId="0" applyAlignment="1" applyBorder="1" applyFill="1" applyFont="1" applyNumberFormat="1">
      <alignment horizontal="center" readingOrder="0" shrinkToFit="0" vertical="bottom" wrapText="0"/>
    </xf>
    <xf borderId="6" fillId="4" fontId="5" numFmtId="0" xfId="0" applyAlignment="1" applyBorder="1" applyFill="1" applyFont="1">
      <alignment horizontal="center" shrinkToFit="0" vertical="bottom" wrapText="0"/>
    </xf>
    <xf borderId="10" fillId="4" fontId="5" numFmtId="0" xfId="0" applyAlignment="1" applyBorder="1" applyFill="1" applyFont="1">
      <alignment readingOrder="0" shrinkToFit="0" vertical="bottom" wrapText="0"/>
    </xf>
    <xf borderId="12" fillId="0" fontId="5" numFmtId="0" xfId="0" applyAlignment="1" applyBorder="1" applyFont="1">
      <alignment horizontal="right" readingOrder="0" shrinkToFit="0" vertical="bottom" wrapText="0"/>
    </xf>
    <xf borderId="6" fillId="0" fontId="5" numFmtId="0" xfId="0" applyAlignment="1" applyBorder="1" applyFont="1">
      <alignment horizontal="center" readingOrder="0" shrinkToFit="0" vertical="bottom" wrapText="0"/>
    </xf>
    <xf borderId="6" fillId="0" fontId="5" numFmtId="10" xfId="0" applyAlignment="1" applyBorder="1" applyFont="1" applyNumberForma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bottom" wrapText="0"/>
    </xf>
    <xf borderId="10" fillId="0" fontId="5" numFmtId="0" xfId="0" applyAlignment="1" applyBorder="1" applyFont="1">
      <alignment readingOrder="0" shrinkToFit="0" vertical="bottom" wrapText="0"/>
    </xf>
    <xf borderId="9" fillId="46" fontId="24" numFmtId="0" xfId="0" applyAlignment="1" applyBorder="1" applyFill="1" applyFont="1">
      <alignment horizontal="right" readingOrder="0" shrinkToFit="0" vertical="bottom" wrapText="0"/>
    </xf>
    <xf quotePrefix="1" borderId="6" fillId="4" fontId="5" numFmtId="0" xfId="0" applyAlignment="1" applyBorder="1" applyFill="1" applyFont="1">
      <alignment horizontal="center" readingOrder="0" shrinkToFit="0" vertical="bottom" wrapText="0"/>
    </xf>
    <xf borderId="12" fillId="10" fontId="5" numFmtId="0" xfId="0" applyAlignment="1" applyBorder="1" applyFill="1" applyFont="1">
      <alignment horizontal="right" readingOrder="0" shrinkToFit="0" vertical="bottom" wrapText="0"/>
    </xf>
    <xf borderId="6" fillId="10" fontId="5" numFmtId="0" xfId="0" applyAlignment="1" applyBorder="1" applyFill="1" applyFont="1">
      <alignment readingOrder="0" shrinkToFit="0" vertical="bottom" wrapText="0"/>
    </xf>
    <xf borderId="6" fillId="10" fontId="5" numFmtId="0" xfId="0" applyAlignment="1" applyBorder="1" applyFill="1" applyFont="1">
      <alignment horizontal="center" readingOrder="0" shrinkToFit="0" vertical="bottom" wrapText="0"/>
    </xf>
    <xf borderId="6" fillId="10" fontId="5" numFmtId="10" xfId="0" applyAlignment="1" applyBorder="1" applyFill="1" applyFont="1" applyNumberFormat="1">
      <alignment horizontal="center" readingOrder="0" shrinkToFit="0" vertical="bottom" wrapText="0"/>
    </xf>
    <xf borderId="6" fillId="10" fontId="25" numFmtId="0" xfId="0" applyAlignment="1" applyBorder="1" applyFill="1" applyFont="1">
      <alignment horizontal="center" readingOrder="0" shrinkToFit="0" vertical="bottom" wrapText="0"/>
    </xf>
    <xf borderId="6" fillId="0" fontId="9" numFmtId="0" xfId="0" applyBorder="1" applyFont="1"/>
    <xf borderId="6" fillId="10" fontId="25" numFmtId="0" xfId="0" applyAlignment="1" applyBorder="1" applyFill="1" applyFont="1">
      <alignment readingOrder="0" shrinkToFit="0" vertical="bottom" wrapText="0"/>
    </xf>
    <xf borderId="10" fillId="10" fontId="5" numFmtId="0" xfId="0" applyAlignment="1" applyBorder="1" applyFill="1" applyFont="1">
      <alignment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5" numFmtId="10" xfId="0" applyAlignment="1" applyFont="1" applyNumberFormat="1">
      <alignment horizontal="center" readingOrder="0" shrinkToFit="0" vertical="bottom" wrapText="0"/>
    </xf>
    <xf borderId="0" fillId="8" fontId="3" numFmtId="0" xfId="0" applyAlignment="1" applyFill="1" applyFont="1">
      <alignment horizontal="center" readingOrder="0"/>
    </xf>
    <xf borderId="6" fillId="8" fontId="5" numFmtId="0" xfId="0" applyAlignment="1" applyBorder="1" applyFill="1" applyFont="1">
      <alignment horizontal="center" readingOrder="0" shrinkToFit="0" vertical="bottom" wrapText="0"/>
    </xf>
    <xf borderId="6" fillId="8" fontId="5" numFmtId="0" xfId="0" applyAlignment="1" applyBorder="1" applyFill="1" applyFont="1">
      <alignment horizontal="center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8" fontId="5" numFmtId="0" xfId="0" applyAlignment="1" applyFill="1" applyFont="1">
      <alignment horizontal="center" readingOrder="0" shrinkToFit="0" vertical="bottom" wrapText="0"/>
    </xf>
    <xf borderId="7" fillId="8" fontId="5" numFmtId="0" xfId="0" applyAlignment="1" applyBorder="1" applyFill="1" applyFont="1">
      <alignment horizontal="center" readingOrder="0" shrinkToFit="0" vertical="bottom" wrapText="0"/>
    </xf>
    <xf borderId="7" fillId="8" fontId="5" numFmtId="0" xfId="0" applyAlignment="1" applyBorder="1" applyFill="1" applyFont="1">
      <alignment horizontal="center" shrinkToFit="0" vertical="bottom" wrapText="0"/>
    </xf>
    <xf borderId="0" fillId="8" fontId="3" numFmtId="0" xfId="0" applyAlignment="1" applyFill="1" applyFont="1">
      <alignment horizontal="center"/>
    </xf>
    <xf borderId="0" fillId="8" fontId="5" numFmtId="0" xfId="0" applyAlignment="1" applyFill="1" applyFont="1">
      <alignment horizontal="center" shrinkToFit="0" vertical="bottom" wrapText="0"/>
    </xf>
    <xf borderId="0" fillId="0" fontId="3" numFmtId="164" xfId="0" applyAlignment="1" applyFont="1" applyNumberFormat="1">
      <alignment horizontal="center" readingOrder="0"/>
    </xf>
    <xf borderId="10" fillId="0" fontId="5" numFmtId="0" xfId="0" applyAlignment="1" applyBorder="1" applyFont="1">
      <alignment shrinkToFit="0" vertical="bottom" wrapText="0"/>
    </xf>
    <xf borderId="10" fillId="4" fontId="5" numFmtId="0" xfId="0" applyAlignment="1" applyBorder="1" applyFill="1" applyFont="1">
      <alignment shrinkToFit="0" vertical="bottom" wrapText="0"/>
    </xf>
    <xf borderId="0" fillId="0" fontId="5" numFmtId="9" xfId="0" applyAlignment="1" applyFont="1" applyNumberFormat="1">
      <alignment horizontal="right" readingOrder="0" shrinkToFit="0" vertical="bottom" wrapText="0"/>
    </xf>
    <xf borderId="7" fillId="3" fontId="5" numFmtId="10" xfId="0" applyAlignment="1" applyBorder="1" applyFill="1" applyFont="1" applyNumberFormat="1">
      <alignment horizontal="right" readingOrder="0" shrinkToFit="0" vertical="bottom" wrapText="0"/>
    </xf>
    <xf borderId="7" fillId="4" fontId="5" numFmtId="0" xfId="0" applyAlignment="1" applyBorder="1" applyFill="1" applyFont="1">
      <alignment shrinkToFit="0" vertical="bottom" wrapText="0"/>
    </xf>
    <xf borderId="8" fillId="4" fontId="5" numFmtId="0" xfId="0" applyAlignment="1" applyBorder="1" applyFill="1" applyFont="1">
      <alignment shrinkToFit="0" vertical="bottom" wrapText="0"/>
    </xf>
    <xf borderId="8" fillId="0" fontId="5" numFmtId="0" xfId="0" applyAlignment="1" applyBorder="1" applyFont="1">
      <alignment horizontal="right" readingOrder="0" shrinkToFit="0" vertical="bottom" wrapText="0"/>
    </xf>
    <xf borderId="8" fillId="4" fontId="5" numFmtId="0" xfId="0" applyAlignment="1" applyBorder="1" applyFill="1" applyFont="1">
      <alignment horizontal="right" readingOrder="0" shrinkToFit="0" vertical="bottom" wrapText="0"/>
    </xf>
    <xf borderId="8" fillId="0" fontId="5" numFmtId="0" xfId="0" applyAlignment="1" applyBorder="1" applyFont="1">
      <alignment shrinkToFit="0" vertical="bottom" wrapText="0"/>
    </xf>
    <xf borderId="7" fillId="18" fontId="5" numFmtId="0" xfId="0" applyAlignment="1" applyBorder="1" applyFill="1" applyFont="1">
      <alignment readingOrder="0" shrinkToFit="0" vertical="bottom" wrapText="0"/>
    </xf>
    <xf borderId="7" fillId="47" fontId="5" numFmtId="0" xfId="0" applyAlignment="1" applyBorder="1" applyFill="1" applyFont="1">
      <alignment readingOrder="0" shrinkToFit="0" vertical="bottom" wrapText="0"/>
    </xf>
    <xf borderId="0" fillId="0" fontId="5" numFmtId="10" xfId="0" applyAlignment="1" applyFont="1" applyNumberFormat="1">
      <alignment horizontal="right" readingOrder="0" shrinkToFit="0" vertical="bottom" wrapText="0"/>
    </xf>
    <xf borderId="0" fillId="2" fontId="22" numFmtId="0" xfId="0" applyAlignment="1" applyFill="1" applyFont="1">
      <alignment readingOrder="0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46" Type="http://schemas.openxmlformats.org/officeDocument/2006/relationships/worksheet" Target="worksheets/sheet42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app.nexs.lenskart.com/historyPage/CCC161701603" TargetMode="External"/><Relationship Id="rId2" Type="http://schemas.openxmlformats.org/officeDocument/2006/relationships/hyperlink" Target="https://app.nexs.lenskart.com/historyPage/CCC161701774" TargetMode="External"/><Relationship Id="rId3" Type="http://schemas.openxmlformats.org/officeDocument/2006/relationships/hyperlink" Target="https://app.nexs.lenskart.com/historyPage/CCC161701769" TargetMode="External"/><Relationship Id="rId4" Type="http://schemas.openxmlformats.org/officeDocument/2006/relationships/hyperlink" Target="http://136711.fks26199f.org/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://209756.lsk26062202-a2.org/" TargetMode="External"/><Relationship Id="rId6" Type="http://schemas.openxmlformats.org/officeDocument/2006/relationships/hyperlink" Target="http://209756.lsk26081401-a9.org/" TargetMode="External"/><Relationship Id="rId7" Type="http://schemas.openxmlformats.org/officeDocument/2006/relationships/hyperlink" Target="http://234793.cin-000001870615.org" TargetMode="External"/><Relationship Id="rId8" Type="http://schemas.openxmlformats.org/officeDocument/2006/relationships/hyperlink" Target="http://241855.in26066i.or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13"/>
    <col customWidth="1" min="3" max="3" width="27.88"/>
    <col customWidth="1" min="6" max="6" width="13.5"/>
    <col customWidth="1" min="11" max="11" width="13.5"/>
    <col customWidth="1" min="16" max="16" width="14.88"/>
    <col customWidth="1" min="17" max="17" width="15.13"/>
    <col customWidth="1" min="19" max="19" width="31.63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6"/>
      <c r="S1" s="6"/>
      <c r="T1" s="6"/>
      <c r="U1" s="6"/>
      <c r="V1" s="6"/>
    </row>
    <row r="2">
      <c r="A2" s="7" t="s">
        <v>0</v>
      </c>
      <c r="B2" s="8" t="str">
        <f t="shared" ref="B2:B957" si="1">LEFT(C2,6)</f>
        <v>#REF!</v>
      </c>
      <c r="C2" s="9" t="str">
        <f>#REF!&amp;"."&amp;#REF!</f>
        <v>#REF!</v>
      </c>
      <c r="D2" s="10" t="s">
        <v>17</v>
      </c>
      <c r="E2" s="11">
        <v>0.013</v>
      </c>
      <c r="F2" s="12" t="s">
        <v>18</v>
      </c>
      <c r="G2" s="12">
        <v>49.8</v>
      </c>
      <c r="H2" s="12">
        <v>38.95</v>
      </c>
      <c r="I2" s="12">
        <v>148.15</v>
      </c>
      <c r="J2" s="12">
        <v>148.37</v>
      </c>
      <c r="K2" s="13" t="s">
        <v>19</v>
      </c>
      <c r="L2" s="12">
        <v>49.96</v>
      </c>
      <c r="M2" s="12">
        <v>39.15</v>
      </c>
      <c r="N2" s="12">
        <v>148.64</v>
      </c>
      <c r="O2" s="12">
        <v>148.25</v>
      </c>
      <c r="P2" s="12" t="s">
        <v>17</v>
      </c>
      <c r="Q2" s="13" t="s">
        <v>20</v>
      </c>
      <c r="R2" s="6"/>
      <c r="S2" s="6"/>
      <c r="T2" s="6"/>
      <c r="U2" s="6"/>
      <c r="V2" s="6"/>
    </row>
    <row r="3">
      <c r="A3" s="12" t="s">
        <v>0</v>
      </c>
      <c r="B3" s="8" t="str">
        <f t="shared" si="1"/>
        <v>220126</v>
      </c>
      <c r="C3" s="10" t="s">
        <v>21</v>
      </c>
      <c r="D3" s="10" t="s">
        <v>22</v>
      </c>
      <c r="E3" s="11">
        <v>0.0714</v>
      </c>
      <c r="F3" s="12" t="s">
        <v>18</v>
      </c>
      <c r="G3" s="12">
        <v>53.11</v>
      </c>
      <c r="H3" s="12">
        <v>31.73</v>
      </c>
      <c r="I3" s="12">
        <v>146.81</v>
      </c>
      <c r="J3" s="12">
        <v>147.16</v>
      </c>
      <c r="K3" s="14" t="s">
        <v>19</v>
      </c>
      <c r="L3" s="12">
        <v>53.34</v>
      </c>
      <c r="M3" s="12">
        <v>32.2</v>
      </c>
      <c r="N3" s="12">
        <v>147.97</v>
      </c>
      <c r="O3" s="12">
        <v>147.21</v>
      </c>
      <c r="P3" s="12" t="s">
        <v>22</v>
      </c>
      <c r="Q3" s="14" t="s">
        <v>23</v>
      </c>
      <c r="R3" s="6"/>
      <c r="S3" s="6"/>
      <c r="T3" s="6"/>
      <c r="U3" s="6"/>
      <c r="V3" s="6"/>
    </row>
    <row r="4">
      <c r="A4" s="12" t="s">
        <v>0</v>
      </c>
      <c r="B4" s="8" t="str">
        <f t="shared" si="1"/>
        <v>217022</v>
      </c>
      <c r="C4" s="10" t="s">
        <v>24</v>
      </c>
      <c r="D4" s="10" t="s">
        <v>17</v>
      </c>
      <c r="E4" s="11">
        <v>0.129</v>
      </c>
      <c r="F4" s="12" t="s">
        <v>18</v>
      </c>
      <c r="G4" s="12">
        <v>52.69</v>
      </c>
      <c r="H4" s="12">
        <v>41.36</v>
      </c>
      <c r="I4" s="12">
        <v>160.11</v>
      </c>
      <c r="J4" s="12">
        <v>160.11</v>
      </c>
      <c r="K4" s="13" t="s">
        <v>19</v>
      </c>
      <c r="L4" s="12">
        <v>53.11</v>
      </c>
      <c r="M4" s="12">
        <v>41.63</v>
      </c>
      <c r="N4" s="12">
        <v>160.8</v>
      </c>
      <c r="O4" s="12">
        <v>160.77</v>
      </c>
      <c r="P4" s="12" t="s">
        <v>17</v>
      </c>
      <c r="Q4" s="13" t="s">
        <v>23</v>
      </c>
      <c r="R4" s="6"/>
      <c r="S4" s="6"/>
      <c r="T4" s="6"/>
      <c r="U4" s="6"/>
      <c r="V4" s="6"/>
    </row>
    <row r="5">
      <c r="A5" s="12" t="s">
        <v>0</v>
      </c>
      <c r="B5" s="8" t="str">
        <f t="shared" si="1"/>
        <v>241210</v>
      </c>
      <c r="C5" s="10" t="s">
        <v>25</v>
      </c>
      <c r="D5" s="10" t="s">
        <v>17</v>
      </c>
      <c r="E5" s="11">
        <v>0.06</v>
      </c>
      <c r="F5" s="12" t="s">
        <v>18</v>
      </c>
      <c r="G5" s="12">
        <v>50.0</v>
      </c>
      <c r="H5" s="12">
        <v>38.96</v>
      </c>
      <c r="I5" s="12">
        <v>148.11</v>
      </c>
      <c r="J5" s="12">
        <v>148.11</v>
      </c>
      <c r="K5" s="14" t="s">
        <v>19</v>
      </c>
      <c r="L5" s="12">
        <v>50.11</v>
      </c>
      <c r="M5" s="12">
        <v>39.28</v>
      </c>
      <c r="N5" s="12">
        <v>148.78</v>
      </c>
      <c r="O5" s="12">
        <v>148.78</v>
      </c>
      <c r="P5" s="12" t="s">
        <v>17</v>
      </c>
      <c r="Q5" s="14" t="s">
        <v>23</v>
      </c>
      <c r="R5" s="6"/>
      <c r="S5" s="6"/>
      <c r="T5" s="6"/>
      <c r="U5" s="6"/>
      <c r="V5" s="6"/>
    </row>
    <row r="6">
      <c r="A6" s="12" t="s">
        <v>0</v>
      </c>
      <c r="B6" s="8" t="str">
        <f t="shared" si="1"/>
        <v>137935</v>
      </c>
      <c r="C6" s="10" t="s">
        <v>26</v>
      </c>
      <c r="D6" s="10" t="s">
        <v>17</v>
      </c>
      <c r="E6" s="11">
        <v>0.095</v>
      </c>
      <c r="F6" s="12" t="s">
        <v>18</v>
      </c>
      <c r="G6" s="12">
        <v>53.49</v>
      </c>
      <c r="H6" s="12">
        <v>38.5</v>
      </c>
      <c r="I6" s="12">
        <v>148.44</v>
      </c>
      <c r="J6" s="12">
        <v>148.82</v>
      </c>
      <c r="K6" s="13" t="s">
        <v>19</v>
      </c>
      <c r="L6" s="12">
        <v>53.51</v>
      </c>
      <c r="M6" s="12">
        <v>38.98</v>
      </c>
      <c r="N6" s="12">
        <v>149.29</v>
      </c>
      <c r="O6" s="12">
        <v>149.12</v>
      </c>
      <c r="P6" s="12" t="s">
        <v>17</v>
      </c>
      <c r="Q6" s="13" t="s">
        <v>23</v>
      </c>
      <c r="R6" s="6"/>
      <c r="S6" s="6"/>
      <c r="T6" s="6"/>
      <c r="U6" s="6"/>
      <c r="V6" s="6"/>
    </row>
    <row r="7">
      <c r="A7" s="12" t="s">
        <v>0</v>
      </c>
      <c r="B7" s="8" t="str">
        <f t="shared" si="1"/>
        <v>#REF!</v>
      </c>
      <c r="C7" s="9" t="str">
        <f>#REF!&amp;"."&amp;#REF!</f>
        <v>#REF!</v>
      </c>
      <c r="D7" s="10" t="s">
        <v>17</v>
      </c>
      <c r="E7" s="11">
        <v>0.109</v>
      </c>
      <c r="F7" s="12" t="s">
        <v>18</v>
      </c>
      <c r="G7" s="12">
        <v>53.82</v>
      </c>
      <c r="H7" s="12">
        <v>36.01</v>
      </c>
      <c r="I7" s="12">
        <v>154.03</v>
      </c>
      <c r="J7" s="12">
        <v>153.97</v>
      </c>
      <c r="K7" s="14" t="s">
        <v>19</v>
      </c>
      <c r="L7" s="12">
        <v>53.6</v>
      </c>
      <c r="M7" s="12">
        <v>36.39</v>
      </c>
      <c r="N7" s="12">
        <v>154.47</v>
      </c>
      <c r="O7" s="12">
        <v>154.28</v>
      </c>
      <c r="P7" s="12" t="s">
        <v>17</v>
      </c>
      <c r="Q7" s="14" t="s">
        <v>23</v>
      </c>
      <c r="R7" s="6"/>
      <c r="S7" s="6"/>
      <c r="T7" s="6"/>
      <c r="U7" s="6"/>
      <c r="V7" s="6"/>
    </row>
    <row r="8">
      <c r="A8" s="15">
        <v>46199.40903925926</v>
      </c>
      <c r="B8" s="8" t="str">
        <f t="shared" si="1"/>
        <v>224781</v>
      </c>
      <c r="C8" s="10" t="s">
        <v>27</v>
      </c>
      <c r="D8" s="10" t="s">
        <v>17</v>
      </c>
      <c r="E8" s="16">
        <v>0.5</v>
      </c>
      <c r="F8" s="12" t="s">
        <v>18</v>
      </c>
      <c r="G8" s="12">
        <v>52.68</v>
      </c>
      <c r="H8" s="12">
        <v>42.5</v>
      </c>
      <c r="I8" s="12">
        <v>155.8</v>
      </c>
      <c r="J8" s="12">
        <v>155.8</v>
      </c>
      <c r="K8" s="13" t="s">
        <v>19</v>
      </c>
      <c r="L8" s="12">
        <v>52.62</v>
      </c>
      <c r="M8" s="12">
        <v>42.78</v>
      </c>
      <c r="N8" s="12">
        <v>155.79</v>
      </c>
      <c r="O8" s="12">
        <v>155.29</v>
      </c>
      <c r="P8" s="12" t="s">
        <v>17</v>
      </c>
      <c r="Q8" s="13" t="s">
        <v>23</v>
      </c>
      <c r="R8" s="6"/>
      <c r="S8" s="6"/>
      <c r="T8" s="6"/>
      <c r="U8" s="6"/>
      <c r="V8" s="6"/>
    </row>
    <row r="9" ht="18.0" customHeight="1">
      <c r="A9" s="15">
        <v>46199.45315758102</v>
      </c>
      <c r="B9" s="8" t="str">
        <f t="shared" si="1"/>
        <v>149862</v>
      </c>
      <c r="C9" s="10" t="s">
        <v>28</v>
      </c>
      <c r="D9" s="10" t="s">
        <v>17</v>
      </c>
      <c r="E9" s="11">
        <v>0.073</v>
      </c>
      <c r="F9" s="12" t="s">
        <v>18</v>
      </c>
      <c r="G9" s="12">
        <v>46.31</v>
      </c>
      <c r="H9" s="12">
        <v>35.38</v>
      </c>
      <c r="I9" s="12">
        <v>136.0</v>
      </c>
      <c r="J9" s="12">
        <v>136.03</v>
      </c>
      <c r="K9" s="14" t="s">
        <v>19</v>
      </c>
      <c r="L9" s="12">
        <v>46.38</v>
      </c>
      <c r="M9" s="12">
        <v>35.62</v>
      </c>
      <c r="N9" s="12">
        <v>136.61</v>
      </c>
      <c r="O9" s="12">
        <v>136.67</v>
      </c>
      <c r="P9" s="12" t="s">
        <v>17</v>
      </c>
      <c r="Q9" s="14" t="s">
        <v>23</v>
      </c>
      <c r="R9" s="6"/>
      <c r="S9" s="6"/>
      <c r="T9" s="6"/>
      <c r="U9" s="6"/>
      <c r="V9" s="6"/>
    </row>
    <row r="10">
      <c r="A10" s="15">
        <v>46199.45701642361</v>
      </c>
      <c r="B10" s="8" t="str">
        <f t="shared" si="1"/>
        <v>204342</v>
      </c>
      <c r="C10" s="10" t="s">
        <v>29</v>
      </c>
      <c r="D10" s="10" t="s">
        <v>17</v>
      </c>
      <c r="E10" s="11">
        <v>0.115</v>
      </c>
      <c r="F10" s="12" t="s">
        <v>18</v>
      </c>
      <c r="G10" s="12">
        <v>46.52</v>
      </c>
      <c r="H10" s="12">
        <v>39.07</v>
      </c>
      <c r="I10" s="12">
        <v>137.64</v>
      </c>
      <c r="J10" s="12">
        <v>137.68</v>
      </c>
      <c r="K10" s="13" t="s">
        <v>19</v>
      </c>
      <c r="L10" s="12">
        <v>46.13</v>
      </c>
      <c r="M10" s="12">
        <v>39.18</v>
      </c>
      <c r="N10" s="12">
        <v>137.06</v>
      </c>
      <c r="O10" s="12">
        <v>137.12</v>
      </c>
      <c r="P10" s="12" t="s">
        <v>17</v>
      </c>
      <c r="Q10" s="13" t="s">
        <v>23</v>
      </c>
      <c r="R10" s="6"/>
      <c r="S10" s="6"/>
      <c r="T10" s="6"/>
      <c r="U10" s="6"/>
      <c r="V10" s="6"/>
    </row>
    <row r="11">
      <c r="A11" s="15">
        <v>46199.46378451389</v>
      </c>
      <c r="B11" s="8" t="str">
        <f t="shared" si="1"/>
        <v>242242</v>
      </c>
      <c r="C11" s="10" t="s">
        <v>30</v>
      </c>
      <c r="D11" s="10" t="s">
        <v>17</v>
      </c>
      <c r="E11" s="11">
        <v>0.012</v>
      </c>
      <c r="F11" s="12" t="s">
        <v>18</v>
      </c>
      <c r="G11" s="12">
        <v>53.4</v>
      </c>
      <c r="H11" s="12">
        <v>38.49</v>
      </c>
      <c r="I11" s="12">
        <v>150.42</v>
      </c>
      <c r="J11" s="12">
        <v>150.42</v>
      </c>
      <c r="K11" s="14" t="s">
        <v>19</v>
      </c>
      <c r="L11" s="12">
        <v>53.32</v>
      </c>
      <c r="M11" s="12">
        <v>38.51</v>
      </c>
      <c r="N11" s="12">
        <v>150.86</v>
      </c>
      <c r="O11" s="12">
        <v>150.73</v>
      </c>
      <c r="P11" s="12" t="s">
        <v>17</v>
      </c>
      <c r="Q11" s="14" t="s">
        <v>23</v>
      </c>
      <c r="R11" s="6"/>
      <c r="S11" s="6"/>
      <c r="T11" s="6"/>
      <c r="U11" s="6"/>
      <c r="V11" s="6"/>
    </row>
    <row r="12">
      <c r="A12" s="15">
        <v>46199.46606476852</v>
      </c>
      <c r="B12" s="8" t="str">
        <f t="shared" si="1"/>
        <v>#REF!</v>
      </c>
      <c r="C12" s="9" t="str">
        <f>#REF!&amp;"."&amp;#REF!</f>
        <v>#REF!</v>
      </c>
      <c r="D12" s="10" t="s">
        <v>17</v>
      </c>
      <c r="E12" s="11">
        <v>0.2</v>
      </c>
      <c r="F12" s="12" t="s">
        <v>18</v>
      </c>
      <c r="G12" s="12">
        <v>52.62</v>
      </c>
      <c r="H12" s="12">
        <v>37.76</v>
      </c>
      <c r="I12" s="12">
        <v>145.67</v>
      </c>
      <c r="J12" s="12">
        <v>145.78</v>
      </c>
      <c r="K12" s="13" t="s">
        <v>19</v>
      </c>
      <c r="L12" s="12">
        <v>52.41</v>
      </c>
      <c r="M12" s="12">
        <v>37.61</v>
      </c>
      <c r="N12" s="12">
        <v>145.43</v>
      </c>
      <c r="O12" s="12">
        <v>144.84</v>
      </c>
      <c r="P12" s="12" t="s">
        <v>17</v>
      </c>
      <c r="Q12" s="13" t="s">
        <v>23</v>
      </c>
      <c r="R12" s="6"/>
      <c r="S12" s="6"/>
      <c r="T12" s="6"/>
      <c r="U12" s="6"/>
      <c r="V12" s="6"/>
    </row>
    <row r="13">
      <c r="A13" s="15">
        <v>46199.538599907406</v>
      </c>
      <c r="B13" s="8" t="str">
        <f t="shared" si="1"/>
        <v>219829</v>
      </c>
      <c r="C13" s="10" t="s">
        <v>31</v>
      </c>
      <c r="D13" s="10" t="s">
        <v>32</v>
      </c>
      <c r="E13" s="11">
        <v>0.065</v>
      </c>
      <c r="F13" s="12" t="s">
        <v>18</v>
      </c>
      <c r="G13" s="12">
        <v>54.48</v>
      </c>
      <c r="H13" s="12">
        <v>41.95</v>
      </c>
      <c r="I13" s="12">
        <v>161.8</v>
      </c>
      <c r="J13" s="12">
        <v>161.88</v>
      </c>
      <c r="K13" s="14" t="s">
        <v>19</v>
      </c>
      <c r="L13" s="12">
        <v>54.33</v>
      </c>
      <c r="M13" s="12">
        <v>41.86</v>
      </c>
      <c r="N13" s="12">
        <v>161.52</v>
      </c>
      <c r="O13" s="12">
        <v>161.52</v>
      </c>
      <c r="P13" s="12" t="s">
        <v>32</v>
      </c>
      <c r="Q13" s="14" t="s">
        <v>23</v>
      </c>
      <c r="R13" s="6"/>
      <c r="S13" s="6"/>
      <c r="T13" s="6"/>
      <c r="U13" s="6"/>
      <c r="V13" s="6"/>
    </row>
    <row r="14">
      <c r="A14" s="15">
        <v>46202.65619196759</v>
      </c>
      <c r="B14" s="8" t="str">
        <f t="shared" si="1"/>
        <v>241185</v>
      </c>
      <c r="C14" s="10" t="s">
        <v>33</v>
      </c>
      <c r="D14" s="10" t="s">
        <v>17</v>
      </c>
      <c r="E14" s="11">
        <v>0.013</v>
      </c>
      <c r="F14" s="12" t="s">
        <v>18</v>
      </c>
      <c r="G14" s="12">
        <v>50.03</v>
      </c>
      <c r="H14" s="12">
        <v>38.96</v>
      </c>
      <c r="I14" s="12">
        <v>148.3</v>
      </c>
      <c r="J14" s="12">
        <v>148.24</v>
      </c>
      <c r="K14" s="13" t="s">
        <v>19</v>
      </c>
      <c r="L14" s="12">
        <v>50.05</v>
      </c>
      <c r="M14" s="12">
        <v>39.18</v>
      </c>
      <c r="N14" s="12">
        <v>148.59</v>
      </c>
      <c r="O14" s="12">
        <v>148.42</v>
      </c>
      <c r="P14" s="12" t="s">
        <v>17</v>
      </c>
      <c r="Q14" s="13" t="s">
        <v>20</v>
      </c>
      <c r="R14" s="6"/>
      <c r="S14" s="6"/>
      <c r="T14" s="6"/>
      <c r="U14" s="6"/>
      <c r="V14" s="6"/>
    </row>
    <row r="15">
      <c r="A15" s="15">
        <v>46203.64164162037</v>
      </c>
      <c r="B15" s="8" t="str">
        <f t="shared" si="1"/>
        <v>134949</v>
      </c>
      <c r="C15" s="10" t="s">
        <v>34</v>
      </c>
      <c r="D15" s="10" t="s">
        <v>17</v>
      </c>
      <c r="E15" s="9"/>
      <c r="F15" s="12" t="s">
        <v>35</v>
      </c>
      <c r="G15" s="12">
        <v>56.15</v>
      </c>
      <c r="H15" s="12">
        <v>45.43</v>
      </c>
      <c r="I15" s="12">
        <v>169.6</v>
      </c>
      <c r="J15" s="12">
        <v>169.6</v>
      </c>
      <c r="K15" s="14" t="s">
        <v>19</v>
      </c>
      <c r="L15" s="12">
        <v>56.59</v>
      </c>
      <c r="M15" s="12">
        <v>45.5</v>
      </c>
      <c r="N15" s="12">
        <v>170.54</v>
      </c>
      <c r="O15" s="12">
        <v>170.54</v>
      </c>
      <c r="P15" s="12" t="s">
        <v>17</v>
      </c>
      <c r="Q15" s="14" t="s">
        <v>20</v>
      </c>
      <c r="R15" s="6"/>
      <c r="S15" s="6"/>
      <c r="T15" s="6"/>
      <c r="U15" s="6"/>
      <c r="V15" s="6"/>
    </row>
    <row r="16">
      <c r="A16" s="15">
        <v>46203.72360075232</v>
      </c>
      <c r="B16" s="8" t="str">
        <f t="shared" si="1"/>
        <v>134949</v>
      </c>
      <c r="C16" s="10" t="s">
        <v>36</v>
      </c>
      <c r="D16" s="10" t="s">
        <v>17</v>
      </c>
      <c r="E16" s="9"/>
      <c r="F16" s="12" t="s">
        <v>35</v>
      </c>
      <c r="G16" s="12">
        <v>55.94</v>
      </c>
      <c r="H16" s="12">
        <v>45.62</v>
      </c>
      <c r="I16" s="12">
        <v>169.42</v>
      </c>
      <c r="J16" s="12">
        <v>169.42</v>
      </c>
      <c r="K16" s="13" t="s">
        <v>19</v>
      </c>
      <c r="L16" s="12">
        <v>56.29</v>
      </c>
      <c r="M16" s="12">
        <v>45.89</v>
      </c>
      <c r="N16" s="12">
        <v>170.56</v>
      </c>
      <c r="O16" s="12">
        <v>170.56</v>
      </c>
      <c r="P16" s="12" t="s">
        <v>17</v>
      </c>
      <c r="Q16" s="13" t="s">
        <v>20</v>
      </c>
      <c r="R16" s="6"/>
      <c r="S16" s="6"/>
      <c r="T16" s="6"/>
      <c r="U16" s="6"/>
      <c r="V16" s="6"/>
    </row>
    <row r="17">
      <c r="A17" s="15">
        <v>46207.2913975463</v>
      </c>
      <c r="B17" s="8" t="str">
        <f t="shared" si="1"/>
        <v>146619</v>
      </c>
      <c r="C17" s="10" t="s">
        <v>37</v>
      </c>
      <c r="D17" s="10" t="s">
        <v>17</v>
      </c>
      <c r="E17" s="9"/>
      <c r="F17" s="12" t="s">
        <v>18</v>
      </c>
      <c r="G17" s="12">
        <v>49.3</v>
      </c>
      <c r="H17" s="12">
        <v>43.97</v>
      </c>
      <c r="I17" s="12">
        <v>152.0</v>
      </c>
      <c r="J17" s="12">
        <v>147.27</v>
      </c>
      <c r="K17" s="12" t="s">
        <v>19</v>
      </c>
      <c r="L17" s="12">
        <v>49.29</v>
      </c>
      <c r="M17" s="12">
        <v>43.7</v>
      </c>
      <c r="N17" s="12">
        <v>151.98</v>
      </c>
      <c r="O17" s="12">
        <v>151.99</v>
      </c>
      <c r="P17" s="12" t="s">
        <v>17</v>
      </c>
      <c r="Q17" s="12" t="s">
        <v>20</v>
      </c>
      <c r="R17" s="17"/>
      <c r="S17" s="6"/>
      <c r="T17" s="6"/>
      <c r="U17" s="6"/>
      <c r="V17" s="6"/>
    </row>
    <row r="18">
      <c r="A18" s="15">
        <v>46207.43227240741</v>
      </c>
      <c r="B18" s="8" t="str">
        <f t="shared" si="1"/>
        <v>242763</v>
      </c>
      <c r="C18" s="10" t="s">
        <v>38</v>
      </c>
      <c r="D18" s="10" t="s">
        <v>17</v>
      </c>
      <c r="E18" s="9"/>
      <c r="F18" s="12" t="s">
        <v>18</v>
      </c>
      <c r="G18" s="12">
        <v>49.84</v>
      </c>
      <c r="H18" s="12">
        <v>39.2</v>
      </c>
      <c r="I18" s="12">
        <v>148.23</v>
      </c>
      <c r="J18" s="12">
        <v>148.22</v>
      </c>
      <c r="K18" s="12" t="s">
        <v>19</v>
      </c>
      <c r="L18" s="12">
        <v>50.09</v>
      </c>
      <c r="M18" s="12">
        <v>39.41</v>
      </c>
      <c r="N18" s="12">
        <v>148.98</v>
      </c>
      <c r="O18" s="12">
        <v>148.68</v>
      </c>
      <c r="P18" s="12" t="s">
        <v>17</v>
      </c>
      <c r="Q18" s="12" t="s">
        <v>20</v>
      </c>
      <c r="R18" s="6"/>
      <c r="S18" s="6"/>
      <c r="T18" s="6"/>
      <c r="U18" s="6"/>
      <c r="V18" s="6"/>
    </row>
    <row r="19">
      <c r="A19" s="15">
        <v>46210.77441856482</v>
      </c>
      <c r="B19" s="8" t="str">
        <f t="shared" si="1"/>
        <v>207481</v>
      </c>
      <c r="C19" s="10" t="s">
        <v>39</v>
      </c>
      <c r="D19" s="10" t="s">
        <v>17</v>
      </c>
      <c r="E19" s="9"/>
      <c r="F19" s="12" t="s">
        <v>18</v>
      </c>
      <c r="G19" s="12">
        <v>50.84</v>
      </c>
      <c r="H19" s="12">
        <v>42.86</v>
      </c>
      <c r="I19" s="12">
        <v>153.97</v>
      </c>
      <c r="J19" s="12">
        <v>153.66</v>
      </c>
      <c r="K19" s="12" t="s">
        <v>19</v>
      </c>
      <c r="L19" s="12">
        <v>51.5</v>
      </c>
      <c r="M19" s="12">
        <v>42.81</v>
      </c>
      <c r="N19" s="12">
        <v>155.12</v>
      </c>
      <c r="O19" s="12">
        <v>154.28</v>
      </c>
      <c r="P19" s="12" t="s">
        <v>17</v>
      </c>
      <c r="Q19" s="12" t="s">
        <v>20</v>
      </c>
      <c r="R19" s="6"/>
      <c r="S19" s="6"/>
      <c r="T19" s="6"/>
      <c r="U19" s="6"/>
      <c r="V19" s="6"/>
    </row>
    <row r="20">
      <c r="A20" s="15">
        <v>46210.775745810184</v>
      </c>
      <c r="B20" s="8" t="str">
        <f t="shared" si="1"/>
        <v>238613</v>
      </c>
      <c r="C20" s="10" t="s">
        <v>40</v>
      </c>
      <c r="D20" s="10" t="s">
        <v>17</v>
      </c>
      <c r="E20" s="9"/>
      <c r="F20" s="12" t="s">
        <v>18</v>
      </c>
      <c r="G20" s="12">
        <v>50.58</v>
      </c>
      <c r="H20" s="12">
        <v>42.87</v>
      </c>
      <c r="I20" s="12">
        <v>152.23</v>
      </c>
      <c r="J20" s="12">
        <v>152.27</v>
      </c>
      <c r="K20" s="12" t="s">
        <v>19</v>
      </c>
      <c r="L20" s="12">
        <v>49.7</v>
      </c>
      <c r="M20" s="12">
        <v>42.49</v>
      </c>
      <c r="N20" s="12">
        <v>150.4</v>
      </c>
      <c r="O20" s="12">
        <v>150.33</v>
      </c>
      <c r="P20" s="12" t="s">
        <v>17</v>
      </c>
      <c r="Q20" s="12" t="s">
        <v>20</v>
      </c>
      <c r="R20" s="6"/>
      <c r="S20" s="6"/>
      <c r="T20" s="6"/>
      <c r="U20" s="6"/>
      <c r="V20" s="6"/>
    </row>
    <row r="21">
      <c r="A21" s="18">
        <v>46241.0</v>
      </c>
      <c r="B21" s="8" t="str">
        <f t="shared" si="1"/>
        <v>234800</v>
      </c>
      <c r="C21" s="10" t="s">
        <v>41</v>
      </c>
      <c r="D21" s="10" t="s">
        <v>17</v>
      </c>
      <c r="E21" s="9"/>
      <c r="F21" s="12" t="s">
        <v>18</v>
      </c>
      <c r="G21" s="12">
        <v>47.1</v>
      </c>
      <c r="H21" s="12">
        <v>41.49</v>
      </c>
      <c r="I21" s="12">
        <v>144.13</v>
      </c>
      <c r="J21" s="12">
        <v>144.13</v>
      </c>
      <c r="K21" s="12" t="s">
        <v>19</v>
      </c>
      <c r="L21" s="12">
        <v>48.69</v>
      </c>
      <c r="M21" s="12">
        <v>42.23</v>
      </c>
      <c r="N21" s="12">
        <v>147.41</v>
      </c>
      <c r="O21" s="12">
        <v>146.47</v>
      </c>
      <c r="P21" s="12" t="s">
        <v>17</v>
      </c>
      <c r="Q21" s="12" t="s">
        <v>42</v>
      </c>
      <c r="R21" s="6"/>
      <c r="S21" s="6"/>
      <c r="T21" s="6"/>
      <c r="U21" s="6"/>
      <c r="V21" s="6"/>
    </row>
    <row r="22">
      <c r="A22" s="15">
        <v>46212.78063395833</v>
      </c>
      <c r="B22" s="8" t="str">
        <f t="shared" si="1"/>
        <v>241132</v>
      </c>
      <c r="C22" s="10">
        <v>241132.0</v>
      </c>
      <c r="D22" s="10" t="s">
        <v>17</v>
      </c>
      <c r="E22" s="9"/>
      <c r="F22" s="12" t="s">
        <v>18</v>
      </c>
      <c r="G22" s="12">
        <v>55.88</v>
      </c>
      <c r="H22" s="12">
        <v>46.66</v>
      </c>
      <c r="I22" s="12">
        <v>169.75</v>
      </c>
      <c r="J22" s="12">
        <v>169.62</v>
      </c>
      <c r="K22" s="12" t="s">
        <v>19</v>
      </c>
      <c r="L22" s="12">
        <v>56.44</v>
      </c>
      <c r="M22" s="12">
        <v>46.8</v>
      </c>
      <c r="N22" s="12">
        <v>171.27</v>
      </c>
      <c r="O22" s="12">
        <v>170.83</v>
      </c>
      <c r="P22" s="12" t="s">
        <v>17</v>
      </c>
      <c r="Q22" s="12" t="s">
        <v>20</v>
      </c>
      <c r="R22" s="6"/>
      <c r="S22" s="6"/>
      <c r="T22" s="6"/>
      <c r="U22" s="6"/>
      <c r="V22" s="6"/>
    </row>
    <row r="23">
      <c r="A23" s="15">
        <v>46214.76857300926</v>
      </c>
      <c r="B23" s="8" t="str">
        <f t="shared" si="1"/>
        <v>207481</v>
      </c>
      <c r="C23" s="10" t="s">
        <v>43</v>
      </c>
      <c r="D23" s="10" t="s">
        <v>17</v>
      </c>
      <c r="E23" s="9"/>
      <c r="F23" s="12" t="s">
        <v>18</v>
      </c>
      <c r="G23" s="12">
        <v>50.61</v>
      </c>
      <c r="H23" s="12">
        <v>42.89</v>
      </c>
      <c r="I23" s="12">
        <v>153.59</v>
      </c>
      <c r="J23" s="12">
        <v>153.93</v>
      </c>
      <c r="K23" s="12" t="s">
        <v>19</v>
      </c>
      <c r="L23" s="12">
        <v>50.78</v>
      </c>
      <c r="M23" s="12">
        <v>43.07</v>
      </c>
      <c r="N23" s="12">
        <v>153.87</v>
      </c>
      <c r="O23" s="12">
        <v>153.75</v>
      </c>
      <c r="P23" s="12" t="s">
        <v>17</v>
      </c>
      <c r="Q23" s="12" t="s">
        <v>20</v>
      </c>
      <c r="R23" s="6"/>
      <c r="S23" s="6"/>
      <c r="T23" s="6"/>
      <c r="U23" s="6"/>
      <c r="V23" s="6"/>
    </row>
    <row r="24">
      <c r="A24" s="15">
        <v>46214.77002627315</v>
      </c>
      <c r="B24" s="8" t="str">
        <f t="shared" si="1"/>
        <v>149861</v>
      </c>
      <c r="C24" s="10" t="s">
        <v>44</v>
      </c>
      <c r="D24" s="10" t="s">
        <v>17</v>
      </c>
      <c r="E24" s="9"/>
      <c r="F24" s="12" t="s">
        <v>18</v>
      </c>
      <c r="G24" s="12">
        <v>44.26</v>
      </c>
      <c r="H24" s="12">
        <v>36.87</v>
      </c>
      <c r="I24" s="12">
        <v>131.02</v>
      </c>
      <c r="J24" s="12">
        <v>130.39</v>
      </c>
      <c r="K24" s="12" t="s">
        <v>19</v>
      </c>
      <c r="L24" s="12">
        <v>44.4</v>
      </c>
      <c r="M24" s="12">
        <v>37.1</v>
      </c>
      <c r="N24" s="12">
        <v>131.52</v>
      </c>
      <c r="O24" s="12">
        <v>131.57</v>
      </c>
      <c r="P24" s="12" t="s">
        <v>17</v>
      </c>
      <c r="Q24" s="12" t="s">
        <v>20</v>
      </c>
      <c r="R24" s="6"/>
      <c r="S24" s="6"/>
      <c r="T24" s="6"/>
      <c r="U24" s="6"/>
      <c r="V24" s="6"/>
    </row>
    <row r="25">
      <c r="A25" s="15">
        <v>46214.787554525465</v>
      </c>
      <c r="B25" s="8" t="str">
        <f t="shared" si="1"/>
        <v>234796</v>
      </c>
      <c r="C25" s="10">
        <v>234796.0</v>
      </c>
      <c r="D25" s="10" t="s">
        <v>32</v>
      </c>
      <c r="E25" s="9"/>
      <c r="F25" s="12" t="s">
        <v>18</v>
      </c>
      <c r="G25" s="12">
        <v>50.22</v>
      </c>
      <c r="H25" s="12">
        <v>46.92</v>
      </c>
      <c r="I25" s="12">
        <v>158.2</v>
      </c>
      <c r="J25" s="12">
        <v>158.2</v>
      </c>
      <c r="K25" s="12" t="s">
        <v>19</v>
      </c>
      <c r="L25" s="12">
        <v>49.12</v>
      </c>
      <c r="M25" s="12">
        <v>43.7</v>
      </c>
      <c r="N25" s="12">
        <v>151.74</v>
      </c>
      <c r="O25" s="12">
        <v>151.86</v>
      </c>
      <c r="P25" s="12" t="s">
        <v>32</v>
      </c>
      <c r="Q25" s="12" t="s">
        <v>20</v>
      </c>
      <c r="R25" s="6"/>
      <c r="S25" s="6"/>
      <c r="T25" s="6"/>
      <c r="U25" s="6"/>
      <c r="V25" s="6"/>
    </row>
    <row r="26">
      <c r="A26" s="15">
        <v>46214.91128680555</v>
      </c>
      <c r="B26" s="8" t="str">
        <f t="shared" si="1"/>
        <v>241097</v>
      </c>
      <c r="C26" s="10" t="s">
        <v>45</v>
      </c>
      <c r="D26" s="10" t="s">
        <v>32</v>
      </c>
      <c r="E26" s="9"/>
      <c r="F26" s="12" t="s">
        <v>18</v>
      </c>
      <c r="G26" s="12">
        <v>53.5</v>
      </c>
      <c r="H26" s="12">
        <v>41.89</v>
      </c>
      <c r="I26" s="12">
        <v>157.19</v>
      </c>
      <c r="J26" s="12">
        <v>156.95</v>
      </c>
      <c r="K26" s="12" t="s">
        <v>19</v>
      </c>
      <c r="L26" s="12">
        <v>53.29</v>
      </c>
      <c r="M26" s="12">
        <v>41.5</v>
      </c>
      <c r="N26" s="12">
        <v>156.17</v>
      </c>
      <c r="O26" s="12">
        <v>155.84</v>
      </c>
      <c r="P26" s="12" t="s">
        <v>32</v>
      </c>
      <c r="Q26" s="12" t="s">
        <v>20</v>
      </c>
      <c r="R26" s="6"/>
      <c r="S26" s="6"/>
      <c r="T26" s="6"/>
      <c r="U26" s="6"/>
      <c r="V26" s="6"/>
    </row>
    <row r="27">
      <c r="A27" s="15">
        <v>46214.927434756944</v>
      </c>
      <c r="B27" s="8" t="str">
        <f t="shared" si="1"/>
        <v>220376</v>
      </c>
      <c r="C27" s="10">
        <v>220376.0</v>
      </c>
      <c r="D27" s="10" t="s">
        <v>22</v>
      </c>
      <c r="E27" s="9"/>
      <c r="F27" s="12" t="s">
        <v>18</v>
      </c>
      <c r="G27" s="12">
        <v>54.93</v>
      </c>
      <c r="H27" s="12">
        <v>49.26</v>
      </c>
      <c r="I27" s="12">
        <v>169.96</v>
      </c>
      <c r="J27" s="12">
        <v>170.19</v>
      </c>
      <c r="K27" s="12" t="s">
        <v>19</v>
      </c>
      <c r="L27" s="12">
        <v>54.93</v>
      </c>
      <c r="M27" s="12">
        <v>49.26</v>
      </c>
      <c r="N27" s="12">
        <v>169.96</v>
      </c>
      <c r="O27" s="12">
        <v>170.19</v>
      </c>
      <c r="P27" s="12" t="s">
        <v>22</v>
      </c>
      <c r="Q27" s="12" t="s">
        <v>20</v>
      </c>
      <c r="R27" s="6"/>
      <c r="S27" s="6"/>
      <c r="T27" s="6"/>
      <c r="U27" s="6"/>
      <c r="V27" s="6"/>
    </row>
    <row r="28">
      <c r="A28" s="12" t="s">
        <v>46</v>
      </c>
      <c r="B28" s="8" t="str">
        <f t="shared" si="1"/>
        <v>234796</v>
      </c>
      <c r="C28" s="10" t="s">
        <v>47</v>
      </c>
      <c r="D28" s="10" t="s">
        <v>32</v>
      </c>
      <c r="E28" s="9"/>
      <c r="F28" s="12" t="s">
        <v>18</v>
      </c>
      <c r="G28" s="12">
        <v>50.15</v>
      </c>
      <c r="H28" s="12">
        <v>46.93</v>
      </c>
      <c r="I28" s="12">
        <v>158.2</v>
      </c>
      <c r="J28" s="12">
        <v>158.14</v>
      </c>
      <c r="K28" s="12" t="s">
        <v>19</v>
      </c>
      <c r="L28" s="12">
        <v>48.79</v>
      </c>
      <c r="M28" s="12">
        <v>43.6</v>
      </c>
      <c r="N28" s="12">
        <v>151.49</v>
      </c>
      <c r="O28" s="12">
        <v>151.49</v>
      </c>
      <c r="P28" s="12" t="s">
        <v>32</v>
      </c>
      <c r="Q28" s="12" t="s">
        <v>42</v>
      </c>
      <c r="R28" s="6"/>
      <c r="S28" s="6"/>
      <c r="T28" s="6"/>
      <c r="U28" s="6"/>
      <c r="V28" s="6"/>
    </row>
    <row r="29">
      <c r="A29" s="15">
        <v>46217.7543496875</v>
      </c>
      <c r="B29" s="8" t="str">
        <f t="shared" si="1"/>
        <v>207671</v>
      </c>
      <c r="C29" s="10">
        <v>207671.0</v>
      </c>
      <c r="D29" s="10" t="s">
        <v>32</v>
      </c>
      <c r="E29" s="9"/>
      <c r="F29" s="12" t="s">
        <v>18</v>
      </c>
      <c r="G29" s="12">
        <v>52.13</v>
      </c>
      <c r="H29" s="12">
        <v>42.76</v>
      </c>
      <c r="I29" s="12">
        <v>155.98</v>
      </c>
      <c r="J29" s="12">
        <v>153.59</v>
      </c>
      <c r="K29" s="12" t="s">
        <v>19</v>
      </c>
      <c r="L29" s="12">
        <v>50.81</v>
      </c>
      <c r="M29" s="12">
        <v>42.89</v>
      </c>
      <c r="N29" s="12">
        <v>153.64</v>
      </c>
      <c r="O29" s="12">
        <v>153.75</v>
      </c>
      <c r="P29" s="12" t="s">
        <v>32</v>
      </c>
      <c r="Q29" s="12" t="s">
        <v>42</v>
      </c>
      <c r="R29" s="6"/>
      <c r="S29" s="6"/>
      <c r="T29" s="6"/>
      <c r="U29" s="6"/>
      <c r="V29" s="6"/>
    </row>
    <row r="30">
      <c r="A30" s="15">
        <v>46217.868927303236</v>
      </c>
      <c r="B30" s="8" t="str">
        <f t="shared" si="1"/>
        <v>228997</v>
      </c>
      <c r="C30" s="10" t="s">
        <v>48</v>
      </c>
      <c r="D30" s="10" t="s">
        <v>22</v>
      </c>
      <c r="E30" s="9"/>
      <c r="F30" s="12" t="s">
        <v>18</v>
      </c>
      <c r="G30" s="12">
        <v>52.73</v>
      </c>
      <c r="H30" s="12">
        <v>36.4</v>
      </c>
      <c r="I30" s="12">
        <v>151.68</v>
      </c>
      <c r="J30" s="12">
        <v>151.52</v>
      </c>
      <c r="K30" s="12" t="s">
        <v>19</v>
      </c>
      <c r="L30" s="12">
        <v>52.73</v>
      </c>
      <c r="M30" s="12">
        <v>36.42</v>
      </c>
      <c r="N30" s="12">
        <v>151.74</v>
      </c>
      <c r="O30" s="12">
        <v>151.74</v>
      </c>
      <c r="P30" s="12" t="s">
        <v>22</v>
      </c>
      <c r="Q30" s="12" t="s">
        <v>20</v>
      </c>
      <c r="R30" s="6"/>
      <c r="S30" s="6"/>
      <c r="T30" s="6"/>
      <c r="U30" s="6"/>
      <c r="V30" s="6"/>
    </row>
    <row r="31">
      <c r="A31" s="15">
        <v>46217.87176731481</v>
      </c>
      <c r="B31" s="8" t="str">
        <f t="shared" si="1"/>
        <v>206728</v>
      </c>
      <c r="C31" s="10" t="s">
        <v>49</v>
      </c>
      <c r="D31" s="10" t="s">
        <v>22</v>
      </c>
      <c r="E31" s="9"/>
      <c r="F31" s="12" t="s">
        <v>18</v>
      </c>
      <c r="G31" s="12">
        <v>50.78</v>
      </c>
      <c r="H31" s="12">
        <v>34.55</v>
      </c>
      <c r="I31" s="12">
        <v>146.94</v>
      </c>
      <c r="J31" s="12">
        <v>146.97</v>
      </c>
      <c r="K31" s="12" t="s">
        <v>19</v>
      </c>
      <c r="L31" s="12">
        <v>50.66</v>
      </c>
      <c r="M31" s="12">
        <v>34.74</v>
      </c>
      <c r="N31" s="12">
        <v>146.27</v>
      </c>
      <c r="O31" s="12">
        <v>146.27</v>
      </c>
      <c r="P31" s="12" t="s">
        <v>22</v>
      </c>
      <c r="Q31" s="12" t="s">
        <v>20</v>
      </c>
      <c r="R31" s="6"/>
      <c r="S31" s="6"/>
      <c r="T31" s="6"/>
      <c r="U31" s="6"/>
      <c r="V31" s="6"/>
    </row>
    <row r="32">
      <c r="A32" s="15">
        <v>46218.65771675926</v>
      </c>
      <c r="B32" s="8" t="str">
        <f t="shared" si="1"/>
        <v>243247</v>
      </c>
      <c r="C32" s="10" t="s">
        <v>50</v>
      </c>
      <c r="D32" s="10" t="s">
        <v>22</v>
      </c>
      <c r="E32" s="9"/>
      <c r="F32" s="12" t="s">
        <v>18</v>
      </c>
      <c r="G32" s="12">
        <v>53.99</v>
      </c>
      <c r="H32" s="12">
        <v>41.37</v>
      </c>
      <c r="I32" s="12">
        <v>154.02</v>
      </c>
      <c r="J32" s="12">
        <v>154.59</v>
      </c>
      <c r="K32" s="12" t="s">
        <v>19</v>
      </c>
      <c r="L32" s="12">
        <v>54.06</v>
      </c>
      <c r="M32" s="12">
        <v>40.97</v>
      </c>
      <c r="N32" s="12">
        <v>153.47</v>
      </c>
      <c r="O32" s="12">
        <v>154.32</v>
      </c>
      <c r="P32" s="12" t="s">
        <v>22</v>
      </c>
      <c r="Q32" s="12" t="s">
        <v>42</v>
      </c>
      <c r="R32" s="6"/>
      <c r="S32" s="6"/>
      <c r="T32" s="6"/>
      <c r="U32" s="6"/>
      <c r="V32" s="6"/>
    </row>
    <row r="33">
      <c r="A33" s="15">
        <v>46218.67250887732</v>
      </c>
      <c r="B33" s="8" t="str">
        <f t="shared" si="1"/>
        <v>222575</v>
      </c>
      <c r="C33" s="10" t="s">
        <v>51</v>
      </c>
      <c r="D33" s="10" t="s">
        <v>32</v>
      </c>
      <c r="E33" s="9"/>
      <c r="F33" s="12" t="s">
        <v>18</v>
      </c>
      <c r="G33" s="12">
        <v>53.4</v>
      </c>
      <c r="H33" s="12">
        <v>43.26</v>
      </c>
      <c r="I33" s="12">
        <v>159.7</v>
      </c>
      <c r="J33" s="12">
        <v>159.7</v>
      </c>
      <c r="K33" s="12" t="s">
        <v>19</v>
      </c>
      <c r="L33" s="12">
        <v>53.42</v>
      </c>
      <c r="M33" s="12">
        <v>42.82</v>
      </c>
      <c r="N33" s="12">
        <v>158.75</v>
      </c>
      <c r="O33" s="12">
        <v>158.56</v>
      </c>
      <c r="P33" s="12" t="s">
        <v>32</v>
      </c>
      <c r="Q33" s="12" t="s">
        <v>42</v>
      </c>
      <c r="R33" s="6"/>
      <c r="S33" s="6"/>
      <c r="T33" s="6"/>
      <c r="U33" s="6"/>
      <c r="V33" s="6"/>
    </row>
    <row r="34">
      <c r="A34" s="15">
        <v>46218.735665775464</v>
      </c>
      <c r="B34" s="8" t="str">
        <f t="shared" si="1"/>
        <v>206126</v>
      </c>
      <c r="C34" s="10" t="s">
        <v>52</v>
      </c>
      <c r="D34" s="10" t="s">
        <v>32</v>
      </c>
      <c r="E34" s="9"/>
      <c r="F34" s="12" t="s">
        <v>18</v>
      </c>
      <c r="G34" s="12">
        <v>52.91</v>
      </c>
      <c r="H34" s="12">
        <v>42.04</v>
      </c>
      <c r="I34" s="12">
        <v>157.86</v>
      </c>
      <c r="J34" s="12">
        <v>157.99</v>
      </c>
      <c r="K34" s="12" t="s">
        <v>19</v>
      </c>
      <c r="L34" s="12">
        <v>52.8</v>
      </c>
      <c r="M34" s="12">
        <v>41.67</v>
      </c>
      <c r="N34" s="12">
        <v>157.19</v>
      </c>
      <c r="O34" s="12">
        <v>156.91</v>
      </c>
      <c r="P34" s="12" t="s">
        <v>32</v>
      </c>
      <c r="Q34" s="12" t="s">
        <v>42</v>
      </c>
      <c r="R34" s="6"/>
      <c r="S34" s="6"/>
      <c r="T34" s="6"/>
      <c r="U34" s="6"/>
      <c r="V34" s="6"/>
    </row>
    <row r="35">
      <c r="A35" s="15">
        <v>46218.73902650463</v>
      </c>
      <c r="B35" s="8" t="str">
        <f t="shared" si="1"/>
        <v>234796</v>
      </c>
      <c r="C35" s="10" t="s">
        <v>53</v>
      </c>
      <c r="D35" s="10" t="s">
        <v>17</v>
      </c>
      <c r="E35" s="9"/>
      <c r="F35" s="12" t="s">
        <v>18</v>
      </c>
      <c r="G35" s="12">
        <v>49.13</v>
      </c>
      <c r="H35" s="12">
        <v>43.95</v>
      </c>
      <c r="I35" s="12">
        <v>152.57</v>
      </c>
      <c r="J35" s="12">
        <v>152.03</v>
      </c>
      <c r="K35" s="12" t="s">
        <v>19</v>
      </c>
      <c r="L35" s="12">
        <v>50.46</v>
      </c>
      <c r="M35" s="12">
        <v>46.51</v>
      </c>
      <c r="N35" s="12">
        <v>157.78</v>
      </c>
      <c r="O35" s="12">
        <v>157.82</v>
      </c>
      <c r="P35" s="12" t="s">
        <v>17</v>
      </c>
      <c r="Q35" s="12" t="s">
        <v>42</v>
      </c>
      <c r="R35" s="6"/>
      <c r="S35" s="6"/>
      <c r="T35" s="6"/>
      <c r="U35" s="6"/>
      <c r="V35" s="6"/>
    </row>
    <row r="36">
      <c r="A36" s="15">
        <v>46218.90215540509</v>
      </c>
      <c r="B36" s="8" t="str">
        <f t="shared" si="1"/>
        <v>225336</v>
      </c>
      <c r="C36" s="10" t="s">
        <v>54</v>
      </c>
      <c r="D36" s="10" t="s">
        <v>17</v>
      </c>
      <c r="E36" s="9"/>
      <c r="F36" s="12" t="s">
        <v>18</v>
      </c>
      <c r="G36" s="12">
        <v>47.2</v>
      </c>
      <c r="H36" s="12">
        <v>40.78</v>
      </c>
      <c r="I36" s="12">
        <v>142.81</v>
      </c>
      <c r="J36" s="12">
        <v>142.81</v>
      </c>
      <c r="K36" s="12" t="s">
        <v>19</v>
      </c>
      <c r="L36" s="12">
        <v>47.77</v>
      </c>
      <c r="M36" s="12">
        <v>40.82</v>
      </c>
      <c r="N36" s="12">
        <v>143.57</v>
      </c>
      <c r="O36" s="12">
        <v>143.96</v>
      </c>
      <c r="P36" s="12" t="s">
        <v>17</v>
      </c>
      <c r="Q36" s="12" t="s">
        <v>42</v>
      </c>
      <c r="R36" s="6"/>
      <c r="S36" s="6"/>
      <c r="T36" s="6"/>
      <c r="U36" s="6"/>
      <c r="V36" s="6"/>
    </row>
    <row r="37">
      <c r="A37" s="15">
        <v>46221.19048657407</v>
      </c>
      <c r="B37" s="8" t="str">
        <f t="shared" si="1"/>
        <v>207671</v>
      </c>
      <c r="C37" s="10">
        <v>207671.0</v>
      </c>
      <c r="D37" s="10" t="s">
        <v>17</v>
      </c>
      <c r="E37" s="9"/>
      <c r="F37" s="12" t="s">
        <v>18</v>
      </c>
      <c r="G37" s="12">
        <v>50.81</v>
      </c>
      <c r="H37" s="12">
        <v>42.89</v>
      </c>
      <c r="I37" s="12">
        <v>153.64</v>
      </c>
      <c r="J37" s="12">
        <v>153.75</v>
      </c>
      <c r="K37" s="12" t="s">
        <v>19</v>
      </c>
      <c r="L37" s="12">
        <v>51.55</v>
      </c>
      <c r="M37" s="12">
        <v>43.66</v>
      </c>
      <c r="N37" s="12">
        <v>156.05</v>
      </c>
      <c r="O37" s="12">
        <v>156.0</v>
      </c>
      <c r="P37" s="12" t="s">
        <v>17</v>
      </c>
      <c r="Q37" s="12" t="s">
        <v>55</v>
      </c>
      <c r="R37" s="6"/>
      <c r="S37" s="6"/>
      <c r="T37" s="6"/>
      <c r="U37" s="6"/>
      <c r="V37" s="6"/>
    </row>
    <row r="38">
      <c r="A38" s="15">
        <v>46221.74948788194</v>
      </c>
      <c r="B38" s="8" t="str">
        <f t="shared" si="1"/>
        <v>207375</v>
      </c>
      <c r="C38" s="10" t="s">
        <v>56</v>
      </c>
      <c r="D38" s="10" t="s">
        <v>17</v>
      </c>
      <c r="E38" s="9"/>
      <c r="F38" s="12" t="s">
        <v>18</v>
      </c>
      <c r="G38" s="12">
        <v>53.08</v>
      </c>
      <c r="H38" s="12">
        <v>43.67</v>
      </c>
      <c r="I38" s="12">
        <v>161.39</v>
      </c>
      <c r="J38" s="12">
        <v>161.08</v>
      </c>
      <c r="K38" s="12" t="s">
        <v>19</v>
      </c>
      <c r="L38" s="12">
        <v>52.79</v>
      </c>
      <c r="M38" s="12">
        <v>43.89</v>
      </c>
      <c r="N38" s="12">
        <v>161.32</v>
      </c>
      <c r="O38" s="12">
        <v>161.02</v>
      </c>
      <c r="P38" s="12" t="s">
        <v>17</v>
      </c>
      <c r="Q38" s="12" t="s">
        <v>20</v>
      </c>
      <c r="R38" s="6"/>
      <c r="S38" s="6"/>
      <c r="T38" s="6"/>
      <c r="U38" s="6"/>
      <c r="V38" s="6"/>
    </row>
    <row r="39">
      <c r="A39" s="15"/>
      <c r="B39" s="8" t="str">
        <f t="shared" si="1"/>
        <v>234796</v>
      </c>
      <c r="C39" s="10" t="s">
        <v>47</v>
      </c>
      <c r="D39" s="10" t="s">
        <v>17</v>
      </c>
      <c r="E39" s="9"/>
      <c r="F39" s="12" t="s">
        <v>18</v>
      </c>
      <c r="G39" s="12">
        <v>48.79</v>
      </c>
      <c r="H39" s="12">
        <v>43.6</v>
      </c>
      <c r="I39" s="12">
        <v>151.49</v>
      </c>
      <c r="J39" s="12">
        <v>151.49</v>
      </c>
      <c r="K39" s="12" t="s">
        <v>19</v>
      </c>
      <c r="L39" s="12">
        <v>49.81</v>
      </c>
      <c r="M39" s="12">
        <v>47.29</v>
      </c>
      <c r="N39" s="12">
        <v>158.13</v>
      </c>
      <c r="O39" s="12">
        <v>158.24</v>
      </c>
      <c r="P39" s="12" t="s">
        <v>17</v>
      </c>
      <c r="Q39" s="12" t="s">
        <v>20</v>
      </c>
      <c r="R39" s="6"/>
      <c r="S39" s="6"/>
      <c r="T39" s="6"/>
      <c r="U39" s="6"/>
      <c r="V39" s="6"/>
    </row>
    <row r="40">
      <c r="A40" s="15">
        <v>46221.75922219908</v>
      </c>
      <c r="B40" s="8" t="str">
        <f t="shared" si="1"/>
        <v>206132</v>
      </c>
      <c r="C40" s="10" t="s">
        <v>57</v>
      </c>
      <c r="D40" s="10" t="s">
        <v>32</v>
      </c>
      <c r="E40" s="9"/>
      <c r="F40" s="12" t="s">
        <v>18</v>
      </c>
      <c r="G40" s="12">
        <v>53.58</v>
      </c>
      <c r="H40" s="12">
        <v>43.19</v>
      </c>
      <c r="I40" s="12">
        <v>160.9</v>
      </c>
      <c r="J40" s="12">
        <v>161.02</v>
      </c>
      <c r="K40" s="12" t="s">
        <v>19</v>
      </c>
      <c r="L40" s="12">
        <v>53.3</v>
      </c>
      <c r="M40" s="12">
        <v>42.67</v>
      </c>
      <c r="N40" s="12">
        <v>160.01</v>
      </c>
      <c r="O40" s="12">
        <v>159.9</v>
      </c>
      <c r="P40" s="12" t="s">
        <v>32</v>
      </c>
      <c r="Q40" s="12" t="s">
        <v>20</v>
      </c>
      <c r="R40" s="6"/>
      <c r="S40" s="6"/>
      <c r="T40" s="6"/>
      <c r="U40" s="6"/>
      <c r="V40" s="6"/>
    </row>
    <row r="41">
      <c r="A41" s="15">
        <v>46221.76106927083</v>
      </c>
      <c r="B41" s="8" t="str">
        <f t="shared" si="1"/>
        <v>146012</v>
      </c>
      <c r="C41" s="10" t="s">
        <v>58</v>
      </c>
      <c r="D41" s="10" t="s">
        <v>17</v>
      </c>
      <c r="E41" s="9"/>
      <c r="F41" s="12" t="s">
        <v>18</v>
      </c>
      <c r="G41" s="12">
        <v>54.38</v>
      </c>
      <c r="H41" s="12">
        <v>41.08</v>
      </c>
      <c r="I41" s="12">
        <v>160.91</v>
      </c>
      <c r="J41" s="12">
        <v>160.61</v>
      </c>
      <c r="K41" s="12" t="s">
        <v>19</v>
      </c>
      <c r="L41" s="12">
        <v>53.62</v>
      </c>
      <c r="M41" s="12">
        <v>40.95</v>
      </c>
      <c r="N41" s="12">
        <v>158.77</v>
      </c>
      <c r="O41" s="12">
        <v>158.77</v>
      </c>
      <c r="P41" s="12" t="s">
        <v>17</v>
      </c>
      <c r="Q41" s="12" t="s">
        <v>20</v>
      </c>
      <c r="R41" s="6"/>
      <c r="S41" s="6"/>
      <c r="T41" s="6"/>
      <c r="U41" s="6"/>
      <c r="V41" s="6"/>
    </row>
    <row r="42">
      <c r="A42" s="15">
        <v>46221.76898577546</v>
      </c>
      <c r="B42" s="8" t="str">
        <f t="shared" si="1"/>
        <v>201100</v>
      </c>
      <c r="C42" s="10" t="s">
        <v>59</v>
      </c>
      <c r="D42" s="10" t="s">
        <v>17</v>
      </c>
      <c r="E42" s="9"/>
      <c r="F42" s="12" t="s">
        <v>18</v>
      </c>
      <c r="G42" s="12">
        <v>52.68</v>
      </c>
      <c r="H42" s="12">
        <v>39.56</v>
      </c>
      <c r="I42" s="12">
        <v>155.61</v>
      </c>
      <c r="J42" s="12">
        <v>155.73</v>
      </c>
      <c r="K42" s="12" t="s">
        <v>19</v>
      </c>
      <c r="L42" s="12">
        <v>52.38</v>
      </c>
      <c r="M42" s="12">
        <v>40.42</v>
      </c>
      <c r="N42" s="12">
        <v>156.76</v>
      </c>
      <c r="O42" s="12">
        <v>156.82</v>
      </c>
      <c r="P42" s="12" t="s">
        <v>17</v>
      </c>
      <c r="Q42" s="12" t="s">
        <v>20</v>
      </c>
      <c r="R42" s="6"/>
      <c r="S42" s="6"/>
      <c r="T42" s="6"/>
      <c r="U42" s="6"/>
      <c r="V42" s="6"/>
    </row>
    <row r="43">
      <c r="A43" s="15">
        <v>46221.77092792824</v>
      </c>
      <c r="B43" s="8" t="str">
        <f t="shared" si="1"/>
        <v>236913</v>
      </c>
      <c r="C43" s="10" t="s">
        <v>60</v>
      </c>
      <c r="D43" s="10" t="s">
        <v>17</v>
      </c>
      <c r="E43" s="9"/>
      <c r="F43" s="12" t="s">
        <v>18</v>
      </c>
      <c r="G43" s="12">
        <v>52.3</v>
      </c>
      <c r="H43" s="12">
        <v>39.7</v>
      </c>
      <c r="I43" s="12">
        <v>155.27</v>
      </c>
      <c r="J43" s="12">
        <v>155.41</v>
      </c>
      <c r="K43" s="12" t="s">
        <v>19</v>
      </c>
      <c r="L43" s="12">
        <v>52.37</v>
      </c>
      <c r="M43" s="12">
        <v>40.43</v>
      </c>
      <c r="N43" s="12">
        <v>156.72</v>
      </c>
      <c r="O43" s="12">
        <v>156.76</v>
      </c>
      <c r="P43" s="12" t="s">
        <v>17</v>
      </c>
      <c r="Q43" s="12" t="s">
        <v>20</v>
      </c>
      <c r="R43" s="6"/>
      <c r="S43" s="6"/>
      <c r="T43" s="6"/>
      <c r="U43" s="6"/>
      <c r="V43" s="6"/>
    </row>
    <row r="44">
      <c r="A44" s="15">
        <v>46221.787219143516</v>
      </c>
      <c r="B44" s="8" t="str">
        <f t="shared" si="1"/>
        <v>222575</v>
      </c>
      <c r="C44" s="10" t="s">
        <v>61</v>
      </c>
      <c r="D44" s="10" t="s">
        <v>32</v>
      </c>
      <c r="E44" s="9"/>
      <c r="F44" s="12" t="s">
        <v>18</v>
      </c>
      <c r="G44" s="12">
        <v>53.59</v>
      </c>
      <c r="H44" s="12">
        <v>43.06</v>
      </c>
      <c r="I44" s="12">
        <v>159.71</v>
      </c>
      <c r="J44" s="12">
        <v>159.64</v>
      </c>
      <c r="K44" s="12" t="s">
        <v>19</v>
      </c>
      <c r="L44" s="12">
        <v>53.21</v>
      </c>
      <c r="M44" s="12">
        <v>42.71</v>
      </c>
      <c r="N44" s="12">
        <v>158.57</v>
      </c>
      <c r="O44" s="12">
        <v>158.55</v>
      </c>
      <c r="P44" s="12" t="s">
        <v>32</v>
      </c>
      <c r="Q44" s="12" t="s">
        <v>20</v>
      </c>
      <c r="R44" s="6"/>
      <c r="S44" s="6"/>
      <c r="T44" s="6"/>
      <c r="U44" s="6"/>
      <c r="V44" s="6"/>
    </row>
    <row r="45">
      <c r="A45" s="15">
        <v>46222.55234258102</v>
      </c>
      <c r="B45" s="8" t="str">
        <f t="shared" si="1"/>
        <v>150798</v>
      </c>
      <c r="C45" s="10" t="s">
        <v>62</v>
      </c>
      <c r="D45" s="10" t="s">
        <v>17</v>
      </c>
      <c r="E45" s="9"/>
      <c r="F45" s="12" t="s">
        <v>18</v>
      </c>
      <c r="G45" s="12">
        <v>50.75</v>
      </c>
      <c r="H45" s="12">
        <v>43.35</v>
      </c>
      <c r="I45" s="12">
        <v>153.37</v>
      </c>
      <c r="J45" s="12">
        <v>153.45</v>
      </c>
      <c r="K45" s="12" t="s">
        <v>19</v>
      </c>
      <c r="L45" s="12">
        <v>50.61</v>
      </c>
      <c r="M45" s="12">
        <v>43.5</v>
      </c>
      <c r="N45" s="12">
        <v>153.45</v>
      </c>
      <c r="O45" s="12">
        <v>153.4</v>
      </c>
      <c r="P45" s="12" t="s">
        <v>17</v>
      </c>
      <c r="Q45" s="8"/>
      <c r="R45" s="6"/>
      <c r="S45" s="6"/>
      <c r="T45" s="6"/>
      <c r="U45" s="6"/>
      <c r="V45" s="6"/>
    </row>
    <row r="46">
      <c r="A46" s="15">
        <v>46222.55621594907</v>
      </c>
      <c r="B46" s="8" t="str">
        <f t="shared" si="1"/>
        <v>208956</v>
      </c>
      <c r="C46" s="10" t="s">
        <v>63</v>
      </c>
      <c r="D46" s="10" t="s">
        <v>17</v>
      </c>
      <c r="E46" s="9"/>
      <c r="F46" s="12" t="s">
        <v>18</v>
      </c>
      <c r="G46" s="12">
        <v>50.67</v>
      </c>
      <c r="H46" s="12">
        <v>43.02</v>
      </c>
      <c r="I46" s="12">
        <v>153.92</v>
      </c>
      <c r="J46" s="12">
        <v>153.58</v>
      </c>
      <c r="K46" s="12" t="s">
        <v>19</v>
      </c>
      <c r="L46" s="12">
        <v>51.01</v>
      </c>
      <c r="M46" s="12">
        <v>43.46</v>
      </c>
      <c r="N46" s="12">
        <v>154.92</v>
      </c>
      <c r="O46" s="12">
        <v>154.39</v>
      </c>
      <c r="P46" s="12" t="s">
        <v>17</v>
      </c>
      <c r="Q46" s="8"/>
      <c r="R46" s="6"/>
      <c r="S46" s="6"/>
      <c r="T46" s="6"/>
      <c r="U46" s="6"/>
      <c r="V46" s="6"/>
    </row>
    <row r="47">
      <c r="A47" s="15">
        <v>46222.55871776621</v>
      </c>
      <c r="B47" s="8" t="str">
        <f t="shared" si="1"/>
        <v>241210</v>
      </c>
      <c r="C47" s="10" t="s">
        <v>64</v>
      </c>
      <c r="D47" s="10" t="s">
        <v>17</v>
      </c>
      <c r="E47" s="9"/>
      <c r="F47" s="12" t="s">
        <v>18</v>
      </c>
      <c r="G47" s="12">
        <v>49.99</v>
      </c>
      <c r="H47" s="12">
        <v>39.29</v>
      </c>
      <c r="I47" s="12">
        <v>148.25</v>
      </c>
      <c r="J47" s="12">
        <v>148.26</v>
      </c>
      <c r="K47" s="12" t="s">
        <v>19</v>
      </c>
      <c r="L47" s="12">
        <v>50.5</v>
      </c>
      <c r="M47" s="12">
        <v>39.5</v>
      </c>
      <c r="N47" s="12">
        <v>148.25</v>
      </c>
      <c r="O47" s="12">
        <v>149.62</v>
      </c>
      <c r="P47" s="12" t="s">
        <v>17</v>
      </c>
      <c r="Q47" s="8"/>
      <c r="R47" s="6"/>
      <c r="S47" s="6"/>
      <c r="T47" s="6"/>
      <c r="U47" s="6"/>
      <c r="V47" s="6"/>
    </row>
    <row r="48">
      <c r="A48" s="15">
        <v>46222.56821435185</v>
      </c>
      <c r="B48" s="8" t="str">
        <f t="shared" si="1"/>
        <v>234791</v>
      </c>
      <c r="C48" s="10">
        <v>234791.0</v>
      </c>
      <c r="D48" s="10" t="s">
        <v>17</v>
      </c>
      <c r="E48" s="9"/>
      <c r="F48" s="12" t="s">
        <v>18</v>
      </c>
      <c r="G48" s="12">
        <v>49.77</v>
      </c>
      <c r="H48" s="12">
        <v>42.09</v>
      </c>
      <c r="I48" s="12">
        <v>149.04</v>
      </c>
      <c r="J48" s="12">
        <v>149.62</v>
      </c>
      <c r="K48" s="12" t="s">
        <v>19</v>
      </c>
      <c r="L48" s="12">
        <v>49.91</v>
      </c>
      <c r="M48" s="12">
        <v>42.64</v>
      </c>
      <c r="N48" s="12">
        <v>150.18</v>
      </c>
      <c r="O48" s="12">
        <v>150.07</v>
      </c>
      <c r="P48" s="12" t="s">
        <v>17</v>
      </c>
      <c r="Q48" s="8"/>
      <c r="R48" s="6"/>
      <c r="S48" s="6"/>
      <c r="T48" s="6"/>
      <c r="U48" s="6"/>
      <c r="V48" s="6"/>
    </row>
    <row r="49">
      <c r="A49" s="15">
        <v>46222.57605420139</v>
      </c>
      <c r="B49" s="8" t="str">
        <f t="shared" si="1"/>
        <v>227450</v>
      </c>
      <c r="C49" s="10" t="s">
        <v>65</v>
      </c>
      <c r="D49" s="10" t="s">
        <v>17</v>
      </c>
      <c r="E49" s="9"/>
      <c r="F49" s="12" t="s">
        <v>18</v>
      </c>
      <c r="G49" s="12">
        <v>53.79</v>
      </c>
      <c r="H49" s="12">
        <v>42.16</v>
      </c>
      <c r="I49" s="12">
        <v>161.52</v>
      </c>
      <c r="J49" s="12">
        <v>161.55</v>
      </c>
      <c r="K49" s="12" t="s">
        <v>19</v>
      </c>
      <c r="L49" s="12">
        <v>53.81</v>
      </c>
      <c r="M49" s="12">
        <v>42.56</v>
      </c>
      <c r="N49" s="12">
        <v>162.33</v>
      </c>
      <c r="O49" s="12">
        <v>162.5</v>
      </c>
      <c r="P49" s="12" t="s">
        <v>17</v>
      </c>
      <c r="Q49" s="8"/>
      <c r="R49" s="6"/>
      <c r="S49" s="6"/>
      <c r="T49" s="6"/>
      <c r="U49" s="6"/>
      <c r="V49" s="6"/>
    </row>
    <row r="50">
      <c r="A50" s="15">
        <v>46224.111980138885</v>
      </c>
      <c r="B50" s="8" t="str">
        <f t="shared" si="1"/>
        <v>208272</v>
      </c>
      <c r="C50" s="10" t="s">
        <v>66</v>
      </c>
      <c r="D50" s="10" t="s">
        <v>17</v>
      </c>
      <c r="E50" s="9"/>
      <c r="F50" s="12" t="s">
        <v>18</v>
      </c>
      <c r="G50" s="12">
        <v>50.85</v>
      </c>
      <c r="H50" s="12">
        <v>42.83</v>
      </c>
      <c r="I50" s="12">
        <v>153.86</v>
      </c>
      <c r="J50" s="12">
        <v>153.55</v>
      </c>
      <c r="K50" s="12" t="s">
        <v>19</v>
      </c>
      <c r="L50" s="12">
        <v>51.46</v>
      </c>
      <c r="M50" s="12">
        <v>43.03</v>
      </c>
      <c r="N50" s="12">
        <v>155.28</v>
      </c>
      <c r="O50" s="12">
        <v>154.7</v>
      </c>
      <c r="P50" s="12" t="s">
        <v>17</v>
      </c>
      <c r="Q50" s="12" t="s">
        <v>55</v>
      </c>
      <c r="R50" s="6"/>
      <c r="S50" s="6"/>
      <c r="T50" s="6"/>
      <c r="U50" s="6"/>
      <c r="V50" s="6"/>
    </row>
    <row r="51">
      <c r="A51" s="15">
        <v>46224.162406504634</v>
      </c>
      <c r="B51" s="8" t="str">
        <f t="shared" si="1"/>
        <v>208956</v>
      </c>
      <c r="C51" s="10" t="s">
        <v>67</v>
      </c>
      <c r="D51" s="10" t="s">
        <v>17</v>
      </c>
      <c r="E51" s="9"/>
      <c r="F51" s="12" t="s">
        <v>18</v>
      </c>
      <c r="G51" s="12">
        <v>50.66</v>
      </c>
      <c r="H51" s="12">
        <v>43.02</v>
      </c>
      <c r="I51" s="12">
        <v>153.77</v>
      </c>
      <c r="J51" s="12">
        <v>153.58</v>
      </c>
      <c r="K51" s="12" t="s">
        <v>19</v>
      </c>
      <c r="L51" s="12">
        <v>50.98</v>
      </c>
      <c r="M51" s="12">
        <v>43.59</v>
      </c>
      <c r="N51" s="12">
        <v>155.0</v>
      </c>
      <c r="O51" s="12">
        <v>154.7</v>
      </c>
      <c r="P51" s="12" t="s">
        <v>17</v>
      </c>
      <c r="Q51" s="12" t="s">
        <v>55</v>
      </c>
      <c r="R51" s="6"/>
      <c r="S51" s="6"/>
      <c r="T51" s="6"/>
      <c r="U51" s="6"/>
      <c r="V51" s="6"/>
    </row>
    <row r="52">
      <c r="A52" s="15">
        <v>46225.352303368054</v>
      </c>
      <c r="B52" s="8" t="str">
        <f t="shared" si="1"/>
        <v>231942</v>
      </c>
      <c r="C52" s="10" t="s">
        <v>68</v>
      </c>
      <c r="D52" s="10" t="s">
        <v>17</v>
      </c>
      <c r="E52" s="9"/>
      <c r="F52" s="12" t="s">
        <v>18</v>
      </c>
      <c r="G52" s="12">
        <v>50.67</v>
      </c>
      <c r="H52" s="12">
        <v>42.74</v>
      </c>
      <c r="I52" s="12">
        <v>153.41</v>
      </c>
      <c r="J52" s="12">
        <v>153.61</v>
      </c>
      <c r="K52" s="12" t="s">
        <v>19</v>
      </c>
      <c r="L52" s="12">
        <v>51.16</v>
      </c>
      <c r="M52" s="12">
        <v>43.49</v>
      </c>
      <c r="N52" s="12">
        <v>155.32</v>
      </c>
      <c r="O52" s="12">
        <v>154.94</v>
      </c>
      <c r="P52" s="12" t="s">
        <v>17</v>
      </c>
      <c r="Q52" s="8"/>
      <c r="R52" s="6"/>
      <c r="S52" s="6"/>
      <c r="T52" s="6"/>
      <c r="U52" s="6"/>
      <c r="V52" s="6"/>
    </row>
    <row r="53">
      <c r="A53" s="15">
        <v>46225.69186049768</v>
      </c>
      <c r="B53" s="8" t="str">
        <f t="shared" si="1"/>
        <v>236911</v>
      </c>
      <c r="C53" s="10">
        <v>236911.0</v>
      </c>
      <c r="D53" s="9"/>
      <c r="E53" s="9"/>
      <c r="F53" s="12" t="s">
        <v>18</v>
      </c>
      <c r="G53" s="12">
        <v>50.49</v>
      </c>
      <c r="H53" s="12">
        <v>40.14</v>
      </c>
      <c r="I53" s="12">
        <v>152.14</v>
      </c>
      <c r="J53" s="12">
        <v>152.14</v>
      </c>
      <c r="K53" s="12" t="s">
        <v>19</v>
      </c>
      <c r="L53" s="12">
        <v>51.29</v>
      </c>
      <c r="M53" s="12">
        <v>40.84</v>
      </c>
      <c r="N53" s="12">
        <v>154.07</v>
      </c>
      <c r="O53" s="12">
        <v>154.22</v>
      </c>
      <c r="P53" s="12" t="s">
        <v>17</v>
      </c>
      <c r="Q53" s="12" t="s">
        <v>20</v>
      </c>
      <c r="R53" s="6"/>
      <c r="S53" s="6"/>
      <c r="T53" s="6"/>
      <c r="U53" s="6"/>
      <c r="V53" s="6"/>
    </row>
    <row r="54">
      <c r="A54" s="15">
        <v>46226.46288861111</v>
      </c>
      <c r="B54" s="8" t="str">
        <f t="shared" si="1"/>
        <v>225336</v>
      </c>
      <c r="C54" s="10">
        <v>225336.0</v>
      </c>
      <c r="D54" s="10" t="s">
        <v>17</v>
      </c>
      <c r="E54" s="9"/>
      <c r="F54" s="12" t="s">
        <v>18</v>
      </c>
      <c r="G54" s="12">
        <v>47.78</v>
      </c>
      <c r="H54" s="12">
        <v>40.82</v>
      </c>
      <c r="I54" s="12">
        <v>143.56</v>
      </c>
      <c r="J54" s="12">
        <v>143.56</v>
      </c>
      <c r="K54" s="12" t="s">
        <v>19</v>
      </c>
      <c r="L54" s="12">
        <v>47.96</v>
      </c>
      <c r="M54" s="12">
        <v>41.83</v>
      </c>
      <c r="N54" s="12">
        <v>145.84</v>
      </c>
      <c r="O54" s="12">
        <v>145.75</v>
      </c>
      <c r="P54" s="12" t="s">
        <v>17</v>
      </c>
      <c r="Q54" s="12" t="s">
        <v>20</v>
      </c>
      <c r="R54" s="6"/>
      <c r="S54" s="6"/>
      <c r="T54" s="6"/>
      <c r="U54" s="6"/>
      <c r="V54" s="6"/>
    </row>
    <row r="55">
      <c r="A55" s="15">
        <v>46226.783741736115</v>
      </c>
      <c r="B55" s="8" t="str">
        <f t="shared" si="1"/>
        <v>150584</v>
      </c>
      <c r="C55" s="10" t="s">
        <v>69</v>
      </c>
      <c r="D55" s="9"/>
      <c r="E55" s="9"/>
      <c r="F55" s="12" t="s">
        <v>18</v>
      </c>
      <c r="G55" s="12">
        <v>55.19</v>
      </c>
      <c r="H55" s="12">
        <v>34.61</v>
      </c>
      <c r="I55" s="12">
        <v>156.15</v>
      </c>
      <c r="J55" s="12">
        <v>155.18</v>
      </c>
      <c r="K55" s="12" t="s">
        <v>19</v>
      </c>
      <c r="L55" s="12">
        <v>55.07</v>
      </c>
      <c r="M55" s="12">
        <v>34.55</v>
      </c>
      <c r="N55" s="12">
        <v>155.94</v>
      </c>
      <c r="O55" s="12">
        <v>155.11</v>
      </c>
      <c r="P55" s="12" t="s">
        <v>22</v>
      </c>
      <c r="Q55" s="8"/>
      <c r="R55" s="6"/>
      <c r="S55" s="6"/>
      <c r="T55" s="6"/>
      <c r="U55" s="6"/>
      <c r="V55" s="6"/>
    </row>
    <row r="56">
      <c r="A56" s="15">
        <v>46228.20861296296</v>
      </c>
      <c r="B56" s="8" t="str">
        <f t="shared" si="1"/>
        <v>234791</v>
      </c>
      <c r="C56" s="10" t="s">
        <v>70</v>
      </c>
      <c r="D56" s="10" t="s">
        <v>17</v>
      </c>
      <c r="E56" s="9"/>
      <c r="F56" s="12" t="s">
        <v>18</v>
      </c>
      <c r="G56" s="12">
        <v>52.2</v>
      </c>
      <c r="H56" s="12">
        <v>42.33</v>
      </c>
      <c r="I56" s="12">
        <v>153.07</v>
      </c>
      <c r="J56" s="12">
        <v>150.32</v>
      </c>
      <c r="K56" s="12" t="s">
        <v>19</v>
      </c>
      <c r="L56" s="12">
        <v>50.05</v>
      </c>
      <c r="M56" s="12">
        <v>42.32</v>
      </c>
      <c r="N56" s="12">
        <v>149.77</v>
      </c>
      <c r="O56" s="12">
        <v>149.77</v>
      </c>
      <c r="P56" s="12" t="s">
        <v>17</v>
      </c>
      <c r="Q56" s="12" t="s">
        <v>55</v>
      </c>
      <c r="R56" s="6"/>
      <c r="S56" s="6"/>
      <c r="T56" s="6"/>
      <c r="U56" s="6"/>
      <c r="V56" s="6"/>
    </row>
    <row r="57">
      <c r="A57" s="15">
        <v>46228.2123478125</v>
      </c>
      <c r="B57" s="8" t="str">
        <f t="shared" si="1"/>
        <v>220988</v>
      </c>
      <c r="C57" s="10" t="s">
        <v>71</v>
      </c>
      <c r="D57" s="9"/>
      <c r="E57" s="9"/>
      <c r="F57" s="12" t="s">
        <v>18</v>
      </c>
      <c r="G57" s="12">
        <v>57.65</v>
      </c>
      <c r="H57" s="12">
        <v>46.51</v>
      </c>
      <c r="I57" s="12">
        <v>182.76</v>
      </c>
      <c r="J57" s="12">
        <v>183.16</v>
      </c>
      <c r="K57" s="12" t="s">
        <v>19</v>
      </c>
      <c r="L57" s="12">
        <v>57.62</v>
      </c>
      <c r="M57" s="12">
        <v>46.55</v>
      </c>
      <c r="N57" s="12">
        <v>183.48</v>
      </c>
      <c r="O57" s="12">
        <v>182.5</v>
      </c>
      <c r="P57" s="12" t="s">
        <v>32</v>
      </c>
      <c r="Q57" s="12" t="s">
        <v>55</v>
      </c>
      <c r="R57" s="6"/>
      <c r="S57" s="6"/>
      <c r="T57" s="6"/>
      <c r="U57" s="6"/>
      <c r="V57" s="6"/>
    </row>
    <row r="58">
      <c r="A58" s="15">
        <v>46228.216409155095</v>
      </c>
      <c r="B58" s="8" t="str">
        <f t="shared" si="1"/>
        <v>215403</v>
      </c>
      <c r="C58" s="19" t="s">
        <v>72</v>
      </c>
      <c r="D58" s="9"/>
      <c r="E58" s="9"/>
      <c r="F58" s="12" t="s">
        <v>18</v>
      </c>
      <c r="G58" s="20">
        <v>53.29</v>
      </c>
      <c r="H58" s="20">
        <v>38.9</v>
      </c>
      <c r="I58" s="20">
        <v>150.33</v>
      </c>
      <c r="J58" s="20">
        <v>150.4</v>
      </c>
      <c r="K58" s="12" t="s">
        <v>19</v>
      </c>
      <c r="L58" s="12">
        <v>53.26</v>
      </c>
      <c r="M58" s="12">
        <v>38.2</v>
      </c>
      <c r="N58" s="12">
        <v>150.52</v>
      </c>
      <c r="O58" s="12">
        <v>150.49</v>
      </c>
      <c r="P58" s="12" t="s">
        <v>17</v>
      </c>
      <c r="Q58" s="12" t="s">
        <v>55</v>
      </c>
      <c r="R58" s="6"/>
      <c r="S58" s="6"/>
      <c r="T58" s="6"/>
      <c r="U58" s="6"/>
      <c r="V58" s="6"/>
    </row>
    <row r="59">
      <c r="A59" s="15">
        <v>46228.362423645834</v>
      </c>
      <c r="B59" s="8" t="str">
        <f t="shared" si="1"/>
        <v>207481</v>
      </c>
      <c r="C59" s="10" t="s">
        <v>73</v>
      </c>
      <c r="D59" s="9"/>
      <c r="E59" s="9"/>
      <c r="F59" s="12" t="s">
        <v>18</v>
      </c>
      <c r="G59" s="12">
        <v>50.88</v>
      </c>
      <c r="H59" s="12">
        <v>42.77</v>
      </c>
      <c r="I59" s="12">
        <v>153.86</v>
      </c>
      <c r="J59" s="12">
        <v>153.67</v>
      </c>
      <c r="K59" s="12" t="s">
        <v>19</v>
      </c>
      <c r="L59" s="12">
        <v>51.35</v>
      </c>
      <c r="M59" s="12">
        <v>42.6</v>
      </c>
      <c r="N59" s="12">
        <v>154.64</v>
      </c>
      <c r="O59" s="12">
        <v>154.04</v>
      </c>
      <c r="P59" s="8"/>
      <c r="Q59" s="8"/>
      <c r="R59" s="6"/>
      <c r="S59" s="6"/>
      <c r="T59" s="6"/>
      <c r="U59" s="6"/>
      <c r="V59" s="6"/>
    </row>
    <row r="60">
      <c r="A60" s="15">
        <v>46228.36511825232</v>
      </c>
      <c r="B60" s="8" t="str">
        <f t="shared" si="1"/>
        <v>137974</v>
      </c>
      <c r="C60" s="10" t="s">
        <v>74</v>
      </c>
      <c r="D60" s="9"/>
      <c r="E60" s="9"/>
      <c r="F60" s="12" t="s">
        <v>18</v>
      </c>
      <c r="G60" s="12">
        <v>53.27</v>
      </c>
      <c r="H60" s="12">
        <v>40.59</v>
      </c>
      <c r="I60" s="12">
        <v>155.4</v>
      </c>
      <c r="J60" s="12">
        <v>155.29</v>
      </c>
      <c r="K60" s="12" t="s">
        <v>19</v>
      </c>
      <c r="L60" s="12">
        <v>52.79</v>
      </c>
      <c r="M60" s="12">
        <v>40.49</v>
      </c>
      <c r="N60" s="12">
        <v>154.13</v>
      </c>
      <c r="O60" s="12">
        <v>153.82</v>
      </c>
      <c r="P60" s="8"/>
      <c r="Q60" s="8"/>
      <c r="R60" s="6"/>
      <c r="S60" s="6"/>
      <c r="T60" s="6"/>
      <c r="U60" s="6"/>
      <c r="V60" s="6"/>
    </row>
    <row r="61">
      <c r="A61" s="15">
        <v>46228.71254732639</v>
      </c>
      <c r="B61" s="8" t="str">
        <f t="shared" si="1"/>
        <v>210178</v>
      </c>
      <c r="C61" s="10" t="s">
        <v>75</v>
      </c>
      <c r="D61" s="10" t="s">
        <v>76</v>
      </c>
      <c r="E61" s="9"/>
      <c r="F61" s="12" t="s">
        <v>18</v>
      </c>
      <c r="G61" s="12">
        <v>54.4</v>
      </c>
      <c r="H61" s="12">
        <v>34.54</v>
      </c>
      <c r="I61" s="12">
        <v>152.55</v>
      </c>
      <c r="J61" s="12">
        <v>152.55</v>
      </c>
      <c r="K61" s="12" t="s">
        <v>19</v>
      </c>
      <c r="L61" s="12">
        <v>56.7</v>
      </c>
      <c r="M61" s="12">
        <v>56.7</v>
      </c>
      <c r="N61" s="12">
        <v>159.2</v>
      </c>
      <c r="O61" s="12">
        <v>159.23</v>
      </c>
      <c r="P61" s="12" t="s">
        <v>77</v>
      </c>
      <c r="Q61" s="12" t="s">
        <v>20</v>
      </c>
      <c r="R61" s="6"/>
      <c r="S61" s="6"/>
      <c r="T61" s="6"/>
      <c r="U61" s="6"/>
      <c r="V61" s="6"/>
    </row>
    <row r="62">
      <c r="A62" s="15">
        <v>46229.992148125</v>
      </c>
      <c r="B62" s="8" t="str">
        <f t="shared" si="1"/>
        <v>146653</v>
      </c>
      <c r="C62" s="10">
        <v>146653.0</v>
      </c>
      <c r="D62" s="10" t="s">
        <v>17</v>
      </c>
      <c r="E62" s="9"/>
      <c r="F62" s="12" t="s">
        <v>18</v>
      </c>
      <c r="G62" s="12">
        <v>50.69</v>
      </c>
      <c r="H62" s="12">
        <v>36.13</v>
      </c>
      <c r="I62" s="12">
        <v>146.8</v>
      </c>
      <c r="J62" s="12">
        <v>147.17</v>
      </c>
      <c r="K62" s="12" t="s">
        <v>19</v>
      </c>
      <c r="L62" s="12">
        <v>50.69</v>
      </c>
      <c r="M62" s="12">
        <v>36.26</v>
      </c>
      <c r="N62" s="12">
        <v>147.15</v>
      </c>
      <c r="O62" s="12">
        <v>147.21</v>
      </c>
      <c r="P62" s="8"/>
      <c r="Q62" s="12" t="s">
        <v>20</v>
      </c>
      <c r="R62" s="6"/>
      <c r="S62" s="6"/>
      <c r="T62" s="6"/>
      <c r="U62" s="6"/>
      <c r="V62" s="6"/>
    </row>
    <row r="63">
      <c r="A63" s="15">
        <v>46232.0</v>
      </c>
      <c r="B63" s="8" t="str">
        <f t="shared" si="1"/>
        <v>149844</v>
      </c>
      <c r="C63" s="10" t="s">
        <v>78</v>
      </c>
      <c r="D63" s="10" t="s">
        <v>32</v>
      </c>
      <c r="E63" s="9"/>
      <c r="F63" s="12" t="s">
        <v>18</v>
      </c>
      <c r="G63" s="12">
        <v>46.96</v>
      </c>
      <c r="H63" s="12">
        <v>39.32</v>
      </c>
      <c r="I63" s="12">
        <v>139.19</v>
      </c>
      <c r="J63" s="12">
        <v>139.19</v>
      </c>
      <c r="K63" s="12" t="s">
        <v>19</v>
      </c>
      <c r="L63" s="12">
        <v>46.35</v>
      </c>
      <c r="M63" s="12">
        <v>39.23</v>
      </c>
      <c r="N63" s="12">
        <v>138.06</v>
      </c>
      <c r="O63" s="12">
        <v>137.76</v>
      </c>
      <c r="P63" s="12" t="s">
        <v>32</v>
      </c>
      <c r="Q63" s="12" t="s">
        <v>20</v>
      </c>
      <c r="R63" s="6"/>
      <c r="S63" s="6"/>
      <c r="T63" s="6"/>
      <c r="U63" s="6"/>
      <c r="V63" s="6"/>
    </row>
    <row r="64">
      <c r="A64" s="8"/>
      <c r="B64" s="8" t="str">
        <f t="shared" si="1"/>
        <v>206775</v>
      </c>
      <c r="C64" s="10" t="s">
        <v>79</v>
      </c>
      <c r="D64" s="10" t="s">
        <v>17</v>
      </c>
      <c r="E64" s="9"/>
      <c r="F64" s="12" t="s">
        <v>18</v>
      </c>
      <c r="G64" s="12">
        <v>55.64</v>
      </c>
      <c r="H64" s="8"/>
      <c r="I64" s="8"/>
      <c r="J64" s="8"/>
      <c r="K64" s="12" t="s">
        <v>19</v>
      </c>
      <c r="L64" s="12">
        <v>47.96</v>
      </c>
      <c r="M64" s="12">
        <v>42.38</v>
      </c>
      <c r="N64" s="12">
        <v>146.36</v>
      </c>
      <c r="O64" s="12">
        <v>146.59</v>
      </c>
      <c r="P64" s="12" t="s">
        <v>17</v>
      </c>
      <c r="Q64" s="12" t="s">
        <v>20</v>
      </c>
      <c r="R64" s="6"/>
      <c r="S64" s="6"/>
      <c r="T64" s="6"/>
      <c r="U64" s="6"/>
      <c r="V64" s="6"/>
    </row>
    <row r="65">
      <c r="A65" s="15">
        <v>46232.70051962963</v>
      </c>
      <c r="B65" s="8" t="str">
        <f t="shared" si="1"/>
        <v>247079</v>
      </c>
      <c r="C65" s="10" t="s">
        <v>80</v>
      </c>
      <c r="D65" s="10" t="s">
        <v>32</v>
      </c>
      <c r="E65" s="9"/>
      <c r="F65" s="12" t="s">
        <v>18</v>
      </c>
      <c r="G65" s="12">
        <v>55.64</v>
      </c>
      <c r="H65" s="12">
        <v>35.12</v>
      </c>
      <c r="I65" s="12">
        <v>150.56</v>
      </c>
      <c r="J65" s="12">
        <v>150.68</v>
      </c>
      <c r="K65" s="12" t="s">
        <v>19</v>
      </c>
      <c r="L65" s="12">
        <v>55.6</v>
      </c>
      <c r="M65" s="12">
        <v>34.2</v>
      </c>
      <c r="N65" s="12">
        <v>148.93</v>
      </c>
      <c r="O65" s="12">
        <v>148.77</v>
      </c>
      <c r="P65" s="12" t="s">
        <v>32</v>
      </c>
      <c r="Q65" s="12" t="s">
        <v>20</v>
      </c>
      <c r="R65" s="6"/>
      <c r="S65" s="6"/>
      <c r="T65" s="6"/>
      <c r="U65" s="6"/>
      <c r="V65" s="6"/>
    </row>
    <row r="66">
      <c r="A66" s="15">
        <v>46232.70479758102</v>
      </c>
      <c r="B66" s="8" t="str">
        <f t="shared" si="1"/>
        <v>151889</v>
      </c>
      <c r="C66" s="10" t="s">
        <v>81</v>
      </c>
      <c r="D66" s="10" t="s">
        <v>17</v>
      </c>
      <c r="E66" s="9"/>
      <c r="F66" s="12" t="s">
        <v>18</v>
      </c>
      <c r="G66" s="12">
        <v>47.08</v>
      </c>
      <c r="H66" s="12">
        <v>42.73</v>
      </c>
      <c r="I66" s="12">
        <v>143.11</v>
      </c>
      <c r="J66" s="12">
        <v>143.11</v>
      </c>
      <c r="K66" s="12" t="s">
        <v>19</v>
      </c>
      <c r="L66" s="12">
        <v>47.28</v>
      </c>
      <c r="M66" s="12">
        <v>43.29</v>
      </c>
      <c r="N66" s="12">
        <v>147.76</v>
      </c>
      <c r="O66" s="12">
        <v>147.51</v>
      </c>
      <c r="P66" s="12" t="s">
        <v>17</v>
      </c>
      <c r="Q66" s="12" t="s">
        <v>20</v>
      </c>
      <c r="R66" s="6"/>
      <c r="S66" s="6"/>
      <c r="T66" s="6"/>
      <c r="U66" s="6"/>
      <c r="V66" s="6"/>
    </row>
    <row r="67">
      <c r="A67" s="15">
        <v>46232.75815371527</v>
      </c>
      <c r="B67" s="8" t="str">
        <f t="shared" si="1"/>
        <v>227571</v>
      </c>
      <c r="C67" s="10" t="s">
        <v>82</v>
      </c>
      <c r="D67" s="10" t="s">
        <v>17</v>
      </c>
      <c r="E67" s="9"/>
      <c r="F67" s="12" t="s">
        <v>18</v>
      </c>
      <c r="G67" s="12">
        <v>50.5</v>
      </c>
      <c r="H67" s="12">
        <v>42.2</v>
      </c>
      <c r="I67" s="12">
        <v>153.89</v>
      </c>
      <c r="J67" s="12">
        <v>152.71</v>
      </c>
      <c r="K67" s="12" t="s">
        <v>19</v>
      </c>
      <c r="L67" s="12">
        <v>49.96</v>
      </c>
      <c r="M67" s="12">
        <v>42.73</v>
      </c>
      <c r="N67" s="12">
        <v>153.7</v>
      </c>
      <c r="O67" s="12">
        <v>153.56</v>
      </c>
      <c r="P67" s="12" t="s">
        <v>17</v>
      </c>
      <c r="Q67" s="12" t="s">
        <v>20</v>
      </c>
      <c r="R67" s="6"/>
      <c r="S67" s="6"/>
      <c r="T67" s="6"/>
      <c r="U67" s="6"/>
      <c r="V67" s="6"/>
    </row>
    <row r="68">
      <c r="A68" s="15">
        <v>46232.897407743054</v>
      </c>
      <c r="B68" s="8" t="str">
        <f t="shared" si="1"/>
        <v>234769</v>
      </c>
      <c r="C68" s="10" t="s">
        <v>83</v>
      </c>
      <c r="D68" s="10" t="s">
        <v>22</v>
      </c>
      <c r="E68" s="9"/>
      <c r="F68" s="12" t="s">
        <v>18</v>
      </c>
      <c r="G68" s="12">
        <v>57.34</v>
      </c>
      <c r="H68" s="12">
        <v>37.98</v>
      </c>
      <c r="I68" s="12">
        <v>162.99</v>
      </c>
      <c r="J68" s="12">
        <v>162.94</v>
      </c>
      <c r="K68" s="12" t="s">
        <v>19</v>
      </c>
      <c r="L68" s="12">
        <v>55.6</v>
      </c>
      <c r="M68" s="12">
        <v>39.45</v>
      </c>
      <c r="N68" s="12">
        <v>161.82</v>
      </c>
      <c r="O68" s="12">
        <v>161.82</v>
      </c>
      <c r="P68" s="12" t="s">
        <v>22</v>
      </c>
      <c r="Q68" s="12" t="s">
        <v>20</v>
      </c>
      <c r="R68" s="6"/>
      <c r="S68" s="6"/>
      <c r="T68" s="6"/>
      <c r="U68" s="6"/>
      <c r="V68" s="6"/>
    </row>
    <row r="69">
      <c r="A69" s="15">
        <v>46233.13673545139</v>
      </c>
      <c r="B69" s="8" t="str">
        <f t="shared" si="1"/>
        <v>234791</v>
      </c>
      <c r="C69" s="10">
        <v>234791.0</v>
      </c>
      <c r="D69" s="10" t="s">
        <v>17</v>
      </c>
      <c r="E69" s="9"/>
      <c r="F69" s="12" t="s">
        <v>18</v>
      </c>
      <c r="G69" s="12">
        <v>49.91</v>
      </c>
      <c r="H69" s="12">
        <v>42.64</v>
      </c>
      <c r="I69" s="12">
        <v>150.18</v>
      </c>
      <c r="J69" s="12">
        <v>150.07</v>
      </c>
      <c r="K69" s="12" t="s">
        <v>19</v>
      </c>
      <c r="L69" s="12">
        <v>51.59</v>
      </c>
      <c r="M69" s="12">
        <v>43.83</v>
      </c>
      <c r="N69" s="12">
        <v>155.13</v>
      </c>
      <c r="O69" s="12">
        <v>155.18</v>
      </c>
      <c r="P69" s="12" t="s">
        <v>17</v>
      </c>
      <c r="Q69" s="12" t="s">
        <v>20</v>
      </c>
      <c r="R69" s="6"/>
      <c r="S69" s="6"/>
      <c r="T69" s="6"/>
      <c r="U69" s="6"/>
      <c r="V69" s="6"/>
    </row>
    <row r="70">
      <c r="A70" s="15">
        <v>46233.573601701384</v>
      </c>
      <c r="B70" s="8" t="str">
        <f t="shared" si="1"/>
        <v>227035</v>
      </c>
      <c r="C70" s="10" t="s">
        <v>84</v>
      </c>
      <c r="D70" s="10" t="s">
        <v>17</v>
      </c>
      <c r="E70" s="9"/>
      <c r="F70" s="12" t="s">
        <v>18</v>
      </c>
      <c r="G70" s="12">
        <v>52.95</v>
      </c>
      <c r="H70" s="12">
        <v>38.88</v>
      </c>
      <c r="I70" s="12">
        <v>155.54</v>
      </c>
      <c r="J70" s="12">
        <v>155.34</v>
      </c>
      <c r="K70" s="12" t="s">
        <v>19</v>
      </c>
      <c r="L70" s="12">
        <v>54.17</v>
      </c>
      <c r="M70" s="12">
        <v>40.15</v>
      </c>
      <c r="N70" s="12">
        <v>159.25</v>
      </c>
      <c r="O70" s="12">
        <v>159.07</v>
      </c>
      <c r="P70" s="12" t="s">
        <v>17</v>
      </c>
      <c r="Q70" s="12" t="s">
        <v>20</v>
      </c>
      <c r="R70" s="6"/>
      <c r="S70" s="6"/>
      <c r="T70" s="6"/>
      <c r="U70" s="6"/>
      <c r="V70" s="6"/>
    </row>
    <row r="71">
      <c r="A71" s="15">
        <v>46234.4474695949</v>
      </c>
      <c r="B71" s="8" t="str">
        <f t="shared" si="1"/>
        <v>210433</v>
      </c>
      <c r="C71" s="10" t="s">
        <v>85</v>
      </c>
      <c r="D71" s="10" t="s">
        <v>22</v>
      </c>
      <c r="E71" s="9"/>
      <c r="F71" s="12" t="s">
        <v>18</v>
      </c>
      <c r="G71" s="12">
        <v>52.9</v>
      </c>
      <c r="H71" s="12">
        <v>34.89</v>
      </c>
      <c r="I71" s="12">
        <v>148.45</v>
      </c>
      <c r="J71" s="12">
        <v>147.42</v>
      </c>
      <c r="K71" s="12" t="s">
        <v>19</v>
      </c>
      <c r="L71" s="12">
        <v>52.01</v>
      </c>
      <c r="M71" s="12">
        <v>34.77</v>
      </c>
      <c r="N71" s="12">
        <v>147.14</v>
      </c>
      <c r="O71" s="12">
        <v>147.07</v>
      </c>
      <c r="P71" s="12" t="s">
        <v>22</v>
      </c>
      <c r="Q71" s="12" t="s">
        <v>20</v>
      </c>
      <c r="R71" s="6"/>
      <c r="S71" s="6"/>
      <c r="T71" s="6"/>
      <c r="U71" s="6"/>
      <c r="V71" s="6"/>
    </row>
    <row r="72">
      <c r="A72" s="15">
        <v>46234.44962520833</v>
      </c>
      <c r="B72" s="8" t="str">
        <f t="shared" si="1"/>
        <v>241091</v>
      </c>
      <c r="C72" s="10" t="s">
        <v>86</v>
      </c>
      <c r="D72" s="10" t="s">
        <v>22</v>
      </c>
      <c r="E72" s="9"/>
      <c r="F72" s="12" t="s">
        <v>18</v>
      </c>
      <c r="G72" s="12">
        <v>53.79</v>
      </c>
      <c r="H72" s="12">
        <v>43.18</v>
      </c>
      <c r="I72" s="12">
        <v>159.98</v>
      </c>
      <c r="J72" s="12">
        <v>162.51</v>
      </c>
      <c r="K72" s="12" t="s">
        <v>19</v>
      </c>
      <c r="L72" s="12">
        <v>53.81</v>
      </c>
      <c r="M72" s="12">
        <v>43.04</v>
      </c>
      <c r="N72" s="12">
        <v>159.27</v>
      </c>
      <c r="O72" s="12">
        <v>159.36</v>
      </c>
      <c r="P72" s="12" t="s">
        <v>22</v>
      </c>
      <c r="Q72" s="12" t="s">
        <v>20</v>
      </c>
      <c r="R72" s="6"/>
      <c r="S72" s="6"/>
      <c r="T72" s="6"/>
      <c r="U72" s="6"/>
      <c r="V72" s="6"/>
    </row>
    <row r="73">
      <c r="A73" s="15">
        <v>46234.59591329861</v>
      </c>
      <c r="B73" s="8" t="str">
        <f t="shared" si="1"/>
        <v>234804</v>
      </c>
      <c r="C73" s="10" t="s">
        <v>87</v>
      </c>
      <c r="D73" s="10" t="s">
        <v>17</v>
      </c>
      <c r="E73" s="9"/>
      <c r="F73" s="12" t="s">
        <v>18</v>
      </c>
      <c r="G73" s="12">
        <v>50.22</v>
      </c>
      <c r="H73" s="12">
        <v>41.94</v>
      </c>
      <c r="I73" s="12">
        <v>148.67</v>
      </c>
      <c r="J73" s="12">
        <v>149.37</v>
      </c>
      <c r="K73" s="12" t="s">
        <v>19</v>
      </c>
      <c r="L73" s="12">
        <v>50.49</v>
      </c>
      <c r="M73" s="12">
        <v>42.22</v>
      </c>
      <c r="N73" s="12">
        <v>150.28</v>
      </c>
      <c r="O73" s="12">
        <v>150.23</v>
      </c>
      <c r="P73" s="12" t="s">
        <v>17</v>
      </c>
      <c r="Q73" s="12" t="s">
        <v>20</v>
      </c>
      <c r="R73" s="6"/>
      <c r="S73" s="6"/>
      <c r="T73" s="6"/>
      <c r="U73" s="6"/>
      <c r="V73" s="6"/>
    </row>
    <row r="74">
      <c r="A74" s="15">
        <v>46235.370817013885</v>
      </c>
      <c r="B74" s="8" t="str">
        <f t="shared" si="1"/>
        <v>146622</v>
      </c>
      <c r="C74" s="10" t="s">
        <v>88</v>
      </c>
      <c r="D74" s="10" t="s">
        <v>32</v>
      </c>
      <c r="E74" s="9"/>
      <c r="F74" s="12" t="s">
        <v>18</v>
      </c>
      <c r="G74" s="12">
        <v>51.13</v>
      </c>
      <c r="H74" s="12">
        <v>46.7</v>
      </c>
      <c r="I74" s="12">
        <v>160.78</v>
      </c>
      <c r="J74" s="12">
        <v>161.54</v>
      </c>
      <c r="K74" s="12" t="s">
        <v>19</v>
      </c>
      <c r="L74" s="12">
        <v>50.69</v>
      </c>
      <c r="M74" s="12">
        <v>46.42</v>
      </c>
      <c r="N74" s="12">
        <v>159.77</v>
      </c>
      <c r="O74" s="12">
        <v>159.66</v>
      </c>
      <c r="P74" s="12" t="s">
        <v>32</v>
      </c>
      <c r="Q74" s="12" t="s">
        <v>20</v>
      </c>
      <c r="R74" s="6"/>
      <c r="S74" s="6"/>
      <c r="T74" s="6"/>
      <c r="U74" s="6"/>
      <c r="V74" s="6"/>
    </row>
    <row r="75">
      <c r="A75" s="15">
        <v>46235.85396807871</v>
      </c>
      <c r="B75" s="8" t="str">
        <f t="shared" si="1"/>
        <v>207671</v>
      </c>
      <c r="C75" s="10" t="s">
        <v>89</v>
      </c>
      <c r="D75" s="10" t="s">
        <v>32</v>
      </c>
      <c r="E75" s="9"/>
      <c r="F75" s="12" t="s">
        <v>18</v>
      </c>
      <c r="G75" s="12">
        <v>52.16</v>
      </c>
      <c r="H75" s="12">
        <v>45.07</v>
      </c>
      <c r="I75" s="12">
        <v>158.11</v>
      </c>
      <c r="J75" s="12">
        <v>157.89</v>
      </c>
      <c r="K75" s="12" t="s">
        <v>19</v>
      </c>
      <c r="L75" s="12">
        <v>51.54</v>
      </c>
      <c r="M75" s="12">
        <v>44.08</v>
      </c>
      <c r="N75" s="12">
        <v>156.05</v>
      </c>
      <c r="O75" s="12">
        <v>156.09</v>
      </c>
      <c r="P75" s="12" t="s">
        <v>32</v>
      </c>
      <c r="Q75" s="12" t="s">
        <v>90</v>
      </c>
      <c r="R75" s="6"/>
      <c r="S75" s="6"/>
      <c r="T75" s="6"/>
      <c r="U75" s="6"/>
      <c r="V75" s="6"/>
    </row>
    <row r="76">
      <c r="A76" s="15">
        <v>46237.73152320602</v>
      </c>
      <c r="B76" s="8" t="str">
        <f t="shared" si="1"/>
        <v>239839</v>
      </c>
      <c r="C76" s="10" t="s">
        <v>91</v>
      </c>
      <c r="D76" s="10" t="s">
        <v>32</v>
      </c>
      <c r="E76" s="9"/>
      <c r="F76" s="12" t="s">
        <v>18</v>
      </c>
      <c r="G76" s="14">
        <v>53.88</v>
      </c>
      <c r="H76" s="14">
        <v>36.27</v>
      </c>
      <c r="I76" s="14">
        <v>154.76</v>
      </c>
      <c r="J76" s="14">
        <v>154.25</v>
      </c>
      <c r="K76" s="12" t="s">
        <v>19</v>
      </c>
      <c r="L76" s="12">
        <v>53.62</v>
      </c>
      <c r="M76" s="12">
        <v>36.13</v>
      </c>
      <c r="N76" s="12">
        <v>153.91</v>
      </c>
      <c r="O76" s="12">
        <v>153.91</v>
      </c>
      <c r="P76" s="12" t="s">
        <v>32</v>
      </c>
      <c r="Q76" s="12" t="s">
        <v>90</v>
      </c>
      <c r="R76" s="6"/>
      <c r="S76" s="6"/>
      <c r="T76" s="6"/>
      <c r="U76" s="6"/>
      <c r="V76" s="6"/>
    </row>
    <row r="77">
      <c r="A77" s="15">
        <v>46238.06397017361</v>
      </c>
      <c r="B77" s="8" t="str">
        <f t="shared" si="1"/>
        <v>234791</v>
      </c>
      <c r="C77" s="10">
        <v>234791.0</v>
      </c>
      <c r="D77" s="10" t="s">
        <v>32</v>
      </c>
      <c r="E77" s="9"/>
      <c r="F77" s="12" t="s">
        <v>35</v>
      </c>
      <c r="G77" s="12">
        <v>51.68</v>
      </c>
      <c r="H77" s="12">
        <v>43.95</v>
      </c>
      <c r="I77" s="12">
        <v>155.13</v>
      </c>
      <c r="J77" s="12">
        <v>155.18</v>
      </c>
      <c r="K77" s="12" t="s">
        <v>19</v>
      </c>
      <c r="L77" s="12">
        <v>50.1</v>
      </c>
      <c r="M77" s="12">
        <v>42.67</v>
      </c>
      <c r="N77" s="12">
        <v>150.28</v>
      </c>
      <c r="O77" s="12">
        <v>150.33</v>
      </c>
      <c r="P77" s="12" t="s">
        <v>32</v>
      </c>
      <c r="Q77" s="12" t="s">
        <v>55</v>
      </c>
      <c r="R77" s="6"/>
      <c r="S77" s="6"/>
      <c r="T77" s="6"/>
      <c r="U77" s="6"/>
      <c r="V77" s="6"/>
    </row>
    <row r="78">
      <c r="A78" s="15">
        <v>46238.68410086806</v>
      </c>
      <c r="B78" s="8" t="str">
        <f t="shared" si="1"/>
        <v>206775</v>
      </c>
      <c r="C78" s="10" t="s">
        <v>92</v>
      </c>
      <c r="D78" s="10" t="s">
        <v>17</v>
      </c>
      <c r="E78" s="9"/>
      <c r="F78" s="12" t="s">
        <v>18</v>
      </c>
      <c r="G78" s="12">
        <v>48.11</v>
      </c>
      <c r="H78" s="12">
        <v>42.43</v>
      </c>
      <c r="I78" s="12">
        <v>146.5</v>
      </c>
      <c r="J78" s="12">
        <v>146.83</v>
      </c>
      <c r="K78" s="12" t="s">
        <v>19</v>
      </c>
      <c r="L78" s="12">
        <v>48.19</v>
      </c>
      <c r="M78" s="12">
        <v>42.79</v>
      </c>
      <c r="N78" s="12">
        <v>147.5</v>
      </c>
      <c r="O78" s="12">
        <v>147.5</v>
      </c>
      <c r="P78" s="12" t="s">
        <v>17</v>
      </c>
      <c r="Q78" s="12" t="s">
        <v>90</v>
      </c>
      <c r="R78" s="6"/>
      <c r="S78" s="6"/>
      <c r="T78" s="6"/>
      <c r="U78" s="6"/>
      <c r="V78" s="6"/>
    </row>
    <row r="79">
      <c r="A79" s="15">
        <v>46238.74898221064</v>
      </c>
      <c r="B79" s="8" t="str">
        <f t="shared" si="1"/>
        <v>241119</v>
      </c>
      <c r="C79" s="10" t="s">
        <v>93</v>
      </c>
      <c r="D79" s="10" t="s">
        <v>32</v>
      </c>
      <c r="E79" s="9"/>
      <c r="F79" s="12" t="s">
        <v>18</v>
      </c>
      <c r="G79" s="12">
        <v>55.64</v>
      </c>
      <c r="H79" s="12">
        <v>39.15</v>
      </c>
      <c r="I79" s="12">
        <v>163.29</v>
      </c>
      <c r="J79" s="12">
        <v>163.37</v>
      </c>
      <c r="K79" s="12" t="s">
        <v>19</v>
      </c>
      <c r="L79" s="12">
        <v>55.59</v>
      </c>
      <c r="M79" s="12">
        <v>38.98</v>
      </c>
      <c r="N79" s="12">
        <v>163.02</v>
      </c>
      <c r="O79" s="12">
        <v>162.71</v>
      </c>
      <c r="P79" s="12" t="s">
        <v>32</v>
      </c>
      <c r="Q79" s="12" t="s">
        <v>90</v>
      </c>
      <c r="R79" s="6"/>
      <c r="S79" s="6"/>
      <c r="T79" s="6"/>
      <c r="U79" s="6"/>
      <c r="V79" s="6"/>
    </row>
    <row r="80">
      <c r="A80" s="8"/>
      <c r="B80" s="8" t="str">
        <f t="shared" si="1"/>
        <v>241079</v>
      </c>
      <c r="C80" s="10" t="s">
        <v>94</v>
      </c>
      <c r="D80" s="10" t="s">
        <v>22</v>
      </c>
      <c r="E80" s="9"/>
      <c r="F80" s="12" t="s">
        <v>18</v>
      </c>
      <c r="G80" s="12">
        <v>53.51</v>
      </c>
      <c r="H80" s="12">
        <v>48.9</v>
      </c>
      <c r="I80" s="12">
        <v>163.34</v>
      </c>
      <c r="J80" s="12">
        <v>163.34</v>
      </c>
      <c r="K80" s="12" t="s">
        <v>19</v>
      </c>
      <c r="L80" s="12">
        <v>59.55</v>
      </c>
      <c r="M80" s="12">
        <v>52.19</v>
      </c>
      <c r="N80" s="12">
        <v>182.13</v>
      </c>
      <c r="O80" s="12">
        <v>181.77</v>
      </c>
      <c r="P80" s="12" t="s">
        <v>22</v>
      </c>
      <c r="Q80" s="12" t="s">
        <v>20</v>
      </c>
      <c r="R80" s="6"/>
      <c r="S80" s="6"/>
      <c r="T80" s="6"/>
      <c r="U80" s="6"/>
      <c r="V80" s="6"/>
    </row>
    <row r="81">
      <c r="A81" s="15">
        <v>46241.72714611111</v>
      </c>
      <c r="B81" s="8" t="str">
        <f t="shared" si="1"/>
        <v>234793</v>
      </c>
      <c r="C81" s="21" t="s">
        <v>95</v>
      </c>
      <c r="D81" s="10" t="s">
        <v>32</v>
      </c>
      <c r="E81" s="9"/>
      <c r="F81" s="12" t="s">
        <v>18</v>
      </c>
      <c r="G81" s="12">
        <v>49.87</v>
      </c>
      <c r="H81" s="12">
        <v>46.87</v>
      </c>
      <c r="I81" s="12">
        <v>158.05</v>
      </c>
      <c r="J81" s="12">
        <v>158.07</v>
      </c>
      <c r="K81" s="12" t="s">
        <v>19</v>
      </c>
      <c r="L81" s="12">
        <v>48.6</v>
      </c>
      <c r="M81" s="12">
        <v>44.4</v>
      </c>
      <c r="N81" s="12">
        <v>152.61</v>
      </c>
      <c r="O81" s="12">
        <v>152.56</v>
      </c>
      <c r="P81" s="12" t="s">
        <v>32</v>
      </c>
      <c r="Q81" s="12" t="s">
        <v>20</v>
      </c>
      <c r="R81" s="6"/>
      <c r="S81" s="6"/>
      <c r="T81" s="6"/>
      <c r="U81" s="6"/>
      <c r="V81" s="6"/>
    </row>
    <row r="82">
      <c r="A82" s="15">
        <v>46241.735082037034</v>
      </c>
      <c r="B82" s="8" t="str">
        <f t="shared" si="1"/>
        <v>146653</v>
      </c>
      <c r="C82" s="10" t="s">
        <v>96</v>
      </c>
      <c r="D82" s="10" t="s">
        <v>17</v>
      </c>
      <c r="E82" s="9"/>
      <c r="F82" s="12" t="s">
        <v>18</v>
      </c>
      <c r="G82" s="12">
        <v>50.65</v>
      </c>
      <c r="H82" s="12">
        <v>35.97</v>
      </c>
      <c r="I82" s="12">
        <v>146.43</v>
      </c>
      <c r="J82" s="12">
        <v>146.43</v>
      </c>
      <c r="K82" s="12" t="s">
        <v>19</v>
      </c>
      <c r="L82" s="12">
        <v>50.74</v>
      </c>
      <c r="M82" s="12">
        <v>36.28</v>
      </c>
      <c r="N82" s="12">
        <v>147.21</v>
      </c>
      <c r="O82" s="12">
        <v>147.71</v>
      </c>
      <c r="P82" s="12" t="s">
        <v>17</v>
      </c>
      <c r="Q82" s="12" t="s">
        <v>20</v>
      </c>
      <c r="R82" s="6"/>
      <c r="S82" s="6"/>
      <c r="T82" s="6"/>
      <c r="U82" s="6"/>
      <c r="V82" s="6"/>
    </row>
    <row r="83">
      <c r="A83" s="15">
        <v>46241.76321252315</v>
      </c>
      <c r="B83" s="8" t="str">
        <f t="shared" si="1"/>
        <v>208272</v>
      </c>
      <c r="C83" s="10" t="s">
        <v>97</v>
      </c>
      <c r="D83" s="10" t="s">
        <v>17</v>
      </c>
      <c r="E83" s="9"/>
      <c r="F83" s="12" t="s">
        <v>18</v>
      </c>
      <c r="G83" s="12">
        <v>50.77</v>
      </c>
      <c r="H83" s="12">
        <v>43.01</v>
      </c>
      <c r="I83" s="12">
        <v>153.74</v>
      </c>
      <c r="J83" s="12">
        <v>153.57</v>
      </c>
      <c r="K83" s="12" t="s">
        <v>19</v>
      </c>
      <c r="L83" s="12">
        <v>50.82</v>
      </c>
      <c r="M83" s="12">
        <v>43.54</v>
      </c>
      <c r="N83" s="12">
        <v>154.76</v>
      </c>
      <c r="O83" s="12">
        <v>154.18</v>
      </c>
      <c r="P83" s="12" t="s">
        <v>17</v>
      </c>
      <c r="Q83" s="12" t="s">
        <v>20</v>
      </c>
      <c r="R83" s="6"/>
      <c r="S83" s="6"/>
      <c r="T83" s="6"/>
      <c r="U83" s="6"/>
      <c r="V83" s="6"/>
    </row>
    <row r="84">
      <c r="A84" s="15">
        <v>46241.77522848379</v>
      </c>
      <c r="B84" s="8" t="str">
        <f t="shared" si="1"/>
        <v>241854</v>
      </c>
      <c r="C84" s="10" t="s">
        <v>98</v>
      </c>
      <c r="D84" s="10" t="s">
        <v>17</v>
      </c>
      <c r="E84" s="9"/>
      <c r="F84" s="12" t="s">
        <v>18</v>
      </c>
      <c r="G84" s="12">
        <v>50.47</v>
      </c>
      <c r="H84" s="12">
        <v>39.96</v>
      </c>
      <c r="I84" s="12">
        <v>152.29</v>
      </c>
      <c r="J84" s="12">
        <v>153.33</v>
      </c>
      <c r="K84" s="12" t="s">
        <v>19</v>
      </c>
      <c r="L84" s="12">
        <v>50.75</v>
      </c>
      <c r="M84" s="12">
        <v>40.12</v>
      </c>
      <c r="N84" s="12">
        <v>153.02</v>
      </c>
      <c r="O84" s="12">
        <v>153.79</v>
      </c>
      <c r="P84" s="12" t="s">
        <v>17</v>
      </c>
      <c r="Q84" s="12" t="s">
        <v>20</v>
      </c>
      <c r="R84" s="6"/>
      <c r="S84" s="6"/>
      <c r="T84" s="6"/>
      <c r="U84" s="6"/>
      <c r="V84" s="6"/>
    </row>
    <row r="85">
      <c r="A85" s="15">
        <v>46241.79420106481</v>
      </c>
      <c r="B85" s="8" t="str">
        <f t="shared" si="1"/>
        <v>227606</v>
      </c>
      <c r="C85" s="10" t="s">
        <v>99</v>
      </c>
      <c r="D85" s="10" t="s">
        <v>77</v>
      </c>
      <c r="E85" s="9"/>
      <c r="F85" s="12" t="s">
        <v>18</v>
      </c>
      <c r="G85" s="12">
        <v>51.35</v>
      </c>
      <c r="H85" s="12">
        <v>34.38</v>
      </c>
      <c r="I85" s="12">
        <v>148.06</v>
      </c>
      <c r="J85" s="12">
        <v>147.84</v>
      </c>
      <c r="K85" s="12" t="s">
        <v>19</v>
      </c>
      <c r="L85" s="12">
        <v>51.45</v>
      </c>
      <c r="M85" s="12">
        <v>34.45</v>
      </c>
      <c r="N85" s="12">
        <v>148.35</v>
      </c>
      <c r="O85" s="12">
        <v>148.05</v>
      </c>
      <c r="P85" s="12" t="s">
        <v>17</v>
      </c>
      <c r="Q85" s="12" t="s">
        <v>20</v>
      </c>
      <c r="R85" s="6"/>
      <c r="S85" s="6"/>
      <c r="T85" s="6"/>
      <c r="U85" s="6"/>
      <c r="V85" s="6"/>
    </row>
    <row r="86">
      <c r="A86" s="15">
        <v>46241.8477591088</v>
      </c>
      <c r="B86" s="8" t="str">
        <f t="shared" si="1"/>
        <v>210433</v>
      </c>
      <c r="C86" s="10" t="s">
        <v>100</v>
      </c>
      <c r="D86" s="9"/>
      <c r="E86" s="9"/>
      <c r="F86" s="12" t="s">
        <v>18</v>
      </c>
      <c r="G86" s="12">
        <v>52.33</v>
      </c>
      <c r="H86" s="12">
        <v>34.77</v>
      </c>
      <c r="I86" s="12">
        <v>147.53</v>
      </c>
      <c r="J86" s="12">
        <v>147.53</v>
      </c>
      <c r="K86" s="12" t="s">
        <v>19</v>
      </c>
      <c r="L86" s="12">
        <v>52.41</v>
      </c>
      <c r="M86" s="12">
        <v>34.85</v>
      </c>
      <c r="N86" s="12">
        <v>147.77</v>
      </c>
      <c r="O86" s="12">
        <v>147.85</v>
      </c>
      <c r="P86" s="8"/>
      <c r="Q86" s="12" t="s">
        <v>20</v>
      </c>
      <c r="R86" s="6"/>
      <c r="S86" s="6"/>
      <c r="T86" s="6"/>
      <c r="U86" s="6"/>
      <c r="V86" s="6"/>
    </row>
    <row r="87">
      <c r="A87" s="15">
        <v>46241.850543657405</v>
      </c>
      <c r="B87" s="8" t="str">
        <f t="shared" si="1"/>
        <v>134951</v>
      </c>
      <c r="C87" s="10" t="s">
        <v>101</v>
      </c>
      <c r="D87" s="10" t="s">
        <v>17</v>
      </c>
      <c r="E87" s="9"/>
      <c r="F87" s="12" t="s">
        <v>35</v>
      </c>
      <c r="G87" s="12">
        <v>56.47</v>
      </c>
      <c r="H87" s="12">
        <v>45.52</v>
      </c>
      <c r="I87" s="12">
        <v>170.0</v>
      </c>
      <c r="J87" s="12">
        <v>170.0</v>
      </c>
      <c r="K87" s="12" t="s">
        <v>19</v>
      </c>
      <c r="L87" s="12">
        <v>56.39</v>
      </c>
      <c r="M87" s="12">
        <v>45.52</v>
      </c>
      <c r="N87" s="12">
        <v>169.94</v>
      </c>
      <c r="O87" s="12">
        <v>169.94</v>
      </c>
      <c r="P87" s="12" t="s">
        <v>17</v>
      </c>
      <c r="Q87" s="12" t="s">
        <v>20</v>
      </c>
      <c r="R87" s="6"/>
      <c r="S87" s="6"/>
      <c r="T87" s="6"/>
      <c r="U87" s="6"/>
      <c r="V87" s="6"/>
    </row>
    <row r="88">
      <c r="A88" s="15">
        <v>46241.85187358796</v>
      </c>
      <c r="B88" s="8" t="str">
        <f t="shared" si="1"/>
        <v>204392</v>
      </c>
      <c r="C88" s="10" t="s">
        <v>102</v>
      </c>
      <c r="D88" s="10" t="s">
        <v>17</v>
      </c>
      <c r="E88" s="9"/>
      <c r="F88" s="12" t="s">
        <v>18</v>
      </c>
      <c r="G88" s="12">
        <v>43.94</v>
      </c>
      <c r="H88" s="12">
        <v>36.74</v>
      </c>
      <c r="I88" s="12">
        <v>129.92</v>
      </c>
      <c r="J88" s="12">
        <v>129.44</v>
      </c>
      <c r="K88" s="12" t="s">
        <v>19</v>
      </c>
      <c r="L88" s="12">
        <v>44.17</v>
      </c>
      <c r="M88" s="12">
        <v>36.93</v>
      </c>
      <c r="N88" s="12">
        <v>130.77</v>
      </c>
      <c r="O88" s="12">
        <v>130.34</v>
      </c>
      <c r="P88" s="12" t="s">
        <v>17</v>
      </c>
      <c r="Q88" s="12" t="s">
        <v>20</v>
      </c>
      <c r="R88" s="6"/>
      <c r="S88" s="6"/>
      <c r="T88" s="6"/>
      <c r="U88" s="6"/>
      <c r="V88" s="6"/>
    </row>
    <row r="89">
      <c r="A89" s="15">
        <v>46241.854465069446</v>
      </c>
      <c r="B89" s="8" t="str">
        <f t="shared" si="1"/>
        <v>227571</v>
      </c>
      <c r="C89" s="10" t="s">
        <v>82</v>
      </c>
      <c r="D89" s="10" t="s">
        <v>17</v>
      </c>
      <c r="E89" s="9"/>
      <c r="F89" s="12" t="s">
        <v>18</v>
      </c>
      <c r="G89" s="12">
        <v>50.5</v>
      </c>
      <c r="H89" s="12">
        <v>42.2</v>
      </c>
      <c r="I89" s="12">
        <v>153.89</v>
      </c>
      <c r="J89" s="12">
        <v>152.71</v>
      </c>
      <c r="K89" s="12" t="s">
        <v>19</v>
      </c>
      <c r="L89" s="12">
        <v>50.55</v>
      </c>
      <c r="M89" s="12">
        <v>42.73</v>
      </c>
      <c r="N89" s="12">
        <v>154.75</v>
      </c>
      <c r="O89" s="12">
        <v>154.31</v>
      </c>
      <c r="P89" s="12" t="s">
        <v>17</v>
      </c>
      <c r="Q89" s="12" t="s">
        <v>20</v>
      </c>
      <c r="R89" s="6"/>
      <c r="S89" s="6"/>
      <c r="T89" s="6"/>
      <c r="U89" s="6"/>
      <c r="V89" s="6"/>
    </row>
    <row r="90">
      <c r="A90" s="15">
        <v>46241.860622962966</v>
      </c>
      <c r="B90" s="8" t="str">
        <f t="shared" si="1"/>
        <v>240000</v>
      </c>
      <c r="C90" s="10" t="s">
        <v>103</v>
      </c>
      <c r="D90" s="10" t="s">
        <v>17</v>
      </c>
      <c r="E90" s="9"/>
      <c r="F90" s="12" t="s">
        <v>35</v>
      </c>
      <c r="G90" s="12">
        <v>56.38</v>
      </c>
      <c r="H90" s="12">
        <v>44.79</v>
      </c>
      <c r="I90" s="12">
        <v>168.86</v>
      </c>
      <c r="J90" s="12">
        <v>168.86</v>
      </c>
      <c r="K90" s="12" t="s">
        <v>19</v>
      </c>
      <c r="L90" s="12">
        <v>57.29</v>
      </c>
      <c r="M90" s="12">
        <v>44.8</v>
      </c>
      <c r="N90" s="12">
        <v>170.23</v>
      </c>
      <c r="O90" s="12">
        <v>170.23</v>
      </c>
      <c r="P90" s="12" t="s">
        <v>17</v>
      </c>
      <c r="Q90" s="12" t="s">
        <v>20</v>
      </c>
      <c r="R90" s="6"/>
      <c r="S90" s="6"/>
      <c r="T90" s="6"/>
      <c r="U90" s="6"/>
      <c r="V90" s="6"/>
    </row>
    <row r="91">
      <c r="A91" s="15">
        <v>46241.86298670139</v>
      </c>
      <c r="B91" s="8" t="str">
        <f t="shared" si="1"/>
        <v>241119</v>
      </c>
      <c r="C91" s="10" t="s">
        <v>104</v>
      </c>
      <c r="D91" s="10" t="s">
        <v>32</v>
      </c>
      <c r="E91" s="9"/>
      <c r="F91" s="8"/>
      <c r="G91" s="12">
        <v>55.83</v>
      </c>
      <c r="H91" s="12">
        <v>39.11</v>
      </c>
      <c r="I91" s="12">
        <v>164.12</v>
      </c>
      <c r="J91" s="12">
        <v>164.48</v>
      </c>
      <c r="K91" s="8"/>
      <c r="L91" s="12">
        <v>55.76</v>
      </c>
      <c r="M91" s="12">
        <v>39.05</v>
      </c>
      <c r="N91" s="12">
        <v>162.63</v>
      </c>
      <c r="O91" s="12">
        <v>163.21</v>
      </c>
      <c r="P91" s="12" t="s">
        <v>17</v>
      </c>
      <c r="Q91" s="8"/>
      <c r="R91" s="6"/>
      <c r="S91" s="6"/>
      <c r="T91" s="6"/>
      <c r="U91" s="6"/>
      <c r="V91" s="6"/>
    </row>
    <row r="92">
      <c r="A92" s="15">
        <v>46241.86927969907</v>
      </c>
      <c r="B92" s="8" t="str">
        <f t="shared" si="1"/>
        <v>219826</v>
      </c>
      <c r="C92" s="10" t="s">
        <v>105</v>
      </c>
      <c r="D92" s="9"/>
      <c r="E92" s="9"/>
      <c r="F92" s="8"/>
      <c r="G92" s="12">
        <v>53.93</v>
      </c>
      <c r="H92" s="12">
        <v>41.65</v>
      </c>
      <c r="I92" s="12">
        <v>159.46</v>
      </c>
      <c r="J92" s="12">
        <v>159.29</v>
      </c>
      <c r="K92" s="8"/>
      <c r="L92" s="12">
        <v>54.0</v>
      </c>
      <c r="M92" s="12">
        <v>41.71</v>
      </c>
      <c r="N92" s="12">
        <v>159.45</v>
      </c>
      <c r="O92" s="12">
        <v>159.31</v>
      </c>
      <c r="P92" s="12" t="s">
        <v>32</v>
      </c>
      <c r="Q92" s="8"/>
      <c r="R92" s="6"/>
      <c r="S92" s="6"/>
      <c r="T92" s="6"/>
      <c r="U92" s="6"/>
      <c r="V92" s="6"/>
    </row>
    <row r="93">
      <c r="A93" s="15">
        <v>46241.8748221412</v>
      </c>
      <c r="B93" s="8" t="str">
        <f t="shared" si="1"/>
        <v>210178</v>
      </c>
      <c r="C93" s="22" t="s">
        <v>106</v>
      </c>
      <c r="D93" s="9"/>
      <c r="E93" s="9"/>
      <c r="F93" s="8"/>
      <c r="G93" s="12">
        <v>56.83</v>
      </c>
      <c r="H93" s="12">
        <v>37.2</v>
      </c>
      <c r="I93" s="12">
        <v>159.63</v>
      </c>
      <c r="J93" s="12">
        <v>159.63</v>
      </c>
      <c r="K93" s="12" t="s">
        <v>107</v>
      </c>
      <c r="L93" s="12">
        <v>56.5</v>
      </c>
      <c r="M93" s="12">
        <v>36.9</v>
      </c>
      <c r="N93" s="12">
        <v>158.55</v>
      </c>
      <c r="O93" s="12">
        <v>158.88</v>
      </c>
      <c r="P93" s="8"/>
      <c r="Q93" s="8"/>
      <c r="R93" s="6"/>
      <c r="S93" s="6"/>
      <c r="T93" s="6"/>
      <c r="U93" s="6"/>
      <c r="V93" s="6"/>
    </row>
    <row r="94">
      <c r="A94" s="15">
        <v>46241.87966979167</v>
      </c>
      <c r="B94" s="8" t="str">
        <f t="shared" si="1"/>
        <v>241075</v>
      </c>
      <c r="C94" s="23" t="s">
        <v>108</v>
      </c>
      <c r="D94" s="9"/>
      <c r="E94" s="9"/>
      <c r="F94" s="8"/>
      <c r="G94" s="12">
        <v>58.12</v>
      </c>
      <c r="H94" s="12">
        <v>42.12</v>
      </c>
      <c r="I94" s="12">
        <v>171.95</v>
      </c>
      <c r="J94" s="12">
        <v>171.97</v>
      </c>
      <c r="K94" s="8"/>
      <c r="L94" s="12">
        <v>58.05</v>
      </c>
      <c r="M94" s="12">
        <v>42.05</v>
      </c>
      <c r="N94" s="12">
        <v>171.1</v>
      </c>
      <c r="O94" s="12">
        <v>171.01</v>
      </c>
      <c r="P94" s="8"/>
      <c r="Q94" s="8"/>
      <c r="R94" s="6"/>
      <c r="S94" s="6"/>
      <c r="T94" s="6"/>
      <c r="U94" s="6"/>
      <c r="V94" s="6"/>
    </row>
    <row r="95">
      <c r="A95" s="15">
        <v>46241.87973983797</v>
      </c>
      <c r="B95" s="8" t="str">
        <f t="shared" si="1"/>
        <v>147021</v>
      </c>
      <c r="C95" s="23" t="s">
        <v>109</v>
      </c>
      <c r="D95" s="9"/>
      <c r="E95" s="9"/>
      <c r="F95" s="8"/>
      <c r="G95" s="12">
        <v>57.0</v>
      </c>
      <c r="H95" s="12">
        <v>45.74</v>
      </c>
      <c r="I95" s="12">
        <v>170.33</v>
      </c>
      <c r="J95" s="12">
        <v>170.52</v>
      </c>
      <c r="K95" s="8"/>
      <c r="L95" s="12">
        <v>56.8</v>
      </c>
      <c r="M95" s="12">
        <v>45.55</v>
      </c>
      <c r="N95" s="12">
        <v>169.25</v>
      </c>
      <c r="O95" s="12">
        <v>169.33</v>
      </c>
      <c r="P95" s="8"/>
      <c r="Q95" s="8"/>
      <c r="R95" s="6"/>
      <c r="S95" s="6"/>
      <c r="T95" s="6"/>
      <c r="U95" s="6"/>
      <c r="V95" s="6"/>
    </row>
    <row r="96">
      <c r="A96" s="15">
        <v>46241.882028113425</v>
      </c>
      <c r="B96" s="8" t="str">
        <f t="shared" si="1"/>
        <v>239021</v>
      </c>
      <c r="C96" s="22" t="s">
        <v>110</v>
      </c>
      <c r="D96" s="9"/>
      <c r="E96" s="9"/>
      <c r="F96" s="8"/>
      <c r="G96" s="12">
        <v>52.4</v>
      </c>
      <c r="H96" s="12">
        <v>42.41</v>
      </c>
      <c r="I96" s="12">
        <v>154.64</v>
      </c>
      <c r="J96" s="12">
        <v>154.56</v>
      </c>
      <c r="K96" s="8"/>
      <c r="L96" s="12">
        <v>52.2</v>
      </c>
      <c r="M96" s="12">
        <v>42.2</v>
      </c>
      <c r="N96" s="12">
        <v>154.01</v>
      </c>
      <c r="O96" s="12">
        <v>153.65</v>
      </c>
      <c r="P96" s="8"/>
      <c r="Q96" s="8"/>
      <c r="R96" s="6"/>
      <c r="S96" s="6"/>
      <c r="T96" s="6"/>
      <c r="U96" s="6"/>
      <c r="V96" s="6"/>
    </row>
    <row r="97">
      <c r="A97" s="15">
        <v>46241.907071180554</v>
      </c>
      <c r="B97" s="8" t="str">
        <f t="shared" si="1"/>
        <v>137971</v>
      </c>
      <c r="C97" s="23" t="s">
        <v>111</v>
      </c>
      <c r="D97" s="9"/>
      <c r="E97" s="9"/>
      <c r="F97" s="8"/>
      <c r="G97" s="12">
        <v>52.45</v>
      </c>
      <c r="H97" s="12">
        <v>43.84</v>
      </c>
      <c r="I97" s="12">
        <v>157.31</v>
      </c>
      <c r="J97" s="12">
        <v>157.51</v>
      </c>
      <c r="K97" s="8"/>
      <c r="L97" s="12">
        <v>52.39</v>
      </c>
      <c r="M97" s="12">
        <v>43.8</v>
      </c>
      <c r="N97" s="12">
        <v>157.0</v>
      </c>
      <c r="O97" s="12">
        <v>157.09</v>
      </c>
      <c r="P97" s="8"/>
      <c r="Q97" s="8"/>
      <c r="R97" s="6"/>
      <c r="S97" s="6"/>
      <c r="T97" s="6"/>
      <c r="U97" s="6"/>
      <c r="V97" s="6"/>
    </row>
    <row r="98">
      <c r="A98" s="15">
        <v>46241.91401813657</v>
      </c>
      <c r="B98" s="8" t="str">
        <f t="shared" si="1"/>
        <v>235299</v>
      </c>
      <c r="C98" s="22" t="s">
        <v>112</v>
      </c>
      <c r="D98" s="10" t="s">
        <v>17</v>
      </c>
      <c r="E98" s="9"/>
      <c r="F98" s="8"/>
      <c r="G98" s="12">
        <v>51.14</v>
      </c>
      <c r="H98" s="12">
        <v>40.96</v>
      </c>
      <c r="I98" s="12">
        <v>155.27</v>
      </c>
      <c r="J98" s="12">
        <v>155.43</v>
      </c>
      <c r="K98" s="8"/>
      <c r="L98" s="12">
        <v>51.3</v>
      </c>
      <c r="M98" s="12">
        <v>41.05</v>
      </c>
      <c r="N98" s="12">
        <v>155.69</v>
      </c>
      <c r="O98" s="12">
        <v>155.79</v>
      </c>
      <c r="P98" s="8"/>
      <c r="Q98" s="8"/>
      <c r="R98" s="6"/>
      <c r="S98" s="6"/>
      <c r="T98" s="6"/>
      <c r="U98" s="6"/>
      <c r="V98" s="6"/>
    </row>
    <row r="99">
      <c r="A99" s="8"/>
      <c r="B99" s="8" t="str">
        <f t="shared" si="1"/>
        <v>#REF!</v>
      </c>
      <c r="C99" s="9" t="str">
        <f t="shared" ref="C99:C101" si="2">#REF!&amp;"."&amp;#REF!</f>
        <v>#REF!</v>
      </c>
      <c r="D99" s="9"/>
      <c r="E99" s="9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6"/>
      <c r="S99" s="6"/>
      <c r="T99" s="6"/>
      <c r="U99" s="6"/>
      <c r="V99" s="6"/>
    </row>
    <row r="100">
      <c r="A100" s="8"/>
      <c r="B100" s="8" t="str">
        <f t="shared" si="1"/>
        <v>#REF!</v>
      </c>
      <c r="C100" s="9" t="str">
        <f t="shared" si="2"/>
        <v>#REF!</v>
      </c>
      <c r="D100" s="9"/>
      <c r="E100" s="9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6"/>
      <c r="S100" s="6"/>
      <c r="T100" s="6"/>
      <c r="U100" s="6"/>
      <c r="V100" s="6"/>
    </row>
    <row r="101">
      <c r="A101" s="8"/>
      <c r="B101" s="8" t="str">
        <f t="shared" si="1"/>
        <v>#REF!</v>
      </c>
      <c r="C101" s="9" t="str">
        <f t="shared" si="2"/>
        <v>#REF!</v>
      </c>
      <c r="D101" s="9"/>
      <c r="E101" s="9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6"/>
      <c r="S101" s="6"/>
      <c r="T101" s="6"/>
      <c r="U101" s="6"/>
      <c r="V101" s="6"/>
    </row>
    <row r="102">
      <c r="A102" s="15">
        <v>46241.905359571756</v>
      </c>
      <c r="B102" s="8" t="str">
        <f t="shared" si="1"/>
        <v>148908</v>
      </c>
      <c r="C102" s="10" t="s">
        <v>113</v>
      </c>
      <c r="D102" s="9"/>
      <c r="E102" s="9"/>
      <c r="F102" s="12" t="s">
        <v>18</v>
      </c>
      <c r="G102" s="12">
        <v>49.53</v>
      </c>
      <c r="H102" s="12">
        <v>38.98</v>
      </c>
      <c r="I102" s="12">
        <v>146.86</v>
      </c>
      <c r="J102" s="12">
        <v>146.92</v>
      </c>
      <c r="K102" s="12" t="s">
        <v>107</v>
      </c>
      <c r="L102" s="12">
        <v>49.35</v>
      </c>
      <c r="M102" s="12">
        <v>38.7</v>
      </c>
      <c r="N102" s="12">
        <v>146.02</v>
      </c>
      <c r="O102" s="12">
        <v>156.41</v>
      </c>
      <c r="P102" s="8"/>
      <c r="Q102" s="12" t="s">
        <v>20</v>
      </c>
      <c r="R102" s="6"/>
      <c r="S102" s="6"/>
      <c r="T102" s="6"/>
      <c r="U102" s="6"/>
      <c r="V102" s="6"/>
    </row>
    <row r="103">
      <c r="A103" s="8"/>
      <c r="B103" s="8" t="str">
        <f t="shared" si="1"/>
        <v>217644</v>
      </c>
      <c r="C103" s="22" t="s">
        <v>114</v>
      </c>
      <c r="D103" s="9"/>
      <c r="E103" s="9"/>
      <c r="F103" s="12" t="s">
        <v>18</v>
      </c>
      <c r="G103" s="12">
        <v>50.92</v>
      </c>
      <c r="H103" s="12">
        <v>35.87</v>
      </c>
      <c r="I103" s="12">
        <v>141.78</v>
      </c>
      <c r="J103" s="12">
        <v>141.74</v>
      </c>
      <c r="K103" s="12" t="s">
        <v>107</v>
      </c>
      <c r="L103" s="12">
        <v>50.72</v>
      </c>
      <c r="M103" s="12">
        <v>35.67</v>
      </c>
      <c r="N103" s="12">
        <v>141.12</v>
      </c>
      <c r="O103" s="12">
        <v>141.18</v>
      </c>
      <c r="P103" s="8"/>
      <c r="Q103" s="12" t="s">
        <v>20</v>
      </c>
      <c r="R103" s="6"/>
      <c r="S103" s="6"/>
      <c r="T103" s="6"/>
      <c r="U103" s="6"/>
      <c r="V103" s="6"/>
    </row>
    <row r="104">
      <c r="A104" s="15">
        <v>46241.908999293984</v>
      </c>
      <c r="B104" s="8" t="str">
        <f t="shared" si="1"/>
        <v>207551</v>
      </c>
      <c r="C104" s="22" t="s">
        <v>115</v>
      </c>
      <c r="D104" s="9"/>
      <c r="E104" s="9"/>
      <c r="F104" s="12" t="s">
        <v>18</v>
      </c>
      <c r="G104" s="12">
        <v>56.6</v>
      </c>
      <c r="H104" s="12">
        <v>36.94</v>
      </c>
      <c r="I104" s="12">
        <v>159.36</v>
      </c>
      <c r="J104" s="12">
        <v>159.24</v>
      </c>
      <c r="K104" s="12" t="s">
        <v>107</v>
      </c>
      <c r="L104" s="12">
        <v>56.4</v>
      </c>
      <c r="M104" s="12">
        <v>36.7</v>
      </c>
      <c r="N104" s="12">
        <v>158.25</v>
      </c>
      <c r="O104" s="12">
        <v>158.1</v>
      </c>
      <c r="P104" s="8"/>
      <c r="Q104" s="12" t="s">
        <v>20</v>
      </c>
      <c r="R104" s="6"/>
      <c r="S104" s="6"/>
      <c r="T104" s="6"/>
      <c r="U104" s="6"/>
      <c r="V104" s="6"/>
    </row>
    <row r="105">
      <c r="A105" s="15">
        <v>46241.91238380787</v>
      </c>
      <c r="B105" s="8" t="str">
        <f t="shared" si="1"/>
        <v>237932</v>
      </c>
      <c r="C105" s="10" t="s">
        <v>116</v>
      </c>
      <c r="D105" s="9"/>
      <c r="E105" s="9"/>
      <c r="F105" s="12" t="s">
        <v>18</v>
      </c>
      <c r="G105" s="12">
        <v>47.31</v>
      </c>
      <c r="H105" s="12">
        <v>43.4</v>
      </c>
      <c r="I105" s="12">
        <v>146.43</v>
      </c>
      <c r="J105" s="12">
        <v>146.95</v>
      </c>
      <c r="K105" s="12" t="s">
        <v>107</v>
      </c>
      <c r="L105" s="12">
        <v>47.5</v>
      </c>
      <c r="M105" s="12">
        <v>43.6</v>
      </c>
      <c r="N105" s="12">
        <v>147.08</v>
      </c>
      <c r="O105" s="12">
        <v>147.61</v>
      </c>
      <c r="P105" s="8"/>
      <c r="Q105" s="12" t="s">
        <v>20</v>
      </c>
      <c r="R105" s="6"/>
      <c r="S105" s="6"/>
      <c r="T105" s="6"/>
      <c r="U105" s="6"/>
      <c r="V105" s="6"/>
    </row>
    <row r="106">
      <c r="A106" s="15">
        <v>46241.91523828704</v>
      </c>
      <c r="B106" s="8" t="str">
        <f t="shared" si="1"/>
        <v>219830</v>
      </c>
      <c r="C106" s="22" t="s">
        <v>117</v>
      </c>
      <c r="D106" s="9"/>
      <c r="E106" s="9"/>
      <c r="F106" s="12" t="s">
        <v>18</v>
      </c>
      <c r="G106" s="12">
        <v>52.96</v>
      </c>
      <c r="H106" s="12">
        <v>40.1</v>
      </c>
      <c r="I106" s="12">
        <v>156.27</v>
      </c>
      <c r="J106" s="12">
        <v>156.29</v>
      </c>
      <c r="K106" s="12" t="s">
        <v>107</v>
      </c>
      <c r="L106" s="12">
        <v>52.75</v>
      </c>
      <c r="M106" s="12">
        <v>39.9</v>
      </c>
      <c r="N106" s="12">
        <v>155.44</v>
      </c>
      <c r="O106" s="12">
        <v>155.17</v>
      </c>
      <c r="P106" s="8"/>
      <c r="Q106" s="12" t="s">
        <v>20</v>
      </c>
      <c r="R106" s="6"/>
      <c r="S106" s="6"/>
      <c r="T106" s="6"/>
      <c r="U106" s="6"/>
      <c r="V106" s="6"/>
    </row>
    <row r="107">
      <c r="A107" s="15">
        <v>46241.91742092592</v>
      </c>
      <c r="B107" s="8" t="str">
        <f t="shared" si="1"/>
        <v>219952</v>
      </c>
      <c r="C107" s="23" t="s">
        <v>118</v>
      </c>
      <c r="D107" s="9"/>
      <c r="E107" s="9"/>
      <c r="F107" s="12" t="s">
        <v>18</v>
      </c>
      <c r="G107" s="12">
        <v>49.72</v>
      </c>
      <c r="H107" s="12">
        <v>40.3</v>
      </c>
      <c r="I107" s="12">
        <v>148.61</v>
      </c>
      <c r="J107" s="12">
        <v>148.61</v>
      </c>
      <c r="K107" s="12" t="s">
        <v>107</v>
      </c>
      <c r="L107" s="12">
        <v>49.62</v>
      </c>
      <c r="M107" s="12">
        <v>40.1</v>
      </c>
      <c r="N107" s="12">
        <v>148.18</v>
      </c>
      <c r="O107" s="12">
        <v>148.13</v>
      </c>
      <c r="P107" s="8"/>
      <c r="Q107" s="12" t="s">
        <v>20</v>
      </c>
      <c r="R107" s="6"/>
      <c r="S107" s="6"/>
      <c r="T107" s="6"/>
      <c r="U107" s="6"/>
      <c r="V107" s="6"/>
    </row>
    <row r="108">
      <c r="A108" s="15">
        <v>46242.0</v>
      </c>
      <c r="B108" s="8" t="str">
        <f t="shared" si="1"/>
        <v>242206</v>
      </c>
      <c r="C108" s="23" t="s">
        <v>119</v>
      </c>
      <c r="D108" s="10" t="s">
        <v>120</v>
      </c>
      <c r="E108" s="9"/>
      <c r="F108" s="12" t="s">
        <v>18</v>
      </c>
      <c r="G108" s="24">
        <v>56.5</v>
      </c>
      <c r="H108" s="24">
        <v>36.3</v>
      </c>
      <c r="I108" s="24">
        <v>157.52</v>
      </c>
      <c r="J108" s="24">
        <v>156.69</v>
      </c>
      <c r="K108" s="12" t="s">
        <v>19</v>
      </c>
      <c r="L108" s="12">
        <v>56.81</v>
      </c>
      <c r="M108" s="12">
        <v>36.38</v>
      </c>
      <c r="N108" s="12">
        <v>158.55</v>
      </c>
      <c r="O108" s="12">
        <v>158.55</v>
      </c>
      <c r="P108" s="8"/>
      <c r="Q108" s="12" t="s">
        <v>90</v>
      </c>
      <c r="R108" s="6"/>
      <c r="S108" s="6"/>
      <c r="T108" s="6"/>
      <c r="U108" s="6"/>
      <c r="V108" s="6"/>
    </row>
    <row r="109">
      <c r="A109" s="15">
        <v>46242.54480275463</v>
      </c>
      <c r="B109" s="8" t="str">
        <f t="shared" si="1"/>
        <v>236092</v>
      </c>
      <c r="C109" s="10" t="s">
        <v>121</v>
      </c>
      <c r="D109" s="10" t="s">
        <v>120</v>
      </c>
      <c r="E109" s="9"/>
      <c r="F109" s="12" t="s">
        <v>18</v>
      </c>
      <c r="G109" s="12">
        <v>50.52</v>
      </c>
      <c r="H109" s="12">
        <v>43.24</v>
      </c>
      <c r="I109" s="12">
        <v>152.11</v>
      </c>
      <c r="J109" s="12">
        <v>151.78</v>
      </c>
      <c r="K109" s="12" t="s">
        <v>19</v>
      </c>
      <c r="L109" s="12">
        <v>49.49</v>
      </c>
      <c r="M109" s="12">
        <v>41.61</v>
      </c>
      <c r="N109" s="12">
        <v>147.97</v>
      </c>
      <c r="O109" s="12">
        <v>149.06</v>
      </c>
      <c r="P109" s="8"/>
      <c r="Q109" s="12" t="s">
        <v>90</v>
      </c>
      <c r="R109" s="6"/>
      <c r="S109" s="6"/>
      <c r="T109" s="6"/>
      <c r="U109" s="6"/>
      <c r="V109" s="6"/>
    </row>
    <row r="110">
      <c r="A110" s="15"/>
      <c r="B110" s="8" t="str">
        <f t="shared" si="1"/>
        <v/>
      </c>
      <c r="C110" s="21"/>
      <c r="D110" s="10"/>
      <c r="E110" s="9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8"/>
      <c r="Q110" s="12"/>
      <c r="R110" s="6"/>
      <c r="S110" s="6"/>
      <c r="T110" s="6"/>
      <c r="U110" s="6"/>
      <c r="V110" s="6"/>
    </row>
    <row r="111">
      <c r="A111" s="15">
        <v>46243.0</v>
      </c>
      <c r="B111" s="8" t="str">
        <f t="shared" si="1"/>
        <v>148908</v>
      </c>
      <c r="C111" s="10" t="s">
        <v>113</v>
      </c>
      <c r="D111" s="10" t="s">
        <v>120</v>
      </c>
      <c r="E111" s="9"/>
      <c r="F111" s="12" t="s">
        <v>18</v>
      </c>
      <c r="G111" s="12">
        <v>49.53</v>
      </c>
      <c r="H111" s="12">
        <v>38.98</v>
      </c>
      <c r="I111" s="12">
        <v>146.86</v>
      </c>
      <c r="J111" s="12">
        <v>146.92</v>
      </c>
      <c r="K111" s="12" t="s">
        <v>19</v>
      </c>
      <c r="L111" s="12">
        <v>49.45</v>
      </c>
      <c r="M111" s="12">
        <v>38.56</v>
      </c>
      <c r="N111" s="12">
        <v>145.96</v>
      </c>
      <c r="O111" s="12">
        <v>146.3</v>
      </c>
      <c r="P111" s="8"/>
      <c r="Q111" s="12" t="s">
        <v>90</v>
      </c>
      <c r="R111" s="6"/>
      <c r="S111" s="6"/>
      <c r="T111" s="6"/>
      <c r="U111" s="6"/>
      <c r="V111" s="6"/>
    </row>
    <row r="112">
      <c r="A112" s="15">
        <v>46243.51264194444</v>
      </c>
      <c r="B112" s="8" t="str">
        <f t="shared" si="1"/>
        <v>241119</v>
      </c>
      <c r="C112" s="22" t="s">
        <v>122</v>
      </c>
      <c r="D112" s="10" t="s">
        <v>120</v>
      </c>
      <c r="E112" s="9"/>
      <c r="F112" s="8"/>
      <c r="G112" s="12">
        <v>56.0</v>
      </c>
      <c r="H112" s="12">
        <v>39.53</v>
      </c>
      <c r="I112" s="12">
        <v>164.5</v>
      </c>
      <c r="J112" s="12">
        <v>163.84</v>
      </c>
      <c r="K112" s="8"/>
      <c r="L112" s="12">
        <v>55.9</v>
      </c>
      <c r="M112" s="12">
        <v>39.45</v>
      </c>
      <c r="N112" s="12">
        <v>164.9</v>
      </c>
      <c r="O112" s="12">
        <v>163.57</v>
      </c>
      <c r="P112" s="8"/>
      <c r="Q112" s="8"/>
      <c r="R112" s="6"/>
      <c r="S112" s="6"/>
      <c r="T112" s="6"/>
      <c r="U112" s="6"/>
      <c r="V112" s="6"/>
    </row>
    <row r="113">
      <c r="A113" s="15">
        <v>46243.513806504634</v>
      </c>
      <c r="B113" s="8" t="str">
        <f t="shared" si="1"/>
        <v>242911</v>
      </c>
      <c r="C113" s="23" t="s">
        <v>123</v>
      </c>
      <c r="D113" s="10" t="s">
        <v>124</v>
      </c>
      <c r="E113" s="9"/>
      <c r="F113" s="8"/>
      <c r="G113" s="12">
        <v>58.17</v>
      </c>
      <c r="H113" s="12">
        <v>47.18</v>
      </c>
      <c r="I113" s="12">
        <v>173.83</v>
      </c>
      <c r="J113" s="12">
        <v>174.02</v>
      </c>
      <c r="K113" s="8"/>
      <c r="L113" s="12">
        <v>58.12</v>
      </c>
      <c r="M113" s="12">
        <v>47.12</v>
      </c>
      <c r="N113" s="12">
        <v>173.7</v>
      </c>
      <c r="O113" s="12">
        <v>173.89</v>
      </c>
      <c r="P113" s="8"/>
      <c r="Q113" s="8"/>
      <c r="R113" s="6"/>
      <c r="S113" s="6"/>
      <c r="T113" s="6"/>
      <c r="U113" s="6"/>
      <c r="V113" s="6"/>
    </row>
    <row r="114">
      <c r="A114" s="15">
        <v>46243.515375138886</v>
      </c>
      <c r="B114" s="8" t="str">
        <f t="shared" si="1"/>
        <v>246227</v>
      </c>
      <c r="C114" s="22" t="s">
        <v>125</v>
      </c>
      <c r="D114" s="10" t="s">
        <v>126</v>
      </c>
      <c r="E114" s="9"/>
      <c r="F114" s="8"/>
      <c r="G114" s="12">
        <v>53.98</v>
      </c>
      <c r="H114" s="12">
        <v>40.81</v>
      </c>
      <c r="I114" s="12">
        <v>162.36</v>
      </c>
      <c r="J114" s="12">
        <v>161.88</v>
      </c>
      <c r="K114" s="8"/>
      <c r="L114" s="12">
        <v>53.93</v>
      </c>
      <c r="M114" s="12">
        <v>40.77</v>
      </c>
      <c r="N114" s="12">
        <v>162.16</v>
      </c>
      <c r="O114" s="12">
        <v>161.69</v>
      </c>
      <c r="P114" s="8"/>
      <c r="Q114" s="8"/>
      <c r="R114" s="6"/>
      <c r="S114" s="6"/>
      <c r="T114" s="6"/>
      <c r="U114" s="6"/>
      <c r="V114" s="6"/>
    </row>
    <row r="115">
      <c r="A115" s="15">
        <v>46243.15859578704</v>
      </c>
      <c r="B115" s="8" t="str">
        <f t="shared" si="1"/>
        <v>228997</v>
      </c>
      <c r="C115" s="10" t="s">
        <v>127</v>
      </c>
      <c r="D115" s="9"/>
      <c r="E115" s="9"/>
      <c r="F115" s="12" t="s">
        <v>18</v>
      </c>
      <c r="G115" s="12">
        <v>52.6</v>
      </c>
      <c r="H115" s="12">
        <v>36.37</v>
      </c>
      <c r="I115" s="12">
        <v>151.97</v>
      </c>
      <c r="J115" s="12">
        <v>152.08</v>
      </c>
      <c r="K115" s="12" t="s">
        <v>19</v>
      </c>
      <c r="L115" s="12">
        <v>52.68</v>
      </c>
      <c r="M115" s="12">
        <v>36.43</v>
      </c>
      <c r="N115" s="12">
        <v>152.03</v>
      </c>
      <c r="O115" s="12">
        <v>151.67</v>
      </c>
      <c r="P115" s="12" t="s">
        <v>17</v>
      </c>
      <c r="Q115" s="12" t="s">
        <v>55</v>
      </c>
      <c r="R115" s="6"/>
      <c r="S115" s="6"/>
      <c r="T115" s="6"/>
      <c r="U115" s="6"/>
      <c r="V115" s="6"/>
    </row>
    <row r="116">
      <c r="A116" s="15">
        <v>46243.162306666665</v>
      </c>
      <c r="B116" s="8" t="str">
        <f t="shared" si="1"/>
        <v>204348</v>
      </c>
      <c r="C116" s="10" t="s">
        <v>128</v>
      </c>
      <c r="D116" s="9"/>
      <c r="E116" s="9"/>
      <c r="F116" s="12" t="s">
        <v>18</v>
      </c>
      <c r="G116" s="12">
        <v>47.62</v>
      </c>
      <c r="H116" s="12">
        <v>32.94</v>
      </c>
      <c r="I116" s="12">
        <v>136.95</v>
      </c>
      <c r="J116" s="12">
        <v>137.75</v>
      </c>
      <c r="K116" s="12" t="s">
        <v>19</v>
      </c>
      <c r="L116" s="12">
        <v>47.58</v>
      </c>
      <c r="M116" s="12">
        <v>33.26</v>
      </c>
      <c r="N116" s="12">
        <v>136.97</v>
      </c>
      <c r="O116" s="12">
        <v>136.96</v>
      </c>
      <c r="P116" s="12" t="s">
        <v>32</v>
      </c>
      <c r="Q116" s="12" t="s">
        <v>55</v>
      </c>
      <c r="R116" s="6"/>
      <c r="S116" s="6"/>
      <c r="T116" s="6"/>
      <c r="U116" s="6"/>
      <c r="V116" s="6"/>
    </row>
    <row r="117">
      <c r="A117" s="15">
        <v>46243.31997707176</v>
      </c>
      <c r="B117" s="8" t="str">
        <f t="shared" si="1"/>
        <v>244798</v>
      </c>
      <c r="C117" s="23" t="s">
        <v>129</v>
      </c>
      <c r="D117" s="10" t="s">
        <v>17</v>
      </c>
      <c r="E117" s="10">
        <v>9.1</v>
      </c>
      <c r="F117" s="12" t="s">
        <v>18</v>
      </c>
      <c r="G117" s="12">
        <v>50.74</v>
      </c>
      <c r="H117" s="12">
        <v>30.9</v>
      </c>
      <c r="I117" s="12">
        <v>130.16</v>
      </c>
      <c r="J117" s="12">
        <v>130.44</v>
      </c>
      <c r="K117" s="12" t="s">
        <v>107</v>
      </c>
      <c r="L117" s="12">
        <v>50.89</v>
      </c>
      <c r="M117" s="12">
        <v>31.07</v>
      </c>
      <c r="N117" s="12">
        <v>129.69</v>
      </c>
      <c r="O117" s="12">
        <v>130.57</v>
      </c>
      <c r="P117" s="12" t="s">
        <v>17</v>
      </c>
      <c r="Q117" s="12" t="s">
        <v>90</v>
      </c>
      <c r="R117" s="6"/>
      <c r="S117" s="6"/>
      <c r="T117" s="6"/>
      <c r="U117" s="6"/>
      <c r="V117" s="6"/>
    </row>
    <row r="118">
      <c r="A118" s="15">
        <v>46243.32493983796</v>
      </c>
      <c r="B118" s="8" t="str">
        <f t="shared" si="1"/>
        <v>234804</v>
      </c>
      <c r="C118" s="23" t="s">
        <v>130</v>
      </c>
      <c r="D118" s="10" t="s">
        <v>17</v>
      </c>
      <c r="E118" s="10">
        <v>43.5</v>
      </c>
      <c r="F118" s="12" t="s">
        <v>18</v>
      </c>
      <c r="G118" s="12">
        <v>51.62</v>
      </c>
      <c r="H118" s="12">
        <v>43.52</v>
      </c>
      <c r="I118" s="12">
        <v>154.7</v>
      </c>
      <c r="J118" s="12">
        <v>155.13</v>
      </c>
      <c r="K118" s="12" t="s">
        <v>107</v>
      </c>
      <c r="L118" s="12">
        <v>51.79</v>
      </c>
      <c r="M118" s="12">
        <v>44.02</v>
      </c>
      <c r="N118" s="12">
        <v>155.44</v>
      </c>
      <c r="O118" s="12">
        <v>155.37</v>
      </c>
      <c r="P118" s="12" t="s">
        <v>17</v>
      </c>
      <c r="Q118" s="12" t="s">
        <v>90</v>
      </c>
      <c r="R118" s="6"/>
      <c r="S118" s="6"/>
      <c r="T118" s="6"/>
      <c r="U118" s="6"/>
      <c r="V118" s="6"/>
    </row>
    <row r="119">
      <c r="A119" s="15">
        <v>46243.32763353009</v>
      </c>
      <c r="B119" s="8" t="str">
        <f t="shared" si="1"/>
        <v>245621</v>
      </c>
      <c r="C119" s="10" t="s">
        <v>131</v>
      </c>
      <c r="D119" s="10" t="s">
        <v>17</v>
      </c>
      <c r="E119" s="10">
        <v>6.1</v>
      </c>
      <c r="F119" s="12" t="s">
        <v>18</v>
      </c>
      <c r="G119" s="12">
        <v>52.38</v>
      </c>
      <c r="H119" s="12">
        <v>41.9</v>
      </c>
      <c r="I119" s="12">
        <v>155.49</v>
      </c>
      <c r="J119" s="12">
        <v>155.49</v>
      </c>
      <c r="K119" s="8"/>
      <c r="L119" s="12">
        <v>52.47</v>
      </c>
      <c r="M119" s="12">
        <v>41.97</v>
      </c>
      <c r="N119" s="12">
        <v>155.79</v>
      </c>
      <c r="O119" s="12">
        <v>155.79</v>
      </c>
      <c r="P119" s="12" t="s">
        <v>17</v>
      </c>
      <c r="Q119" s="8"/>
      <c r="R119" s="6"/>
      <c r="S119" s="6"/>
      <c r="T119" s="6"/>
      <c r="U119" s="6"/>
      <c r="V119" s="6"/>
    </row>
    <row r="120">
      <c r="A120" s="15">
        <v>46243.33158020834</v>
      </c>
      <c r="B120" s="8" t="str">
        <f t="shared" si="1"/>
        <v>218967</v>
      </c>
      <c r="C120" s="23" t="s">
        <v>132</v>
      </c>
      <c r="D120" s="10" t="s">
        <v>32</v>
      </c>
      <c r="E120" s="10">
        <v>5.9</v>
      </c>
      <c r="F120" s="12" t="s">
        <v>18</v>
      </c>
      <c r="G120" s="12">
        <v>50.23</v>
      </c>
      <c r="H120" s="12">
        <v>38.09</v>
      </c>
      <c r="I120" s="12">
        <v>140.56</v>
      </c>
      <c r="J120" s="12">
        <v>140.75</v>
      </c>
      <c r="K120" s="8"/>
      <c r="L120" s="12">
        <v>49.77</v>
      </c>
      <c r="M120" s="12">
        <v>38.0</v>
      </c>
      <c r="N120" s="12">
        <v>140.42</v>
      </c>
      <c r="O120" s="12">
        <v>139.72</v>
      </c>
      <c r="P120" s="12" t="s">
        <v>32</v>
      </c>
      <c r="Q120" s="8"/>
      <c r="R120" s="6"/>
      <c r="S120" s="6"/>
      <c r="T120" s="6"/>
      <c r="U120" s="6"/>
      <c r="V120" s="6"/>
    </row>
    <row r="121">
      <c r="A121" s="15">
        <v>46243.69680696759</v>
      </c>
      <c r="B121" s="8" t="str">
        <f t="shared" si="1"/>
        <v>221176</v>
      </c>
      <c r="C121" s="23" t="s">
        <v>133</v>
      </c>
      <c r="D121" s="10" t="s">
        <v>32</v>
      </c>
      <c r="E121" s="9"/>
      <c r="F121" s="8"/>
      <c r="G121" s="12">
        <v>51.55</v>
      </c>
      <c r="H121" s="12">
        <v>41.05</v>
      </c>
      <c r="I121" s="12">
        <v>156.03</v>
      </c>
      <c r="J121" s="12">
        <v>156.32</v>
      </c>
      <c r="K121" s="8"/>
      <c r="L121" s="12">
        <v>51.49</v>
      </c>
      <c r="M121" s="12">
        <v>41.0</v>
      </c>
      <c r="N121" s="12">
        <v>155.76</v>
      </c>
      <c r="O121" s="12">
        <v>155.94</v>
      </c>
      <c r="P121" s="8"/>
      <c r="Q121" s="8"/>
      <c r="R121" s="6"/>
      <c r="S121" s="6"/>
      <c r="T121" s="6"/>
      <c r="U121" s="6"/>
      <c r="V121" s="6"/>
    </row>
    <row r="122">
      <c r="A122" s="15">
        <v>46243.70175930556</v>
      </c>
      <c r="B122" s="8" t="str">
        <f t="shared" si="1"/>
        <v>243169</v>
      </c>
      <c r="C122" s="23" t="s">
        <v>134</v>
      </c>
      <c r="D122" s="9"/>
      <c r="E122" s="9"/>
      <c r="F122" s="8"/>
      <c r="G122" s="12">
        <v>55.17</v>
      </c>
      <c r="H122" s="12">
        <v>34.59</v>
      </c>
      <c r="I122" s="12">
        <v>155.33</v>
      </c>
      <c r="J122" s="12">
        <v>155.61</v>
      </c>
      <c r="K122" s="8"/>
      <c r="L122" s="12">
        <v>55.11</v>
      </c>
      <c r="M122" s="12">
        <v>34.55</v>
      </c>
      <c r="N122" s="12">
        <v>154.83</v>
      </c>
      <c r="O122" s="12">
        <v>155.22</v>
      </c>
      <c r="P122" s="8"/>
      <c r="Q122" s="8"/>
      <c r="R122" s="6"/>
      <c r="S122" s="6"/>
      <c r="T122" s="6"/>
      <c r="U122" s="6"/>
      <c r="V122" s="6"/>
    </row>
    <row r="123">
      <c r="A123" s="15">
        <v>46243.705922256944</v>
      </c>
      <c r="B123" s="8" t="str">
        <f t="shared" si="1"/>
        <v>217873</v>
      </c>
      <c r="C123" s="23" t="s">
        <v>135</v>
      </c>
      <c r="D123" s="9"/>
      <c r="E123" s="9"/>
      <c r="F123" s="8"/>
      <c r="G123" s="12">
        <v>53.11</v>
      </c>
      <c r="H123" s="12">
        <v>40.44</v>
      </c>
      <c r="I123" s="12">
        <v>151.38</v>
      </c>
      <c r="J123" s="12">
        <v>151.34</v>
      </c>
      <c r="K123" s="8"/>
      <c r="L123" s="12">
        <v>53.06</v>
      </c>
      <c r="M123" s="12">
        <v>40.39</v>
      </c>
      <c r="N123" s="12">
        <v>151.06</v>
      </c>
      <c r="O123" s="12">
        <v>151.0</v>
      </c>
      <c r="P123" s="8"/>
      <c r="Q123" s="8"/>
      <c r="R123" s="6"/>
      <c r="S123" s="6"/>
      <c r="T123" s="6"/>
      <c r="U123" s="6"/>
      <c r="V123" s="6"/>
    </row>
    <row r="124">
      <c r="A124" s="15">
        <v>46243.708939143515</v>
      </c>
      <c r="B124" s="8" t="str">
        <f t="shared" si="1"/>
        <v>222900</v>
      </c>
      <c r="C124" s="23" t="s">
        <v>136</v>
      </c>
      <c r="D124" s="9"/>
      <c r="E124" s="9"/>
      <c r="F124" s="8"/>
      <c r="G124" s="12">
        <v>54.59</v>
      </c>
      <c r="H124" s="12">
        <v>41.83</v>
      </c>
      <c r="I124" s="12">
        <v>163.72</v>
      </c>
      <c r="J124" s="12">
        <v>163.75</v>
      </c>
      <c r="K124" s="8"/>
      <c r="L124" s="12">
        <v>54.54</v>
      </c>
      <c r="M124" s="12">
        <v>41.79</v>
      </c>
      <c r="N124" s="12">
        <v>163.21</v>
      </c>
      <c r="O124" s="12">
        <v>163.19</v>
      </c>
      <c r="P124" s="8"/>
      <c r="Q124" s="8"/>
      <c r="R124" s="6"/>
      <c r="S124" s="6"/>
      <c r="T124" s="6"/>
      <c r="U124" s="6"/>
      <c r="V124" s="6"/>
    </row>
    <row r="125">
      <c r="A125" s="15">
        <v>46243.71587005787</v>
      </c>
      <c r="B125" s="8" t="str">
        <f t="shared" si="1"/>
        <v>241113</v>
      </c>
      <c r="C125" s="23" t="s">
        <v>137</v>
      </c>
      <c r="D125" s="9"/>
      <c r="E125" s="9"/>
      <c r="F125" s="8"/>
      <c r="G125" s="12">
        <v>54.24</v>
      </c>
      <c r="H125" s="12">
        <v>37.5</v>
      </c>
      <c r="I125" s="12">
        <v>151.99</v>
      </c>
      <c r="J125" s="12">
        <v>151.89</v>
      </c>
      <c r="K125" s="8"/>
      <c r="L125" s="8"/>
      <c r="M125" s="8"/>
      <c r="N125" s="8"/>
      <c r="O125" s="8"/>
      <c r="P125" s="8"/>
      <c r="Q125" s="8"/>
      <c r="R125" s="6"/>
      <c r="S125" s="6"/>
      <c r="T125" s="6"/>
      <c r="U125" s="6"/>
      <c r="V125" s="6"/>
    </row>
    <row r="126">
      <c r="A126" s="25">
        <v>46243.82649525463</v>
      </c>
      <c r="B126" s="8" t="str">
        <f t="shared" si="1"/>
        <v>225336</v>
      </c>
      <c r="C126" s="26" t="s">
        <v>138</v>
      </c>
      <c r="D126" s="26" t="s">
        <v>77</v>
      </c>
      <c r="E126" s="27"/>
      <c r="F126" s="28"/>
      <c r="G126" s="29">
        <v>47.36</v>
      </c>
      <c r="H126" s="29">
        <v>41.58</v>
      </c>
      <c r="I126" s="29">
        <v>144.41</v>
      </c>
      <c r="J126" s="29">
        <v>144.41</v>
      </c>
      <c r="K126" s="28"/>
      <c r="L126" s="29">
        <v>49.19</v>
      </c>
      <c r="M126" s="29">
        <v>41.72</v>
      </c>
      <c r="N126" s="29">
        <v>147.69</v>
      </c>
      <c r="O126" s="29">
        <v>147.2</v>
      </c>
      <c r="P126" s="28"/>
      <c r="Q126" s="28"/>
      <c r="R126" s="30"/>
      <c r="S126" s="30"/>
      <c r="T126" s="30"/>
      <c r="U126" s="30"/>
      <c r="V126" s="30"/>
    </row>
    <row r="127">
      <c r="A127" s="15">
        <v>46243.0</v>
      </c>
      <c r="B127" s="8" t="str">
        <f t="shared" si="1"/>
        <v>241183</v>
      </c>
      <c r="C127" s="10" t="s">
        <v>139</v>
      </c>
      <c r="D127" s="10" t="s">
        <v>17</v>
      </c>
      <c r="E127" s="9"/>
      <c r="F127" s="12" t="s">
        <v>18</v>
      </c>
      <c r="G127" s="12">
        <v>49.98</v>
      </c>
      <c r="H127" s="12">
        <v>39.17</v>
      </c>
      <c r="I127" s="12">
        <v>148.31</v>
      </c>
      <c r="J127" s="12">
        <v>154.9</v>
      </c>
      <c r="K127" s="12" t="s">
        <v>19</v>
      </c>
      <c r="L127" s="12">
        <v>49.98</v>
      </c>
      <c r="M127" s="12">
        <v>39.17</v>
      </c>
      <c r="N127" s="12">
        <v>148.31</v>
      </c>
      <c r="O127" s="12">
        <v>148.31</v>
      </c>
      <c r="P127" s="12" t="s">
        <v>22</v>
      </c>
      <c r="Q127" s="12" t="s">
        <v>55</v>
      </c>
      <c r="R127" s="6"/>
      <c r="S127" s="6"/>
      <c r="T127" s="6"/>
      <c r="U127" s="6"/>
      <c r="V127" s="6"/>
    </row>
    <row r="128">
      <c r="A128" s="15">
        <v>46244.725285266206</v>
      </c>
      <c r="B128" s="8" t="str">
        <f t="shared" si="1"/>
        <v>151703</v>
      </c>
      <c r="C128" s="10" t="s">
        <v>140</v>
      </c>
      <c r="D128" s="10" t="s">
        <v>17</v>
      </c>
      <c r="E128" s="9"/>
      <c r="F128" s="12" t="s">
        <v>18</v>
      </c>
      <c r="G128" s="12">
        <v>50.75</v>
      </c>
      <c r="H128" s="12">
        <v>43.26</v>
      </c>
      <c r="I128" s="12">
        <v>153.67</v>
      </c>
      <c r="J128" s="12">
        <v>153.67</v>
      </c>
      <c r="K128" s="12" t="s">
        <v>19</v>
      </c>
      <c r="L128" s="12">
        <v>50.69</v>
      </c>
      <c r="M128" s="12">
        <v>43.59</v>
      </c>
      <c r="N128" s="12">
        <v>154.09</v>
      </c>
      <c r="O128" s="12">
        <v>153.97</v>
      </c>
      <c r="P128" s="12" t="s">
        <v>17</v>
      </c>
      <c r="Q128" s="12" t="s">
        <v>20</v>
      </c>
      <c r="R128" s="6"/>
      <c r="S128" s="6"/>
      <c r="T128" s="6"/>
      <c r="U128" s="6"/>
      <c r="V128" s="6"/>
    </row>
    <row r="129">
      <c r="A129" s="15">
        <v>46244.7279194213</v>
      </c>
      <c r="B129" s="8" t="str">
        <f t="shared" si="1"/>
        <v>234791</v>
      </c>
      <c r="C129" s="10" t="s">
        <v>141</v>
      </c>
      <c r="D129" s="10" t="s">
        <v>17</v>
      </c>
      <c r="E129" s="9"/>
      <c r="F129" s="12" t="s">
        <v>18</v>
      </c>
      <c r="G129" s="12">
        <v>50.08</v>
      </c>
      <c r="H129" s="12">
        <v>42.22</v>
      </c>
      <c r="I129" s="12">
        <v>149.75</v>
      </c>
      <c r="J129" s="12">
        <v>149.68</v>
      </c>
      <c r="K129" s="12" t="s">
        <v>19</v>
      </c>
      <c r="L129" s="12">
        <v>51.91</v>
      </c>
      <c r="M129" s="12">
        <v>43.91</v>
      </c>
      <c r="N129" s="12">
        <v>155.25</v>
      </c>
      <c r="O129" s="12">
        <v>155.81</v>
      </c>
      <c r="P129" s="12" t="s">
        <v>17</v>
      </c>
      <c r="Q129" s="12" t="s">
        <v>20</v>
      </c>
      <c r="R129" s="6"/>
      <c r="S129" s="6"/>
      <c r="T129" s="6"/>
      <c r="U129" s="6"/>
      <c r="V129" s="6"/>
    </row>
    <row r="130">
      <c r="A130" s="15">
        <v>46245.40101659722</v>
      </c>
      <c r="B130" s="8" t="str">
        <f t="shared" si="1"/>
        <v>241106</v>
      </c>
      <c r="C130" s="10" t="s">
        <v>142</v>
      </c>
      <c r="D130" s="10" t="s">
        <v>143</v>
      </c>
      <c r="E130" s="9"/>
      <c r="F130" s="12" t="s">
        <v>18</v>
      </c>
      <c r="G130" s="12">
        <v>51.06</v>
      </c>
      <c r="H130" s="12">
        <v>44.31</v>
      </c>
      <c r="I130" s="12">
        <v>154.96</v>
      </c>
      <c r="J130" s="12">
        <v>155.65</v>
      </c>
      <c r="K130" s="12" t="s">
        <v>19</v>
      </c>
      <c r="L130" s="12">
        <v>57.76</v>
      </c>
      <c r="M130" s="12">
        <v>41.89</v>
      </c>
      <c r="N130" s="12">
        <v>168.28</v>
      </c>
      <c r="O130" s="12">
        <v>168.28</v>
      </c>
      <c r="P130" s="8"/>
      <c r="Q130" s="8"/>
      <c r="R130" s="6"/>
      <c r="S130" s="6"/>
      <c r="T130" s="6"/>
      <c r="U130" s="6"/>
      <c r="V130" s="6"/>
    </row>
    <row r="131">
      <c r="A131" s="8"/>
      <c r="B131" s="8" t="str">
        <f t="shared" si="1"/>
        <v>236092</v>
      </c>
      <c r="C131" s="10" t="s">
        <v>144</v>
      </c>
      <c r="D131" s="10" t="s">
        <v>17</v>
      </c>
      <c r="E131" s="9"/>
      <c r="F131" s="12" t="s">
        <v>18</v>
      </c>
      <c r="G131" s="12">
        <v>49.58</v>
      </c>
      <c r="H131" s="12">
        <v>41.95</v>
      </c>
      <c r="I131" s="12">
        <v>148.89</v>
      </c>
      <c r="J131" s="12">
        <v>148.89</v>
      </c>
      <c r="K131" s="12" t="s">
        <v>19</v>
      </c>
      <c r="L131" s="12">
        <v>50.05</v>
      </c>
      <c r="M131" s="12">
        <v>42.56</v>
      </c>
      <c r="N131" s="12">
        <v>150.89</v>
      </c>
      <c r="O131" s="12">
        <v>151.06</v>
      </c>
      <c r="P131" s="12"/>
      <c r="Q131" s="8"/>
      <c r="R131" s="12">
        <v>151.06</v>
      </c>
      <c r="S131" s="6"/>
      <c r="T131" s="6"/>
      <c r="U131" s="6"/>
      <c r="V131" s="6"/>
    </row>
    <row r="132">
      <c r="A132" s="15">
        <v>46245.69432866898</v>
      </c>
      <c r="B132" s="8" t="str">
        <f t="shared" si="1"/>
        <v>234804</v>
      </c>
      <c r="C132" s="10" t="s">
        <v>145</v>
      </c>
      <c r="D132" s="10" t="s">
        <v>17</v>
      </c>
      <c r="E132" s="9"/>
      <c r="F132" s="12" t="s">
        <v>18</v>
      </c>
      <c r="G132" s="12">
        <v>49.97</v>
      </c>
      <c r="H132" s="12">
        <v>42.4</v>
      </c>
      <c r="I132" s="12">
        <v>149.78</v>
      </c>
      <c r="J132" s="12">
        <v>149.72</v>
      </c>
      <c r="K132" s="12" t="s">
        <v>19</v>
      </c>
      <c r="L132" s="12">
        <v>51.98</v>
      </c>
      <c r="M132" s="12">
        <v>44.02</v>
      </c>
      <c r="N132" s="12">
        <v>155.59</v>
      </c>
      <c r="O132" s="12">
        <v>155.26</v>
      </c>
      <c r="P132" s="12" t="s">
        <v>17</v>
      </c>
      <c r="Q132" s="12" t="s">
        <v>20</v>
      </c>
      <c r="R132" s="31" t="s">
        <v>146</v>
      </c>
      <c r="S132" s="6"/>
      <c r="T132" s="6"/>
      <c r="U132" s="6"/>
      <c r="V132" s="6"/>
    </row>
    <row r="133">
      <c r="A133" s="15">
        <v>46245.7447917824</v>
      </c>
      <c r="B133" s="8" t="str">
        <f t="shared" si="1"/>
        <v>241854</v>
      </c>
      <c r="C133" s="10" t="s">
        <v>147</v>
      </c>
      <c r="D133" s="10" t="s">
        <v>17</v>
      </c>
      <c r="E133" s="9"/>
      <c r="F133" s="12" t="s">
        <v>18</v>
      </c>
      <c r="G133" s="12">
        <v>50.77</v>
      </c>
      <c r="H133" s="12">
        <v>40.04</v>
      </c>
      <c r="I133" s="12">
        <v>152.84</v>
      </c>
      <c r="J133" s="12">
        <v>152.84</v>
      </c>
      <c r="K133" s="12" t="s">
        <v>19</v>
      </c>
      <c r="L133" s="12">
        <v>50.82</v>
      </c>
      <c r="M133" s="12">
        <v>40.08</v>
      </c>
      <c r="N133" s="12">
        <v>153.16</v>
      </c>
      <c r="O133" s="12">
        <v>153.98</v>
      </c>
      <c r="P133" s="12" t="s">
        <v>17</v>
      </c>
      <c r="Q133" s="12" t="s">
        <v>20</v>
      </c>
      <c r="R133" s="6"/>
      <c r="S133" s="6"/>
      <c r="T133" s="6"/>
      <c r="U133" s="6"/>
      <c r="V133" s="6"/>
    </row>
    <row r="134">
      <c r="A134" s="15">
        <v>46246.54645388889</v>
      </c>
      <c r="B134" s="8" t="str">
        <f t="shared" si="1"/>
        <v>242767</v>
      </c>
      <c r="C134" s="10" t="s">
        <v>148</v>
      </c>
      <c r="D134" s="10" t="s">
        <v>17</v>
      </c>
      <c r="E134" s="9"/>
      <c r="F134" s="12" t="s">
        <v>18</v>
      </c>
      <c r="G134" s="12">
        <v>49.78</v>
      </c>
      <c r="H134" s="12">
        <v>39.24</v>
      </c>
      <c r="I134" s="12">
        <v>148.14</v>
      </c>
      <c r="J134" s="12">
        <v>148.14</v>
      </c>
      <c r="K134" s="8"/>
      <c r="L134" s="12">
        <v>50.02</v>
      </c>
      <c r="M134" s="12">
        <v>39.33</v>
      </c>
      <c r="N134" s="12">
        <v>148.81</v>
      </c>
      <c r="O134" s="12">
        <v>148.81</v>
      </c>
      <c r="P134" s="8"/>
      <c r="Q134" s="8"/>
      <c r="R134" s="6"/>
      <c r="S134" s="6"/>
      <c r="T134" s="6"/>
      <c r="U134" s="6"/>
      <c r="V134" s="6"/>
    </row>
    <row r="135">
      <c r="A135" s="15">
        <v>46246.55232754629</v>
      </c>
      <c r="B135" s="8" t="str">
        <f t="shared" si="1"/>
        <v>219848</v>
      </c>
      <c r="C135" s="10">
        <v>219848.0</v>
      </c>
      <c r="D135" s="10" t="s">
        <v>77</v>
      </c>
      <c r="E135" s="9"/>
      <c r="F135" s="12" t="s">
        <v>18</v>
      </c>
      <c r="G135" s="12">
        <v>52.89</v>
      </c>
      <c r="H135" s="12">
        <v>40.94</v>
      </c>
      <c r="I135" s="12">
        <v>156.13</v>
      </c>
      <c r="J135" s="12">
        <v>156.13</v>
      </c>
      <c r="K135" s="8"/>
      <c r="L135" s="12">
        <v>53.29</v>
      </c>
      <c r="M135" s="12">
        <v>41.22</v>
      </c>
      <c r="N135" s="12">
        <v>157.19</v>
      </c>
      <c r="O135" s="12">
        <v>157.23</v>
      </c>
      <c r="P135" s="8"/>
      <c r="Q135" s="8"/>
      <c r="R135" s="6"/>
      <c r="S135" s="31" t="s">
        <v>141</v>
      </c>
      <c r="T135" s="6"/>
      <c r="U135" s="6"/>
      <c r="V135" s="6"/>
    </row>
    <row r="136">
      <c r="A136" s="15">
        <v>46246.555124328705</v>
      </c>
      <c r="B136" s="8" t="str">
        <f t="shared" si="1"/>
        <v>151703</v>
      </c>
      <c r="C136" s="10" t="s">
        <v>149</v>
      </c>
      <c r="D136" s="10" t="s">
        <v>77</v>
      </c>
      <c r="E136" s="9"/>
      <c r="F136" s="12" t="s">
        <v>18</v>
      </c>
      <c r="G136" s="12">
        <v>50.68</v>
      </c>
      <c r="H136" s="12">
        <v>43.19</v>
      </c>
      <c r="I136" s="12">
        <v>153.61</v>
      </c>
      <c r="J136" s="12">
        <v>153.3</v>
      </c>
      <c r="K136" s="8"/>
      <c r="L136" s="12">
        <v>50.63</v>
      </c>
      <c r="M136" s="12">
        <v>43.33</v>
      </c>
      <c r="N136" s="12">
        <v>153.92</v>
      </c>
      <c r="O136" s="12">
        <v>153.72</v>
      </c>
      <c r="P136" s="8"/>
      <c r="Q136" s="8"/>
      <c r="R136" s="6"/>
      <c r="S136" s="6"/>
      <c r="T136" s="6"/>
      <c r="U136" s="6"/>
      <c r="V136" s="6"/>
    </row>
    <row r="137">
      <c r="A137" s="15">
        <v>46247.915806273144</v>
      </c>
      <c r="B137" s="8" t="str">
        <f t="shared" si="1"/>
        <v>234804</v>
      </c>
      <c r="C137" s="19" t="s">
        <v>145</v>
      </c>
      <c r="D137" s="32"/>
      <c r="E137" s="32"/>
      <c r="F137" s="33" t="s">
        <v>18</v>
      </c>
      <c r="G137" s="33">
        <v>51.98</v>
      </c>
      <c r="H137" s="33">
        <v>44.02</v>
      </c>
      <c r="I137" s="33">
        <v>155.59</v>
      </c>
      <c r="J137" s="33">
        <v>155.26</v>
      </c>
      <c r="K137" s="33" t="s">
        <v>19</v>
      </c>
      <c r="L137" s="33">
        <v>50.13</v>
      </c>
      <c r="M137" s="33">
        <v>41.98</v>
      </c>
      <c r="N137" s="33">
        <v>149.77</v>
      </c>
      <c r="O137" s="33">
        <v>149.89</v>
      </c>
      <c r="P137" s="34"/>
      <c r="Q137" s="12" t="s">
        <v>20</v>
      </c>
      <c r="R137" s="6"/>
      <c r="S137" s="31" t="s">
        <v>150</v>
      </c>
      <c r="T137" s="6"/>
      <c r="U137" s="6"/>
      <c r="V137" s="6"/>
    </row>
    <row r="138">
      <c r="A138" s="15">
        <v>46249.41335534722</v>
      </c>
      <c r="B138" s="8" t="str">
        <f t="shared" si="1"/>
        <v>208956</v>
      </c>
      <c r="C138" s="10" t="s">
        <v>151</v>
      </c>
      <c r="D138" s="10" t="s">
        <v>17</v>
      </c>
      <c r="E138" s="9"/>
      <c r="F138" s="12" t="s">
        <v>18</v>
      </c>
      <c r="G138" s="12">
        <v>51.09</v>
      </c>
      <c r="H138" s="12">
        <v>43.03</v>
      </c>
      <c r="I138" s="12">
        <v>154.44</v>
      </c>
      <c r="J138" s="12">
        <v>153.86</v>
      </c>
      <c r="K138" s="12" t="s">
        <v>19</v>
      </c>
      <c r="L138" s="12">
        <v>51.17</v>
      </c>
      <c r="M138" s="12">
        <v>43.61</v>
      </c>
      <c r="N138" s="12">
        <v>155.69</v>
      </c>
      <c r="O138" s="12">
        <v>155.34</v>
      </c>
      <c r="P138" s="12" t="s">
        <v>17</v>
      </c>
      <c r="Q138" s="12" t="s">
        <v>20</v>
      </c>
      <c r="R138" s="6"/>
      <c r="S138" s="6"/>
      <c r="T138" s="6"/>
      <c r="U138" s="6"/>
      <c r="V138" s="6"/>
    </row>
    <row r="139">
      <c r="A139" s="15">
        <v>46249.87628460648</v>
      </c>
      <c r="B139" s="8" t="str">
        <f t="shared" si="1"/>
        <v>246233</v>
      </c>
      <c r="C139" s="23" t="s">
        <v>152</v>
      </c>
      <c r="D139" s="10" t="s">
        <v>124</v>
      </c>
      <c r="E139" s="9"/>
      <c r="F139" s="8"/>
      <c r="G139" s="12">
        <v>54.04</v>
      </c>
      <c r="H139" s="12">
        <v>38.14</v>
      </c>
      <c r="I139" s="12">
        <v>154.75</v>
      </c>
      <c r="J139" s="12">
        <v>154.46</v>
      </c>
      <c r="K139" s="8"/>
      <c r="L139" s="12">
        <v>54.0</v>
      </c>
      <c r="M139" s="12">
        <v>38.1</v>
      </c>
      <c r="N139" s="12">
        <v>154.62</v>
      </c>
      <c r="O139" s="12">
        <v>154.34</v>
      </c>
      <c r="P139" s="8"/>
      <c r="Q139" s="8"/>
      <c r="R139" s="6"/>
      <c r="S139" s="6"/>
      <c r="T139" s="6"/>
      <c r="U139" s="6"/>
      <c r="V139" s="6"/>
    </row>
    <row r="140">
      <c r="A140" s="15">
        <v>46249.87736229166</v>
      </c>
      <c r="B140" s="8" t="str">
        <f t="shared" si="1"/>
        <v>237153</v>
      </c>
      <c r="C140" s="23" t="s">
        <v>153</v>
      </c>
      <c r="D140" s="10" t="s">
        <v>17</v>
      </c>
      <c r="E140" s="9"/>
      <c r="F140" s="8"/>
      <c r="G140" s="12">
        <v>51.79</v>
      </c>
      <c r="H140" s="12">
        <v>38.43</v>
      </c>
      <c r="I140" s="12">
        <v>152.41</v>
      </c>
      <c r="J140" s="12">
        <v>152.56</v>
      </c>
      <c r="K140" s="8"/>
      <c r="L140" s="12">
        <v>51.9</v>
      </c>
      <c r="M140" s="12">
        <v>38.52</v>
      </c>
      <c r="N140" s="12">
        <v>152.54</v>
      </c>
      <c r="O140" s="12">
        <v>152.61</v>
      </c>
      <c r="P140" s="8"/>
      <c r="Q140" s="8"/>
      <c r="R140" s="6"/>
      <c r="S140" s="6"/>
      <c r="T140" s="6"/>
      <c r="U140" s="6"/>
      <c r="V140" s="6"/>
    </row>
    <row r="141">
      <c r="A141" s="15">
        <v>46249.87853377315</v>
      </c>
      <c r="B141" s="8" t="str">
        <f t="shared" si="1"/>
        <v>208951</v>
      </c>
      <c r="C141" s="22" t="s">
        <v>154</v>
      </c>
      <c r="D141" s="10" t="s">
        <v>17</v>
      </c>
      <c r="E141" s="9"/>
      <c r="F141" s="8"/>
      <c r="G141" s="12">
        <v>50.73</v>
      </c>
      <c r="H141" s="12">
        <v>43.48</v>
      </c>
      <c r="I141" s="12">
        <v>154.2</v>
      </c>
      <c r="J141" s="12">
        <v>154.29</v>
      </c>
      <c r="K141" s="8"/>
      <c r="L141" s="12">
        <v>50.83</v>
      </c>
      <c r="M141" s="12">
        <v>43.58</v>
      </c>
      <c r="N141" s="12">
        <v>154.49</v>
      </c>
      <c r="O141" s="12">
        <v>154.6</v>
      </c>
      <c r="P141" s="8"/>
      <c r="Q141" s="8"/>
      <c r="R141" s="6"/>
      <c r="S141" s="6"/>
      <c r="T141" s="6"/>
      <c r="U141" s="6"/>
      <c r="V141" s="6"/>
    </row>
    <row r="142">
      <c r="A142" s="15">
        <v>46249.87958775463</v>
      </c>
      <c r="B142" s="8" t="str">
        <f t="shared" si="1"/>
        <v>241119</v>
      </c>
      <c r="C142" s="23" t="s">
        <v>155</v>
      </c>
      <c r="D142" s="10" t="s">
        <v>156</v>
      </c>
      <c r="E142" s="9"/>
      <c r="F142" s="8"/>
      <c r="G142" s="12">
        <v>55.9</v>
      </c>
      <c r="H142" s="12">
        <v>39.07</v>
      </c>
      <c r="I142" s="12">
        <v>164.2</v>
      </c>
      <c r="J142" s="12">
        <v>164.03</v>
      </c>
      <c r="K142" s="8"/>
      <c r="L142" s="12">
        <v>55.84</v>
      </c>
      <c r="M142" s="12">
        <v>39.02</v>
      </c>
      <c r="N142" s="12">
        <v>162.71</v>
      </c>
      <c r="O142" s="12">
        <v>162.93</v>
      </c>
      <c r="P142" s="8"/>
      <c r="Q142" s="8"/>
      <c r="R142" s="6"/>
      <c r="S142" s="6"/>
      <c r="T142" s="6"/>
      <c r="U142" s="6"/>
      <c r="V142" s="6"/>
    </row>
    <row r="143">
      <c r="A143" s="15">
        <v>46249.88065371528</v>
      </c>
      <c r="B143" s="8" t="str">
        <f t="shared" si="1"/>
        <v>219823</v>
      </c>
      <c r="C143" s="10" t="s">
        <v>157</v>
      </c>
      <c r="D143" s="10" t="s">
        <v>124</v>
      </c>
      <c r="E143" s="9"/>
      <c r="F143" s="8"/>
      <c r="G143" s="12">
        <v>53.89</v>
      </c>
      <c r="H143" s="12">
        <v>41.48</v>
      </c>
      <c r="I143" s="12">
        <v>158.91</v>
      </c>
      <c r="J143" s="12">
        <v>158.64</v>
      </c>
      <c r="K143" s="8"/>
      <c r="L143" s="12">
        <v>53.83</v>
      </c>
      <c r="M143" s="12">
        <v>41.42</v>
      </c>
      <c r="N143" s="12">
        <v>158.76</v>
      </c>
      <c r="O143" s="12">
        <v>158.5</v>
      </c>
      <c r="P143" s="8"/>
      <c r="Q143" s="8"/>
      <c r="R143" s="6"/>
      <c r="S143" s="6"/>
      <c r="T143" s="6"/>
      <c r="U143" s="6"/>
      <c r="V143" s="6"/>
    </row>
    <row r="144">
      <c r="A144" s="15">
        <v>46250.93561712963</v>
      </c>
      <c r="B144" s="8" t="str">
        <f t="shared" si="1"/>
        <v>238757</v>
      </c>
      <c r="C144" s="10" t="s">
        <v>158</v>
      </c>
      <c r="D144" s="10" t="s">
        <v>156</v>
      </c>
      <c r="E144" s="9"/>
      <c r="F144" s="8"/>
      <c r="G144" s="12">
        <v>54.49</v>
      </c>
      <c r="H144" s="12">
        <v>39.43</v>
      </c>
      <c r="I144" s="12">
        <v>157.06</v>
      </c>
      <c r="J144" s="12">
        <v>157.75</v>
      </c>
      <c r="K144" s="8"/>
      <c r="L144" s="12">
        <v>54.44</v>
      </c>
      <c r="M144" s="12">
        <v>39.39</v>
      </c>
      <c r="N144" s="12">
        <v>156.87</v>
      </c>
      <c r="O144" s="12">
        <v>157.59</v>
      </c>
      <c r="P144" s="8"/>
      <c r="Q144" s="8"/>
      <c r="R144" s="6"/>
      <c r="S144" s="6"/>
      <c r="T144" s="6"/>
      <c r="U144" s="6"/>
      <c r="V144" s="6"/>
    </row>
    <row r="145">
      <c r="A145" s="15">
        <v>46250.93899858797</v>
      </c>
      <c r="B145" s="8" t="str">
        <f t="shared" si="1"/>
        <v>137971</v>
      </c>
      <c r="C145" s="10" t="s">
        <v>159</v>
      </c>
      <c r="D145" s="10" t="s">
        <v>156</v>
      </c>
      <c r="E145" s="9"/>
      <c r="F145" s="8"/>
      <c r="G145" s="12">
        <v>52.39</v>
      </c>
      <c r="H145" s="12">
        <v>43.94</v>
      </c>
      <c r="I145" s="12">
        <v>157.53</v>
      </c>
      <c r="J145" s="12">
        <v>157.64</v>
      </c>
      <c r="K145" s="8"/>
      <c r="L145" s="12">
        <v>52.34</v>
      </c>
      <c r="M145" s="12">
        <v>43.88</v>
      </c>
      <c r="N145" s="12">
        <v>157.16</v>
      </c>
      <c r="O145" s="12">
        <v>157.26</v>
      </c>
      <c r="P145" s="8"/>
      <c r="Q145" s="8"/>
      <c r="R145" s="6"/>
      <c r="S145" s="6"/>
      <c r="T145" s="6"/>
      <c r="U145" s="6"/>
      <c r="V145" s="6"/>
    </row>
    <row r="146">
      <c r="A146" s="15">
        <v>46250.94235304398</v>
      </c>
      <c r="B146" s="8" t="str">
        <f t="shared" si="1"/>
        <v>221282</v>
      </c>
      <c r="C146" s="10" t="s">
        <v>160</v>
      </c>
      <c r="D146" s="10" t="s">
        <v>156</v>
      </c>
      <c r="E146" s="9"/>
      <c r="F146" s="8"/>
      <c r="G146" s="12">
        <v>54.56</v>
      </c>
      <c r="H146" s="12">
        <v>41.98</v>
      </c>
      <c r="I146" s="12">
        <v>162.18</v>
      </c>
      <c r="J146" s="12">
        <v>162.56</v>
      </c>
      <c r="K146" s="8"/>
      <c r="L146" s="12">
        <v>54.51</v>
      </c>
      <c r="M146" s="12">
        <v>41.93</v>
      </c>
      <c r="N146" s="12">
        <v>161.76</v>
      </c>
      <c r="O146" s="12">
        <v>162.22</v>
      </c>
      <c r="P146" s="8"/>
      <c r="Q146" s="8"/>
      <c r="R146" s="6"/>
      <c r="S146" s="6"/>
      <c r="T146" s="6"/>
      <c r="U146" s="6"/>
      <c r="V146" s="6"/>
    </row>
    <row r="147">
      <c r="A147" s="15">
        <v>46251.89260744213</v>
      </c>
      <c r="B147" s="8" t="str">
        <f t="shared" si="1"/>
        <v>238757</v>
      </c>
      <c r="C147" s="23" t="s">
        <v>158</v>
      </c>
      <c r="D147" s="10" t="s">
        <v>156</v>
      </c>
      <c r="E147" s="9"/>
      <c r="F147" s="8"/>
      <c r="G147" s="12">
        <v>54.44</v>
      </c>
      <c r="H147" s="12">
        <v>39.39</v>
      </c>
      <c r="I147" s="12">
        <v>156.87</v>
      </c>
      <c r="J147" s="12">
        <v>157.59</v>
      </c>
      <c r="K147" s="8"/>
      <c r="L147" s="12">
        <v>54.44</v>
      </c>
      <c r="M147" s="12">
        <v>39.39</v>
      </c>
      <c r="N147" s="12">
        <v>156.87</v>
      </c>
      <c r="O147" s="12">
        <v>157.59</v>
      </c>
      <c r="P147" s="12" t="s">
        <v>32</v>
      </c>
      <c r="Q147" s="8"/>
      <c r="R147" s="6"/>
      <c r="S147" s="6"/>
      <c r="T147" s="6"/>
      <c r="U147" s="6"/>
      <c r="V147" s="6"/>
    </row>
    <row r="148">
      <c r="A148" s="15">
        <v>46251.903134733795</v>
      </c>
      <c r="B148" s="8" t="str">
        <f t="shared" si="1"/>
        <v>137971</v>
      </c>
      <c r="C148" s="10" t="s">
        <v>159</v>
      </c>
      <c r="D148" s="10" t="s">
        <v>156</v>
      </c>
      <c r="E148" s="9"/>
      <c r="F148" s="8"/>
      <c r="G148" s="12">
        <v>52.23</v>
      </c>
      <c r="H148" s="12">
        <v>44.14</v>
      </c>
      <c r="I148" s="12">
        <v>157.26</v>
      </c>
      <c r="J148" s="12">
        <v>157.26</v>
      </c>
      <c r="K148" s="8"/>
      <c r="L148" s="12">
        <v>52.24</v>
      </c>
      <c r="M148" s="12">
        <v>43.88</v>
      </c>
      <c r="N148" s="12">
        <v>156.99</v>
      </c>
      <c r="O148" s="12">
        <v>156.85</v>
      </c>
      <c r="P148" s="12" t="s">
        <v>32</v>
      </c>
      <c r="Q148" s="8"/>
      <c r="R148" s="6"/>
      <c r="S148" s="6"/>
      <c r="T148" s="6"/>
      <c r="U148" s="6"/>
      <c r="V148" s="6"/>
    </row>
    <row r="149">
      <c r="A149" s="15">
        <v>46251.91084993056</v>
      </c>
      <c r="B149" s="8" t="str">
        <f t="shared" si="1"/>
        <v>221282</v>
      </c>
      <c r="C149" s="10" t="s">
        <v>160</v>
      </c>
      <c r="D149" s="10" t="s">
        <v>156</v>
      </c>
      <c r="E149" s="9"/>
      <c r="F149" s="8"/>
      <c r="G149" s="12">
        <v>54.51</v>
      </c>
      <c r="H149" s="12">
        <v>41.93</v>
      </c>
      <c r="I149" s="12">
        <v>161.76</v>
      </c>
      <c r="J149" s="12">
        <v>162.22</v>
      </c>
      <c r="K149" s="8"/>
      <c r="L149" s="12">
        <v>54.51</v>
      </c>
      <c r="M149" s="12">
        <v>41.93</v>
      </c>
      <c r="N149" s="12">
        <v>161.75</v>
      </c>
      <c r="O149" s="12">
        <v>161.48</v>
      </c>
      <c r="P149" s="12" t="s">
        <v>32</v>
      </c>
      <c r="Q149" s="8"/>
      <c r="R149" s="6"/>
      <c r="S149" s="6"/>
      <c r="T149" s="6"/>
      <c r="U149" s="6"/>
      <c r="V149" s="6"/>
    </row>
    <row r="150">
      <c r="A150" s="15">
        <v>46251.91798135417</v>
      </c>
      <c r="B150" s="8" t="str">
        <f t="shared" si="1"/>
        <v>224484</v>
      </c>
      <c r="C150" s="22" t="s">
        <v>161</v>
      </c>
      <c r="D150" s="10" t="s">
        <v>156</v>
      </c>
      <c r="E150" s="9"/>
      <c r="F150" s="8"/>
      <c r="G150" s="12">
        <v>53.6</v>
      </c>
      <c r="H150" s="12">
        <v>41.69</v>
      </c>
      <c r="I150" s="12">
        <v>160.09</v>
      </c>
      <c r="J150" s="12">
        <v>160.06</v>
      </c>
      <c r="K150" s="8"/>
      <c r="L150" s="12">
        <v>53.57</v>
      </c>
      <c r="M150" s="12">
        <v>41.69</v>
      </c>
      <c r="N150" s="12">
        <v>160.03</v>
      </c>
      <c r="O150" s="12">
        <v>160.03</v>
      </c>
      <c r="P150" s="12" t="s">
        <v>32</v>
      </c>
      <c r="Q150" s="8"/>
      <c r="R150" s="6"/>
      <c r="S150" s="6"/>
      <c r="T150" s="6"/>
      <c r="U150" s="6"/>
      <c r="V150" s="6"/>
    </row>
    <row r="151">
      <c r="A151" s="15">
        <v>46251.92798266203</v>
      </c>
      <c r="B151" s="8" t="str">
        <f t="shared" si="1"/>
        <v>235432</v>
      </c>
      <c r="C151" s="23" t="s">
        <v>162</v>
      </c>
      <c r="D151" s="10" t="s">
        <v>156</v>
      </c>
      <c r="E151" s="9"/>
      <c r="F151" s="8"/>
      <c r="G151" s="12">
        <v>55.13</v>
      </c>
      <c r="H151" s="12">
        <v>37.82</v>
      </c>
      <c r="I151" s="12">
        <v>157.71</v>
      </c>
      <c r="J151" s="12">
        <v>157.33</v>
      </c>
      <c r="K151" s="8"/>
      <c r="L151" s="12">
        <v>55.13</v>
      </c>
      <c r="M151" s="12">
        <v>37.44</v>
      </c>
      <c r="N151" s="12">
        <v>156.76</v>
      </c>
      <c r="O151" s="12">
        <v>156.8</v>
      </c>
      <c r="P151" s="12" t="s">
        <v>32</v>
      </c>
      <c r="Q151" s="8"/>
      <c r="R151" s="6"/>
      <c r="S151" s="6"/>
      <c r="T151" s="6"/>
      <c r="U151" s="6"/>
      <c r="V151" s="6"/>
    </row>
    <row r="152">
      <c r="A152" s="15">
        <v>46251.94049515046</v>
      </c>
      <c r="B152" s="8" t="str">
        <f t="shared" si="1"/>
        <v>241119</v>
      </c>
      <c r="C152" s="22" t="s">
        <v>163</v>
      </c>
      <c r="D152" s="10" t="s">
        <v>164</v>
      </c>
      <c r="E152" s="9"/>
      <c r="F152" s="8"/>
      <c r="G152" s="12">
        <v>55.48</v>
      </c>
      <c r="H152" s="12">
        <v>39.54</v>
      </c>
      <c r="I152" s="12">
        <v>163.36</v>
      </c>
      <c r="J152" s="12">
        <v>162.79</v>
      </c>
      <c r="K152" s="8"/>
      <c r="L152" s="12">
        <v>55.43</v>
      </c>
      <c r="M152" s="12">
        <v>39.5</v>
      </c>
      <c r="N152" s="12">
        <v>163.21</v>
      </c>
      <c r="O152" s="12">
        <v>162.62</v>
      </c>
      <c r="P152" s="12" t="s">
        <v>32</v>
      </c>
      <c r="Q152" s="8"/>
      <c r="R152" s="6"/>
      <c r="S152" s="6"/>
      <c r="T152" s="6"/>
      <c r="U152" s="6"/>
      <c r="V152" s="6"/>
    </row>
    <row r="153">
      <c r="A153" s="15">
        <v>46251.945789143516</v>
      </c>
      <c r="B153" s="8" t="str">
        <f t="shared" si="1"/>
        <v>138420</v>
      </c>
      <c r="C153" s="23" t="s">
        <v>165</v>
      </c>
      <c r="D153" s="10" t="s">
        <v>156</v>
      </c>
      <c r="E153" s="9"/>
      <c r="F153" s="8"/>
      <c r="G153" s="12">
        <v>57.19</v>
      </c>
      <c r="H153" s="12">
        <v>46.63</v>
      </c>
      <c r="I153" s="12">
        <v>173.75</v>
      </c>
      <c r="J153" s="12">
        <v>173.65</v>
      </c>
      <c r="K153" s="8"/>
      <c r="L153" s="12">
        <v>57.05</v>
      </c>
      <c r="M153" s="12">
        <v>46.63</v>
      </c>
      <c r="N153" s="12">
        <v>173.13</v>
      </c>
      <c r="O153" s="12">
        <v>172.86</v>
      </c>
      <c r="P153" s="12" t="s">
        <v>32</v>
      </c>
      <c r="Q153" s="8"/>
      <c r="R153" s="6"/>
      <c r="S153" s="6"/>
      <c r="T153" s="6"/>
      <c r="U153" s="6"/>
      <c r="V153" s="6"/>
    </row>
    <row r="154">
      <c r="A154" s="15">
        <v>46251.94705135417</v>
      </c>
      <c r="B154" s="8" t="str">
        <f t="shared" si="1"/>
        <v>241100</v>
      </c>
      <c r="C154" s="22" t="s">
        <v>166</v>
      </c>
      <c r="D154" s="10" t="s">
        <v>156</v>
      </c>
      <c r="E154" s="9"/>
      <c r="F154" s="8"/>
      <c r="G154" s="12">
        <v>54.19</v>
      </c>
      <c r="H154" s="12">
        <v>42.4</v>
      </c>
      <c r="I154" s="12">
        <v>160.68</v>
      </c>
      <c r="J154" s="12">
        <v>160.65</v>
      </c>
      <c r="K154" s="8"/>
      <c r="L154" s="12">
        <v>54.14</v>
      </c>
      <c r="M154" s="12">
        <v>42.4</v>
      </c>
      <c r="N154" s="12">
        <v>160.61</v>
      </c>
      <c r="O154" s="12">
        <v>160.61</v>
      </c>
      <c r="P154" s="12" t="s">
        <v>32</v>
      </c>
      <c r="Q154" s="8"/>
      <c r="R154" s="6"/>
      <c r="S154" s="6"/>
      <c r="T154" s="6"/>
      <c r="U154" s="6"/>
      <c r="V154" s="6"/>
    </row>
    <row r="155">
      <c r="A155" s="15">
        <v>46251.949654537035</v>
      </c>
      <c r="B155" s="8" t="str">
        <f t="shared" si="1"/>
        <v>243674</v>
      </c>
      <c r="C155" s="23" t="s">
        <v>167</v>
      </c>
      <c r="D155" s="10" t="s">
        <v>156</v>
      </c>
      <c r="E155" s="9"/>
      <c r="F155" s="8"/>
      <c r="G155" s="12">
        <v>48.91</v>
      </c>
      <c r="H155" s="12">
        <v>40.65</v>
      </c>
      <c r="I155" s="12">
        <v>147.24</v>
      </c>
      <c r="J155" s="12">
        <v>147.18</v>
      </c>
      <c r="K155" s="8"/>
      <c r="L155" s="12">
        <v>48.91</v>
      </c>
      <c r="M155" s="12">
        <v>48.91</v>
      </c>
      <c r="N155" s="12">
        <v>147.27</v>
      </c>
      <c r="O155" s="12">
        <v>146.95</v>
      </c>
      <c r="P155" s="12" t="s">
        <v>32</v>
      </c>
      <c r="Q155" s="8"/>
      <c r="R155" s="6"/>
      <c r="S155" s="6"/>
      <c r="T155" s="6"/>
      <c r="U155" s="6"/>
      <c r="V155" s="6"/>
    </row>
    <row r="156">
      <c r="A156" s="15">
        <v>46251.951414386574</v>
      </c>
      <c r="B156" s="8" t="str">
        <f t="shared" si="1"/>
        <v>246226</v>
      </c>
      <c r="C156" s="22" t="s">
        <v>168</v>
      </c>
      <c r="D156" s="10" t="s">
        <v>156</v>
      </c>
      <c r="E156" s="9"/>
      <c r="F156" s="8"/>
      <c r="G156" s="12">
        <v>50.84</v>
      </c>
      <c r="H156" s="12">
        <v>38.91</v>
      </c>
      <c r="I156" s="12">
        <v>150.8</v>
      </c>
      <c r="J156" s="12">
        <v>151.21</v>
      </c>
      <c r="K156" s="8"/>
      <c r="L156" s="12">
        <v>50.34</v>
      </c>
      <c r="M156" s="12">
        <v>38.71</v>
      </c>
      <c r="N156" s="12">
        <v>150.78</v>
      </c>
      <c r="O156" s="12">
        <v>150.13</v>
      </c>
      <c r="P156" s="12" t="s">
        <v>32</v>
      </c>
      <c r="Q156" s="8"/>
      <c r="R156" s="6"/>
      <c r="S156" s="6"/>
      <c r="T156" s="6"/>
      <c r="U156" s="6"/>
      <c r="V156" s="6"/>
    </row>
    <row r="157">
      <c r="A157" s="15">
        <v>46251.9581783912</v>
      </c>
      <c r="B157" s="8" t="str">
        <f t="shared" si="1"/>
        <v>246232</v>
      </c>
      <c r="C157" s="23" t="s">
        <v>169</v>
      </c>
      <c r="D157" s="10" t="s">
        <v>156</v>
      </c>
      <c r="E157" s="9"/>
      <c r="F157" s="8"/>
      <c r="G157" s="12">
        <v>53.91</v>
      </c>
      <c r="H157" s="12">
        <v>36.08</v>
      </c>
      <c r="I157" s="12">
        <v>151.91</v>
      </c>
      <c r="J157" s="12">
        <v>151.78</v>
      </c>
      <c r="K157" s="8"/>
      <c r="L157" s="12">
        <v>53.87</v>
      </c>
      <c r="M157" s="12">
        <v>36.05</v>
      </c>
      <c r="N157" s="12">
        <v>151.78</v>
      </c>
      <c r="O157" s="12">
        <v>151.65</v>
      </c>
      <c r="P157" s="12" t="s">
        <v>32</v>
      </c>
      <c r="Q157" s="8"/>
      <c r="R157" s="6"/>
      <c r="S157" s="6"/>
      <c r="T157" s="6"/>
      <c r="U157" s="6"/>
      <c r="V157" s="6"/>
    </row>
    <row r="158">
      <c r="A158" s="15">
        <v>46251.95985501158</v>
      </c>
      <c r="B158" s="8" t="str">
        <f t="shared" si="1"/>
        <v>246242</v>
      </c>
      <c r="C158" s="22" t="s">
        <v>170</v>
      </c>
      <c r="D158" s="10" t="s">
        <v>171</v>
      </c>
      <c r="E158" s="9"/>
      <c r="F158" s="8"/>
      <c r="G158" s="12">
        <v>54.69</v>
      </c>
      <c r="H158" s="12">
        <v>34.32</v>
      </c>
      <c r="I158" s="12">
        <v>154.42</v>
      </c>
      <c r="J158" s="12">
        <v>154.79</v>
      </c>
      <c r="K158" s="8"/>
      <c r="L158" s="12">
        <v>54.86</v>
      </c>
      <c r="M158" s="12">
        <v>34.34</v>
      </c>
      <c r="N158" s="12">
        <v>154.74</v>
      </c>
      <c r="O158" s="12">
        <v>154.74</v>
      </c>
      <c r="P158" s="12" t="s">
        <v>17</v>
      </c>
      <c r="Q158" s="8"/>
      <c r="R158" s="6"/>
      <c r="S158" s="6"/>
      <c r="T158" s="6"/>
      <c r="U158" s="6"/>
      <c r="V158" s="6"/>
    </row>
    <row r="159">
      <c r="A159" s="15">
        <v>46251.9616656713</v>
      </c>
      <c r="B159" s="8" t="str">
        <f t="shared" si="1"/>
        <v>239983</v>
      </c>
      <c r="C159" s="23" t="s">
        <v>172</v>
      </c>
      <c r="D159" s="10" t="s">
        <v>171</v>
      </c>
      <c r="E159" s="9"/>
      <c r="F159" s="8"/>
      <c r="G159" s="12">
        <v>53.39</v>
      </c>
      <c r="H159" s="12">
        <v>42.93</v>
      </c>
      <c r="I159" s="12">
        <v>159.07</v>
      </c>
      <c r="J159" s="12">
        <v>159.07</v>
      </c>
      <c r="K159" s="8"/>
      <c r="L159" s="12">
        <v>53.44</v>
      </c>
      <c r="M159" s="12">
        <v>42.96</v>
      </c>
      <c r="N159" s="12">
        <v>159.23</v>
      </c>
      <c r="O159" s="12">
        <v>159.23</v>
      </c>
      <c r="P159" s="12" t="s">
        <v>17</v>
      </c>
      <c r="Q159" s="8"/>
      <c r="R159" s="6"/>
      <c r="S159" s="6"/>
      <c r="T159" s="6"/>
      <c r="U159" s="6"/>
      <c r="V159" s="6"/>
    </row>
    <row r="160">
      <c r="A160" s="15">
        <v>46251.96521527778</v>
      </c>
      <c r="B160" s="8" t="str">
        <f t="shared" si="1"/>
        <v>241113</v>
      </c>
      <c r="C160" s="22" t="s">
        <v>173</v>
      </c>
      <c r="D160" s="10" t="s">
        <v>156</v>
      </c>
      <c r="E160" s="9"/>
      <c r="F160" s="8"/>
      <c r="G160" s="12">
        <v>54.34</v>
      </c>
      <c r="H160" s="12">
        <v>37.65</v>
      </c>
      <c r="I160" s="12">
        <v>151.69</v>
      </c>
      <c r="J160" s="12">
        <v>151.86</v>
      </c>
      <c r="K160" s="8"/>
      <c r="L160" s="12">
        <v>54.19</v>
      </c>
      <c r="M160" s="12">
        <v>37.65</v>
      </c>
      <c r="N160" s="12">
        <v>151.47</v>
      </c>
      <c r="O160" s="12">
        <v>151.47</v>
      </c>
      <c r="P160" s="12" t="s">
        <v>32</v>
      </c>
      <c r="Q160" s="8"/>
      <c r="R160" s="6"/>
      <c r="S160" s="6"/>
      <c r="T160" s="6"/>
      <c r="U160" s="6"/>
      <c r="V160" s="6"/>
    </row>
    <row r="161">
      <c r="A161" s="15">
        <v>46251.98043098379</v>
      </c>
      <c r="B161" s="8" t="str">
        <f t="shared" si="1"/>
        <v>241097</v>
      </c>
      <c r="C161" s="23" t="s">
        <v>174</v>
      </c>
      <c r="D161" s="10" t="s">
        <v>156</v>
      </c>
      <c r="E161" s="9"/>
      <c r="F161" s="8"/>
      <c r="G161" s="12">
        <v>53.48</v>
      </c>
      <c r="H161" s="12">
        <v>41.99</v>
      </c>
      <c r="I161" s="12">
        <v>157.14</v>
      </c>
      <c r="J161" s="12">
        <v>157.27</v>
      </c>
      <c r="K161" s="8"/>
      <c r="L161" s="12">
        <v>53.48</v>
      </c>
      <c r="M161" s="12">
        <v>41.81</v>
      </c>
      <c r="N161" s="12">
        <v>156.81</v>
      </c>
      <c r="O161" s="12">
        <v>156.66</v>
      </c>
      <c r="P161" s="12" t="s">
        <v>32</v>
      </c>
      <c r="Q161" s="8"/>
      <c r="R161" s="6"/>
      <c r="S161" s="6"/>
      <c r="T161" s="6"/>
      <c r="U161" s="6"/>
      <c r="V161" s="6"/>
    </row>
    <row r="162">
      <c r="A162" s="15">
        <v>46251.98188663194</v>
      </c>
      <c r="B162" s="8" t="str">
        <f t="shared" si="1"/>
        <v>241115</v>
      </c>
      <c r="C162" s="22" t="s">
        <v>175</v>
      </c>
      <c r="D162" s="10" t="s">
        <v>156</v>
      </c>
      <c r="E162" s="9"/>
      <c r="F162" s="8"/>
      <c r="G162" s="12">
        <v>55.35</v>
      </c>
      <c r="H162" s="12">
        <v>34.6</v>
      </c>
      <c r="I162" s="12">
        <v>149.26</v>
      </c>
      <c r="J162" s="12">
        <v>149.63</v>
      </c>
      <c r="K162" s="8"/>
      <c r="L162" s="12">
        <v>55.29</v>
      </c>
      <c r="M162" s="12">
        <v>34.57</v>
      </c>
      <c r="N162" s="12">
        <v>149.07</v>
      </c>
      <c r="O162" s="12">
        <v>149.13</v>
      </c>
      <c r="P162" s="12" t="s">
        <v>32</v>
      </c>
      <c r="Q162" s="8"/>
      <c r="R162" s="6"/>
      <c r="S162" s="6"/>
      <c r="T162" s="6"/>
      <c r="U162" s="6"/>
      <c r="V162" s="6"/>
    </row>
    <row r="163">
      <c r="A163" s="15">
        <v>46251.98381143519</v>
      </c>
      <c r="B163" s="8" t="str">
        <f t="shared" si="1"/>
        <v>148906</v>
      </c>
      <c r="C163" s="23" t="s">
        <v>176</v>
      </c>
      <c r="D163" s="10" t="s">
        <v>156</v>
      </c>
      <c r="E163" s="9"/>
      <c r="F163" s="8"/>
      <c r="G163" s="14">
        <v>49.64</v>
      </c>
      <c r="H163" s="12">
        <v>39.08</v>
      </c>
      <c r="I163" s="12">
        <v>146.9</v>
      </c>
      <c r="J163" s="12">
        <v>147.05</v>
      </c>
      <c r="K163" s="8"/>
      <c r="L163" s="12">
        <v>49.54</v>
      </c>
      <c r="M163" s="12">
        <v>38.83</v>
      </c>
      <c r="N163" s="12">
        <v>146.7</v>
      </c>
      <c r="O163" s="12">
        <v>146.64</v>
      </c>
      <c r="P163" s="12" t="s">
        <v>32</v>
      </c>
      <c r="Q163" s="8"/>
      <c r="R163" s="6"/>
      <c r="S163" s="6"/>
      <c r="T163" s="6"/>
      <c r="U163" s="6"/>
      <c r="V163" s="6"/>
    </row>
    <row r="164">
      <c r="A164" s="15">
        <v>46251.98515582176</v>
      </c>
      <c r="B164" s="8" t="str">
        <f t="shared" si="1"/>
        <v>210178</v>
      </c>
      <c r="C164" s="22" t="s">
        <v>75</v>
      </c>
      <c r="D164" s="10" t="s">
        <v>156</v>
      </c>
      <c r="E164" s="9"/>
      <c r="F164" s="8"/>
      <c r="G164" s="12">
        <v>56.7</v>
      </c>
      <c r="H164" s="12">
        <v>37.01</v>
      </c>
      <c r="I164" s="12">
        <v>159.2</v>
      </c>
      <c r="J164" s="12">
        <v>159.23</v>
      </c>
      <c r="K164" s="8"/>
      <c r="L164" s="12">
        <v>56.68</v>
      </c>
      <c r="M164" s="12">
        <v>36.98</v>
      </c>
      <c r="N164" s="12">
        <v>159.11</v>
      </c>
      <c r="O164" s="12">
        <v>159.1</v>
      </c>
      <c r="P164" s="12" t="s">
        <v>32</v>
      </c>
      <c r="Q164" s="8"/>
      <c r="R164" s="6"/>
      <c r="S164" s="6"/>
      <c r="T164" s="6"/>
      <c r="U164" s="6"/>
      <c r="V164" s="6"/>
    </row>
    <row r="165">
      <c r="A165" s="15">
        <v>46251.99114665509</v>
      </c>
      <c r="B165" s="8" t="str">
        <f t="shared" si="1"/>
        <v>219834</v>
      </c>
      <c r="C165" s="23" t="s">
        <v>177</v>
      </c>
      <c r="D165" s="10" t="s">
        <v>156</v>
      </c>
      <c r="E165" s="9"/>
      <c r="F165" s="8"/>
      <c r="G165" s="12">
        <v>53.49</v>
      </c>
      <c r="H165" s="12">
        <v>40.79</v>
      </c>
      <c r="I165" s="12">
        <v>159.3</v>
      </c>
      <c r="J165" s="12">
        <v>159.81</v>
      </c>
      <c r="K165" s="8"/>
      <c r="L165" s="12">
        <v>53.11</v>
      </c>
      <c r="M165" s="12">
        <v>40.79</v>
      </c>
      <c r="N165" s="12">
        <v>158.79</v>
      </c>
      <c r="O165" s="12">
        <v>159.02</v>
      </c>
      <c r="P165" s="12" t="s">
        <v>32</v>
      </c>
      <c r="Q165" s="8"/>
      <c r="R165" s="6"/>
      <c r="S165" s="6"/>
      <c r="T165" s="6"/>
      <c r="U165" s="6"/>
      <c r="V165" s="6"/>
    </row>
    <row r="166">
      <c r="A166" s="15">
        <v>46251.9929049537</v>
      </c>
      <c r="B166" s="8" t="str">
        <f t="shared" si="1"/>
        <v>231612</v>
      </c>
      <c r="C166" s="22" t="s">
        <v>178</v>
      </c>
      <c r="D166" s="10" t="s">
        <v>156</v>
      </c>
      <c r="E166" s="9"/>
      <c r="F166" s="8"/>
      <c r="G166" s="12">
        <v>51.32</v>
      </c>
      <c r="H166" s="12">
        <v>43.02</v>
      </c>
      <c r="I166" s="12">
        <v>153.45</v>
      </c>
      <c r="J166" s="12">
        <v>153.67</v>
      </c>
      <c r="K166" s="8"/>
      <c r="L166" s="12">
        <v>51.16</v>
      </c>
      <c r="M166" s="12">
        <v>42.73</v>
      </c>
      <c r="N166" s="12">
        <v>153.49</v>
      </c>
      <c r="O166" s="12">
        <v>153.01</v>
      </c>
      <c r="P166" s="12" t="s">
        <v>32</v>
      </c>
      <c r="Q166" s="8"/>
      <c r="R166" s="6"/>
      <c r="S166" s="6"/>
      <c r="T166" s="6"/>
      <c r="U166" s="6"/>
      <c r="V166" s="6"/>
    </row>
    <row r="167">
      <c r="A167" s="15">
        <v>46251.99555064815</v>
      </c>
      <c r="B167" s="8" t="str">
        <f t="shared" si="1"/>
        <v>234804</v>
      </c>
      <c r="C167" s="23" t="s">
        <v>179</v>
      </c>
      <c r="D167" s="10" t="s">
        <v>17</v>
      </c>
      <c r="E167" s="9"/>
      <c r="F167" s="8"/>
      <c r="G167" s="12">
        <v>49.98</v>
      </c>
      <c r="H167" s="12">
        <v>42.4</v>
      </c>
      <c r="I167" s="12">
        <v>149.94</v>
      </c>
      <c r="J167" s="12">
        <v>149.76</v>
      </c>
      <c r="K167" s="8"/>
      <c r="L167" s="12">
        <v>50.2</v>
      </c>
      <c r="M167" s="12">
        <v>42.4</v>
      </c>
      <c r="N167" s="12">
        <v>150.24</v>
      </c>
      <c r="O167" s="12">
        <v>149.83</v>
      </c>
      <c r="P167" s="12" t="s">
        <v>17</v>
      </c>
      <c r="Q167" s="8"/>
      <c r="R167" s="6"/>
      <c r="S167" s="6"/>
      <c r="T167" s="6"/>
      <c r="U167" s="6"/>
      <c r="V167" s="6"/>
    </row>
    <row r="168">
      <c r="A168" s="15">
        <v>46251.99841017361</v>
      </c>
      <c r="B168" s="8" t="str">
        <f t="shared" si="1"/>
        <v>149037</v>
      </c>
      <c r="C168" s="22" t="s">
        <v>180</v>
      </c>
      <c r="D168" s="10" t="s">
        <v>156</v>
      </c>
      <c r="E168" s="9"/>
      <c r="F168" s="8"/>
      <c r="G168" s="12">
        <v>57.46</v>
      </c>
      <c r="H168" s="12">
        <v>46.88</v>
      </c>
      <c r="I168" s="12">
        <v>173.87</v>
      </c>
      <c r="J168" s="12">
        <v>173.96</v>
      </c>
      <c r="K168" s="8"/>
      <c r="L168" s="12">
        <v>57.44</v>
      </c>
      <c r="M168" s="12">
        <v>46.88</v>
      </c>
      <c r="N168" s="12">
        <v>173.88</v>
      </c>
      <c r="O168" s="12">
        <v>173.75</v>
      </c>
      <c r="P168" s="12" t="s">
        <v>32</v>
      </c>
      <c r="Q168" s="8"/>
      <c r="R168" s="6"/>
      <c r="S168" s="6"/>
      <c r="T168" s="6"/>
      <c r="U168" s="6"/>
      <c r="V168" s="6"/>
    </row>
    <row r="169">
      <c r="A169" s="15">
        <v>46252.01141224537</v>
      </c>
      <c r="B169" s="8" t="str">
        <f t="shared" si="1"/>
        <v>211293</v>
      </c>
      <c r="C169" s="23" t="s">
        <v>181</v>
      </c>
      <c r="D169" s="10" t="s">
        <v>156</v>
      </c>
      <c r="E169" s="9"/>
      <c r="F169" s="8"/>
      <c r="G169" s="12">
        <v>56.41</v>
      </c>
      <c r="H169" s="12">
        <v>43.39</v>
      </c>
      <c r="I169" s="12">
        <v>165.69</v>
      </c>
      <c r="J169" s="12">
        <v>165.86</v>
      </c>
      <c r="K169" s="8"/>
      <c r="L169" s="12">
        <v>56.42</v>
      </c>
      <c r="M169" s="12">
        <v>43.11</v>
      </c>
      <c r="N169" s="12">
        <v>165.2</v>
      </c>
      <c r="O169" s="12">
        <v>165.09</v>
      </c>
      <c r="P169" s="12" t="s">
        <v>32</v>
      </c>
      <c r="Q169" s="8"/>
      <c r="R169" s="6"/>
      <c r="S169" s="6"/>
      <c r="T169" s="6"/>
      <c r="U169" s="6"/>
      <c r="V169" s="6"/>
    </row>
    <row r="170">
      <c r="A170" s="15">
        <v>46252.0331171412</v>
      </c>
      <c r="B170" s="8" t="str">
        <f t="shared" si="1"/>
        <v>225336</v>
      </c>
      <c r="C170" s="22" t="s">
        <v>182</v>
      </c>
      <c r="D170" s="10" t="s">
        <v>156</v>
      </c>
      <c r="E170" s="9"/>
      <c r="F170" s="8"/>
      <c r="G170" s="12">
        <v>48.1</v>
      </c>
      <c r="H170" s="12">
        <v>41.81</v>
      </c>
      <c r="I170" s="12">
        <v>145.87</v>
      </c>
      <c r="J170" s="12">
        <v>145.73</v>
      </c>
      <c r="K170" s="8"/>
      <c r="L170" s="12">
        <v>47.97</v>
      </c>
      <c r="M170" s="12">
        <v>41.81</v>
      </c>
      <c r="N170" s="12">
        <v>145.68</v>
      </c>
      <c r="O170" s="12">
        <v>145.68</v>
      </c>
      <c r="P170" s="12" t="s">
        <v>32</v>
      </c>
      <c r="Q170" s="8"/>
      <c r="R170" s="6"/>
      <c r="S170" s="6"/>
      <c r="T170" s="6"/>
      <c r="U170" s="6"/>
      <c r="V170" s="6"/>
    </row>
    <row r="171">
      <c r="A171" s="15">
        <v>46252.03436914352</v>
      </c>
      <c r="B171" s="8" t="str">
        <f t="shared" si="1"/>
        <v>234799</v>
      </c>
      <c r="C171" s="23" t="s">
        <v>183</v>
      </c>
      <c r="D171" s="10" t="s">
        <v>156</v>
      </c>
      <c r="E171" s="9"/>
      <c r="F171" s="8"/>
      <c r="G171" s="12">
        <v>48.38</v>
      </c>
      <c r="H171" s="12">
        <v>41.72</v>
      </c>
      <c r="I171" s="12">
        <v>146.29</v>
      </c>
      <c r="J171" s="12">
        <v>146.29</v>
      </c>
      <c r="K171" s="8"/>
      <c r="L171" s="12">
        <v>48.32</v>
      </c>
      <c r="M171" s="12">
        <v>41.68</v>
      </c>
      <c r="N171" s="12">
        <v>146.06</v>
      </c>
      <c r="O171" s="12">
        <v>146.06</v>
      </c>
      <c r="P171" s="12" t="s">
        <v>32</v>
      </c>
      <c r="Q171" s="8"/>
      <c r="R171" s="6"/>
      <c r="S171" s="6"/>
      <c r="T171" s="6"/>
      <c r="U171" s="6"/>
      <c r="V171" s="6"/>
    </row>
    <row r="172">
      <c r="A172" s="15">
        <v>46252.035392025464</v>
      </c>
      <c r="B172" s="8" t="str">
        <f t="shared" si="1"/>
        <v>239839</v>
      </c>
      <c r="C172" s="22" t="s">
        <v>184</v>
      </c>
      <c r="D172" s="10" t="s">
        <v>156</v>
      </c>
      <c r="E172" s="9"/>
      <c r="F172" s="8"/>
      <c r="G172" s="12">
        <v>53.57</v>
      </c>
      <c r="H172" s="12">
        <v>35.81</v>
      </c>
      <c r="I172" s="12">
        <v>153.42</v>
      </c>
      <c r="J172" s="12">
        <v>153.07</v>
      </c>
      <c r="K172" s="8"/>
      <c r="L172" s="12">
        <v>53.54</v>
      </c>
      <c r="M172" s="12">
        <v>35.79</v>
      </c>
      <c r="N172" s="12">
        <v>153.32</v>
      </c>
      <c r="O172" s="12">
        <v>152.96</v>
      </c>
      <c r="P172" s="8"/>
      <c r="Q172" s="8"/>
      <c r="R172" s="6"/>
      <c r="S172" s="6"/>
      <c r="T172" s="6"/>
      <c r="U172" s="6"/>
      <c r="V172" s="6"/>
    </row>
    <row r="173">
      <c r="A173" s="15">
        <v>46252.036417916665</v>
      </c>
      <c r="B173" s="8" t="str">
        <f t="shared" si="1"/>
        <v>241091</v>
      </c>
      <c r="C173" s="23" t="s">
        <v>185</v>
      </c>
      <c r="D173" s="10" t="s">
        <v>156</v>
      </c>
      <c r="E173" s="9"/>
      <c r="F173" s="8"/>
      <c r="G173" s="12">
        <v>53.78</v>
      </c>
      <c r="H173" s="12">
        <v>42.97</v>
      </c>
      <c r="I173" s="12">
        <v>159.55</v>
      </c>
      <c r="J173" s="12">
        <v>160.13</v>
      </c>
      <c r="K173" s="8"/>
      <c r="L173" s="12">
        <v>53.67</v>
      </c>
      <c r="M173" s="12">
        <v>42.97</v>
      </c>
      <c r="N173" s="12">
        <v>159.09</v>
      </c>
      <c r="O173" s="12">
        <v>159.22</v>
      </c>
      <c r="P173" s="8"/>
      <c r="Q173" s="8"/>
      <c r="R173" s="6"/>
      <c r="S173" s="6"/>
      <c r="T173" s="6"/>
      <c r="U173" s="6"/>
      <c r="V173" s="6"/>
    </row>
    <row r="174">
      <c r="A174" s="15">
        <v>46252.038016921295</v>
      </c>
      <c r="B174" s="8" t="str">
        <f t="shared" si="1"/>
        <v>244415</v>
      </c>
      <c r="C174" s="22" t="s">
        <v>186</v>
      </c>
      <c r="D174" s="10" t="s">
        <v>156</v>
      </c>
      <c r="E174" s="9"/>
      <c r="F174" s="8"/>
      <c r="G174" s="12">
        <v>52.77</v>
      </c>
      <c r="H174" s="12">
        <v>33.69</v>
      </c>
      <c r="I174" s="12">
        <v>138.69</v>
      </c>
      <c r="J174" s="12">
        <v>138.69</v>
      </c>
      <c r="K174" s="8"/>
      <c r="L174" s="12">
        <v>52.73</v>
      </c>
      <c r="M174" s="12">
        <v>33.66</v>
      </c>
      <c r="N174" s="12">
        <v>138.47</v>
      </c>
      <c r="O174" s="12">
        <v>138.47</v>
      </c>
      <c r="P174" s="8"/>
      <c r="Q174" s="8"/>
      <c r="R174" s="6"/>
      <c r="S174" s="6"/>
      <c r="T174" s="6"/>
      <c r="U174" s="6"/>
      <c r="V174" s="6"/>
    </row>
    <row r="175">
      <c r="A175" s="15">
        <v>46252.03993501158</v>
      </c>
      <c r="B175" s="8" t="str">
        <f t="shared" si="1"/>
        <v>217873</v>
      </c>
      <c r="C175" s="23" t="s">
        <v>187</v>
      </c>
      <c r="D175" s="10" t="s">
        <v>156</v>
      </c>
      <c r="E175" s="9"/>
      <c r="F175" s="8"/>
      <c r="G175" s="12">
        <v>52.92</v>
      </c>
      <c r="H175" s="12">
        <v>40.29</v>
      </c>
      <c r="I175" s="12">
        <v>150.79</v>
      </c>
      <c r="J175" s="12">
        <v>150.85</v>
      </c>
      <c r="K175" s="8"/>
      <c r="L175" s="12">
        <v>52.92</v>
      </c>
      <c r="M175" s="12">
        <v>40.29</v>
      </c>
      <c r="N175" s="12">
        <v>150.74</v>
      </c>
      <c r="O175" s="12">
        <v>150.82</v>
      </c>
      <c r="P175" s="8"/>
      <c r="Q175" s="8"/>
      <c r="R175" s="6"/>
      <c r="S175" s="6"/>
      <c r="T175" s="6"/>
      <c r="U175" s="6"/>
      <c r="V175" s="6"/>
    </row>
    <row r="176">
      <c r="A176" s="15">
        <v>46252.04159145833</v>
      </c>
      <c r="B176" s="8" t="str">
        <f t="shared" si="1"/>
        <v>239999</v>
      </c>
      <c r="C176" s="22" t="s">
        <v>188</v>
      </c>
      <c r="D176" s="10" t="s">
        <v>17</v>
      </c>
      <c r="E176" s="9"/>
      <c r="F176" s="8"/>
      <c r="G176" s="12">
        <v>56.56</v>
      </c>
      <c r="H176" s="12">
        <v>44.56</v>
      </c>
      <c r="I176" s="12">
        <v>169.03</v>
      </c>
      <c r="J176" s="12">
        <v>169.03</v>
      </c>
      <c r="K176" s="8"/>
      <c r="L176" s="12">
        <v>56.6</v>
      </c>
      <c r="M176" s="12">
        <v>44.56</v>
      </c>
      <c r="N176" s="12">
        <v>169.19</v>
      </c>
      <c r="O176" s="12">
        <v>169.19</v>
      </c>
      <c r="P176" s="8"/>
      <c r="Q176" s="8"/>
      <c r="R176" s="6"/>
      <c r="S176" s="6"/>
      <c r="T176" s="6"/>
      <c r="U176" s="6"/>
      <c r="V176" s="6"/>
    </row>
    <row r="177">
      <c r="A177" s="15">
        <v>46252.09156526621</v>
      </c>
      <c r="B177" s="8" t="str">
        <f t="shared" si="1"/>
        <v>241106</v>
      </c>
      <c r="C177" s="23" t="s">
        <v>189</v>
      </c>
      <c r="D177" s="10" t="s">
        <v>156</v>
      </c>
      <c r="E177" s="9"/>
      <c r="F177" s="8"/>
      <c r="G177" s="12">
        <v>57.48</v>
      </c>
      <c r="H177" s="12">
        <v>41.82</v>
      </c>
      <c r="I177" s="12">
        <v>167.65</v>
      </c>
      <c r="J177" s="12">
        <v>167.75</v>
      </c>
      <c r="K177" s="8"/>
      <c r="L177" s="12">
        <v>57.45</v>
      </c>
      <c r="M177" s="12">
        <v>41.62</v>
      </c>
      <c r="N177" s="12">
        <v>167.32</v>
      </c>
      <c r="O177" s="12">
        <v>167.03</v>
      </c>
      <c r="P177" s="8"/>
      <c r="Q177" s="8"/>
      <c r="R177" s="6"/>
      <c r="S177" s="6"/>
      <c r="T177" s="6"/>
      <c r="U177" s="6"/>
      <c r="V177" s="6"/>
    </row>
    <row r="178">
      <c r="A178" s="15">
        <v>46252.092856944444</v>
      </c>
      <c r="B178" s="8" t="str">
        <f t="shared" si="1"/>
        <v>246234</v>
      </c>
      <c r="C178" s="22" t="s">
        <v>190</v>
      </c>
      <c r="D178" s="10" t="s">
        <v>156</v>
      </c>
      <c r="E178" s="9"/>
      <c r="F178" s="8"/>
      <c r="G178" s="12">
        <v>49.76</v>
      </c>
      <c r="H178" s="12">
        <v>45.35</v>
      </c>
      <c r="I178" s="12">
        <v>154.19</v>
      </c>
      <c r="J178" s="12">
        <v>154.19</v>
      </c>
      <c r="K178" s="8"/>
      <c r="L178" s="12">
        <v>49.7</v>
      </c>
      <c r="M178" s="12">
        <v>45.32</v>
      </c>
      <c r="N178" s="12">
        <v>154.03</v>
      </c>
      <c r="O178" s="12">
        <v>154.03</v>
      </c>
      <c r="P178" s="8"/>
      <c r="Q178" s="8"/>
      <c r="R178" s="6"/>
      <c r="S178" s="6"/>
      <c r="T178" s="6"/>
      <c r="U178" s="6"/>
      <c r="V178" s="6"/>
    </row>
    <row r="179">
      <c r="A179" s="15">
        <v>46252.09399763889</v>
      </c>
      <c r="B179" s="8" t="str">
        <f t="shared" si="1"/>
        <v>208951</v>
      </c>
      <c r="C179" s="23" t="s">
        <v>191</v>
      </c>
      <c r="D179" s="10" t="s">
        <v>17</v>
      </c>
      <c r="E179" s="9"/>
      <c r="F179" s="8"/>
      <c r="G179" s="12">
        <v>50.6</v>
      </c>
      <c r="H179" s="12">
        <v>42.97</v>
      </c>
      <c r="I179" s="12">
        <v>153.71</v>
      </c>
      <c r="J179" s="12">
        <v>153.55</v>
      </c>
      <c r="K179" s="8"/>
      <c r="L179" s="12">
        <v>50.64</v>
      </c>
      <c r="M179" s="12">
        <v>43.0</v>
      </c>
      <c r="N179" s="12">
        <v>153.68</v>
      </c>
      <c r="O179" s="12">
        <v>153.68</v>
      </c>
      <c r="P179" s="8"/>
      <c r="Q179" s="8"/>
      <c r="R179" s="6"/>
      <c r="S179" s="6"/>
      <c r="T179" s="6"/>
      <c r="U179" s="6"/>
      <c r="V179" s="6"/>
    </row>
    <row r="180">
      <c r="A180" s="15">
        <v>46252.095357071754</v>
      </c>
      <c r="B180" s="8" t="str">
        <f t="shared" si="1"/>
        <v>211293</v>
      </c>
      <c r="C180" s="22" t="s">
        <v>192</v>
      </c>
      <c r="D180" s="10" t="s">
        <v>156</v>
      </c>
      <c r="E180" s="9"/>
      <c r="F180" s="8"/>
      <c r="G180" s="12">
        <v>56.47</v>
      </c>
      <c r="H180" s="12">
        <v>43.58</v>
      </c>
      <c r="I180" s="12">
        <v>165.95</v>
      </c>
      <c r="J180" s="12">
        <v>165.77</v>
      </c>
      <c r="K180" s="8"/>
      <c r="L180" s="12">
        <v>56.36</v>
      </c>
      <c r="M180" s="12">
        <v>56.36</v>
      </c>
      <c r="N180" s="12">
        <v>165.47</v>
      </c>
      <c r="O180" s="12">
        <v>165.31</v>
      </c>
      <c r="P180" s="8"/>
      <c r="Q180" s="8"/>
      <c r="R180" s="6"/>
      <c r="S180" s="6"/>
      <c r="T180" s="6"/>
      <c r="U180" s="6"/>
      <c r="V180" s="6"/>
    </row>
    <row r="181">
      <c r="A181" s="15">
        <v>46252.09733667824</v>
      </c>
      <c r="B181" s="8" t="str">
        <f t="shared" si="1"/>
        <v>218967</v>
      </c>
      <c r="C181" s="23" t="s">
        <v>193</v>
      </c>
      <c r="D181" s="10" t="s">
        <v>156</v>
      </c>
      <c r="E181" s="9"/>
      <c r="F181" s="8"/>
      <c r="G181" s="12">
        <v>50.6</v>
      </c>
      <c r="H181" s="12">
        <v>38.1</v>
      </c>
      <c r="I181" s="12">
        <v>141.1</v>
      </c>
      <c r="J181" s="12">
        <v>141.35</v>
      </c>
      <c r="K181" s="8"/>
      <c r="L181" s="12">
        <v>50.45</v>
      </c>
      <c r="M181" s="12">
        <v>38.08</v>
      </c>
      <c r="N181" s="12">
        <v>141.14</v>
      </c>
      <c r="O181" s="12">
        <v>141.09</v>
      </c>
      <c r="P181" s="8"/>
      <c r="Q181" s="8"/>
      <c r="R181" s="6"/>
      <c r="S181" s="6"/>
      <c r="T181" s="6"/>
      <c r="U181" s="6"/>
      <c r="V181" s="6"/>
    </row>
    <row r="182">
      <c r="A182" s="15">
        <v>46252.09866930556</v>
      </c>
      <c r="B182" s="8" t="str">
        <f t="shared" si="1"/>
        <v>234794</v>
      </c>
      <c r="C182" s="22" t="s">
        <v>194</v>
      </c>
      <c r="D182" s="10" t="s">
        <v>156</v>
      </c>
      <c r="E182" s="9"/>
      <c r="F182" s="8"/>
      <c r="G182" s="12">
        <v>51.81</v>
      </c>
      <c r="H182" s="12">
        <v>44.05</v>
      </c>
      <c r="I182" s="12">
        <v>155.14</v>
      </c>
      <c r="J182" s="12">
        <v>155.36</v>
      </c>
      <c r="K182" s="8"/>
      <c r="L182" s="12">
        <v>51.81</v>
      </c>
      <c r="M182" s="12">
        <v>44.02</v>
      </c>
      <c r="N182" s="12">
        <v>155.02</v>
      </c>
      <c r="O182" s="12">
        <v>155.22</v>
      </c>
      <c r="P182" s="8"/>
      <c r="Q182" s="8"/>
      <c r="R182" s="6"/>
      <c r="S182" s="6"/>
      <c r="T182" s="6"/>
      <c r="U182" s="6"/>
      <c r="V182" s="6"/>
    </row>
    <row r="183">
      <c r="A183" s="15">
        <v>46252.099989016206</v>
      </c>
      <c r="B183" s="8" t="str">
        <f t="shared" si="1"/>
        <v>236135</v>
      </c>
      <c r="C183" s="23" t="s">
        <v>195</v>
      </c>
      <c r="D183" s="10" t="s">
        <v>156</v>
      </c>
      <c r="E183" s="9"/>
      <c r="F183" s="8"/>
      <c r="G183" s="12">
        <v>50.03</v>
      </c>
      <c r="H183" s="12">
        <v>38.95</v>
      </c>
      <c r="I183" s="12">
        <v>148.93</v>
      </c>
      <c r="J183" s="12">
        <v>148.8</v>
      </c>
      <c r="K183" s="8"/>
      <c r="L183" s="12">
        <v>50.02</v>
      </c>
      <c r="M183" s="12">
        <v>38.88</v>
      </c>
      <c r="N183" s="12">
        <v>148.83</v>
      </c>
      <c r="O183" s="12">
        <v>148.78</v>
      </c>
      <c r="P183" s="8"/>
      <c r="Q183" s="8"/>
      <c r="R183" s="6"/>
      <c r="S183" s="6"/>
      <c r="T183" s="6"/>
      <c r="U183" s="6"/>
      <c r="V183" s="6"/>
    </row>
    <row r="184">
      <c r="A184" s="15">
        <v>46252.1013381713</v>
      </c>
      <c r="B184" s="8" t="str">
        <f t="shared" si="1"/>
        <v>241117</v>
      </c>
      <c r="C184" s="22" t="s">
        <v>196</v>
      </c>
      <c r="D184" s="10" t="s">
        <v>17</v>
      </c>
      <c r="E184" s="9"/>
      <c r="F184" s="8"/>
      <c r="G184" s="12">
        <v>54.59</v>
      </c>
      <c r="H184" s="12">
        <v>36.09</v>
      </c>
      <c r="I184" s="12">
        <v>154.21</v>
      </c>
      <c r="J184" s="12">
        <v>154.46</v>
      </c>
      <c r="K184" s="8"/>
      <c r="L184" s="12">
        <v>54.63</v>
      </c>
      <c r="M184" s="12">
        <v>35.96</v>
      </c>
      <c r="N184" s="12">
        <v>153.96</v>
      </c>
      <c r="O184" s="12">
        <v>154.21</v>
      </c>
      <c r="P184" s="8"/>
      <c r="Q184" s="8"/>
      <c r="R184" s="6"/>
      <c r="S184" s="6"/>
      <c r="T184" s="6"/>
      <c r="U184" s="6"/>
      <c r="V184" s="6"/>
    </row>
    <row r="185">
      <c r="A185" s="15">
        <v>46252.11113837963</v>
      </c>
      <c r="B185" s="8" t="str">
        <f t="shared" si="1"/>
        <v>218967</v>
      </c>
      <c r="C185" s="23" t="s">
        <v>197</v>
      </c>
      <c r="D185" s="10" t="s">
        <v>156</v>
      </c>
      <c r="E185" s="9"/>
      <c r="F185" s="8"/>
      <c r="G185" s="12">
        <v>50.48</v>
      </c>
      <c r="H185" s="12">
        <v>38.04</v>
      </c>
      <c r="I185" s="12">
        <v>141.12</v>
      </c>
      <c r="J185" s="12">
        <v>141.37</v>
      </c>
      <c r="K185" s="8"/>
      <c r="L185" s="12">
        <v>50.48</v>
      </c>
      <c r="M185" s="12">
        <v>38.04</v>
      </c>
      <c r="N185" s="12">
        <v>141.08</v>
      </c>
      <c r="O185" s="12">
        <v>141.19</v>
      </c>
      <c r="P185" s="8"/>
      <c r="Q185" s="8"/>
      <c r="R185" s="6"/>
      <c r="S185" s="6"/>
      <c r="T185" s="6"/>
      <c r="U185" s="6"/>
      <c r="V185" s="6"/>
    </row>
    <row r="186">
      <c r="A186" s="15">
        <v>46252.11428709491</v>
      </c>
      <c r="B186" s="8" t="str">
        <f t="shared" si="1"/>
        <v>219545</v>
      </c>
      <c r="C186" s="22" t="s">
        <v>198</v>
      </c>
      <c r="D186" s="10" t="s">
        <v>156</v>
      </c>
      <c r="E186" s="9"/>
      <c r="F186" s="8"/>
      <c r="G186" s="12">
        <v>51.09</v>
      </c>
      <c r="H186" s="12">
        <v>30.85</v>
      </c>
      <c r="I186" s="12">
        <v>140.13</v>
      </c>
      <c r="J186" s="12">
        <v>140.45</v>
      </c>
      <c r="K186" s="8"/>
      <c r="L186" s="12">
        <v>51.03</v>
      </c>
      <c r="M186" s="12">
        <v>30.81</v>
      </c>
      <c r="N186" s="12">
        <v>139.84</v>
      </c>
      <c r="O186" s="12">
        <v>140.15</v>
      </c>
      <c r="P186" s="8"/>
      <c r="Q186" s="8"/>
      <c r="R186" s="6"/>
      <c r="S186" s="6"/>
      <c r="T186" s="6"/>
      <c r="U186" s="6"/>
      <c r="V186" s="6"/>
    </row>
    <row r="187">
      <c r="A187" s="15">
        <v>46252.11617231481</v>
      </c>
      <c r="B187" s="8" t="str">
        <f t="shared" si="1"/>
        <v>220721</v>
      </c>
      <c r="C187" s="23" t="s">
        <v>199</v>
      </c>
      <c r="D187" s="10" t="s">
        <v>156</v>
      </c>
      <c r="E187" s="9"/>
      <c r="F187" s="8"/>
      <c r="G187" s="12">
        <v>55.08</v>
      </c>
      <c r="H187" s="12">
        <v>44.65</v>
      </c>
      <c r="I187" s="12">
        <v>165.42</v>
      </c>
      <c r="J187" s="12">
        <v>165.77</v>
      </c>
      <c r="K187" s="8"/>
      <c r="L187" s="12">
        <v>55.03</v>
      </c>
      <c r="M187" s="12">
        <v>44.62</v>
      </c>
      <c r="N187" s="12">
        <v>165.06</v>
      </c>
      <c r="O187" s="12">
        <v>165.06</v>
      </c>
      <c r="P187" s="8"/>
      <c r="Q187" s="8"/>
      <c r="R187" s="6"/>
      <c r="S187" s="6"/>
      <c r="T187" s="6"/>
      <c r="U187" s="6"/>
      <c r="V187" s="6"/>
    </row>
    <row r="188">
      <c r="A188" s="15">
        <v>46252.14150986111</v>
      </c>
      <c r="B188" s="8" t="str">
        <f t="shared" si="1"/>
        <v>234768</v>
      </c>
      <c r="C188" s="22" t="s">
        <v>200</v>
      </c>
      <c r="D188" s="10" t="s">
        <v>17</v>
      </c>
      <c r="E188" s="9"/>
      <c r="F188" s="8"/>
      <c r="G188" s="12">
        <v>54.05</v>
      </c>
      <c r="H188" s="12">
        <v>39.86</v>
      </c>
      <c r="I188" s="12">
        <v>150.03</v>
      </c>
      <c r="J188" s="12">
        <v>150.07</v>
      </c>
      <c r="K188" s="8"/>
      <c r="L188" s="12">
        <v>54.05</v>
      </c>
      <c r="M188" s="12">
        <v>40.06</v>
      </c>
      <c r="N188" s="12">
        <v>150.2</v>
      </c>
      <c r="O188" s="12">
        <v>149.98</v>
      </c>
      <c r="P188" s="8"/>
      <c r="Q188" s="8"/>
      <c r="R188" s="6"/>
      <c r="S188" s="6"/>
      <c r="T188" s="6"/>
      <c r="U188" s="6"/>
      <c r="V188" s="6"/>
    </row>
    <row r="189">
      <c r="A189" s="15">
        <v>46252.14633094908</v>
      </c>
      <c r="B189" s="8" t="str">
        <f t="shared" si="1"/>
        <v>234791</v>
      </c>
      <c r="C189" s="23" t="s">
        <v>201</v>
      </c>
      <c r="D189" s="10" t="s">
        <v>17</v>
      </c>
      <c r="E189" s="9"/>
      <c r="F189" s="8"/>
      <c r="G189" s="12">
        <v>49.79</v>
      </c>
      <c r="H189" s="12">
        <v>42.11</v>
      </c>
      <c r="I189" s="12">
        <v>149.34</v>
      </c>
      <c r="J189" s="12">
        <v>149.66</v>
      </c>
      <c r="K189" s="8"/>
      <c r="L189" s="12">
        <v>50.2</v>
      </c>
      <c r="M189" s="12">
        <v>42.22</v>
      </c>
      <c r="N189" s="12">
        <v>150.06</v>
      </c>
      <c r="O189" s="12">
        <v>149.9</v>
      </c>
      <c r="P189" s="8"/>
      <c r="Q189" s="8"/>
      <c r="R189" s="6"/>
      <c r="S189" s="6"/>
      <c r="T189" s="6"/>
      <c r="U189" s="6"/>
      <c r="V189" s="6"/>
    </row>
    <row r="190">
      <c r="A190" s="15">
        <v>46252.14953930555</v>
      </c>
      <c r="B190" s="8" t="str">
        <f t="shared" si="1"/>
        <v>238827</v>
      </c>
      <c r="C190" s="22" t="s">
        <v>202</v>
      </c>
      <c r="D190" s="10" t="s">
        <v>156</v>
      </c>
      <c r="E190" s="9"/>
      <c r="F190" s="8"/>
      <c r="G190" s="12">
        <v>52.2</v>
      </c>
      <c r="H190" s="12">
        <v>45.92</v>
      </c>
      <c r="I190" s="12">
        <v>161.37</v>
      </c>
      <c r="J190" s="12">
        <v>160.2</v>
      </c>
      <c r="K190" s="8"/>
      <c r="L190" s="12">
        <v>51.45</v>
      </c>
      <c r="M190" s="12">
        <v>45.82</v>
      </c>
      <c r="N190" s="12">
        <v>159.98</v>
      </c>
      <c r="O190" s="12">
        <v>160.24</v>
      </c>
      <c r="P190" s="8"/>
      <c r="Q190" s="8"/>
      <c r="R190" s="6"/>
      <c r="S190" s="6"/>
      <c r="T190" s="6"/>
      <c r="U190" s="6"/>
      <c r="V190" s="6"/>
    </row>
    <row r="191">
      <c r="A191" s="15">
        <v>46252.15166215278</v>
      </c>
      <c r="B191" s="8" t="str">
        <f t="shared" si="1"/>
        <v>241089</v>
      </c>
      <c r="C191" s="23" t="s">
        <v>203</v>
      </c>
      <c r="D191" s="10" t="s">
        <v>156</v>
      </c>
      <c r="E191" s="9"/>
      <c r="F191" s="8"/>
      <c r="G191" s="12">
        <v>60.11</v>
      </c>
      <c r="H191" s="12">
        <v>48.62</v>
      </c>
      <c r="I191" s="12">
        <v>177.79</v>
      </c>
      <c r="J191" s="12">
        <v>177.66</v>
      </c>
      <c r="K191" s="8"/>
      <c r="L191" s="12">
        <v>60.07</v>
      </c>
      <c r="M191" s="12">
        <v>48.62</v>
      </c>
      <c r="N191" s="12">
        <v>177.43</v>
      </c>
      <c r="O191" s="12">
        <v>177.13</v>
      </c>
      <c r="P191" s="8"/>
      <c r="Q191" s="8"/>
      <c r="R191" s="6"/>
      <c r="S191" s="6"/>
      <c r="T191" s="6"/>
      <c r="U191" s="6"/>
      <c r="V191" s="6"/>
    </row>
    <row r="192">
      <c r="A192" s="15">
        <v>46252.153803402776</v>
      </c>
      <c r="B192" s="8" t="str">
        <f t="shared" si="1"/>
        <v>242697</v>
      </c>
      <c r="C192" s="22" t="s">
        <v>204</v>
      </c>
      <c r="D192" s="10" t="s">
        <v>156</v>
      </c>
      <c r="E192" s="9"/>
      <c r="F192" s="8"/>
      <c r="G192" s="12">
        <v>59.91</v>
      </c>
      <c r="H192" s="12">
        <v>48.77</v>
      </c>
      <c r="I192" s="12">
        <v>178.21</v>
      </c>
      <c r="J192" s="12">
        <v>178.24</v>
      </c>
      <c r="K192" s="8"/>
      <c r="L192" s="12">
        <v>59.91</v>
      </c>
      <c r="M192" s="12">
        <v>48.77</v>
      </c>
      <c r="N192" s="12">
        <v>177.86</v>
      </c>
      <c r="O192" s="12">
        <v>176.76</v>
      </c>
      <c r="P192" s="8"/>
      <c r="Q192" s="8"/>
      <c r="R192" s="6"/>
      <c r="S192" s="6"/>
      <c r="T192" s="6"/>
      <c r="U192" s="6"/>
      <c r="V192" s="6"/>
    </row>
    <row r="193">
      <c r="A193" s="15">
        <v>46252.15527260417</v>
      </c>
      <c r="B193" s="8" t="str">
        <f t="shared" si="1"/>
        <v>247064</v>
      </c>
      <c r="C193" s="23" t="s">
        <v>205</v>
      </c>
      <c r="D193" s="10" t="s">
        <v>156</v>
      </c>
      <c r="E193" s="9"/>
      <c r="F193" s="8"/>
      <c r="G193" s="12">
        <v>54.32</v>
      </c>
      <c r="H193" s="12">
        <v>36.66</v>
      </c>
      <c r="I193" s="12">
        <v>154.34</v>
      </c>
      <c r="J193" s="12">
        <v>154.66</v>
      </c>
      <c r="K193" s="8"/>
      <c r="L193" s="12">
        <v>54.24</v>
      </c>
      <c r="M193" s="12">
        <v>36.07</v>
      </c>
      <c r="N193" s="12">
        <v>154.08</v>
      </c>
      <c r="O193" s="12">
        <v>153.36</v>
      </c>
      <c r="P193" s="8"/>
      <c r="Q193" s="8"/>
      <c r="R193" s="6"/>
      <c r="S193" s="6"/>
      <c r="T193" s="6"/>
      <c r="U193" s="6"/>
      <c r="V193" s="6"/>
    </row>
    <row r="194">
      <c r="A194" s="15">
        <v>46252.15673724537</v>
      </c>
      <c r="B194" s="8" t="str">
        <f t="shared" si="1"/>
        <v>247069</v>
      </c>
      <c r="C194" s="22" t="s">
        <v>206</v>
      </c>
      <c r="D194" s="10" t="s">
        <v>156</v>
      </c>
      <c r="E194" s="9"/>
      <c r="F194" s="8"/>
      <c r="G194" s="12">
        <v>60.46</v>
      </c>
      <c r="H194" s="12">
        <v>49.08</v>
      </c>
      <c r="I194" s="12">
        <v>178.47</v>
      </c>
      <c r="J194" s="12">
        <v>178.14</v>
      </c>
      <c r="K194" s="8"/>
      <c r="L194" s="12">
        <v>60.34</v>
      </c>
      <c r="M194" s="12">
        <v>49.04</v>
      </c>
      <c r="N194" s="12">
        <v>178.49</v>
      </c>
      <c r="O194" s="12">
        <v>177.89</v>
      </c>
      <c r="P194" s="8"/>
      <c r="Q194" s="8"/>
      <c r="R194" s="6"/>
      <c r="S194" s="6"/>
      <c r="T194" s="6"/>
      <c r="U194" s="6"/>
      <c r="V194" s="6"/>
    </row>
    <row r="195">
      <c r="A195" s="15">
        <v>46252.15776166666</v>
      </c>
      <c r="B195" s="8" t="str">
        <f t="shared" si="1"/>
        <v>134826</v>
      </c>
      <c r="C195" s="23" t="s">
        <v>207</v>
      </c>
      <c r="D195" s="10" t="s">
        <v>156</v>
      </c>
      <c r="E195" s="9"/>
      <c r="F195" s="8"/>
      <c r="G195" s="12">
        <v>56.91</v>
      </c>
      <c r="H195" s="12">
        <v>56.91</v>
      </c>
      <c r="I195" s="12">
        <v>172.71</v>
      </c>
      <c r="J195" s="12">
        <v>172.6</v>
      </c>
      <c r="K195" s="8"/>
      <c r="L195" s="12">
        <v>56.71</v>
      </c>
      <c r="M195" s="12">
        <v>46.31</v>
      </c>
      <c r="N195" s="12">
        <v>172.35</v>
      </c>
      <c r="O195" s="12">
        <v>171.34</v>
      </c>
      <c r="P195" s="8"/>
      <c r="Q195" s="8"/>
      <c r="R195" s="6"/>
      <c r="S195" s="6"/>
      <c r="T195" s="6"/>
      <c r="U195" s="6"/>
      <c r="V195" s="6"/>
    </row>
    <row r="196">
      <c r="A196" s="15">
        <v>46252.15944239583</v>
      </c>
      <c r="B196" s="8" t="str">
        <f t="shared" si="1"/>
        <v>218967</v>
      </c>
      <c r="C196" s="22" t="s">
        <v>208</v>
      </c>
      <c r="D196" s="10" t="s">
        <v>17</v>
      </c>
      <c r="E196" s="9"/>
      <c r="F196" s="8"/>
      <c r="G196" s="12">
        <v>50.26</v>
      </c>
      <c r="H196" s="12">
        <v>37.76</v>
      </c>
      <c r="I196" s="12">
        <v>140.42</v>
      </c>
      <c r="J196" s="12">
        <v>140.29</v>
      </c>
      <c r="K196" s="8"/>
      <c r="L196" s="12">
        <v>50.44</v>
      </c>
      <c r="M196" s="12">
        <v>37.86</v>
      </c>
      <c r="N196" s="12">
        <v>140.87</v>
      </c>
      <c r="O196" s="12">
        <v>140.74</v>
      </c>
      <c r="P196" s="8"/>
      <c r="Q196" s="8"/>
      <c r="R196" s="6"/>
      <c r="S196" s="6"/>
      <c r="T196" s="6"/>
      <c r="U196" s="6"/>
      <c r="V196" s="6"/>
    </row>
    <row r="197">
      <c r="A197" s="15">
        <v>46252.16342186343</v>
      </c>
      <c r="B197" s="8" t="str">
        <f t="shared" si="1"/>
        <v>225336</v>
      </c>
      <c r="C197" s="23" t="s">
        <v>209</v>
      </c>
      <c r="D197" s="10" t="s">
        <v>17</v>
      </c>
      <c r="E197" s="9"/>
      <c r="F197" s="8"/>
      <c r="G197" s="12">
        <v>47.57</v>
      </c>
      <c r="H197" s="12">
        <v>40.62</v>
      </c>
      <c r="I197" s="12">
        <v>142.9</v>
      </c>
      <c r="J197" s="12">
        <v>142.74</v>
      </c>
      <c r="K197" s="8"/>
      <c r="L197" s="12">
        <v>47.68</v>
      </c>
      <c r="M197" s="12">
        <v>40.8</v>
      </c>
      <c r="N197" s="12">
        <v>143.36</v>
      </c>
      <c r="O197" s="12">
        <v>142.75</v>
      </c>
      <c r="P197" s="8"/>
      <c r="Q197" s="8"/>
      <c r="R197" s="6"/>
      <c r="S197" s="6"/>
      <c r="T197" s="6"/>
      <c r="U197" s="6"/>
      <c r="V197" s="6"/>
    </row>
    <row r="198">
      <c r="A198" s="15">
        <v>46252.1646203125</v>
      </c>
      <c r="B198" s="8" t="str">
        <f t="shared" si="1"/>
        <v>234791</v>
      </c>
      <c r="C198" s="22" t="s">
        <v>210</v>
      </c>
      <c r="D198" s="10" t="s">
        <v>17</v>
      </c>
      <c r="E198" s="9"/>
      <c r="F198" s="8"/>
      <c r="G198" s="12">
        <v>50.43</v>
      </c>
      <c r="H198" s="12">
        <v>41.83</v>
      </c>
      <c r="I198" s="12">
        <v>149.58</v>
      </c>
      <c r="J198" s="12">
        <v>149.62</v>
      </c>
      <c r="K198" s="8"/>
      <c r="L198" s="12">
        <v>50.43</v>
      </c>
      <c r="M198" s="12">
        <v>42.02</v>
      </c>
      <c r="N198" s="12">
        <v>42.02</v>
      </c>
      <c r="O198" s="12">
        <v>149.69</v>
      </c>
      <c r="P198" s="8"/>
      <c r="Q198" s="8"/>
      <c r="R198" s="6"/>
      <c r="S198" s="6"/>
      <c r="T198" s="6"/>
      <c r="U198" s="6"/>
      <c r="V198" s="6"/>
    </row>
    <row r="199">
      <c r="A199" s="15">
        <v>46252.165929560186</v>
      </c>
      <c r="B199" s="8" t="str">
        <f t="shared" si="1"/>
        <v>238757</v>
      </c>
      <c r="C199" s="23" t="s">
        <v>211</v>
      </c>
      <c r="D199" s="10" t="s">
        <v>17</v>
      </c>
      <c r="E199" s="9"/>
      <c r="F199" s="8"/>
      <c r="G199" s="12">
        <v>54.13</v>
      </c>
      <c r="H199" s="12">
        <v>38.97</v>
      </c>
      <c r="I199" s="12">
        <v>155.87</v>
      </c>
      <c r="J199" s="12">
        <v>155.35</v>
      </c>
      <c r="K199" s="8"/>
      <c r="L199" s="12">
        <v>54.19</v>
      </c>
      <c r="M199" s="12">
        <v>39.13</v>
      </c>
      <c r="N199" s="12">
        <v>155.88</v>
      </c>
      <c r="O199" s="12">
        <v>155.69</v>
      </c>
      <c r="P199" s="8"/>
      <c r="Q199" s="8"/>
      <c r="R199" s="6"/>
      <c r="S199" s="6"/>
      <c r="T199" s="6"/>
      <c r="U199" s="6"/>
      <c r="V199" s="6"/>
    </row>
    <row r="200">
      <c r="A200" s="15">
        <v>46252.16696112268</v>
      </c>
      <c r="B200" s="8" t="str">
        <f t="shared" si="1"/>
        <v>239183</v>
      </c>
      <c r="C200" s="10" t="s">
        <v>212</v>
      </c>
      <c r="D200" s="9"/>
      <c r="E200" s="9"/>
      <c r="F200" s="8"/>
      <c r="G200" s="12">
        <v>51.14</v>
      </c>
      <c r="H200" s="12">
        <v>41.01</v>
      </c>
      <c r="I200" s="12">
        <v>155.41</v>
      </c>
      <c r="J200" s="12">
        <v>155.46</v>
      </c>
      <c r="K200" s="8"/>
      <c r="L200" s="12">
        <v>51.15</v>
      </c>
      <c r="M200" s="12">
        <v>41.09</v>
      </c>
      <c r="N200" s="12">
        <v>155.43</v>
      </c>
      <c r="O200" s="12">
        <v>155.6</v>
      </c>
      <c r="P200" s="8"/>
      <c r="Q200" s="8"/>
      <c r="R200" s="6"/>
      <c r="S200" s="6"/>
      <c r="T200" s="6"/>
      <c r="U200" s="6"/>
      <c r="V200" s="6"/>
    </row>
    <row r="201">
      <c r="A201" s="15">
        <v>46252.332470486115</v>
      </c>
      <c r="B201" s="8" t="str">
        <f t="shared" si="1"/>
        <v>149080</v>
      </c>
      <c r="C201" s="10" t="s">
        <v>213</v>
      </c>
      <c r="D201" s="10" t="s">
        <v>17</v>
      </c>
      <c r="E201" s="9"/>
      <c r="F201" s="12" t="s">
        <v>18</v>
      </c>
      <c r="G201" s="12">
        <v>50.67</v>
      </c>
      <c r="H201" s="12">
        <v>39.48</v>
      </c>
      <c r="I201" s="12">
        <v>148.75</v>
      </c>
      <c r="J201" s="12">
        <v>148.9</v>
      </c>
      <c r="K201" s="12" t="s">
        <v>19</v>
      </c>
      <c r="L201" s="12">
        <v>50.88</v>
      </c>
      <c r="M201" s="12">
        <v>39.79</v>
      </c>
      <c r="N201" s="12">
        <v>149.57</v>
      </c>
      <c r="O201" s="12">
        <v>149.41</v>
      </c>
      <c r="P201" s="12" t="s">
        <v>17</v>
      </c>
      <c r="Q201" s="12" t="s">
        <v>214</v>
      </c>
      <c r="R201" s="6"/>
      <c r="S201" s="6"/>
      <c r="T201" s="6"/>
      <c r="U201" s="6"/>
      <c r="V201" s="6"/>
    </row>
    <row r="202">
      <c r="A202" s="15">
        <v>46252.363952037034</v>
      </c>
      <c r="B202" s="8" t="str">
        <f t="shared" si="1"/>
        <v>246240</v>
      </c>
      <c r="C202" s="10" t="s">
        <v>215</v>
      </c>
      <c r="D202" s="10" t="s">
        <v>17</v>
      </c>
      <c r="E202" s="9"/>
      <c r="F202" s="12" t="s">
        <v>18</v>
      </c>
      <c r="G202" s="12">
        <v>55.95</v>
      </c>
      <c r="H202" s="12">
        <v>32.42</v>
      </c>
      <c r="I202" s="12">
        <v>153.33</v>
      </c>
      <c r="J202" s="12">
        <v>153.33</v>
      </c>
      <c r="K202" s="12" t="s">
        <v>19</v>
      </c>
      <c r="L202" s="12">
        <v>56.22</v>
      </c>
      <c r="M202" s="12">
        <v>32.72</v>
      </c>
      <c r="N202" s="12">
        <v>154.37</v>
      </c>
      <c r="O202" s="12">
        <v>154.5</v>
      </c>
      <c r="P202" s="12" t="s">
        <v>17</v>
      </c>
      <c r="Q202" s="12" t="s">
        <v>214</v>
      </c>
      <c r="R202" s="6"/>
      <c r="S202" s="6"/>
      <c r="T202" s="6"/>
      <c r="U202" s="6"/>
      <c r="V202" s="6"/>
    </row>
    <row r="203">
      <c r="A203" s="15">
        <v>46252.38861415509</v>
      </c>
      <c r="B203" s="8" t="str">
        <f t="shared" si="1"/>
        <v>238524</v>
      </c>
      <c r="C203" s="10" t="s">
        <v>216</v>
      </c>
      <c r="D203" s="10" t="s">
        <v>17</v>
      </c>
      <c r="E203" s="9"/>
      <c r="F203" s="12" t="s">
        <v>18</v>
      </c>
      <c r="G203" s="12">
        <v>52.86</v>
      </c>
      <c r="H203" s="12">
        <v>41.72</v>
      </c>
      <c r="I203" s="12">
        <v>156.73</v>
      </c>
      <c r="J203" s="12">
        <v>156.82</v>
      </c>
      <c r="K203" s="12" t="s">
        <v>19</v>
      </c>
      <c r="L203" s="12">
        <v>52.96</v>
      </c>
      <c r="M203" s="12">
        <v>41.94</v>
      </c>
      <c r="N203" s="12">
        <v>157.34</v>
      </c>
      <c r="O203" s="12">
        <v>157.18</v>
      </c>
      <c r="P203" s="12" t="s">
        <v>17</v>
      </c>
      <c r="Q203" s="12" t="s">
        <v>214</v>
      </c>
      <c r="R203" s="6"/>
      <c r="S203" s="6"/>
      <c r="T203" s="6"/>
      <c r="U203" s="6"/>
      <c r="V203" s="6"/>
    </row>
    <row r="204">
      <c r="A204" s="15">
        <v>46253.73107622685</v>
      </c>
      <c r="B204" s="8" t="str">
        <f t="shared" si="1"/>
        <v>243248</v>
      </c>
      <c r="C204" s="10" t="s">
        <v>217</v>
      </c>
      <c r="D204" s="10" t="s">
        <v>17</v>
      </c>
      <c r="E204" s="9"/>
      <c r="F204" s="12" t="s">
        <v>18</v>
      </c>
      <c r="G204" s="12">
        <v>54.15</v>
      </c>
      <c r="H204" s="12">
        <v>41.08</v>
      </c>
      <c r="I204" s="12">
        <v>153.83</v>
      </c>
      <c r="J204" s="12">
        <v>156.92</v>
      </c>
      <c r="K204" s="12" t="s">
        <v>19</v>
      </c>
      <c r="L204" s="12">
        <v>54.13</v>
      </c>
      <c r="M204" s="12">
        <v>41.3</v>
      </c>
      <c r="N204" s="12">
        <v>154.21</v>
      </c>
      <c r="O204" s="12">
        <v>154.48</v>
      </c>
      <c r="P204" s="12" t="s">
        <v>17</v>
      </c>
      <c r="Q204" s="12" t="s">
        <v>42</v>
      </c>
      <c r="R204" s="6"/>
      <c r="S204" s="6"/>
      <c r="T204" s="6"/>
      <c r="U204" s="6"/>
      <c r="V204" s="6"/>
    </row>
    <row r="205">
      <c r="A205" s="15">
        <v>46253.73468076389</v>
      </c>
      <c r="B205" s="8" t="str">
        <f t="shared" si="1"/>
        <v>239983</v>
      </c>
      <c r="C205" s="10" t="s">
        <v>172</v>
      </c>
      <c r="D205" s="10" t="s">
        <v>17</v>
      </c>
      <c r="E205" s="9"/>
      <c r="F205" s="12" t="s">
        <v>18</v>
      </c>
      <c r="G205" s="12">
        <v>53.44</v>
      </c>
      <c r="H205" s="12">
        <v>42.96</v>
      </c>
      <c r="I205" s="12">
        <v>159.23</v>
      </c>
      <c r="J205" s="12">
        <v>159.23</v>
      </c>
      <c r="K205" s="12" t="s">
        <v>19</v>
      </c>
      <c r="L205" s="12">
        <v>53.92</v>
      </c>
      <c r="M205" s="12">
        <v>42.92</v>
      </c>
      <c r="N205" s="12">
        <v>160.93</v>
      </c>
      <c r="O205" s="12">
        <v>160.79</v>
      </c>
      <c r="P205" s="12" t="s">
        <v>17</v>
      </c>
      <c r="Q205" s="12" t="s">
        <v>42</v>
      </c>
      <c r="R205" s="6"/>
      <c r="S205" s="6"/>
      <c r="T205" s="6"/>
      <c r="U205" s="6"/>
      <c r="V205" s="6"/>
    </row>
    <row r="206">
      <c r="A206" s="15">
        <v>46253.75995689815</v>
      </c>
      <c r="B206" s="8" t="str">
        <f t="shared" si="1"/>
        <v>207481</v>
      </c>
      <c r="C206" s="10">
        <v>207481.0</v>
      </c>
      <c r="D206" s="10" t="s">
        <v>17</v>
      </c>
      <c r="E206" s="9"/>
      <c r="F206" s="12" t="s">
        <v>18</v>
      </c>
      <c r="G206" s="12">
        <v>50.72</v>
      </c>
      <c r="H206" s="12">
        <v>43.13</v>
      </c>
      <c r="I206" s="12">
        <v>153.89</v>
      </c>
      <c r="J206" s="12">
        <v>153.89</v>
      </c>
      <c r="K206" s="12" t="s">
        <v>19</v>
      </c>
      <c r="L206" s="35">
        <v>51.26</v>
      </c>
      <c r="M206" s="12">
        <v>43.51</v>
      </c>
      <c r="N206" s="12">
        <v>155.51</v>
      </c>
      <c r="O206" s="12">
        <v>155.29</v>
      </c>
      <c r="P206" s="12" t="s">
        <v>17</v>
      </c>
      <c r="Q206" s="12" t="s">
        <v>42</v>
      </c>
      <c r="R206" s="6"/>
      <c r="S206" s="6"/>
      <c r="T206" s="6"/>
      <c r="U206" s="6"/>
      <c r="V206" s="6"/>
    </row>
    <row r="207">
      <c r="A207" s="15">
        <v>46253.76313609954</v>
      </c>
      <c r="B207" s="8" t="str">
        <f t="shared" si="1"/>
        <v>134826</v>
      </c>
      <c r="C207" s="10" t="s">
        <v>207</v>
      </c>
      <c r="D207" s="10" t="s">
        <v>17</v>
      </c>
      <c r="E207" s="9"/>
      <c r="F207" s="12" t="s">
        <v>18</v>
      </c>
      <c r="G207" s="12">
        <v>56.71</v>
      </c>
      <c r="H207" s="12">
        <v>46.31</v>
      </c>
      <c r="I207" s="12">
        <v>172.35</v>
      </c>
      <c r="J207" s="12">
        <v>171.34</v>
      </c>
      <c r="K207" s="12" t="s">
        <v>19</v>
      </c>
      <c r="L207" s="12">
        <v>56.88</v>
      </c>
      <c r="M207" s="12">
        <v>46.15</v>
      </c>
      <c r="N207" s="12">
        <v>172.55</v>
      </c>
      <c r="O207" s="12">
        <v>172.2</v>
      </c>
      <c r="P207" s="12" t="s">
        <v>17</v>
      </c>
      <c r="Q207" s="12" t="s">
        <v>42</v>
      </c>
      <c r="R207" s="6"/>
      <c r="S207" s="6"/>
      <c r="T207" s="6"/>
      <c r="U207" s="6"/>
      <c r="V207" s="6"/>
    </row>
    <row r="208">
      <c r="A208" s="15">
        <v>46254.48641434028</v>
      </c>
      <c r="B208" s="8" t="str">
        <f t="shared" si="1"/>
        <v>241106</v>
      </c>
      <c r="C208" s="10">
        <v>241106.0</v>
      </c>
      <c r="D208" s="10" t="s">
        <v>17</v>
      </c>
      <c r="E208" s="9"/>
      <c r="F208" s="12" t="s">
        <v>18</v>
      </c>
      <c r="G208" s="12">
        <v>56.87</v>
      </c>
      <c r="H208" s="12">
        <v>41.44</v>
      </c>
      <c r="I208" s="12">
        <v>166.01</v>
      </c>
      <c r="J208" s="12">
        <v>165.79</v>
      </c>
      <c r="K208" s="12" t="s">
        <v>19</v>
      </c>
      <c r="L208" s="12">
        <v>57.36</v>
      </c>
      <c r="M208" s="12">
        <v>42.23</v>
      </c>
      <c r="N208" s="12">
        <v>168.01</v>
      </c>
      <c r="O208" s="12">
        <v>167.72</v>
      </c>
      <c r="P208" s="12" t="s">
        <v>17</v>
      </c>
      <c r="Q208" s="12" t="s">
        <v>214</v>
      </c>
      <c r="R208" s="6"/>
      <c r="S208" s="6"/>
      <c r="T208" s="6"/>
      <c r="U208" s="6"/>
      <c r="V208" s="6"/>
    </row>
    <row r="209">
      <c r="A209" s="15">
        <v>46254.48705964121</v>
      </c>
      <c r="B209" s="8" t="str">
        <f t="shared" si="1"/>
        <v>137975</v>
      </c>
      <c r="C209" s="10" t="s">
        <v>218</v>
      </c>
      <c r="D209" s="10" t="s">
        <v>22</v>
      </c>
      <c r="E209" s="9"/>
      <c r="F209" s="12" t="s">
        <v>18</v>
      </c>
      <c r="G209" s="12">
        <v>49.64</v>
      </c>
      <c r="H209" s="12">
        <v>36.56</v>
      </c>
      <c r="I209" s="12">
        <v>142.37</v>
      </c>
      <c r="J209" s="12">
        <v>142.37</v>
      </c>
      <c r="K209" s="12" t="s">
        <v>19</v>
      </c>
      <c r="L209" s="12">
        <v>52.9</v>
      </c>
      <c r="M209" s="12">
        <v>40.54</v>
      </c>
      <c r="N209" s="12">
        <v>154.56</v>
      </c>
      <c r="O209" s="12">
        <v>154.58</v>
      </c>
      <c r="P209" s="12" t="s">
        <v>22</v>
      </c>
      <c r="Q209" s="12" t="s">
        <v>214</v>
      </c>
      <c r="R209" s="6"/>
      <c r="S209" s="6"/>
      <c r="T209" s="6"/>
      <c r="U209" s="6"/>
      <c r="V209" s="6"/>
    </row>
    <row r="210">
      <c r="A210" s="8"/>
      <c r="B210" s="8" t="str">
        <f t="shared" si="1"/>
        <v>234804</v>
      </c>
      <c r="C210" s="10" t="s">
        <v>179</v>
      </c>
      <c r="D210" s="9"/>
      <c r="E210" s="9"/>
      <c r="F210" s="8"/>
      <c r="G210" s="12"/>
      <c r="H210" s="8"/>
      <c r="I210" s="8"/>
      <c r="J210" s="8"/>
      <c r="K210" s="8"/>
      <c r="L210" s="12">
        <v>51.96</v>
      </c>
      <c r="M210" s="12">
        <v>43.92</v>
      </c>
      <c r="N210" s="12">
        <v>155.59</v>
      </c>
      <c r="O210" s="12">
        <v>155.26</v>
      </c>
      <c r="P210" s="8"/>
      <c r="Q210" s="8"/>
      <c r="R210" s="36" t="s">
        <v>219</v>
      </c>
      <c r="S210" s="6"/>
      <c r="T210" s="6"/>
      <c r="U210" s="6"/>
      <c r="V210" s="6"/>
    </row>
    <row r="211">
      <c r="A211" s="8"/>
      <c r="B211" s="8" t="str">
        <f t="shared" si="1"/>
        <v>#REF!</v>
      </c>
      <c r="C211" s="9" t="str">
        <f>#REF!&amp;"."&amp;#REF!</f>
        <v>#REF!</v>
      </c>
      <c r="D211" s="9"/>
      <c r="E211" s="9"/>
      <c r="F211" s="8"/>
      <c r="G211" s="8"/>
      <c r="H211" s="8"/>
      <c r="I211" s="8"/>
      <c r="J211" s="8"/>
      <c r="K211" s="8"/>
      <c r="L211" s="12">
        <v>52.05</v>
      </c>
      <c r="M211" s="12">
        <v>43.74</v>
      </c>
      <c r="N211" s="12">
        <v>155.36</v>
      </c>
      <c r="O211" s="12">
        <v>155.36</v>
      </c>
      <c r="P211" s="8"/>
      <c r="Q211" s="8"/>
      <c r="R211" s="36" t="s">
        <v>220</v>
      </c>
      <c r="S211" s="6"/>
      <c r="T211" s="6"/>
      <c r="U211" s="6"/>
      <c r="V211" s="6"/>
    </row>
    <row r="212">
      <c r="A212" s="15">
        <v>46254.71929987268</v>
      </c>
      <c r="B212" s="8" t="str">
        <f t="shared" si="1"/>
        <v>239839</v>
      </c>
      <c r="C212" s="37" t="s">
        <v>91</v>
      </c>
      <c r="D212" s="37" t="s">
        <v>32</v>
      </c>
      <c r="E212" s="9"/>
      <c r="F212" s="12" t="s">
        <v>18</v>
      </c>
      <c r="G212" s="12">
        <v>53.71</v>
      </c>
      <c r="H212" s="12">
        <v>36.21</v>
      </c>
      <c r="I212" s="12">
        <v>154.17</v>
      </c>
      <c r="J212" s="12">
        <v>154.17</v>
      </c>
      <c r="K212" s="12" t="s">
        <v>107</v>
      </c>
      <c r="L212" s="12">
        <v>53.56</v>
      </c>
      <c r="M212" s="12">
        <v>36.12</v>
      </c>
      <c r="N212" s="12">
        <v>153.74</v>
      </c>
      <c r="O212" s="12">
        <v>153.74</v>
      </c>
      <c r="P212" s="8"/>
      <c r="Q212" s="12" t="s">
        <v>221</v>
      </c>
      <c r="R212" s="36" t="s">
        <v>222</v>
      </c>
      <c r="S212" s="6"/>
      <c r="T212" s="6"/>
      <c r="U212" s="6"/>
      <c r="V212" s="6"/>
    </row>
    <row r="213">
      <c r="A213" s="15">
        <v>46254.72402494213</v>
      </c>
      <c r="B213" s="8" t="str">
        <f t="shared" si="1"/>
        <v>234769</v>
      </c>
      <c r="C213" s="38" t="s">
        <v>223</v>
      </c>
      <c r="D213" s="38" t="s">
        <v>17</v>
      </c>
      <c r="E213" s="9"/>
      <c r="F213" s="12" t="s">
        <v>18</v>
      </c>
      <c r="G213" s="12">
        <v>54.94</v>
      </c>
      <c r="H213" s="12">
        <v>39.0</v>
      </c>
      <c r="I213" s="12">
        <v>159.98</v>
      </c>
      <c r="J213" s="12">
        <v>160.11</v>
      </c>
      <c r="K213" s="12" t="s">
        <v>107</v>
      </c>
      <c r="L213" s="12">
        <v>54.94</v>
      </c>
      <c r="M213" s="12">
        <v>39.0</v>
      </c>
      <c r="N213" s="12">
        <v>159.97</v>
      </c>
      <c r="O213" s="12">
        <v>160.38</v>
      </c>
      <c r="P213" s="8"/>
      <c r="Q213" s="12" t="s">
        <v>221</v>
      </c>
      <c r="R213" s="6"/>
      <c r="S213" s="6"/>
      <c r="T213" s="6"/>
      <c r="U213" s="6"/>
      <c r="V213" s="6"/>
    </row>
    <row r="214">
      <c r="A214" s="15">
        <v>46254.7252525463</v>
      </c>
      <c r="B214" s="8" t="str">
        <f t="shared" si="1"/>
        <v>236397</v>
      </c>
      <c r="C214" s="37" t="s">
        <v>224</v>
      </c>
      <c r="D214" s="37" t="s">
        <v>32</v>
      </c>
      <c r="E214" s="9"/>
      <c r="F214" s="12" t="s">
        <v>18</v>
      </c>
      <c r="G214" s="12">
        <v>55.39</v>
      </c>
      <c r="H214" s="12">
        <v>38.59</v>
      </c>
      <c r="I214" s="12">
        <v>158.47</v>
      </c>
      <c r="J214" s="12">
        <v>158.55</v>
      </c>
      <c r="K214" s="12" t="s">
        <v>107</v>
      </c>
      <c r="L214" s="12">
        <v>55.29</v>
      </c>
      <c r="M214" s="12">
        <v>55.29</v>
      </c>
      <c r="N214" s="12">
        <v>157.85</v>
      </c>
      <c r="O214" s="12">
        <v>157.85</v>
      </c>
      <c r="P214" s="8"/>
      <c r="Q214" s="12" t="s">
        <v>221</v>
      </c>
      <c r="R214" s="6"/>
      <c r="S214" s="6"/>
      <c r="T214" s="6"/>
      <c r="U214" s="6"/>
      <c r="V214" s="6"/>
    </row>
    <row r="215">
      <c r="A215" s="15">
        <v>46254.726541724536</v>
      </c>
      <c r="B215" s="8" t="str">
        <f t="shared" si="1"/>
        <v>234765</v>
      </c>
      <c r="C215" s="38" t="s">
        <v>225</v>
      </c>
      <c r="D215" s="38" t="s">
        <v>32</v>
      </c>
      <c r="E215" s="9"/>
      <c r="F215" s="12" t="s">
        <v>18</v>
      </c>
      <c r="G215" s="12">
        <v>55.71</v>
      </c>
      <c r="H215" s="12">
        <v>39.7</v>
      </c>
      <c r="I215" s="12">
        <v>162.71</v>
      </c>
      <c r="J215" s="12">
        <v>162.86</v>
      </c>
      <c r="K215" s="12" t="s">
        <v>107</v>
      </c>
      <c r="L215" s="12">
        <v>55.7</v>
      </c>
      <c r="M215" s="12">
        <v>39.55</v>
      </c>
      <c r="N215" s="12">
        <v>162.47</v>
      </c>
      <c r="O215" s="12">
        <v>162.4</v>
      </c>
      <c r="P215" s="8"/>
      <c r="Q215" s="12" t="s">
        <v>221</v>
      </c>
      <c r="R215" s="6"/>
      <c r="S215" s="6"/>
      <c r="T215" s="6"/>
      <c r="U215" s="6"/>
      <c r="V215" s="6"/>
    </row>
    <row r="216">
      <c r="A216" s="15">
        <v>46254.72752054398</v>
      </c>
      <c r="B216" s="8" t="str">
        <f t="shared" si="1"/>
        <v>219829</v>
      </c>
      <c r="C216" s="37" t="s">
        <v>226</v>
      </c>
      <c r="D216" s="37" t="s">
        <v>32</v>
      </c>
      <c r="E216" s="9"/>
      <c r="F216" s="12" t="s">
        <v>18</v>
      </c>
      <c r="G216" s="12">
        <v>54.65</v>
      </c>
      <c r="H216" s="12">
        <v>42.17</v>
      </c>
      <c r="I216" s="12">
        <v>162.28</v>
      </c>
      <c r="J216" s="12">
        <v>162.34</v>
      </c>
      <c r="K216" s="12" t="s">
        <v>107</v>
      </c>
      <c r="L216" s="12">
        <v>54.65</v>
      </c>
      <c r="M216" s="12">
        <v>41.9</v>
      </c>
      <c r="N216" s="12">
        <v>162.0</v>
      </c>
      <c r="O216" s="12">
        <v>161.69</v>
      </c>
      <c r="P216" s="8"/>
      <c r="Q216" s="12" t="s">
        <v>221</v>
      </c>
      <c r="R216" s="6"/>
      <c r="S216" s="6"/>
      <c r="T216" s="6"/>
      <c r="U216" s="6"/>
      <c r="V216" s="6"/>
    </row>
    <row r="217">
      <c r="A217" s="15">
        <v>46254.72844259259</v>
      </c>
      <c r="B217" s="8" t="str">
        <f t="shared" si="1"/>
        <v>243841</v>
      </c>
      <c r="C217" s="38" t="s">
        <v>227</v>
      </c>
      <c r="D217" s="38" t="s">
        <v>32</v>
      </c>
      <c r="E217" s="9"/>
      <c r="F217" s="12" t="s">
        <v>18</v>
      </c>
      <c r="G217" s="12">
        <v>52.98</v>
      </c>
      <c r="H217" s="12">
        <v>39.02</v>
      </c>
      <c r="I217" s="12">
        <v>154.57</v>
      </c>
      <c r="J217" s="12">
        <v>154.54</v>
      </c>
      <c r="K217" s="12" t="s">
        <v>107</v>
      </c>
      <c r="L217" s="12">
        <v>52.93</v>
      </c>
      <c r="M217" s="12">
        <v>38.84</v>
      </c>
      <c r="N217" s="12">
        <v>154.3</v>
      </c>
      <c r="O217" s="12">
        <v>154.12</v>
      </c>
      <c r="P217" s="8"/>
      <c r="Q217" s="12" t="s">
        <v>221</v>
      </c>
      <c r="R217" s="6"/>
      <c r="S217" s="6"/>
      <c r="T217" s="6"/>
      <c r="U217" s="6"/>
      <c r="V217" s="6"/>
    </row>
    <row r="218">
      <c r="A218" s="8"/>
      <c r="B218" s="8" t="str">
        <f t="shared" si="1"/>
        <v>224362</v>
      </c>
      <c r="C218" s="37" t="s">
        <v>228</v>
      </c>
      <c r="D218" s="37" t="s">
        <v>229</v>
      </c>
      <c r="E218" s="9"/>
      <c r="F218" s="12" t="s">
        <v>18</v>
      </c>
      <c r="G218" s="8"/>
      <c r="H218" s="8"/>
      <c r="I218" s="8"/>
      <c r="J218" s="8"/>
      <c r="K218" s="12" t="s">
        <v>107</v>
      </c>
      <c r="L218" s="8"/>
      <c r="M218" s="8"/>
      <c r="N218" s="8"/>
      <c r="O218" s="8"/>
      <c r="P218" s="8"/>
      <c r="Q218" s="12" t="s">
        <v>221</v>
      </c>
      <c r="R218" s="6"/>
      <c r="S218" s="6"/>
      <c r="T218" s="6"/>
      <c r="U218" s="6"/>
      <c r="V218" s="6"/>
    </row>
    <row r="219">
      <c r="A219" s="15">
        <v>46254.73335392361</v>
      </c>
      <c r="B219" s="8" t="str">
        <f t="shared" si="1"/>
        <v>245913</v>
      </c>
      <c r="C219" s="38" t="s">
        <v>230</v>
      </c>
      <c r="D219" s="38" t="s">
        <v>32</v>
      </c>
      <c r="E219" s="9"/>
      <c r="F219" s="12" t="s">
        <v>18</v>
      </c>
      <c r="G219" s="12">
        <v>52.73</v>
      </c>
      <c r="H219" s="12">
        <v>43.21</v>
      </c>
      <c r="I219" s="12">
        <v>155.18</v>
      </c>
      <c r="J219" s="12">
        <v>155.25</v>
      </c>
      <c r="K219" s="12" t="s">
        <v>107</v>
      </c>
      <c r="L219" s="12">
        <v>52.55</v>
      </c>
      <c r="M219" s="12">
        <v>43.19</v>
      </c>
      <c r="N219" s="12">
        <v>155.2</v>
      </c>
      <c r="O219" s="12">
        <v>154.97</v>
      </c>
      <c r="P219" s="8"/>
      <c r="Q219" s="12" t="s">
        <v>221</v>
      </c>
      <c r="R219" s="6"/>
      <c r="S219" s="6"/>
      <c r="T219" s="6"/>
      <c r="U219" s="6"/>
      <c r="V219" s="6"/>
    </row>
    <row r="220">
      <c r="A220" s="15">
        <v>46254.73447488426</v>
      </c>
      <c r="B220" s="8" t="str">
        <f t="shared" si="1"/>
        <v>243868</v>
      </c>
      <c r="C220" s="37" t="s">
        <v>231</v>
      </c>
      <c r="D220" s="37" t="s">
        <v>32</v>
      </c>
      <c r="E220" s="9"/>
      <c r="F220" s="12" t="s">
        <v>18</v>
      </c>
      <c r="G220" s="12">
        <v>56.99</v>
      </c>
      <c r="H220" s="12">
        <v>43.51</v>
      </c>
      <c r="I220" s="12">
        <v>170.02</v>
      </c>
      <c r="J220" s="12">
        <v>169.97</v>
      </c>
      <c r="K220" s="12" t="s">
        <v>107</v>
      </c>
      <c r="L220" s="12">
        <v>56.89</v>
      </c>
      <c r="M220" s="12">
        <v>43.46</v>
      </c>
      <c r="N220" s="12">
        <v>169.57</v>
      </c>
      <c r="O220" s="12">
        <v>169.57</v>
      </c>
      <c r="P220" s="8"/>
      <c r="Q220" s="12" t="s">
        <v>221</v>
      </c>
      <c r="R220" s="6"/>
      <c r="S220" s="6"/>
      <c r="T220" s="6"/>
      <c r="U220" s="6"/>
      <c r="V220" s="6"/>
    </row>
    <row r="221">
      <c r="A221" s="15">
        <v>46254.73545591436</v>
      </c>
      <c r="B221" s="8" t="str">
        <f t="shared" si="1"/>
        <v>209756</v>
      </c>
      <c r="C221" s="38" t="s">
        <v>232</v>
      </c>
      <c r="D221" s="38" t="s">
        <v>32</v>
      </c>
      <c r="E221" s="9"/>
      <c r="F221" s="12" t="s">
        <v>18</v>
      </c>
      <c r="G221" s="12">
        <v>53.55</v>
      </c>
      <c r="H221" s="12">
        <v>38.55</v>
      </c>
      <c r="I221" s="12">
        <v>154.64</v>
      </c>
      <c r="J221" s="12">
        <v>154.8</v>
      </c>
      <c r="K221" s="12" t="s">
        <v>107</v>
      </c>
      <c r="L221" s="12">
        <v>53.47</v>
      </c>
      <c r="M221" s="12">
        <v>38.55</v>
      </c>
      <c r="N221" s="12">
        <v>154.39</v>
      </c>
      <c r="O221" s="12">
        <v>154.09</v>
      </c>
      <c r="P221" s="8"/>
      <c r="Q221" s="12" t="s">
        <v>221</v>
      </c>
      <c r="R221" s="6"/>
      <c r="S221" s="6"/>
      <c r="T221" s="6"/>
      <c r="U221" s="6"/>
      <c r="V221" s="6"/>
    </row>
    <row r="222">
      <c r="A222" s="15">
        <v>46254.737128692126</v>
      </c>
      <c r="B222" s="8" t="str">
        <f t="shared" si="1"/>
        <v>210433</v>
      </c>
      <c r="C222" s="37" t="s">
        <v>100</v>
      </c>
      <c r="D222" s="37" t="s">
        <v>32</v>
      </c>
      <c r="E222" s="9"/>
      <c r="F222" s="12" t="s">
        <v>18</v>
      </c>
      <c r="G222" s="12">
        <v>52.41</v>
      </c>
      <c r="H222" s="12">
        <v>34.85</v>
      </c>
      <c r="I222" s="12">
        <v>147.77</v>
      </c>
      <c r="J222" s="12">
        <v>147.85</v>
      </c>
      <c r="K222" s="12" t="s">
        <v>107</v>
      </c>
      <c r="L222" s="12">
        <v>52.35</v>
      </c>
      <c r="M222" s="12">
        <v>34.85</v>
      </c>
      <c r="N222" s="12">
        <v>147.62</v>
      </c>
      <c r="O222" s="12">
        <v>147.62</v>
      </c>
      <c r="P222" s="8"/>
      <c r="Q222" s="12" t="s">
        <v>221</v>
      </c>
      <c r="R222" s="6"/>
      <c r="S222" s="6"/>
      <c r="T222" s="6"/>
      <c r="U222" s="6"/>
      <c r="V222" s="6"/>
    </row>
    <row r="223">
      <c r="A223" s="15">
        <v>46254.74223931713</v>
      </c>
      <c r="B223" s="8" t="str">
        <f t="shared" si="1"/>
        <v>239021</v>
      </c>
      <c r="C223" s="38" t="s">
        <v>233</v>
      </c>
      <c r="D223" s="38" t="s">
        <v>32</v>
      </c>
      <c r="E223" s="9"/>
      <c r="F223" s="12" t="s">
        <v>18</v>
      </c>
      <c r="G223" s="12">
        <v>52.18</v>
      </c>
      <c r="H223" s="12">
        <v>42.1</v>
      </c>
      <c r="I223" s="12">
        <v>153.6</v>
      </c>
      <c r="J223" s="12">
        <v>153.51</v>
      </c>
      <c r="K223" s="12" t="s">
        <v>107</v>
      </c>
      <c r="L223" s="12">
        <v>52.1</v>
      </c>
      <c r="M223" s="12">
        <v>42.02</v>
      </c>
      <c r="N223" s="12">
        <v>153.25</v>
      </c>
      <c r="O223" s="12">
        <v>153.31</v>
      </c>
      <c r="P223" s="8"/>
      <c r="Q223" s="12" t="s">
        <v>221</v>
      </c>
      <c r="R223" s="6"/>
      <c r="S223" s="6"/>
      <c r="T223" s="6"/>
      <c r="U223" s="6"/>
      <c r="V223" s="6"/>
    </row>
    <row r="224">
      <c r="A224" s="15">
        <v>46256.29272837963</v>
      </c>
      <c r="B224" s="8" t="str">
        <f t="shared" si="1"/>
        <v>222402</v>
      </c>
      <c r="C224" s="37" t="s">
        <v>234</v>
      </c>
      <c r="D224" s="37" t="s">
        <v>32</v>
      </c>
      <c r="E224" s="9"/>
      <c r="F224" s="12" t="s">
        <v>18</v>
      </c>
      <c r="G224" s="12">
        <v>53.68</v>
      </c>
      <c r="H224" s="12">
        <v>39.14</v>
      </c>
      <c r="I224" s="12">
        <v>149.79</v>
      </c>
      <c r="J224" s="12">
        <v>149.9</v>
      </c>
      <c r="K224" s="12" t="s">
        <v>107</v>
      </c>
      <c r="L224" s="12">
        <v>53.66</v>
      </c>
      <c r="M224" s="12">
        <v>39.05</v>
      </c>
      <c r="N224" s="12">
        <v>149.76</v>
      </c>
      <c r="O224" s="12">
        <v>149.76</v>
      </c>
      <c r="P224" s="8"/>
      <c r="Q224" s="12" t="s">
        <v>221</v>
      </c>
      <c r="R224" s="6"/>
      <c r="S224" s="6"/>
      <c r="T224" s="6"/>
      <c r="U224" s="6"/>
      <c r="V224" s="6"/>
    </row>
    <row r="225">
      <c r="A225" s="8"/>
      <c r="B225" s="8" t="str">
        <f t="shared" si="1"/>
        <v>211307</v>
      </c>
      <c r="C225" s="38" t="s">
        <v>235</v>
      </c>
      <c r="D225" s="38" t="s">
        <v>229</v>
      </c>
      <c r="E225" s="9"/>
      <c r="F225" s="12" t="s">
        <v>18</v>
      </c>
      <c r="G225" s="8"/>
      <c r="H225" s="8"/>
      <c r="I225" s="8"/>
      <c r="J225" s="8"/>
      <c r="K225" s="12" t="s">
        <v>107</v>
      </c>
      <c r="L225" s="8"/>
      <c r="M225" s="8"/>
      <c r="N225" s="8"/>
      <c r="O225" s="8"/>
      <c r="P225" s="8"/>
      <c r="Q225" s="8"/>
      <c r="R225" s="6"/>
      <c r="S225" s="6"/>
      <c r="T225" s="6"/>
      <c r="U225" s="6"/>
      <c r="V225" s="6"/>
    </row>
    <row r="226">
      <c r="A226" s="8"/>
      <c r="B226" s="8" t="str">
        <f t="shared" si="1"/>
        <v>150636</v>
      </c>
      <c r="C226" s="37" t="s">
        <v>236</v>
      </c>
      <c r="D226" s="37" t="s">
        <v>229</v>
      </c>
      <c r="E226" s="9"/>
      <c r="F226" s="12" t="s">
        <v>18</v>
      </c>
      <c r="G226" s="8"/>
      <c r="H226" s="8"/>
      <c r="I226" s="8"/>
      <c r="J226" s="8"/>
      <c r="K226" s="12" t="s">
        <v>107</v>
      </c>
      <c r="L226" s="8"/>
      <c r="M226" s="8"/>
      <c r="N226" s="8"/>
      <c r="O226" s="8"/>
      <c r="P226" s="8"/>
      <c r="Q226" s="8"/>
      <c r="R226" s="6"/>
      <c r="S226" s="6"/>
      <c r="T226" s="6"/>
      <c r="U226" s="6"/>
      <c r="V226" s="6"/>
    </row>
    <row r="227">
      <c r="A227" s="15">
        <v>46256.2938885301</v>
      </c>
      <c r="B227" s="8" t="str">
        <f t="shared" si="1"/>
        <v>219139</v>
      </c>
      <c r="C227" s="38" t="s">
        <v>237</v>
      </c>
      <c r="D227" s="38" t="s">
        <v>32</v>
      </c>
      <c r="E227" s="9"/>
      <c r="F227" s="12" t="s">
        <v>18</v>
      </c>
      <c r="G227" s="12">
        <v>50.09</v>
      </c>
      <c r="H227" s="12">
        <v>38.16</v>
      </c>
      <c r="I227" s="12">
        <v>148.83</v>
      </c>
      <c r="J227" s="12">
        <v>148.69</v>
      </c>
      <c r="K227" s="12" t="s">
        <v>107</v>
      </c>
      <c r="L227" s="12">
        <v>50.07</v>
      </c>
      <c r="M227" s="12">
        <v>38.05</v>
      </c>
      <c r="N227" s="12">
        <v>148.75</v>
      </c>
      <c r="O227" s="12">
        <v>148.4</v>
      </c>
      <c r="P227" s="8"/>
      <c r="Q227" s="12" t="s">
        <v>90</v>
      </c>
      <c r="R227" s="6"/>
      <c r="S227" s="6"/>
      <c r="T227" s="6"/>
      <c r="U227" s="6"/>
      <c r="V227" s="6"/>
    </row>
    <row r="228">
      <c r="A228" s="15">
        <v>46256.295142187504</v>
      </c>
      <c r="B228" s="8" t="str">
        <f t="shared" si="1"/>
        <v>134746</v>
      </c>
      <c r="C228" s="37" t="s">
        <v>238</v>
      </c>
      <c r="D228" s="37" t="s">
        <v>32</v>
      </c>
      <c r="E228" s="9"/>
      <c r="F228" s="12" t="s">
        <v>18</v>
      </c>
      <c r="G228" s="12">
        <v>55.0</v>
      </c>
      <c r="H228" s="12">
        <v>38.66</v>
      </c>
      <c r="I228" s="12">
        <v>159.29</v>
      </c>
      <c r="J228" s="12">
        <v>159.29</v>
      </c>
      <c r="K228" s="12" t="s">
        <v>107</v>
      </c>
      <c r="L228" s="12">
        <v>54.95</v>
      </c>
      <c r="M228" s="12">
        <v>38.62</v>
      </c>
      <c r="N228" s="12">
        <v>159.11</v>
      </c>
      <c r="O228" s="12">
        <v>159.11</v>
      </c>
      <c r="P228" s="8"/>
      <c r="Q228" s="12" t="s">
        <v>90</v>
      </c>
      <c r="R228" s="6"/>
      <c r="S228" s="6"/>
      <c r="T228" s="6"/>
      <c r="U228" s="6"/>
      <c r="V228" s="6"/>
    </row>
    <row r="229">
      <c r="A229" s="15">
        <v>46256.295564768516</v>
      </c>
      <c r="B229" s="8" t="str">
        <f t="shared" si="1"/>
        <v>210433</v>
      </c>
      <c r="C229" s="38" t="s">
        <v>239</v>
      </c>
      <c r="D229" s="38" t="s">
        <v>32</v>
      </c>
      <c r="E229" s="9"/>
      <c r="F229" s="12" t="s">
        <v>18</v>
      </c>
      <c r="G229" s="12">
        <v>52.43</v>
      </c>
      <c r="H229" s="12">
        <v>34.94</v>
      </c>
      <c r="I229" s="12">
        <v>147.65</v>
      </c>
      <c r="J229" s="12">
        <v>147.49</v>
      </c>
      <c r="K229" s="12" t="s">
        <v>107</v>
      </c>
      <c r="L229" s="12">
        <v>52.08</v>
      </c>
      <c r="M229" s="12">
        <v>34.88</v>
      </c>
      <c r="N229" s="12">
        <v>147.08</v>
      </c>
      <c r="O229" s="12">
        <v>147.39</v>
      </c>
      <c r="P229" s="8"/>
      <c r="Q229" s="12" t="s">
        <v>90</v>
      </c>
      <c r="R229" s="6"/>
      <c r="S229" s="6"/>
      <c r="T229" s="6"/>
      <c r="U229" s="6"/>
      <c r="V229" s="6"/>
    </row>
    <row r="230">
      <c r="A230" s="15">
        <v>46257.34594925926</v>
      </c>
      <c r="B230" s="8" t="str">
        <f t="shared" si="1"/>
        <v>208272</v>
      </c>
      <c r="C230" s="10">
        <v>208272.0</v>
      </c>
      <c r="D230" s="10" t="s">
        <v>17</v>
      </c>
      <c r="E230" s="9"/>
      <c r="F230" s="12" t="s">
        <v>18</v>
      </c>
      <c r="G230" s="12">
        <v>51.25</v>
      </c>
      <c r="H230" s="12">
        <v>42.92</v>
      </c>
      <c r="I230" s="12">
        <v>154.17</v>
      </c>
      <c r="J230" s="12">
        <v>154.17</v>
      </c>
      <c r="K230" s="12" t="s">
        <v>19</v>
      </c>
      <c r="L230" s="12">
        <v>51.88</v>
      </c>
      <c r="M230" s="12">
        <v>42.81</v>
      </c>
      <c r="N230" s="12">
        <v>155.53</v>
      </c>
      <c r="O230" s="12">
        <v>154.91</v>
      </c>
      <c r="P230" s="8"/>
      <c r="Q230" s="12" t="s">
        <v>214</v>
      </c>
      <c r="R230" s="6"/>
      <c r="S230" s="6"/>
      <c r="T230" s="6"/>
      <c r="U230" s="6"/>
      <c r="V230" s="6"/>
    </row>
    <row r="231">
      <c r="A231" s="15">
        <v>46257.357276469906</v>
      </c>
      <c r="B231" s="8" t="str">
        <f t="shared" si="1"/>
        <v>219262</v>
      </c>
      <c r="C231" s="10" t="s">
        <v>240</v>
      </c>
      <c r="D231" s="10" t="s">
        <v>17</v>
      </c>
      <c r="E231" s="9"/>
      <c r="F231" s="12" t="s">
        <v>18</v>
      </c>
      <c r="G231" s="12">
        <v>50.66</v>
      </c>
      <c r="H231" s="12">
        <v>42.86</v>
      </c>
      <c r="I231" s="12">
        <v>153.47</v>
      </c>
      <c r="J231" s="12">
        <v>153.66</v>
      </c>
      <c r="K231" s="12" t="s">
        <v>19</v>
      </c>
      <c r="L231" s="12">
        <v>51.46</v>
      </c>
      <c r="M231" s="12">
        <v>42.92</v>
      </c>
      <c r="N231" s="12">
        <v>154.95</v>
      </c>
      <c r="O231" s="12">
        <v>155.29</v>
      </c>
      <c r="P231" s="8"/>
      <c r="Q231" s="12" t="s">
        <v>214</v>
      </c>
      <c r="R231" s="6"/>
      <c r="S231" s="6"/>
      <c r="T231" s="6"/>
      <c r="U231" s="6"/>
      <c r="V231" s="6"/>
    </row>
    <row r="232">
      <c r="A232" s="15">
        <v>46258.7721674537</v>
      </c>
      <c r="B232" s="8" t="str">
        <f t="shared" si="1"/>
        <v>234791</v>
      </c>
      <c r="C232" s="10" t="s">
        <v>241</v>
      </c>
      <c r="D232" s="10" t="s">
        <v>32</v>
      </c>
      <c r="E232" s="9"/>
      <c r="F232" s="12" t="s">
        <v>18</v>
      </c>
      <c r="G232" s="12">
        <v>51.61</v>
      </c>
      <c r="H232" s="12">
        <v>44.08</v>
      </c>
      <c r="I232" s="12">
        <v>155.03</v>
      </c>
      <c r="J232" s="12">
        <v>155.11</v>
      </c>
      <c r="K232" s="12" t="s">
        <v>19</v>
      </c>
      <c r="L232" s="12">
        <v>50.47</v>
      </c>
      <c r="M232" s="12">
        <v>41.56</v>
      </c>
      <c r="N232" s="12">
        <v>149.74</v>
      </c>
      <c r="O232" s="12">
        <v>149.85</v>
      </c>
      <c r="P232" s="8"/>
      <c r="Q232" s="8"/>
      <c r="R232" s="6"/>
      <c r="S232" s="6"/>
      <c r="T232" s="6"/>
      <c r="U232" s="6"/>
      <c r="V232" s="6"/>
    </row>
    <row r="233">
      <c r="A233" s="15">
        <v>46259.50257113426</v>
      </c>
      <c r="B233" s="8" t="str">
        <f t="shared" si="1"/>
        <v>234768</v>
      </c>
      <c r="C233" s="39" t="s">
        <v>200</v>
      </c>
      <c r="D233" s="39" t="s">
        <v>17</v>
      </c>
      <c r="E233" s="40">
        <v>0.5714</v>
      </c>
      <c r="F233" s="12" t="s">
        <v>18</v>
      </c>
      <c r="G233" s="12">
        <v>54.05</v>
      </c>
      <c r="H233" s="12">
        <v>40.06</v>
      </c>
      <c r="I233" s="12">
        <v>150.45</v>
      </c>
      <c r="J233" s="12">
        <v>150.32</v>
      </c>
      <c r="K233" s="12" t="s">
        <v>107</v>
      </c>
      <c r="L233" s="12">
        <v>54.24</v>
      </c>
      <c r="M233" s="12">
        <v>40.18</v>
      </c>
      <c r="N233" s="12">
        <v>150.72</v>
      </c>
      <c r="O233" s="12">
        <v>150.51</v>
      </c>
      <c r="P233" s="8"/>
      <c r="Q233" s="12" t="s">
        <v>90</v>
      </c>
      <c r="R233" s="6"/>
      <c r="S233" s="6"/>
      <c r="T233" s="6"/>
      <c r="U233" s="6"/>
      <c r="V233" s="6"/>
    </row>
    <row r="234">
      <c r="A234" s="15">
        <v>46259.50463899305</v>
      </c>
      <c r="B234" s="8" t="str">
        <f t="shared" si="1"/>
        <v>237153</v>
      </c>
      <c r="C234" s="41" t="s">
        <v>153</v>
      </c>
      <c r="D234" s="39" t="s">
        <v>17</v>
      </c>
      <c r="E234" s="40">
        <v>0.5</v>
      </c>
      <c r="F234" s="12" t="s">
        <v>18</v>
      </c>
      <c r="G234" s="12">
        <v>51.71</v>
      </c>
      <c r="H234" s="12">
        <v>38.52</v>
      </c>
      <c r="I234" s="12">
        <v>152.54</v>
      </c>
      <c r="J234" s="12">
        <v>152.61</v>
      </c>
      <c r="K234" s="12" t="s">
        <v>107</v>
      </c>
      <c r="L234" s="12">
        <v>51.9</v>
      </c>
      <c r="M234" s="12">
        <v>38.83</v>
      </c>
      <c r="N234" s="12">
        <v>153.04</v>
      </c>
      <c r="O234" s="12">
        <v>152.94</v>
      </c>
      <c r="P234" s="8"/>
      <c r="Q234" s="12" t="s">
        <v>90</v>
      </c>
      <c r="R234" s="6"/>
      <c r="S234" s="6"/>
      <c r="T234" s="6"/>
      <c r="U234" s="6"/>
      <c r="V234" s="6"/>
    </row>
    <row r="235">
      <c r="A235" s="15">
        <v>46259.684534618056</v>
      </c>
      <c r="B235" s="8" t="str">
        <f t="shared" si="1"/>
        <v>236096</v>
      </c>
      <c r="C235" s="39" t="s">
        <v>242</v>
      </c>
      <c r="D235" s="39" t="s">
        <v>17</v>
      </c>
      <c r="E235" s="40">
        <v>0.45</v>
      </c>
      <c r="F235" s="12" t="s">
        <v>18</v>
      </c>
      <c r="G235" s="12">
        <v>49.32</v>
      </c>
      <c r="H235" s="12">
        <v>37.14</v>
      </c>
      <c r="I235" s="12">
        <v>140.21</v>
      </c>
      <c r="J235" s="12">
        <v>140.05</v>
      </c>
      <c r="K235" s="12" t="s">
        <v>107</v>
      </c>
      <c r="L235" s="12">
        <v>49.36</v>
      </c>
      <c r="M235" s="12">
        <v>37.28</v>
      </c>
      <c r="N235" s="12">
        <v>140.47</v>
      </c>
      <c r="O235" s="12">
        <v>140.17</v>
      </c>
      <c r="P235" s="8"/>
      <c r="Q235" s="12" t="s">
        <v>90</v>
      </c>
      <c r="R235" s="6"/>
      <c r="S235" s="6"/>
      <c r="T235" s="6"/>
      <c r="U235" s="6"/>
      <c r="V235" s="6"/>
    </row>
    <row r="236">
      <c r="A236" s="15">
        <v>46259.73521042824</v>
      </c>
      <c r="B236" s="8" t="str">
        <f t="shared" si="1"/>
        <v>234791</v>
      </c>
      <c r="C236" s="23" t="s">
        <v>241</v>
      </c>
      <c r="D236" s="23" t="s">
        <v>17</v>
      </c>
      <c r="E236" s="42">
        <v>0.2676</v>
      </c>
      <c r="F236" s="12" t="s">
        <v>18</v>
      </c>
      <c r="G236" s="12">
        <v>50.47</v>
      </c>
      <c r="H236" s="12">
        <v>41.49</v>
      </c>
      <c r="I236" s="12">
        <v>149.74</v>
      </c>
      <c r="J236" s="12">
        <v>149.85</v>
      </c>
      <c r="K236" s="12" t="s">
        <v>107</v>
      </c>
      <c r="L236" s="12">
        <v>50.87</v>
      </c>
      <c r="M236" s="12">
        <v>41.56</v>
      </c>
      <c r="N236" s="12">
        <v>150.45</v>
      </c>
      <c r="O236" s="12">
        <v>150.02</v>
      </c>
      <c r="P236" s="8"/>
      <c r="Q236" s="12" t="s">
        <v>90</v>
      </c>
      <c r="R236" s="6"/>
      <c r="S236" s="6"/>
      <c r="T236" s="6"/>
      <c r="U236" s="6"/>
      <c r="V236" s="6"/>
    </row>
    <row r="237">
      <c r="A237" s="15">
        <v>46259.737479143514</v>
      </c>
      <c r="B237" s="8" t="str">
        <f t="shared" si="1"/>
        <v>234804</v>
      </c>
      <c r="C237" s="22" t="s">
        <v>145</v>
      </c>
      <c r="D237" s="22" t="s">
        <v>17</v>
      </c>
      <c r="E237" s="43">
        <v>0.2616</v>
      </c>
      <c r="F237" s="12" t="s">
        <v>18</v>
      </c>
      <c r="G237" s="12">
        <v>50.07</v>
      </c>
      <c r="H237" s="12">
        <v>42.16</v>
      </c>
      <c r="I237" s="12">
        <v>150.05</v>
      </c>
      <c r="J237" s="12">
        <v>150.13</v>
      </c>
      <c r="K237" s="12" t="s">
        <v>107</v>
      </c>
      <c r="L237" s="35">
        <v>50.31</v>
      </c>
      <c r="M237" s="12">
        <v>42.5</v>
      </c>
      <c r="N237" s="12">
        <v>150.44</v>
      </c>
      <c r="O237" s="12">
        <v>150.33</v>
      </c>
      <c r="P237" s="8"/>
      <c r="Q237" s="12" t="s">
        <v>90</v>
      </c>
      <c r="R237" s="6"/>
      <c r="S237" s="6"/>
      <c r="T237" s="6"/>
      <c r="U237" s="6"/>
      <c r="V237" s="6"/>
    </row>
    <row r="238">
      <c r="A238" s="15">
        <v>46259.7380219676</v>
      </c>
      <c r="B238" s="8" t="str">
        <f t="shared" si="1"/>
        <v>225336</v>
      </c>
      <c r="C238" s="23" t="s">
        <v>182</v>
      </c>
      <c r="D238" s="23" t="s">
        <v>17</v>
      </c>
      <c r="E238" s="42">
        <v>0.2593</v>
      </c>
      <c r="F238" s="12" t="s">
        <v>18</v>
      </c>
      <c r="G238" s="12">
        <v>47.97</v>
      </c>
      <c r="H238" s="12">
        <v>41.81</v>
      </c>
      <c r="I238" s="12">
        <v>145.68</v>
      </c>
      <c r="J238" s="12">
        <v>145.27</v>
      </c>
      <c r="K238" s="8"/>
      <c r="L238" s="12">
        <v>48.05</v>
      </c>
      <c r="M238" s="12">
        <v>41.91</v>
      </c>
      <c r="N238" s="12">
        <v>145.97</v>
      </c>
      <c r="O238" s="12">
        <v>145.55</v>
      </c>
      <c r="P238" s="8"/>
      <c r="Q238" s="12" t="s">
        <v>90</v>
      </c>
      <c r="R238" s="6"/>
      <c r="S238" s="6"/>
      <c r="T238" s="6"/>
      <c r="U238" s="6"/>
      <c r="V238" s="6"/>
    </row>
    <row r="239">
      <c r="A239" s="15">
        <v>46259.740560983795</v>
      </c>
      <c r="B239" s="8" t="str">
        <f t="shared" si="1"/>
        <v>234804</v>
      </c>
      <c r="C239" s="22" t="s">
        <v>179</v>
      </c>
      <c r="D239" s="22" t="s">
        <v>17</v>
      </c>
      <c r="E239" s="43">
        <v>0.2</v>
      </c>
      <c r="F239" s="12" t="s">
        <v>18</v>
      </c>
      <c r="G239" s="12">
        <v>50.2</v>
      </c>
      <c r="H239" s="12">
        <v>42.4</v>
      </c>
      <c r="I239" s="12">
        <v>150.24</v>
      </c>
      <c r="J239" s="12">
        <v>149.83</v>
      </c>
      <c r="K239" s="8"/>
      <c r="L239" s="12">
        <v>50.3</v>
      </c>
      <c r="M239" s="12">
        <v>42.48</v>
      </c>
      <c r="N239" s="12">
        <v>150.54</v>
      </c>
      <c r="O239" s="12">
        <v>150.14</v>
      </c>
      <c r="P239" s="8"/>
      <c r="Q239" s="12" t="s">
        <v>90</v>
      </c>
      <c r="R239" s="6"/>
      <c r="S239" s="6"/>
      <c r="T239" s="6"/>
      <c r="U239" s="6"/>
      <c r="V239" s="6"/>
    </row>
    <row r="240">
      <c r="A240" s="15">
        <v>46259.74105052083</v>
      </c>
      <c r="B240" s="8" t="str">
        <f t="shared" si="1"/>
        <v>246240</v>
      </c>
      <c r="C240" s="23" t="s">
        <v>215</v>
      </c>
      <c r="D240" s="23" t="s">
        <v>17</v>
      </c>
      <c r="E240" s="42">
        <v>0.1935</v>
      </c>
      <c r="F240" s="12" t="s">
        <v>18</v>
      </c>
      <c r="G240" s="12">
        <v>56.09</v>
      </c>
      <c r="H240" s="12">
        <v>32.62</v>
      </c>
      <c r="I240" s="12">
        <v>154.37</v>
      </c>
      <c r="J240" s="12">
        <v>154.5</v>
      </c>
      <c r="K240" s="8"/>
      <c r="L240" s="12">
        <v>56.22</v>
      </c>
      <c r="M240" s="12">
        <v>32.72</v>
      </c>
      <c r="N240" s="12">
        <v>154.32</v>
      </c>
      <c r="O240" s="12">
        <v>154.84</v>
      </c>
      <c r="P240" s="8"/>
      <c r="Q240" s="12" t="s">
        <v>90</v>
      </c>
      <c r="R240" s="6"/>
      <c r="S240" s="6"/>
      <c r="T240" s="6"/>
      <c r="U240" s="6"/>
      <c r="V240" s="6"/>
    </row>
    <row r="241">
      <c r="A241" s="15">
        <v>46259.743257951384</v>
      </c>
      <c r="B241" s="8" t="str">
        <f t="shared" si="1"/>
        <v>234791</v>
      </c>
      <c r="C241" s="23" t="s">
        <v>210</v>
      </c>
      <c r="D241" s="23" t="s">
        <v>17</v>
      </c>
      <c r="E241" s="42">
        <v>0.0833</v>
      </c>
      <c r="F241" s="12" t="s">
        <v>18</v>
      </c>
      <c r="G241" s="12">
        <v>50.48</v>
      </c>
      <c r="H241" s="12">
        <v>42.04</v>
      </c>
      <c r="I241" s="12">
        <v>150.12</v>
      </c>
      <c r="J241" s="12">
        <v>150.12</v>
      </c>
      <c r="K241" s="8"/>
      <c r="L241" s="12">
        <v>51.0</v>
      </c>
      <c r="M241" s="12">
        <v>42.18</v>
      </c>
      <c r="N241" s="12">
        <v>150.98</v>
      </c>
      <c r="O241" s="12">
        <v>150.98</v>
      </c>
      <c r="P241" s="8"/>
      <c r="Q241" s="12" t="s">
        <v>90</v>
      </c>
      <c r="R241" s="6"/>
      <c r="S241" s="6"/>
      <c r="T241" s="6"/>
      <c r="U241" s="6"/>
      <c r="V241" s="6"/>
    </row>
    <row r="242">
      <c r="A242" s="15">
        <v>46259.74406246528</v>
      </c>
      <c r="B242" s="8" t="str">
        <f t="shared" si="1"/>
        <v>221928</v>
      </c>
      <c r="C242" s="22" t="s">
        <v>243</v>
      </c>
      <c r="D242" s="22" t="s">
        <v>17</v>
      </c>
      <c r="E242" s="43">
        <v>0.0481</v>
      </c>
      <c r="F242" s="12" t="s">
        <v>18</v>
      </c>
      <c r="G242" s="12">
        <v>52.56</v>
      </c>
      <c r="H242" s="12">
        <v>39.4</v>
      </c>
      <c r="I242" s="12">
        <v>155.79</v>
      </c>
      <c r="J242" s="12">
        <v>156.61</v>
      </c>
      <c r="K242" s="8"/>
      <c r="L242" s="12">
        <v>53.13</v>
      </c>
      <c r="M242" s="12">
        <v>39.68</v>
      </c>
      <c r="N242" s="12">
        <v>157.25</v>
      </c>
      <c r="O242" s="12">
        <v>156.64</v>
      </c>
      <c r="P242" s="8"/>
      <c r="Q242" s="12" t="s">
        <v>90</v>
      </c>
      <c r="R242" s="6"/>
      <c r="S242" s="6"/>
      <c r="T242" s="6"/>
      <c r="U242" s="6"/>
      <c r="V242" s="6"/>
    </row>
    <row r="243">
      <c r="A243" s="15">
        <v>46259.74518763889</v>
      </c>
      <c r="B243" s="8" t="str">
        <f t="shared" si="1"/>
        <v>234780</v>
      </c>
      <c r="C243" s="23" t="s">
        <v>244</v>
      </c>
      <c r="D243" s="23" t="s">
        <v>32</v>
      </c>
      <c r="E243" s="42">
        <v>0.0638</v>
      </c>
      <c r="F243" s="12" t="s">
        <v>18</v>
      </c>
      <c r="G243" s="12">
        <v>51.18</v>
      </c>
      <c r="H243" s="12">
        <v>43.6</v>
      </c>
      <c r="I243" s="12">
        <v>155.4</v>
      </c>
      <c r="J243" s="12">
        <v>155.68</v>
      </c>
      <c r="K243" s="8"/>
      <c r="L243" s="12">
        <v>50.82</v>
      </c>
      <c r="M243" s="12">
        <v>43.6</v>
      </c>
      <c r="N243" s="12">
        <v>155.25</v>
      </c>
      <c r="O243" s="12">
        <v>155.05</v>
      </c>
      <c r="P243" s="8"/>
      <c r="Q243" s="12" t="s">
        <v>90</v>
      </c>
      <c r="R243" s="6"/>
      <c r="S243" s="6"/>
      <c r="T243" s="6"/>
      <c r="U243" s="6"/>
      <c r="V243" s="6"/>
    </row>
    <row r="244">
      <c r="A244" s="15">
        <v>46259.74640804398</v>
      </c>
      <c r="B244" s="8" t="str">
        <f t="shared" si="1"/>
        <v>242146</v>
      </c>
      <c r="C244" s="22" t="s">
        <v>245</v>
      </c>
      <c r="D244" s="22" t="s">
        <v>32</v>
      </c>
      <c r="E244" s="43">
        <v>0.1132</v>
      </c>
      <c r="F244" s="12" t="s">
        <v>18</v>
      </c>
      <c r="G244" s="12">
        <v>55.35</v>
      </c>
      <c r="H244" s="12">
        <v>43.33</v>
      </c>
      <c r="I244" s="12">
        <v>162.09</v>
      </c>
      <c r="J244" s="12">
        <v>164.89</v>
      </c>
      <c r="K244" s="8"/>
      <c r="L244" s="12">
        <v>54.13</v>
      </c>
      <c r="M244" s="12">
        <v>43.06</v>
      </c>
      <c r="N244" s="12">
        <v>161.93</v>
      </c>
      <c r="O244" s="12">
        <v>161.63</v>
      </c>
      <c r="P244" s="8"/>
      <c r="Q244" s="12" t="s">
        <v>90</v>
      </c>
      <c r="R244" s="6"/>
      <c r="S244" s="6"/>
      <c r="T244" s="6"/>
      <c r="U244" s="6"/>
      <c r="V244" s="6"/>
    </row>
    <row r="245">
      <c r="A245" s="15">
        <v>46259.74753069444</v>
      </c>
      <c r="B245" s="8" t="str">
        <f t="shared" si="1"/>
        <v>238757</v>
      </c>
      <c r="C245" s="23" t="s">
        <v>246</v>
      </c>
      <c r="D245" s="23" t="s">
        <v>32</v>
      </c>
      <c r="E245" s="42">
        <v>0.0952</v>
      </c>
      <c r="F245" s="12" t="s">
        <v>18</v>
      </c>
      <c r="G245" s="12">
        <v>54.6</v>
      </c>
      <c r="H245" s="12">
        <v>39.27</v>
      </c>
      <c r="I245" s="12">
        <v>156.59</v>
      </c>
      <c r="J245" s="12">
        <v>157.17</v>
      </c>
      <c r="K245" s="8"/>
      <c r="L245" s="12">
        <v>54.47</v>
      </c>
      <c r="M245" s="12">
        <v>39.09</v>
      </c>
      <c r="N245" s="12">
        <v>156.51</v>
      </c>
      <c r="O245" s="12">
        <v>156.51</v>
      </c>
      <c r="P245" s="8"/>
      <c r="Q245" s="12" t="s">
        <v>90</v>
      </c>
      <c r="R245" s="6"/>
      <c r="S245" s="6"/>
      <c r="T245" s="6"/>
      <c r="U245" s="6"/>
      <c r="V245" s="6"/>
    </row>
    <row r="246">
      <c r="A246" s="15">
        <v>46259.7496930787</v>
      </c>
      <c r="B246" s="8" t="str">
        <f t="shared" si="1"/>
        <v>241187</v>
      </c>
      <c r="C246" s="22" t="s">
        <v>247</v>
      </c>
      <c r="D246" s="22" t="s">
        <v>32</v>
      </c>
      <c r="E246" s="43">
        <v>0.0571</v>
      </c>
      <c r="F246" s="12" t="s">
        <v>18</v>
      </c>
      <c r="G246" s="12">
        <v>50.07</v>
      </c>
      <c r="H246" s="12">
        <v>39.4</v>
      </c>
      <c r="I246" s="12">
        <v>149.17</v>
      </c>
      <c r="J246" s="12">
        <v>149.13</v>
      </c>
      <c r="K246" s="8"/>
      <c r="L246" s="12">
        <v>49.98</v>
      </c>
      <c r="M246" s="12">
        <v>39.35</v>
      </c>
      <c r="N246" s="12">
        <v>149.07</v>
      </c>
      <c r="O246" s="12">
        <v>149.07</v>
      </c>
      <c r="P246" s="8"/>
      <c r="Q246" s="12" t="s">
        <v>90</v>
      </c>
      <c r="R246" s="6"/>
      <c r="S246" s="6"/>
      <c r="T246" s="6"/>
      <c r="U246" s="6"/>
      <c r="V246" s="6"/>
    </row>
    <row r="247">
      <c r="A247" s="15">
        <v>46259.75158228009</v>
      </c>
      <c r="B247" s="8" t="str">
        <f t="shared" si="1"/>
        <v>210433</v>
      </c>
      <c r="C247" s="23" t="s">
        <v>100</v>
      </c>
      <c r="D247" s="23" t="s">
        <v>32</v>
      </c>
      <c r="E247" s="42">
        <v>0.0446</v>
      </c>
      <c r="F247" s="12" t="s">
        <v>18</v>
      </c>
      <c r="G247" s="12">
        <v>52.35</v>
      </c>
      <c r="H247" s="12">
        <v>34.85</v>
      </c>
      <c r="I247" s="12">
        <v>147.62</v>
      </c>
      <c r="J247" s="12">
        <v>147.58</v>
      </c>
      <c r="K247" s="8"/>
      <c r="L247" s="12">
        <v>52.29</v>
      </c>
      <c r="M247" s="12">
        <v>34.77</v>
      </c>
      <c r="N247" s="12">
        <v>147.37</v>
      </c>
      <c r="O247" s="12">
        <v>147.37</v>
      </c>
      <c r="P247" s="8"/>
      <c r="Q247" s="12" t="s">
        <v>90</v>
      </c>
      <c r="R247" s="6"/>
      <c r="S247" s="6"/>
      <c r="T247" s="6"/>
      <c r="U247" s="6"/>
      <c r="V247" s="6"/>
    </row>
    <row r="248">
      <c r="A248" s="15">
        <v>46259.753998831016</v>
      </c>
      <c r="B248" s="8" t="str">
        <f t="shared" si="1"/>
        <v>241094</v>
      </c>
      <c r="C248" s="22" t="s">
        <v>248</v>
      </c>
      <c r="D248" s="22" t="s">
        <v>32</v>
      </c>
      <c r="E248" s="43">
        <v>0.0577</v>
      </c>
      <c r="F248" s="12" t="s">
        <v>18</v>
      </c>
      <c r="G248" s="12">
        <v>55.38</v>
      </c>
      <c r="H248" s="12">
        <v>45.14</v>
      </c>
      <c r="I248" s="12">
        <v>161.13</v>
      </c>
      <c r="J248" s="12">
        <v>160.02</v>
      </c>
      <c r="K248" s="8"/>
      <c r="L248" s="12">
        <v>54.53</v>
      </c>
      <c r="M248" s="12">
        <v>44.83</v>
      </c>
      <c r="N248" s="12">
        <v>159.78</v>
      </c>
      <c r="O248" s="12">
        <v>159.78</v>
      </c>
      <c r="P248" s="8"/>
      <c r="Q248" s="12" t="s">
        <v>90</v>
      </c>
      <c r="R248" s="6"/>
      <c r="S248" s="6"/>
      <c r="T248" s="6"/>
      <c r="U248" s="6"/>
      <c r="V248" s="6"/>
    </row>
    <row r="249">
      <c r="A249" s="15">
        <v>46259.79223530093</v>
      </c>
      <c r="B249" s="8" t="str">
        <f t="shared" si="1"/>
        <v>246018</v>
      </c>
      <c r="C249" s="23" t="s">
        <v>249</v>
      </c>
      <c r="D249" s="23" t="s">
        <v>32</v>
      </c>
      <c r="E249" s="42">
        <v>0.0682</v>
      </c>
      <c r="F249" s="12" t="s">
        <v>18</v>
      </c>
      <c r="G249" s="12">
        <v>55.51</v>
      </c>
      <c r="H249" s="12">
        <v>39.27</v>
      </c>
      <c r="I249" s="12">
        <v>160.57</v>
      </c>
      <c r="J249" s="12">
        <v>159.45</v>
      </c>
      <c r="K249" s="8"/>
      <c r="L249" s="12">
        <v>56.13</v>
      </c>
      <c r="M249" s="12">
        <v>38.87</v>
      </c>
      <c r="N249" s="12">
        <v>160.57</v>
      </c>
      <c r="O249" s="12">
        <v>159.83</v>
      </c>
      <c r="P249" s="8"/>
      <c r="Q249" s="12" t="s">
        <v>90</v>
      </c>
      <c r="R249" s="6"/>
      <c r="S249" s="6"/>
      <c r="T249" s="6"/>
      <c r="U249" s="6"/>
      <c r="V249" s="6"/>
    </row>
    <row r="250">
      <c r="A250" s="15">
        <v>46259.78573645833</v>
      </c>
      <c r="B250" s="8" t="str">
        <f t="shared" si="1"/>
        <v>247138</v>
      </c>
      <c r="C250" s="22" t="s">
        <v>250</v>
      </c>
      <c r="D250" s="22" t="s">
        <v>32</v>
      </c>
      <c r="E250" s="43">
        <v>0.0385</v>
      </c>
      <c r="F250" s="12" t="s">
        <v>18</v>
      </c>
      <c r="G250" s="12">
        <v>53.53</v>
      </c>
      <c r="H250" s="12">
        <v>43.92</v>
      </c>
      <c r="I250" s="12">
        <v>161.78</v>
      </c>
      <c r="J250" s="12">
        <v>162.21</v>
      </c>
      <c r="K250" s="8"/>
      <c r="L250" s="12">
        <v>53.38</v>
      </c>
      <c r="M250" s="12">
        <v>43.78</v>
      </c>
      <c r="N250" s="12">
        <v>161.42</v>
      </c>
      <c r="O250" s="12">
        <v>161.19</v>
      </c>
      <c r="P250" s="8"/>
      <c r="Q250" s="12" t="s">
        <v>90</v>
      </c>
      <c r="R250" s="6"/>
      <c r="S250" s="6"/>
      <c r="T250" s="6"/>
      <c r="U250" s="6"/>
      <c r="V250" s="6"/>
    </row>
    <row r="251">
      <c r="A251" s="15">
        <v>46267.523707685184</v>
      </c>
      <c r="B251" s="8" t="str">
        <f t="shared" si="1"/>
        <v>246232</v>
      </c>
      <c r="C251" s="23" t="s">
        <v>169</v>
      </c>
      <c r="D251" s="23" t="s">
        <v>32</v>
      </c>
      <c r="E251" s="42">
        <v>0.0345</v>
      </c>
      <c r="F251" s="12" t="s">
        <v>18</v>
      </c>
      <c r="G251" s="12">
        <v>53.87</v>
      </c>
      <c r="H251" s="12">
        <v>36.05</v>
      </c>
      <c r="I251" s="12">
        <v>151.78</v>
      </c>
      <c r="J251" s="12">
        <v>151.65</v>
      </c>
      <c r="K251" s="8"/>
      <c r="L251" s="12">
        <v>53.79</v>
      </c>
      <c r="M251" s="12">
        <v>35.98</v>
      </c>
      <c r="N251" s="12">
        <v>151.54</v>
      </c>
      <c r="O251" s="12">
        <v>151.4</v>
      </c>
      <c r="P251" s="8"/>
      <c r="Q251" s="12" t="s">
        <v>90</v>
      </c>
      <c r="R251" s="6"/>
      <c r="S251" s="6"/>
      <c r="T251" s="6"/>
      <c r="U251" s="6"/>
      <c r="V251" s="6"/>
    </row>
    <row r="252">
      <c r="A252" s="15">
        <v>46267.52479055556</v>
      </c>
      <c r="B252" s="8" t="str">
        <f t="shared" si="1"/>
        <v>236092</v>
      </c>
      <c r="C252" s="22" t="s">
        <v>251</v>
      </c>
      <c r="D252" s="22" t="s">
        <v>32</v>
      </c>
      <c r="E252" s="43">
        <v>0.0656</v>
      </c>
      <c r="F252" s="12" t="s">
        <v>18</v>
      </c>
      <c r="G252" s="12">
        <v>50.45</v>
      </c>
      <c r="H252" s="12">
        <v>43.19</v>
      </c>
      <c r="I252" s="12">
        <v>152.47</v>
      </c>
      <c r="J252" s="12">
        <v>152.39</v>
      </c>
      <c r="K252" s="8"/>
      <c r="L252" s="12">
        <v>50.37</v>
      </c>
      <c r="M252" s="12">
        <v>43.1</v>
      </c>
      <c r="N252" s="12">
        <v>152.18</v>
      </c>
      <c r="O252" s="12">
        <v>152.18</v>
      </c>
      <c r="P252" s="8"/>
      <c r="Q252" s="12" t="s">
        <v>90</v>
      </c>
      <c r="R252" s="6"/>
      <c r="S252" s="6"/>
      <c r="T252" s="6"/>
      <c r="U252" s="6"/>
      <c r="V252" s="6"/>
    </row>
    <row r="253">
      <c r="A253" s="15">
        <v>46267.52562035879</v>
      </c>
      <c r="B253" s="8" t="str">
        <f t="shared" si="1"/>
        <v>234793</v>
      </c>
      <c r="C253" s="22" t="s">
        <v>252</v>
      </c>
      <c r="D253" s="22" t="s">
        <v>17</v>
      </c>
      <c r="E253" s="43">
        <v>0.8</v>
      </c>
      <c r="F253" s="12" t="s">
        <v>18</v>
      </c>
      <c r="G253" s="12">
        <v>48.62</v>
      </c>
      <c r="H253" s="12">
        <v>44.48</v>
      </c>
      <c r="I253" s="12">
        <v>152.16</v>
      </c>
      <c r="J253" s="12">
        <v>152.16</v>
      </c>
      <c r="K253" s="8"/>
      <c r="L253" s="12">
        <v>48.75</v>
      </c>
      <c r="M253" s="12">
        <v>44.58</v>
      </c>
      <c r="N253" s="12">
        <v>152.49</v>
      </c>
      <c r="O253" s="12">
        <v>152.49</v>
      </c>
      <c r="P253" s="8"/>
      <c r="Q253" s="12" t="s">
        <v>90</v>
      </c>
      <c r="R253" s="6"/>
      <c r="S253" s="6"/>
      <c r="T253" s="6"/>
      <c r="U253" s="6"/>
      <c r="V253" s="6"/>
    </row>
    <row r="254">
      <c r="A254" s="15">
        <v>46267.526760451394</v>
      </c>
      <c r="B254" s="8" t="str">
        <f t="shared" si="1"/>
        <v>237153</v>
      </c>
      <c r="C254" s="23" t="s">
        <v>153</v>
      </c>
      <c r="D254" s="23" t="s">
        <v>17</v>
      </c>
      <c r="E254" s="42">
        <v>0.5758</v>
      </c>
      <c r="F254" s="12" t="s">
        <v>18</v>
      </c>
      <c r="G254" s="12">
        <v>51.9</v>
      </c>
      <c r="H254" s="12">
        <v>38.83</v>
      </c>
      <c r="I254" s="12">
        <v>153.04</v>
      </c>
      <c r="J254" s="12">
        <v>152.94</v>
      </c>
      <c r="K254" s="8"/>
      <c r="L254" s="12">
        <v>52.01</v>
      </c>
      <c r="M254" s="12">
        <v>38.91</v>
      </c>
      <c r="N254" s="12">
        <v>153.53</v>
      </c>
      <c r="O254" s="12">
        <v>153.26</v>
      </c>
      <c r="P254" s="8"/>
      <c r="Q254" s="12" t="s">
        <v>90</v>
      </c>
      <c r="R254" s="6"/>
      <c r="S254" s="6"/>
      <c r="T254" s="6"/>
      <c r="U254" s="6"/>
      <c r="V254" s="6"/>
    </row>
    <row r="255">
      <c r="A255" s="15">
        <v>46267.52802789352</v>
      </c>
      <c r="B255" s="8" t="str">
        <f t="shared" si="1"/>
        <v>234791</v>
      </c>
      <c r="C255" s="22" t="s">
        <v>241</v>
      </c>
      <c r="D255" s="22" t="s">
        <v>17</v>
      </c>
      <c r="E255" s="43">
        <v>0.5098</v>
      </c>
      <c r="F255" s="12" t="s">
        <v>18</v>
      </c>
      <c r="G255" s="12">
        <v>51.74</v>
      </c>
      <c r="H255" s="12">
        <v>43.66</v>
      </c>
      <c r="I255" s="12">
        <v>154.8</v>
      </c>
      <c r="J255" s="12">
        <v>155.04</v>
      </c>
      <c r="K255" s="8"/>
      <c r="L255" s="12">
        <v>51.85</v>
      </c>
      <c r="M255" s="12">
        <v>43.7</v>
      </c>
      <c r="N255" s="12">
        <v>154.99</v>
      </c>
      <c r="O255" s="12">
        <v>154.99</v>
      </c>
      <c r="P255" s="8"/>
      <c r="Q255" s="12" t="s">
        <v>90</v>
      </c>
      <c r="R255" s="6"/>
      <c r="S255" s="6"/>
      <c r="T255" s="6"/>
      <c r="U255" s="6"/>
      <c r="V255" s="6"/>
    </row>
    <row r="256">
      <c r="A256" s="15">
        <v>46267.528886678236</v>
      </c>
      <c r="B256" s="8" t="str">
        <f t="shared" si="1"/>
        <v>234768</v>
      </c>
      <c r="C256" s="23" t="s">
        <v>200</v>
      </c>
      <c r="D256" s="23" t="s">
        <v>17</v>
      </c>
      <c r="E256" s="42">
        <v>0.4796</v>
      </c>
      <c r="F256" s="12" t="s">
        <v>18</v>
      </c>
      <c r="G256" s="12">
        <v>54.24</v>
      </c>
      <c r="H256" s="12">
        <v>40.18</v>
      </c>
      <c r="I256" s="12">
        <v>150.72</v>
      </c>
      <c r="J256" s="12">
        <v>150.51</v>
      </c>
      <c r="K256" s="8"/>
      <c r="L256" s="12">
        <v>54.34</v>
      </c>
      <c r="M256" s="12">
        <v>40.26</v>
      </c>
      <c r="N256" s="12">
        <v>151.01</v>
      </c>
      <c r="O256" s="12">
        <v>150.81</v>
      </c>
      <c r="P256" s="8"/>
      <c r="Q256" s="12" t="s">
        <v>90</v>
      </c>
      <c r="R256" s="6"/>
      <c r="S256" s="6"/>
      <c r="T256" s="6"/>
      <c r="U256" s="6"/>
      <c r="V256" s="6"/>
    </row>
    <row r="257">
      <c r="A257" s="15">
        <v>46267.53000416666</v>
      </c>
      <c r="B257" s="8" t="str">
        <f t="shared" si="1"/>
        <v>246823</v>
      </c>
      <c r="C257" s="22" t="s">
        <v>253</v>
      </c>
      <c r="D257" s="22" t="s">
        <v>17</v>
      </c>
      <c r="E257" s="43">
        <v>0.4359</v>
      </c>
      <c r="F257" s="12" t="s">
        <v>18</v>
      </c>
      <c r="G257" s="12">
        <v>51.53</v>
      </c>
      <c r="H257" s="12">
        <v>34.02</v>
      </c>
      <c r="I257" s="12">
        <v>135.57</v>
      </c>
      <c r="J257" s="12">
        <v>135.57</v>
      </c>
      <c r="K257" s="8"/>
      <c r="L257" s="12">
        <v>51.63</v>
      </c>
      <c r="M257" s="12">
        <v>34.12</v>
      </c>
      <c r="N257" s="12">
        <v>135.92</v>
      </c>
      <c r="O257" s="12">
        <v>135.92</v>
      </c>
      <c r="P257" s="8"/>
      <c r="Q257" s="12" t="s">
        <v>90</v>
      </c>
      <c r="R257" s="6"/>
      <c r="S257" s="6"/>
      <c r="T257" s="6"/>
      <c r="U257" s="6"/>
      <c r="V257" s="6"/>
    </row>
    <row r="258">
      <c r="A258" s="15">
        <v>46267.53152106481</v>
      </c>
      <c r="B258" s="8" t="str">
        <f t="shared" si="1"/>
        <v>246815</v>
      </c>
      <c r="C258" s="23" t="s">
        <v>254</v>
      </c>
      <c r="D258" s="23" t="s">
        <v>17</v>
      </c>
      <c r="E258" s="42">
        <v>0.3793</v>
      </c>
      <c r="F258" s="12" t="s">
        <v>18</v>
      </c>
      <c r="G258" s="12">
        <v>56.24</v>
      </c>
      <c r="H258" s="12">
        <v>36.78</v>
      </c>
      <c r="I258" s="12">
        <v>152.93</v>
      </c>
      <c r="J258" s="12">
        <v>152.93</v>
      </c>
      <c r="K258" s="8"/>
      <c r="L258" s="12">
        <v>56.32</v>
      </c>
      <c r="M258" s="12">
        <v>36.86</v>
      </c>
      <c r="N258" s="12">
        <v>153.24</v>
      </c>
      <c r="O258" s="12">
        <v>153.24</v>
      </c>
      <c r="P258" s="8"/>
      <c r="Q258" s="12" t="s">
        <v>90</v>
      </c>
      <c r="R258" s="6"/>
      <c r="S258" s="6"/>
      <c r="T258" s="6"/>
      <c r="U258" s="6"/>
      <c r="V258" s="6"/>
    </row>
    <row r="259">
      <c r="A259" s="15">
        <v>46267.53919899305</v>
      </c>
      <c r="B259" s="8" t="str">
        <f t="shared" si="1"/>
        <v>225336</v>
      </c>
      <c r="C259" s="22" t="s">
        <v>255</v>
      </c>
      <c r="D259" s="22" t="s">
        <v>17</v>
      </c>
      <c r="E259" s="43">
        <v>0.3704</v>
      </c>
      <c r="F259" s="12" t="s">
        <v>18</v>
      </c>
      <c r="G259" s="12">
        <v>47.08</v>
      </c>
      <c r="H259" s="12">
        <v>42.03</v>
      </c>
      <c r="I259" s="12">
        <v>144.42</v>
      </c>
      <c r="J259" s="12">
        <v>144.44</v>
      </c>
      <c r="K259" s="8"/>
      <c r="L259" s="12">
        <v>46.74</v>
      </c>
      <c r="M259" s="12">
        <v>42.1</v>
      </c>
      <c r="N259" s="12">
        <v>144.47</v>
      </c>
      <c r="O259" s="12">
        <v>144.55</v>
      </c>
      <c r="P259" s="8"/>
      <c r="Q259" s="12" t="s">
        <v>90</v>
      </c>
      <c r="R259" s="6"/>
      <c r="S259" s="6"/>
      <c r="T259" s="6"/>
      <c r="U259" s="6"/>
      <c r="V259" s="6"/>
    </row>
    <row r="260">
      <c r="A260" s="15">
        <v>46267.54060123843</v>
      </c>
      <c r="B260" s="8" t="str">
        <f t="shared" si="1"/>
        <v>218967</v>
      </c>
      <c r="C260" s="23" t="s">
        <v>208</v>
      </c>
      <c r="D260" s="23" t="s">
        <v>17</v>
      </c>
      <c r="E260" s="42">
        <v>0.3333</v>
      </c>
      <c r="F260" s="12" t="s">
        <v>18</v>
      </c>
      <c r="G260" s="12">
        <v>50.44</v>
      </c>
      <c r="H260" s="12">
        <v>37.86</v>
      </c>
      <c r="I260" s="12">
        <v>140.87</v>
      </c>
      <c r="J260" s="12">
        <v>140.74</v>
      </c>
      <c r="K260" s="8"/>
      <c r="L260" s="12">
        <v>50.55</v>
      </c>
      <c r="M260" s="12">
        <v>37.94</v>
      </c>
      <c r="N260" s="12">
        <v>141.18</v>
      </c>
      <c r="O260" s="12">
        <v>141.06</v>
      </c>
      <c r="P260" s="8"/>
      <c r="Q260" s="12" t="s">
        <v>90</v>
      </c>
      <c r="R260" s="6"/>
      <c r="S260" s="6"/>
      <c r="T260" s="6"/>
      <c r="U260" s="6"/>
      <c r="V260" s="6"/>
    </row>
    <row r="261">
      <c r="A261" s="15">
        <v>46267.54141993055</v>
      </c>
      <c r="B261" s="8" t="str">
        <f t="shared" si="1"/>
        <v>242597</v>
      </c>
      <c r="C261" s="22" t="s">
        <v>256</v>
      </c>
      <c r="D261" s="22" t="s">
        <v>17</v>
      </c>
      <c r="E261" s="43">
        <v>0.2653</v>
      </c>
      <c r="F261" s="12" t="s">
        <v>18</v>
      </c>
      <c r="G261" s="12">
        <v>48.93</v>
      </c>
      <c r="H261" s="12">
        <v>41.58</v>
      </c>
      <c r="I261" s="12">
        <v>148.14</v>
      </c>
      <c r="J261" s="12">
        <v>148.14</v>
      </c>
      <c r="K261" s="8"/>
      <c r="L261" s="12">
        <v>49.01</v>
      </c>
      <c r="M261" s="12">
        <v>41.65</v>
      </c>
      <c r="N261" s="12">
        <v>148.44</v>
      </c>
      <c r="O261" s="12">
        <v>148.44</v>
      </c>
      <c r="P261" s="8"/>
      <c r="Q261" s="12" t="s">
        <v>90</v>
      </c>
      <c r="R261" s="6"/>
      <c r="S261" s="6"/>
      <c r="T261" s="6"/>
      <c r="U261" s="6"/>
      <c r="V261" s="6"/>
    </row>
    <row r="262">
      <c r="A262" s="15">
        <v>46267.54234922453</v>
      </c>
      <c r="B262" s="8" t="str">
        <f t="shared" si="1"/>
        <v>225336</v>
      </c>
      <c r="C262" s="23" t="s">
        <v>257</v>
      </c>
      <c r="D262" s="23" t="s">
        <v>17</v>
      </c>
      <c r="E262" s="42">
        <v>0.2222</v>
      </c>
      <c r="F262" s="12" t="s">
        <v>18</v>
      </c>
      <c r="G262" s="12">
        <v>47.9</v>
      </c>
      <c r="H262" s="12">
        <v>41.62</v>
      </c>
      <c r="I262" s="12">
        <v>145.12</v>
      </c>
      <c r="J262" s="12">
        <v>145.47</v>
      </c>
      <c r="K262" s="8"/>
      <c r="L262" s="12">
        <v>47.95</v>
      </c>
      <c r="M262" s="12">
        <v>41.9</v>
      </c>
      <c r="N262" s="12">
        <v>145.64</v>
      </c>
      <c r="O262" s="12">
        <v>145.47</v>
      </c>
      <c r="P262" s="8"/>
      <c r="Q262" s="12" t="s">
        <v>90</v>
      </c>
      <c r="R262" s="6"/>
      <c r="S262" s="6"/>
      <c r="T262" s="6"/>
      <c r="U262" s="6"/>
      <c r="V262" s="6"/>
    </row>
    <row r="263">
      <c r="A263" s="15">
        <v>46267.54354540509</v>
      </c>
      <c r="B263" s="8" t="str">
        <f t="shared" si="1"/>
        <v>242597</v>
      </c>
      <c r="C263" s="22" t="s">
        <v>258</v>
      </c>
      <c r="D263" s="22" t="s">
        <v>17</v>
      </c>
      <c r="E263" s="43">
        <v>0.193</v>
      </c>
      <c r="F263" s="12" t="s">
        <v>18</v>
      </c>
      <c r="G263" s="12">
        <v>48.99</v>
      </c>
      <c r="H263" s="12">
        <v>41.6</v>
      </c>
      <c r="I263" s="12">
        <v>148.21</v>
      </c>
      <c r="J263" s="12">
        <v>148.21</v>
      </c>
      <c r="K263" s="8"/>
      <c r="L263" s="12">
        <v>49.09</v>
      </c>
      <c r="M263" s="12">
        <v>41.68</v>
      </c>
      <c r="N263" s="12">
        <v>148.46</v>
      </c>
      <c r="O263" s="12">
        <v>148.46</v>
      </c>
      <c r="P263" s="8"/>
      <c r="Q263" s="12" t="s">
        <v>90</v>
      </c>
      <c r="R263" s="6"/>
      <c r="S263" s="6"/>
      <c r="T263" s="6"/>
      <c r="U263" s="6"/>
      <c r="V263" s="6"/>
    </row>
    <row r="264">
      <c r="A264" s="15">
        <v>46267.54520835648</v>
      </c>
      <c r="B264" s="8" t="str">
        <f t="shared" si="1"/>
        <v>234791</v>
      </c>
      <c r="C264" s="23" t="s">
        <v>259</v>
      </c>
      <c r="D264" s="23" t="s">
        <v>17</v>
      </c>
      <c r="E264" s="42">
        <v>0.1692</v>
      </c>
      <c r="F264" s="12" t="s">
        <v>18</v>
      </c>
      <c r="G264" s="12">
        <v>49.96</v>
      </c>
      <c r="H264" s="12">
        <v>42.21</v>
      </c>
      <c r="I264" s="12">
        <v>149.28</v>
      </c>
      <c r="J264" s="12">
        <v>149.54</v>
      </c>
      <c r="K264" s="8"/>
      <c r="L264" s="12">
        <v>50.13</v>
      </c>
      <c r="M264" s="12">
        <v>42.29</v>
      </c>
      <c r="N264" s="12">
        <v>149.56</v>
      </c>
      <c r="O264" s="12">
        <v>149.56</v>
      </c>
      <c r="P264" s="8"/>
      <c r="Q264" s="12" t="s">
        <v>90</v>
      </c>
      <c r="R264" s="6"/>
      <c r="S264" s="6"/>
      <c r="T264" s="6"/>
      <c r="U264" s="6"/>
      <c r="V264" s="6"/>
    </row>
    <row r="265">
      <c r="A265" s="15">
        <v>46267.54988597222</v>
      </c>
      <c r="B265" s="8" t="str">
        <f t="shared" si="1"/>
        <v>225336</v>
      </c>
      <c r="C265" s="22" t="s">
        <v>260</v>
      </c>
      <c r="D265" s="22" t="s">
        <v>17</v>
      </c>
      <c r="E265" s="43">
        <v>0.15</v>
      </c>
      <c r="F265" s="12" t="s">
        <v>18</v>
      </c>
      <c r="G265" s="12">
        <v>47.61</v>
      </c>
      <c r="H265" s="12">
        <v>41.6</v>
      </c>
      <c r="I265" s="12">
        <v>144.89</v>
      </c>
      <c r="J265" s="12">
        <v>144.89</v>
      </c>
      <c r="K265" s="8"/>
      <c r="L265" s="12">
        <v>47.8</v>
      </c>
      <c r="M265" s="12">
        <v>41.75</v>
      </c>
      <c r="N265" s="12">
        <v>145.14</v>
      </c>
      <c r="O265" s="12">
        <v>145.14</v>
      </c>
      <c r="P265" s="8"/>
      <c r="Q265" s="12" t="s">
        <v>90</v>
      </c>
      <c r="R265" s="6"/>
      <c r="S265" s="6"/>
      <c r="T265" s="6"/>
      <c r="U265" s="6"/>
      <c r="V265" s="6"/>
    </row>
    <row r="266">
      <c r="A266" s="15">
        <v>46267.55738568287</v>
      </c>
      <c r="B266" s="8" t="str">
        <f t="shared" si="1"/>
        <v>234791</v>
      </c>
      <c r="C266" s="23" t="s">
        <v>210</v>
      </c>
      <c r="D266" s="23" t="s">
        <v>17</v>
      </c>
      <c r="E266" s="42">
        <v>0.1364</v>
      </c>
      <c r="F266" s="12" t="s">
        <v>18</v>
      </c>
      <c r="G266" s="12">
        <v>50.99</v>
      </c>
      <c r="H266" s="12">
        <v>42.17</v>
      </c>
      <c r="I266" s="12">
        <v>150.98</v>
      </c>
      <c r="J266" s="12">
        <v>150.98</v>
      </c>
      <c r="K266" s="8"/>
      <c r="L266" s="12">
        <v>51.09</v>
      </c>
      <c r="M266" s="12">
        <v>42.27</v>
      </c>
      <c r="N266" s="12">
        <v>151.29</v>
      </c>
      <c r="O266" s="12">
        <v>151.19</v>
      </c>
      <c r="P266" s="8"/>
      <c r="Q266" s="12" t="s">
        <v>90</v>
      </c>
      <c r="R266" s="6"/>
      <c r="S266" s="6"/>
      <c r="T266" s="6"/>
      <c r="U266" s="6"/>
      <c r="V266" s="6"/>
    </row>
    <row r="267">
      <c r="A267" s="15">
        <v>46267.55932475695</v>
      </c>
      <c r="B267" s="8" t="str">
        <f t="shared" si="1"/>
        <v>146619</v>
      </c>
      <c r="C267" s="22" t="s">
        <v>261</v>
      </c>
      <c r="D267" s="22" t="s">
        <v>17</v>
      </c>
      <c r="E267" s="43">
        <v>0.1143</v>
      </c>
      <c r="F267" s="12" t="s">
        <v>18</v>
      </c>
      <c r="G267" s="12">
        <v>50.11</v>
      </c>
      <c r="H267" s="12">
        <v>44.72</v>
      </c>
      <c r="I267" s="12">
        <v>154.76</v>
      </c>
      <c r="J267" s="12">
        <v>154.81</v>
      </c>
      <c r="K267" s="8"/>
      <c r="L267" s="12">
        <v>50.44</v>
      </c>
      <c r="M267" s="12">
        <v>44.88</v>
      </c>
      <c r="N267" s="12">
        <v>154.95</v>
      </c>
      <c r="O267" s="12">
        <v>154.95</v>
      </c>
      <c r="P267" s="8"/>
      <c r="Q267" s="12" t="s">
        <v>90</v>
      </c>
      <c r="R267" s="6"/>
      <c r="S267" s="6"/>
      <c r="T267" s="6"/>
      <c r="U267" s="6"/>
      <c r="V267" s="6"/>
    </row>
    <row r="268">
      <c r="A268" s="15">
        <v>46267.625343437496</v>
      </c>
      <c r="B268" s="8" t="str">
        <f t="shared" si="1"/>
        <v>234791</v>
      </c>
      <c r="C268" s="23" t="s">
        <v>262</v>
      </c>
      <c r="D268" s="23" t="s">
        <v>32</v>
      </c>
      <c r="E268" s="42">
        <v>0.1818</v>
      </c>
      <c r="F268" s="12" t="s">
        <v>18</v>
      </c>
      <c r="G268" s="12">
        <v>52.01</v>
      </c>
      <c r="H268" s="12">
        <v>44.09</v>
      </c>
      <c r="I268" s="12">
        <v>155.14</v>
      </c>
      <c r="J268" s="12">
        <v>155.23</v>
      </c>
      <c r="K268" s="8"/>
      <c r="L268" s="12">
        <v>51.53</v>
      </c>
      <c r="M268" s="12">
        <v>43.72</v>
      </c>
      <c r="N268" s="12">
        <v>154.33</v>
      </c>
      <c r="O268" s="12">
        <v>154.59</v>
      </c>
      <c r="P268" s="8"/>
      <c r="Q268" s="12" t="s">
        <v>90</v>
      </c>
      <c r="R268" s="6"/>
      <c r="S268" s="6"/>
      <c r="T268" s="6"/>
      <c r="U268" s="6"/>
      <c r="V268" s="6"/>
    </row>
    <row r="269">
      <c r="A269" s="15">
        <v>46267.627378819445</v>
      </c>
      <c r="B269" s="8" t="str">
        <f t="shared" si="1"/>
        <v>246830</v>
      </c>
      <c r="C269" s="22" t="s">
        <v>263</v>
      </c>
      <c r="D269" s="22" t="s">
        <v>17</v>
      </c>
      <c r="E269" s="43">
        <v>0.1087</v>
      </c>
      <c r="F269" s="12" t="s">
        <v>18</v>
      </c>
      <c r="G269" s="12">
        <v>56.72</v>
      </c>
      <c r="H269" s="12">
        <v>47.88</v>
      </c>
      <c r="I269" s="12">
        <v>168.88</v>
      </c>
      <c r="J269" s="12">
        <v>168.88</v>
      </c>
      <c r="K269" s="8"/>
      <c r="L269" s="12">
        <v>56.82</v>
      </c>
      <c r="M269" s="12">
        <v>47.94</v>
      </c>
      <c r="N269" s="12">
        <v>169.19</v>
      </c>
      <c r="O269" s="12">
        <v>169.19</v>
      </c>
      <c r="P269" s="8"/>
      <c r="Q269" s="12" t="s">
        <v>90</v>
      </c>
      <c r="R269" s="6"/>
      <c r="S269" s="6"/>
      <c r="T269" s="6"/>
      <c r="U269" s="6"/>
      <c r="V269" s="6"/>
    </row>
    <row r="270">
      <c r="A270" s="15">
        <v>46267.630605555554</v>
      </c>
      <c r="B270" s="8" t="str">
        <f t="shared" si="1"/>
        <v>241106</v>
      </c>
      <c r="C270" s="23" t="s">
        <v>264</v>
      </c>
      <c r="D270" s="23" t="s">
        <v>17</v>
      </c>
      <c r="E270" s="42">
        <v>0.0962</v>
      </c>
      <c r="F270" s="12" t="s">
        <v>18</v>
      </c>
      <c r="G270" s="12">
        <v>56.73</v>
      </c>
      <c r="H270" s="12">
        <v>41.44</v>
      </c>
      <c r="I270" s="12">
        <v>166.01</v>
      </c>
      <c r="J270" s="12">
        <v>165.79</v>
      </c>
      <c r="K270" s="8"/>
      <c r="L270" s="12">
        <v>56.87</v>
      </c>
      <c r="M270" s="12">
        <v>41.49</v>
      </c>
      <c r="N270" s="12">
        <v>165.76</v>
      </c>
      <c r="O270" s="12">
        <v>165.73</v>
      </c>
      <c r="P270" s="8"/>
      <c r="Q270" s="12" t="s">
        <v>90</v>
      </c>
      <c r="R270" s="6"/>
      <c r="S270" s="6"/>
      <c r="T270" s="6"/>
      <c r="U270" s="6"/>
      <c r="V270" s="6"/>
    </row>
    <row r="271">
      <c r="A271" s="15">
        <v>46267.63453631944</v>
      </c>
      <c r="B271" s="8" t="str">
        <f t="shared" si="1"/>
        <v>241189</v>
      </c>
      <c r="C271" s="22" t="s">
        <v>265</v>
      </c>
      <c r="D271" s="22" t="s">
        <v>17</v>
      </c>
      <c r="E271" s="43">
        <v>0.0753</v>
      </c>
      <c r="F271" s="12" t="s">
        <v>18</v>
      </c>
      <c r="G271" s="12">
        <v>49.83</v>
      </c>
      <c r="H271" s="12">
        <v>39.0</v>
      </c>
      <c r="I271" s="12">
        <v>148.1</v>
      </c>
      <c r="J271" s="12">
        <v>148.16</v>
      </c>
      <c r="K271" s="8"/>
      <c r="L271" s="12">
        <v>49.96</v>
      </c>
      <c r="M271" s="12">
        <v>39.35</v>
      </c>
      <c r="N271" s="12">
        <v>148.78</v>
      </c>
      <c r="O271" s="12">
        <v>148.14</v>
      </c>
      <c r="P271" s="8"/>
      <c r="Q271" s="12" t="s">
        <v>90</v>
      </c>
      <c r="R271" s="6"/>
      <c r="S271" s="6"/>
      <c r="T271" s="6"/>
      <c r="U271" s="6"/>
      <c r="V271" s="6"/>
    </row>
    <row r="272">
      <c r="A272" s="8"/>
      <c r="B272" s="8" t="str">
        <f t="shared" si="1"/>
        <v>242146</v>
      </c>
      <c r="C272" s="23" t="s">
        <v>245</v>
      </c>
      <c r="D272" s="23" t="s">
        <v>32</v>
      </c>
      <c r="E272" s="42">
        <v>0.0833</v>
      </c>
      <c r="F272" s="12" t="s">
        <v>18</v>
      </c>
      <c r="G272" s="12">
        <v>54.13</v>
      </c>
      <c r="H272" s="12">
        <v>43.06</v>
      </c>
      <c r="I272" s="12">
        <v>161.93</v>
      </c>
      <c r="J272" s="12">
        <v>161.63</v>
      </c>
      <c r="K272" s="8"/>
      <c r="L272" s="12">
        <v>54.26</v>
      </c>
      <c r="M272" s="12">
        <v>43.16</v>
      </c>
      <c r="N272" s="12">
        <v>162.28</v>
      </c>
      <c r="O272" s="12">
        <v>162.28</v>
      </c>
      <c r="P272" s="8"/>
      <c r="Q272" s="12" t="s">
        <v>90</v>
      </c>
      <c r="R272" s="6"/>
      <c r="S272" s="6"/>
      <c r="T272" s="6"/>
      <c r="U272" s="6"/>
      <c r="V272" s="6"/>
    </row>
    <row r="273">
      <c r="A273" s="15">
        <v>46267.641464699074</v>
      </c>
      <c r="B273" s="8" t="str">
        <f t="shared" si="1"/>
        <v>238757</v>
      </c>
      <c r="C273" s="22" t="s">
        <v>266</v>
      </c>
      <c r="D273" s="22" t="s">
        <v>32</v>
      </c>
      <c r="E273" s="43">
        <v>0.1393</v>
      </c>
      <c r="F273" s="12" t="s">
        <v>18</v>
      </c>
      <c r="G273" s="12">
        <v>54.59</v>
      </c>
      <c r="H273" s="12">
        <v>39.55</v>
      </c>
      <c r="I273" s="12">
        <v>157.0</v>
      </c>
      <c r="J273" s="12">
        <v>157.56</v>
      </c>
      <c r="K273" s="8"/>
      <c r="L273" s="12">
        <v>54.54</v>
      </c>
      <c r="M273" s="12">
        <v>39.34</v>
      </c>
      <c r="N273" s="12">
        <v>156.87</v>
      </c>
      <c r="O273" s="12">
        <v>157.15</v>
      </c>
      <c r="P273" s="8"/>
      <c r="Q273" s="12" t="s">
        <v>90</v>
      </c>
      <c r="R273" s="6"/>
      <c r="S273" s="6"/>
      <c r="T273" s="6"/>
      <c r="U273" s="6"/>
      <c r="V273" s="6"/>
    </row>
    <row r="274">
      <c r="A274" s="15">
        <v>46267.643276539355</v>
      </c>
      <c r="B274" s="8" t="str">
        <f t="shared" si="1"/>
        <v>246234</v>
      </c>
      <c r="C274" s="23" t="s">
        <v>267</v>
      </c>
      <c r="D274" s="23" t="s">
        <v>32</v>
      </c>
      <c r="E274" s="42">
        <v>0.2281</v>
      </c>
      <c r="F274" s="12" t="s">
        <v>18</v>
      </c>
      <c r="G274" s="12">
        <v>51.71</v>
      </c>
      <c r="H274" s="12">
        <v>45.48</v>
      </c>
      <c r="I274" s="12">
        <v>153.88</v>
      </c>
      <c r="J274" s="12">
        <v>156.97</v>
      </c>
      <c r="K274" s="8"/>
      <c r="L274" s="12">
        <v>49.61</v>
      </c>
      <c r="M274" s="12">
        <v>45.34</v>
      </c>
      <c r="N274" s="12">
        <v>153.83</v>
      </c>
      <c r="O274" s="12">
        <v>153.31</v>
      </c>
      <c r="P274" s="8"/>
      <c r="Q274" s="12" t="s">
        <v>90</v>
      </c>
      <c r="R274" s="6"/>
      <c r="S274" s="6"/>
      <c r="T274" s="6"/>
      <c r="U274" s="6"/>
      <c r="V274" s="6"/>
    </row>
    <row r="275">
      <c r="A275" s="15">
        <v>46267.64816829861</v>
      </c>
      <c r="B275" s="8" t="str">
        <f t="shared" si="1"/>
        <v>218967</v>
      </c>
      <c r="C275" s="22" t="s">
        <v>132</v>
      </c>
      <c r="D275" s="22" t="s">
        <v>17</v>
      </c>
      <c r="E275" s="43">
        <v>0.0517</v>
      </c>
      <c r="F275" s="12" t="s">
        <v>18</v>
      </c>
      <c r="G275" s="12">
        <v>49.77</v>
      </c>
      <c r="H275" s="12">
        <v>38.0</v>
      </c>
      <c r="I275" s="12">
        <v>140.42</v>
      </c>
      <c r="J275" s="12">
        <v>139.72</v>
      </c>
      <c r="K275" s="8"/>
      <c r="L275" s="12">
        <v>49.84</v>
      </c>
      <c r="M275" s="12">
        <v>38.12</v>
      </c>
      <c r="N275" s="12">
        <v>140.71</v>
      </c>
      <c r="O275" s="12">
        <v>140.01</v>
      </c>
      <c r="P275" s="8"/>
      <c r="Q275" s="12" t="s">
        <v>90</v>
      </c>
      <c r="R275" s="6"/>
      <c r="S275" s="6"/>
      <c r="T275" s="6"/>
      <c r="U275" s="6"/>
      <c r="V275" s="6"/>
    </row>
    <row r="276">
      <c r="A276" s="15">
        <v>46267.65704496528</v>
      </c>
      <c r="B276" s="8" t="str">
        <f t="shared" si="1"/>
        <v>235324</v>
      </c>
      <c r="C276" s="23" t="s">
        <v>268</v>
      </c>
      <c r="D276" s="23" t="s">
        <v>17</v>
      </c>
      <c r="E276" s="42">
        <v>0.0397</v>
      </c>
      <c r="F276" s="12" t="s">
        <v>18</v>
      </c>
      <c r="G276" s="12">
        <v>50.45</v>
      </c>
      <c r="H276" s="12">
        <v>40.65</v>
      </c>
      <c r="I276" s="12">
        <v>152.34</v>
      </c>
      <c r="J276" s="12">
        <v>152.56</v>
      </c>
      <c r="K276" s="8"/>
      <c r="L276" s="12">
        <v>50.51</v>
      </c>
      <c r="M276" s="12">
        <v>40.79</v>
      </c>
      <c r="N276" s="12">
        <v>152.28</v>
      </c>
      <c r="O276" s="12">
        <v>152.66</v>
      </c>
      <c r="P276" s="8"/>
      <c r="Q276" s="12" t="s">
        <v>90</v>
      </c>
      <c r="R276" s="6"/>
      <c r="S276" s="6"/>
      <c r="T276" s="6"/>
      <c r="U276" s="6"/>
      <c r="V276" s="6"/>
    </row>
    <row r="277">
      <c r="A277" s="15">
        <v>46267.66033953703</v>
      </c>
      <c r="B277" s="8" t="str">
        <f t="shared" si="1"/>
        <v>245621</v>
      </c>
      <c r="C277" s="22" t="s">
        <v>269</v>
      </c>
      <c r="D277" s="22" t="s">
        <v>17</v>
      </c>
      <c r="E277" s="43">
        <v>0.0361</v>
      </c>
      <c r="F277" s="12" t="s">
        <v>18</v>
      </c>
      <c r="G277" s="12">
        <v>52.29</v>
      </c>
      <c r="H277" s="12">
        <v>41.98</v>
      </c>
      <c r="I277" s="12">
        <v>155.37</v>
      </c>
      <c r="J277" s="12">
        <v>155.37</v>
      </c>
      <c r="K277" s="8"/>
      <c r="L277" s="12">
        <v>52.39</v>
      </c>
      <c r="M277" s="12">
        <v>42.05</v>
      </c>
      <c r="N277" s="12">
        <v>155.64</v>
      </c>
      <c r="O277" s="12">
        <v>155.64</v>
      </c>
      <c r="P277" s="8"/>
      <c r="Q277" s="12" t="s">
        <v>90</v>
      </c>
      <c r="R277" s="6"/>
      <c r="S277" s="6"/>
      <c r="T277" s="6"/>
      <c r="U277" s="6"/>
      <c r="V277" s="6"/>
    </row>
    <row r="278">
      <c r="A278" s="15">
        <v>46267.66295346065</v>
      </c>
      <c r="B278" s="8" t="str">
        <f t="shared" si="1"/>
        <v>221928</v>
      </c>
      <c r="C278" s="23" t="s">
        <v>270</v>
      </c>
      <c r="D278" s="23" t="s">
        <v>17</v>
      </c>
      <c r="E278" s="42">
        <v>0.0247</v>
      </c>
      <c r="F278" s="12" t="s">
        <v>18</v>
      </c>
      <c r="G278" s="12">
        <v>52.59</v>
      </c>
      <c r="H278" s="12">
        <v>39.31</v>
      </c>
      <c r="I278" s="12">
        <v>156.23</v>
      </c>
      <c r="J278" s="12">
        <v>156.66</v>
      </c>
      <c r="K278" s="8"/>
      <c r="L278" s="12">
        <v>53.17</v>
      </c>
      <c r="M278" s="12">
        <v>39.52</v>
      </c>
      <c r="N278" s="12">
        <v>157.59</v>
      </c>
      <c r="O278" s="12">
        <v>156.68</v>
      </c>
      <c r="P278" s="8"/>
      <c r="Q278" s="12" t="s">
        <v>90</v>
      </c>
      <c r="R278" s="6"/>
      <c r="S278" s="6"/>
      <c r="T278" s="6"/>
      <c r="U278" s="6"/>
      <c r="V278" s="6"/>
    </row>
    <row r="279">
      <c r="A279" s="15">
        <v>46267.66599543982</v>
      </c>
      <c r="B279" s="8" t="str">
        <f t="shared" si="1"/>
        <v>241265</v>
      </c>
      <c r="C279" s="22" t="s">
        <v>271</v>
      </c>
      <c r="D279" s="22" t="s">
        <v>32</v>
      </c>
      <c r="E279" s="43">
        <v>0.1163</v>
      </c>
      <c r="F279" s="12" t="s">
        <v>18</v>
      </c>
      <c r="G279" s="12">
        <v>59.39</v>
      </c>
      <c r="H279" s="12">
        <v>44.13</v>
      </c>
      <c r="I279" s="12">
        <v>174.34</v>
      </c>
      <c r="J279" s="12">
        <v>174.21</v>
      </c>
      <c r="K279" s="8"/>
      <c r="L279" s="12">
        <v>59.28</v>
      </c>
      <c r="M279" s="12">
        <v>44.1</v>
      </c>
      <c r="N279" s="12">
        <v>173.88</v>
      </c>
      <c r="O279" s="12">
        <v>173.99</v>
      </c>
      <c r="P279" s="8"/>
      <c r="Q279" s="12" t="s">
        <v>90</v>
      </c>
      <c r="R279" s="6"/>
      <c r="S279" s="6"/>
      <c r="T279" s="6"/>
      <c r="U279" s="6"/>
      <c r="V279" s="6"/>
    </row>
    <row r="280">
      <c r="A280" s="15">
        <v>46267.66875653935</v>
      </c>
      <c r="B280" s="8" t="str">
        <f t="shared" si="1"/>
        <v>241092</v>
      </c>
      <c r="C280" s="23" t="s">
        <v>272</v>
      </c>
      <c r="D280" s="23" t="s">
        <v>32</v>
      </c>
      <c r="E280" s="42">
        <v>0.1132</v>
      </c>
      <c r="F280" s="12" t="s">
        <v>18</v>
      </c>
      <c r="G280" s="12">
        <v>53.9</v>
      </c>
      <c r="H280" s="12">
        <v>43.22</v>
      </c>
      <c r="I280" s="12">
        <v>159.84</v>
      </c>
      <c r="J280" s="12">
        <v>159.98</v>
      </c>
      <c r="K280" s="8"/>
      <c r="L280" s="12">
        <v>53.81</v>
      </c>
      <c r="M280" s="12">
        <v>43.02</v>
      </c>
      <c r="N280" s="12">
        <v>159.57</v>
      </c>
      <c r="O280" s="12">
        <v>159.28</v>
      </c>
      <c r="P280" s="8"/>
      <c r="Q280" s="12" t="s">
        <v>90</v>
      </c>
      <c r="R280" s="6"/>
      <c r="S280" s="6"/>
      <c r="T280" s="6"/>
      <c r="U280" s="6"/>
      <c r="V280" s="6"/>
    </row>
    <row r="281">
      <c r="A281" s="15">
        <v>46267.68189284722</v>
      </c>
      <c r="B281" s="8" t="str">
        <f t="shared" si="1"/>
        <v>246458</v>
      </c>
      <c r="C281" s="22" t="s">
        <v>273</v>
      </c>
      <c r="D281" s="22" t="s">
        <v>32</v>
      </c>
      <c r="E281" s="43">
        <v>0.0377</v>
      </c>
      <c r="F281" s="12" t="s">
        <v>18</v>
      </c>
      <c r="G281" s="12">
        <v>54.61</v>
      </c>
      <c r="H281" s="12">
        <v>45.49</v>
      </c>
      <c r="I281" s="12">
        <v>168.82</v>
      </c>
      <c r="J281" s="12">
        <v>169.15</v>
      </c>
      <c r="K281" s="8"/>
      <c r="L281" s="12">
        <v>54.23</v>
      </c>
      <c r="M281" s="12">
        <v>45.18</v>
      </c>
      <c r="N281" s="12">
        <v>168.01</v>
      </c>
      <c r="O281" s="12">
        <v>168.5</v>
      </c>
      <c r="P281" s="8"/>
      <c r="Q281" s="12" t="s">
        <v>90</v>
      </c>
      <c r="R281" s="6"/>
      <c r="S281" s="6"/>
      <c r="T281" s="6"/>
      <c r="U281" s="6"/>
      <c r="V281" s="6"/>
    </row>
    <row r="282">
      <c r="A282" s="15">
        <v>46267.83380519676</v>
      </c>
      <c r="B282" s="8" t="str">
        <f t="shared" si="1"/>
        <v>221282</v>
      </c>
      <c r="C282" s="23" t="s">
        <v>274</v>
      </c>
      <c r="D282" s="23" t="s">
        <v>32</v>
      </c>
      <c r="E282" s="42">
        <v>0.0645</v>
      </c>
      <c r="F282" s="12" t="s">
        <v>18</v>
      </c>
      <c r="G282" s="12">
        <v>54.57</v>
      </c>
      <c r="H282" s="12">
        <v>41.91</v>
      </c>
      <c r="I282" s="12">
        <v>162.05</v>
      </c>
      <c r="J282" s="12">
        <v>162.05</v>
      </c>
      <c r="K282" s="8"/>
      <c r="L282" s="12">
        <v>54.49</v>
      </c>
      <c r="M282" s="12">
        <v>41.85</v>
      </c>
      <c r="N282" s="12">
        <v>161.81</v>
      </c>
      <c r="O282" s="12">
        <v>161.52</v>
      </c>
      <c r="P282" s="8"/>
      <c r="Q282" s="12" t="s">
        <v>90</v>
      </c>
      <c r="R282" s="6"/>
      <c r="S282" s="6"/>
      <c r="T282" s="6"/>
      <c r="U282" s="6"/>
      <c r="V282" s="6"/>
    </row>
    <row r="283">
      <c r="A283" s="15">
        <v>46267.725140636576</v>
      </c>
      <c r="B283" s="8" t="str">
        <f t="shared" si="1"/>
        <v>239839</v>
      </c>
      <c r="C283" s="22" t="s">
        <v>184</v>
      </c>
      <c r="D283" s="22" t="s">
        <v>32</v>
      </c>
      <c r="E283" s="43">
        <v>0.0986</v>
      </c>
      <c r="F283" s="12" t="s">
        <v>18</v>
      </c>
      <c r="G283" s="12">
        <v>53.54</v>
      </c>
      <c r="H283" s="12">
        <v>35.79</v>
      </c>
      <c r="I283" s="12">
        <v>153.32</v>
      </c>
      <c r="J283" s="12">
        <v>152.96</v>
      </c>
      <c r="K283" s="8"/>
      <c r="L283" s="12">
        <v>53.3</v>
      </c>
      <c r="M283" s="12">
        <v>35.65</v>
      </c>
      <c r="N283" s="12">
        <v>152.96</v>
      </c>
      <c r="O283" s="12">
        <v>152.96</v>
      </c>
      <c r="P283" s="8"/>
      <c r="Q283" s="12" t="s">
        <v>90</v>
      </c>
      <c r="R283" s="6"/>
      <c r="S283" s="6"/>
      <c r="T283" s="6"/>
      <c r="U283" s="6"/>
      <c r="V283" s="6"/>
    </row>
    <row r="284">
      <c r="A284" s="15">
        <v>46267.72989761574</v>
      </c>
      <c r="B284" s="8" t="str">
        <f t="shared" si="1"/>
        <v>243674</v>
      </c>
      <c r="C284" s="23" t="s">
        <v>167</v>
      </c>
      <c r="D284" s="23" t="s">
        <v>32</v>
      </c>
      <c r="E284" s="42">
        <v>0.1048</v>
      </c>
      <c r="F284" s="12" t="s">
        <v>18</v>
      </c>
      <c r="G284" s="12">
        <v>48.91</v>
      </c>
      <c r="H284" s="12">
        <v>40.65</v>
      </c>
      <c r="I284" s="12">
        <v>147.27</v>
      </c>
      <c r="J284" s="12">
        <v>146.95</v>
      </c>
      <c r="K284" s="8"/>
      <c r="L284" s="12">
        <v>48.6</v>
      </c>
      <c r="M284" s="12">
        <v>60.6</v>
      </c>
      <c r="N284" s="12">
        <v>146.95</v>
      </c>
      <c r="O284" s="12">
        <v>146.95</v>
      </c>
      <c r="P284" s="8"/>
      <c r="Q284" s="12" t="s">
        <v>90</v>
      </c>
      <c r="R284" s="6"/>
      <c r="S284" s="6"/>
      <c r="T284" s="6"/>
      <c r="U284" s="6"/>
      <c r="V284" s="6"/>
    </row>
    <row r="285">
      <c r="A285" s="15">
        <v>46267.73174607639</v>
      </c>
      <c r="B285" s="8" t="str">
        <f t="shared" si="1"/>
        <v>243843</v>
      </c>
      <c r="C285" s="22" t="s">
        <v>275</v>
      </c>
      <c r="D285" s="22" t="s">
        <v>32</v>
      </c>
      <c r="E285" s="43">
        <v>0.0381</v>
      </c>
      <c r="F285" s="12" t="s">
        <v>18</v>
      </c>
      <c r="G285" s="12">
        <v>55.32</v>
      </c>
      <c r="H285" s="12">
        <v>37.15</v>
      </c>
      <c r="I285" s="12">
        <v>157.71</v>
      </c>
      <c r="J285" s="12">
        <v>157.79</v>
      </c>
      <c r="K285" s="8"/>
      <c r="L285" s="12">
        <v>55.25</v>
      </c>
      <c r="M285" s="12">
        <v>37.1</v>
      </c>
      <c r="N285" s="12">
        <v>157.71</v>
      </c>
      <c r="O285" s="12">
        <v>157.71</v>
      </c>
      <c r="P285" s="8"/>
      <c r="Q285" s="12" t="s">
        <v>90</v>
      </c>
      <c r="R285" s="6"/>
      <c r="S285" s="6"/>
      <c r="T285" s="6"/>
      <c r="U285" s="6"/>
      <c r="V285" s="6"/>
    </row>
    <row r="286">
      <c r="A286" s="15">
        <v>46267.73566519676</v>
      </c>
      <c r="B286" s="8" t="str">
        <f t="shared" si="1"/>
        <v>221176</v>
      </c>
      <c r="C286" s="22" t="s">
        <v>276</v>
      </c>
      <c r="D286" s="22" t="s">
        <v>32</v>
      </c>
      <c r="E286" s="43">
        <v>0.038</v>
      </c>
      <c r="F286" s="12" t="s">
        <v>18</v>
      </c>
      <c r="G286" s="12">
        <v>51.6</v>
      </c>
      <c r="H286" s="12">
        <v>41.19</v>
      </c>
      <c r="I286" s="12">
        <v>156.44</v>
      </c>
      <c r="J286" s="12">
        <v>156.36</v>
      </c>
      <c r="K286" s="8"/>
      <c r="L286" s="12">
        <v>51.54</v>
      </c>
      <c r="M286" s="12">
        <v>41.16</v>
      </c>
      <c r="N286" s="12">
        <v>156.44</v>
      </c>
      <c r="O286" s="12">
        <v>156.44</v>
      </c>
      <c r="P286" s="8"/>
      <c r="Q286" s="12" t="s">
        <v>277</v>
      </c>
      <c r="R286" s="6"/>
      <c r="S286" s="6"/>
      <c r="T286" s="6"/>
      <c r="U286" s="6"/>
      <c r="V286" s="6"/>
    </row>
    <row r="287">
      <c r="A287" s="15">
        <v>46267.73767548611</v>
      </c>
      <c r="B287" s="8" t="str">
        <f t="shared" si="1"/>
        <v>241187</v>
      </c>
      <c r="C287" s="23" t="s">
        <v>278</v>
      </c>
      <c r="D287" s="23" t="s">
        <v>32</v>
      </c>
      <c r="E287" s="42">
        <v>0.0374</v>
      </c>
      <c r="F287" s="12" t="s">
        <v>18</v>
      </c>
      <c r="G287" s="12">
        <v>50.04</v>
      </c>
      <c r="H287" s="12">
        <v>39.32</v>
      </c>
      <c r="I287" s="12">
        <v>149.02</v>
      </c>
      <c r="J287" s="12">
        <v>149.02</v>
      </c>
      <c r="K287" s="8"/>
      <c r="L287" s="12">
        <v>149.02</v>
      </c>
      <c r="M287" s="12">
        <v>39.3</v>
      </c>
      <c r="N287" s="12">
        <v>149.02</v>
      </c>
      <c r="O287" s="12">
        <v>149.02</v>
      </c>
      <c r="P287" s="8"/>
      <c r="Q287" s="12" t="s">
        <v>277</v>
      </c>
      <c r="R287" s="6"/>
      <c r="S287" s="6"/>
      <c r="T287" s="6"/>
      <c r="U287" s="6"/>
      <c r="V287" s="6"/>
    </row>
    <row r="288">
      <c r="A288" s="15">
        <v>46267.74247133102</v>
      </c>
      <c r="B288" s="8" t="str">
        <f t="shared" si="1"/>
        <v>221282</v>
      </c>
      <c r="C288" s="22" t="s">
        <v>160</v>
      </c>
      <c r="D288" s="22" t="s">
        <v>32</v>
      </c>
      <c r="E288" s="43">
        <v>0.0812</v>
      </c>
      <c r="F288" s="12" t="s">
        <v>18</v>
      </c>
      <c r="G288" s="12">
        <v>54.51</v>
      </c>
      <c r="H288" s="12">
        <v>41.93</v>
      </c>
      <c r="I288" s="12">
        <v>161.75</v>
      </c>
      <c r="J288" s="12">
        <v>161.48</v>
      </c>
      <c r="K288" s="8"/>
      <c r="L288" s="12">
        <v>54.4</v>
      </c>
      <c r="M288" s="12">
        <v>41.85</v>
      </c>
      <c r="N288" s="12" t="s">
        <v>279</v>
      </c>
      <c r="O288" s="12">
        <v>141.68</v>
      </c>
      <c r="P288" s="8"/>
      <c r="Q288" s="12" t="s">
        <v>277</v>
      </c>
      <c r="R288" s="6"/>
      <c r="S288" s="6"/>
      <c r="T288" s="6"/>
      <c r="U288" s="6"/>
      <c r="V288" s="6"/>
    </row>
    <row r="289">
      <c r="A289" s="15">
        <v>46267.74519868055</v>
      </c>
      <c r="B289" s="8" t="str">
        <f t="shared" si="1"/>
        <v>245914</v>
      </c>
      <c r="C289" s="23" t="s">
        <v>280</v>
      </c>
      <c r="D289" s="23" t="s">
        <v>32</v>
      </c>
      <c r="E289" s="42">
        <v>0.2353</v>
      </c>
      <c r="F289" s="12" t="s">
        <v>18</v>
      </c>
      <c r="G289" s="12">
        <v>51.69</v>
      </c>
      <c r="H289" s="12">
        <v>37.23</v>
      </c>
      <c r="I289" s="12">
        <v>150.72</v>
      </c>
      <c r="J289" s="12">
        <v>150.94</v>
      </c>
      <c r="K289" s="8"/>
      <c r="L289" s="12">
        <v>51.45</v>
      </c>
      <c r="M289" s="12">
        <v>37.2</v>
      </c>
      <c r="N289" s="12">
        <v>150.72</v>
      </c>
      <c r="O289" s="12">
        <v>150.94</v>
      </c>
      <c r="P289" s="8"/>
      <c r="Q289" s="12" t="s">
        <v>277</v>
      </c>
      <c r="R289" s="6"/>
      <c r="S289" s="6"/>
      <c r="T289" s="6"/>
      <c r="U289" s="6"/>
      <c r="V289" s="6"/>
    </row>
    <row r="290">
      <c r="A290" s="15">
        <v>46267.74690832176</v>
      </c>
      <c r="B290" s="8" t="str">
        <f t="shared" si="1"/>
        <v>241089</v>
      </c>
      <c r="C290" s="22" t="s">
        <v>281</v>
      </c>
      <c r="D290" s="22" t="s">
        <v>32</v>
      </c>
      <c r="E290" s="43">
        <v>0.1667</v>
      </c>
      <c r="F290" s="12" t="s">
        <v>18</v>
      </c>
      <c r="G290" s="12">
        <v>60.5</v>
      </c>
      <c r="H290" s="12">
        <v>48.4</v>
      </c>
      <c r="I290" s="12">
        <v>177.63</v>
      </c>
      <c r="J290" s="12">
        <v>178.37</v>
      </c>
      <c r="K290" s="8"/>
      <c r="L290" s="12">
        <v>60.3</v>
      </c>
      <c r="M290" s="12">
        <v>48.3</v>
      </c>
      <c r="N290" s="12">
        <v>177.63</v>
      </c>
      <c r="O290" s="12">
        <v>178.37</v>
      </c>
      <c r="P290" s="8"/>
      <c r="Q290" s="12" t="s">
        <v>277</v>
      </c>
      <c r="R290" s="6"/>
      <c r="S290" s="6"/>
      <c r="T290" s="6"/>
      <c r="U290" s="6"/>
      <c r="V290" s="6"/>
    </row>
    <row r="291">
      <c r="A291" s="15">
        <v>46267.74889446759</v>
      </c>
      <c r="B291" s="8" t="str">
        <f t="shared" si="1"/>
        <v>241124</v>
      </c>
      <c r="C291" s="23" t="s">
        <v>282</v>
      </c>
      <c r="D291" s="23" t="s">
        <v>32</v>
      </c>
      <c r="E291" s="42">
        <v>0.1538</v>
      </c>
      <c r="F291" s="12" t="s">
        <v>18</v>
      </c>
      <c r="G291" s="12">
        <v>53.93</v>
      </c>
      <c r="H291" s="12">
        <v>48.3</v>
      </c>
      <c r="I291" s="12">
        <v>162.47</v>
      </c>
      <c r="J291" s="12">
        <v>162.74</v>
      </c>
      <c r="K291" s="12" t="s">
        <v>107</v>
      </c>
      <c r="L291" s="12">
        <v>53.8</v>
      </c>
      <c r="M291" s="12">
        <v>48.11</v>
      </c>
      <c r="N291" s="12">
        <v>162.47</v>
      </c>
      <c r="O291" s="12">
        <v>162.74</v>
      </c>
      <c r="P291" s="8"/>
      <c r="Q291" s="12" t="s">
        <v>277</v>
      </c>
      <c r="R291" s="6"/>
      <c r="S291" s="6"/>
      <c r="T291" s="6"/>
      <c r="U291" s="6"/>
      <c r="V291" s="6"/>
    </row>
    <row r="292">
      <c r="A292" s="15">
        <v>46267.75152763889</v>
      </c>
      <c r="B292" s="8" t="str">
        <f t="shared" si="1"/>
        <v>238757</v>
      </c>
      <c r="C292" s="22" t="s">
        <v>246</v>
      </c>
      <c r="D292" s="22" t="s">
        <v>32</v>
      </c>
      <c r="E292" s="43">
        <v>0.125</v>
      </c>
      <c r="F292" s="12" t="s">
        <v>18</v>
      </c>
      <c r="G292" s="12">
        <v>54.47</v>
      </c>
      <c r="H292" s="12">
        <v>39.09</v>
      </c>
      <c r="I292" s="12">
        <v>156.51</v>
      </c>
      <c r="J292" s="12">
        <v>156.51</v>
      </c>
      <c r="K292" s="8"/>
      <c r="L292" s="12">
        <v>54.3</v>
      </c>
      <c r="M292" s="12">
        <v>39.0</v>
      </c>
      <c r="N292" s="12">
        <v>156.51</v>
      </c>
      <c r="O292" s="12">
        <v>156.51</v>
      </c>
      <c r="P292" s="8"/>
      <c r="Q292" s="12" t="s">
        <v>277</v>
      </c>
      <c r="R292" s="6"/>
      <c r="S292" s="6"/>
      <c r="T292" s="6"/>
      <c r="U292" s="6"/>
      <c r="V292" s="6"/>
    </row>
    <row r="293">
      <c r="A293" s="15">
        <v>46267.75302069444</v>
      </c>
      <c r="B293" s="8" t="str">
        <f t="shared" si="1"/>
        <v>246459</v>
      </c>
      <c r="C293" s="23" t="s">
        <v>283</v>
      </c>
      <c r="D293" s="23" t="s">
        <v>32</v>
      </c>
      <c r="E293" s="42">
        <v>0.1111</v>
      </c>
      <c r="F293" s="12" t="s">
        <v>18</v>
      </c>
      <c r="G293" s="12">
        <v>54.38</v>
      </c>
      <c r="H293" s="12">
        <v>45.63</v>
      </c>
      <c r="I293" s="12">
        <v>168.61</v>
      </c>
      <c r="J293" s="12">
        <v>168.61</v>
      </c>
      <c r="K293" s="8"/>
      <c r="L293" s="12">
        <v>58.35</v>
      </c>
      <c r="M293" s="12">
        <v>45.25</v>
      </c>
      <c r="N293" s="12">
        <v>168.61</v>
      </c>
      <c r="O293" s="12">
        <v>168.61</v>
      </c>
      <c r="P293" s="8"/>
      <c r="Q293" s="12" t="s">
        <v>277</v>
      </c>
      <c r="R293" s="6"/>
      <c r="S293" s="6"/>
      <c r="T293" s="6"/>
      <c r="U293" s="6"/>
      <c r="V293" s="6"/>
    </row>
    <row r="294">
      <c r="A294" s="15">
        <v>46267.754298125</v>
      </c>
      <c r="B294" s="8" t="str">
        <f t="shared" si="1"/>
        <v>246019</v>
      </c>
      <c r="C294" s="22" t="s">
        <v>284</v>
      </c>
      <c r="D294" s="22" t="s">
        <v>32</v>
      </c>
      <c r="E294" s="43">
        <v>0.1053</v>
      </c>
      <c r="F294" s="12" t="s">
        <v>18</v>
      </c>
      <c r="G294" s="12">
        <v>53.85</v>
      </c>
      <c r="H294" s="12">
        <v>35.62</v>
      </c>
      <c r="I294" s="12">
        <v>148.79</v>
      </c>
      <c r="J294" s="12">
        <v>150.84</v>
      </c>
      <c r="K294" s="8"/>
      <c r="L294" s="12">
        <v>53.58</v>
      </c>
      <c r="M294" s="12">
        <v>35.17</v>
      </c>
      <c r="N294" s="12">
        <v>148.79</v>
      </c>
      <c r="O294" s="12">
        <v>150.84</v>
      </c>
      <c r="P294" s="8"/>
      <c r="Q294" s="12" t="s">
        <v>277</v>
      </c>
      <c r="R294" s="6"/>
      <c r="S294" s="6"/>
      <c r="T294" s="6"/>
      <c r="U294" s="6"/>
      <c r="V294" s="6"/>
    </row>
    <row r="295">
      <c r="A295" s="15">
        <v>46267.755844907406</v>
      </c>
      <c r="B295" s="8" t="str">
        <f t="shared" si="1"/>
        <v>244802</v>
      </c>
      <c r="C295" s="23" t="s">
        <v>285</v>
      </c>
      <c r="D295" s="23" t="s">
        <v>32</v>
      </c>
      <c r="E295" s="42">
        <v>0.1042</v>
      </c>
      <c r="F295" s="12" t="s">
        <v>18</v>
      </c>
      <c r="G295" s="12">
        <v>54.55</v>
      </c>
      <c r="H295" s="12">
        <v>43.58</v>
      </c>
      <c r="I295" s="12">
        <v>160.29</v>
      </c>
      <c r="J295" s="12">
        <v>160.29</v>
      </c>
      <c r="K295" s="8"/>
      <c r="L295" s="12">
        <v>53.15</v>
      </c>
      <c r="M295" s="12">
        <v>43.15</v>
      </c>
      <c r="N295" s="12">
        <v>160.29</v>
      </c>
      <c r="O295" s="12">
        <v>160.29</v>
      </c>
      <c r="P295" s="8"/>
      <c r="Q295" s="12" t="s">
        <v>277</v>
      </c>
      <c r="R295" s="6"/>
      <c r="S295" s="6"/>
      <c r="T295" s="6"/>
      <c r="U295" s="6"/>
      <c r="V295" s="6"/>
    </row>
    <row r="296">
      <c r="A296" s="15">
        <v>46267.75845040509</v>
      </c>
      <c r="B296" s="8" t="str">
        <f t="shared" si="1"/>
        <v>149037</v>
      </c>
      <c r="C296" s="22" t="s">
        <v>180</v>
      </c>
      <c r="D296" s="22" t="s">
        <v>32</v>
      </c>
      <c r="E296" s="43">
        <v>0.1009</v>
      </c>
      <c r="F296" s="12" t="s">
        <v>18</v>
      </c>
      <c r="G296" s="12">
        <v>57.44</v>
      </c>
      <c r="H296" s="12">
        <v>46.88</v>
      </c>
      <c r="I296" s="12">
        <v>173.88</v>
      </c>
      <c r="J296" s="12">
        <v>173.75</v>
      </c>
      <c r="K296" s="8"/>
      <c r="L296" s="12">
        <v>57.3</v>
      </c>
      <c r="M296" s="12">
        <v>46.75</v>
      </c>
      <c r="N296" s="12">
        <v>173.88</v>
      </c>
      <c r="O296" s="12">
        <v>173.75</v>
      </c>
      <c r="P296" s="8"/>
      <c r="Q296" s="12" t="s">
        <v>277</v>
      </c>
      <c r="R296" s="6"/>
      <c r="S296" s="6"/>
      <c r="T296" s="6"/>
      <c r="U296" s="6"/>
      <c r="V296" s="6"/>
    </row>
    <row r="297">
      <c r="A297" s="15">
        <v>46267.791732199075</v>
      </c>
      <c r="B297" s="8" t="str">
        <f t="shared" si="1"/>
        <v>254393</v>
      </c>
      <c r="C297" s="23" t="s">
        <v>286</v>
      </c>
      <c r="D297" s="23" t="s">
        <v>32</v>
      </c>
      <c r="E297" s="42">
        <v>0.1</v>
      </c>
      <c r="F297" s="12" t="s">
        <v>18</v>
      </c>
      <c r="G297" s="12">
        <v>51.45</v>
      </c>
      <c r="H297" s="12">
        <v>36.55</v>
      </c>
      <c r="I297" s="12">
        <v>148.55</v>
      </c>
      <c r="J297" s="12">
        <v>148.55</v>
      </c>
      <c r="K297" s="8"/>
      <c r="L297" s="12">
        <v>51.34</v>
      </c>
      <c r="M297" s="12">
        <v>36.42</v>
      </c>
      <c r="N297" s="12">
        <v>148.39</v>
      </c>
      <c r="O297" s="12">
        <v>148.39</v>
      </c>
      <c r="P297" s="8"/>
      <c r="Q297" s="12" t="s">
        <v>277</v>
      </c>
      <c r="R297" s="6"/>
      <c r="S297" s="6"/>
      <c r="T297" s="6"/>
      <c r="U297" s="6"/>
      <c r="V297" s="6"/>
    </row>
    <row r="298">
      <c r="A298" s="15">
        <v>46267.79413008102</v>
      </c>
      <c r="B298" s="8" t="str">
        <f t="shared" si="1"/>
        <v>241106</v>
      </c>
      <c r="C298" s="22" t="s">
        <v>287</v>
      </c>
      <c r="D298" s="22" t="s">
        <v>32</v>
      </c>
      <c r="E298" s="43">
        <v>0.0972</v>
      </c>
      <c r="F298" s="12" t="s">
        <v>18</v>
      </c>
      <c r="G298" s="12">
        <v>57.7</v>
      </c>
      <c r="H298" s="12">
        <v>42.26</v>
      </c>
      <c r="I298" s="12">
        <v>168.26</v>
      </c>
      <c r="J298" s="12">
        <v>168.49</v>
      </c>
      <c r="K298" s="8"/>
      <c r="L298" s="12">
        <v>57.49</v>
      </c>
      <c r="M298" s="12">
        <v>42.08</v>
      </c>
      <c r="N298" s="12">
        <v>167.98</v>
      </c>
      <c r="O298" s="12">
        <v>167.59</v>
      </c>
      <c r="P298" s="8"/>
      <c r="Q298" s="12" t="s">
        <v>277</v>
      </c>
      <c r="R298" s="6"/>
      <c r="S298" s="6"/>
      <c r="T298" s="6"/>
      <c r="U298" s="6"/>
      <c r="V298" s="6"/>
    </row>
    <row r="299">
      <c r="A299" s="15">
        <v>46267.798699340274</v>
      </c>
      <c r="B299" s="8" t="str">
        <f t="shared" si="1"/>
        <v>148906</v>
      </c>
      <c r="C299" s="23" t="s">
        <v>288</v>
      </c>
      <c r="D299" s="23" t="s">
        <v>32</v>
      </c>
      <c r="E299" s="42">
        <v>0.0827</v>
      </c>
      <c r="F299" s="12" t="s">
        <v>18</v>
      </c>
      <c r="G299" s="12">
        <v>39.4</v>
      </c>
      <c r="H299" s="12">
        <v>49.55</v>
      </c>
      <c r="I299" s="12">
        <v>146.86</v>
      </c>
      <c r="J299" s="12">
        <v>147.28</v>
      </c>
      <c r="K299" s="8"/>
      <c r="L299" s="12">
        <v>39.04</v>
      </c>
      <c r="M299" s="12">
        <v>49.49</v>
      </c>
      <c r="N299" s="12">
        <v>146.83</v>
      </c>
      <c r="O299" s="12">
        <v>146.56</v>
      </c>
      <c r="P299" s="8"/>
      <c r="Q299" s="12" t="s">
        <v>277</v>
      </c>
      <c r="R299" s="6"/>
      <c r="S299" s="6"/>
      <c r="T299" s="6"/>
      <c r="U299" s="6"/>
      <c r="V299" s="6"/>
    </row>
    <row r="300">
      <c r="A300" s="15">
        <v>46267.79952510417</v>
      </c>
      <c r="B300" s="8" t="str">
        <f t="shared" si="1"/>
        <v>243673</v>
      </c>
      <c r="C300" s="22" t="s">
        <v>289</v>
      </c>
      <c r="D300" s="22" t="s">
        <v>32</v>
      </c>
      <c r="E300" s="43">
        <v>0.0762</v>
      </c>
      <c r="F300" s="12" t="s">
        <v>18</v>
      </c>
      <c r="G300" s="12">
        <v>55.8</v>
      </c>
      <c r="H300" s="12">
        <v>37.6</v>
      </c>
      <c r="I300" s="12">
        <v>158.99</v>
      </c>
      <c r="J300" s="12">
        <v>159.1</v>
      </c>
      <c r="K300" s="8"/>
      <c r="L300" s="12">
        <v>55.77</v>
      </c>
      <c r="M300" s="12">
        <v>37.49</v>
      </c>
      <c r="N300" s="12">
        <v>158.93</v>
      </c>
      <c r="O300" s="12">
        <v>158.88</v>
      </c>
      <c r="P300" s="8"/>
      <c r="Q300" s="12" t="s">
        <v>277</v>
      </c>
      <c r="R300" s="6"/>
      <c r="S300" s="6"/>
      <c r="T300" s="6"/>
      <c r="U300" s="6"/>
      <c r="V300" s="6"/>
    </row>
    <row r="301">
      <c r="A301" s="15">
        <v>46267.80097271991</v>
      </c>
      <c r="B301" s="8" t="str">
        <f t="shared" si="1"/>
        <v>241106</v>
      </c>
      <c r="C301" s="23" t="s">
        <v>290</v>
      </c>
      <c r="D301" s="23" t="s">
        <v>32</v>
      </c>
      <c r="E301" s="42">
        <v>0.0566</v>
      </c>
      <c r="F301" s="12" t="s">
        <v>18</v>
      </c>
      <c r="G301" s="12">
        <v>58.04</v>
      </c>
      <c r="H301" s="12">
        <v>41.81</v>
      </c>
      <c r="I301" s="12">
        <v>168.45</v>
      </c>
      <c r="J301" s="12">
        <v>168.25</v>
      </c>
      <c r="K301" s="8"/>
      <c r="L301" s="12">
        <v>57.96</v>
      </c>
      <c r="M301" s="12">
        <v>41.57</v>
      </c>
      <c r="N301" s="12">
        <v>167.91</v>
      </c>
      <c r="O301" s="12">
        <v>167.63</v>
      </c>
      <c r="P301" s="8"/>
      <c r="Q301" s="12" t="s">
        <v>90</v>
      </c>
      <c r="R301" s="6"/>
      <c r="S301" s="6"/>
      <c r="T301" s="6"/>
      <c r="U301" s="6"/>
      <c r="V301" s="6"/>
    </row>
    <row r="302">
      <c r="A302" s="15">
        <v>46267.80254377315</v>
      </c>
      <c r="B302" s="8" t="str">
        <f t="shared" si="1"/>
        <v>150798</v>
      </c>
      <c r="C302" s="22" t="s">
        <v>291</v>
      </c>
      <c r="D302" s="22" t="s">
        <v>32</v>
      </c>
      <c r="E302" s="43">
        <v>0.0444</v>
      </c>
      <c r="F302" s="12" t="s">
        <v>18</v>
      </c>
      <c r="G302" s="12">
        <v>50.76</v>
      </c>
      <c r="H302" s="12">
        <v>43.74</v>
      </c>
      <c r="I302" s="12">
        <v>153.49</v>
      </c>
      <c r="J302" s="12">
        <v>153.49</v>
      </c>
      <c r="K302" s="8"/>
      <c r="L302" s="12">
        <v>50.33</v>
      </c>
      <c r="M302" s="12">
        <v>43.38</v>
      </c>
      <c r="N302" s="12">
        <v>152.79</v>
      </c>
      <c r="O302" s="12">
        <v>152.79</v>
      </c>
      <c r="P302" s="8"/>
      <c r="Q302" s="12" t="s">
        <v>90</v>
      </c>
      <c r="R302" s="6"/>
      <c r="S302" s="6"/>
      <c r="T302" s="6"/>
      <c r="U302" s="6"/>
      <c r="V302" s="6"/>
    </row>
    <row r="303">
      <c r="A303" s="15">
        <v>46267.80321517361</v>
      </c>
      <c r="B303" s="8" t="str">
        <f t="shared" si="1"/>
        <v>210433</v>
      </c>
      <c r="C303" s="23" t="s">
        <v>100</v>
      </c>
      <c r="D303" s="23" t="s">
        <v>32</v>
      </c>
      <c r="E303" s="42">
        <v>0.0442</v>
      </c>
      <c r="F303" s="12" t="s">
        <v>18</v>
      </c>
      <c r="G303" s="12">
        <v>52.29</v>
      </c>
      <c r="H303" s="12">
        <v>34.77</v>
      </c>
      <c r="I303" s="12">
        <v>147.37</v>
      </c>
      <c r="J303" s="12">
        <v>147.37</v>
      </c>
      <c r="K303" s="8"/>
      <c r="L303" s="12">
        <v>52.14</v>
      </c>
      <c r="M303" s="12">
        <v>34.59</v>
      </c>
      <c r="N303" s="12">
        <v>146.88</v>
      </c>
      <c r="O303" s="12">
        <v>146.76</v>
      </c>
      <c r="P303" s="8"/>
      <c r="Q303" s="12" t="s">
        <v>90</v>
      </c>
      <c r="R303" s="6"/>
      <c r="S303" s="6"/>
      <c r="T303" s="6"/>
      <c r="U303" s="6"/>
      <c r="V303" s="6"/>
    </row>
    <row r="304">
      <c r="A304" s="15">
        <v>46267.807886712966</v>
      </c>
      <c r="B304" s="8" t="str">
        <f t="shared" si="1"/>
        <v>242138</v>
      </c>
      <c r="C304" s="22" t="s">
        <v>292</v>
      </c>
      <c r="D304" s="22" t="s">
        <v>32</v>
      </c>
      <c r="E304" s="43">
        <v>0.0441</v>
      </c>
      <c r="F304" s="12" t="s">
        <v>18</v>
      </c>
      <c r="G304" s="12">
        <v>51.56</v>
      </c>
      <c r="H304" s="12">
        <v>38.62</v>
      </c>
      <c r="I304" s="12">
        <v>149.47</v>
      </c>
      <c r="J304" s="12">
        <v>149.47</v>
      </c>
      <c r="K304" s="8"/>
      <c r="L304" s="12">
        <v>51.49</v>
      </c>
      <c r="M304" s="12">
        <v>38.58</v>
      </c>
      <c r="N304" s="12">
        <v>149.2</v>
      </c>
      <c r="O304" s="12">
        <v>149.2</v>
      </c>
      <c r="P304" s="8"/>
      <c r="Q304" s="12" t="s">
        <v>90</v>
      </c>
      <c r="R304" s="6"/>
      <c r="S304" s="6"/>
      <c r="T304" s="6"/>
      <c r="U304" s="6"/>
      <c r="V304" s="6"/>
    </row>
    <row r="305">
      <c r="A305" s="15">
        <v>46267.80940591435</v>
      </c>
      <c r="B305" s="8" t="str">
        <f t="shared" si="1"/>
        <v>236092</v>
      </c>
      <c r="C305" s="23" t="s">
        <v>293</v>
      </c>
      <c r="D305" s="23" t="s">
        <v>32</v>
      </c>
      <c r="E305" s="42">
        <v>0.0413</v>
      </c>
      <c r="F305" s="12" t="s">
        <v>18</v>
      </c>
      <c r="G305" s="12">
        <v>50.43</v>
      </c>
      <c r="H305" s="12">
        <v>42.6</v>
      </c>
      <c r="I305" s="12">
        <v>151.12</v>
      </c>
      <c r="J305" s="12">
        <v>151.12</v>
      </c>
      <c r="K305" s="8"/>
      <c r="L305" s="12">
        <v>50.37</v>
      </c>
      <c r="M305" s="12">
        <v>42.55</v>
      </c>
      <c r="N305" s="12">
        <v>150.95</v>
      </c>
      <c r="O305" s="12">
        <v>150.95</v>
      </c>
      <c r="P305" s="8"/>
      <c r="Q305" s="12" t="s">
        <v>90</v>
      </c>
      <c r="R305" s="6"/>
      <c r="S305" s="6"/>
      <c r="T305" s="6"/>
      <c r="U305" s="6"/>
      <c r="V305" s="6"/>
    </row>
    <row r="306">
      <c r="A306" s="15">
        <v>46267.819819826385</v>
      </c>
      <c r="B306" s="8" t="str">
        <f t="shared" si="1"/>
        <v>219823</v>
      </c>
      <c r="C306" s="22" t="s">
        <v>294</v>
      </c>
      <c r="D306" s="22" t="s">
        <v>32</v>
      </c>
      <c r="E306" s="43">
        <v>0.0328</v>
      </c>
      <c r="F306" s="12" t="s">
        <v>18</v>
      </c>
      <c r="G306" s="12">
        <v>53.83</v>
      </c>
      <c r="H306" s="12">
        <v>41.41</v>
      </c>
      <c r="I306" s="12">
        <v>158.76</v>
      </c>
      <c r="J306" s="12">
        <v>158.5</v>
      </c>
      <c r="K306" s="8"/>
      <c r="L306" s="12">
        <v>53.63</v>
      </c>
      <c r="M306" s="12">
        <v>41.38</v>
      </c>
      <c r="N306" s="12">
        <v>158.34</v>
      </c>
      <c r="O306" s="12">
        <v>158.43</v>
      </c>
      <c r="P306" s="8"/>
      <c r="Q306" s="12" t="s">
        <v>90</v>
      </c>
      <c r="R306" s="6"/>
      <c r="S306" s="6"/>
      <c r="T306" s="6"/>
      <c r="U306" s="6"/>
      <c r="V306" s="6"/>
    </row>
    <row r="307">
      <c r="A307" s="15">
        <v>46267.82243234954</v>
      </c>
      <c r="B307" s="8" t="str">
        <f t="shared" si="1"/>
        <v>138420</v>
      </c>
      <c r="C307" s="23" t="s">
        <v>165</v>
      </c>
      <c r="D307" s="23" t="s">
        <v>32</v>
      </c>
      <c r="E307" s="42">
        <v>0.0323</v>
      </c>
      <c r="F307" s="12" t="s">
        <v>18</v>
      </c>
      <c r="G307" s="12">
        <v>57.05</v>
      </c>
      <c r="H307" s="12">
        <v>46.63</v>
      </c>
      <c r="I307" s="12">
        <v>173.13</v>
      </c>
      <c r="J307" s="12">
        <v>172.86</v>
      </c>
      <c r="K307" s="8"/>
      <c r="L307" s="12">
        <v>56.97</v>
      </c>
      <c r="M307" s="12">
        <v>46.57</v>
      </c>
      <c r="N307" s="12">
        <v>172.91</v>
      </c>
      <c r="O307" s="12">
        <v>172.65</v>
      </c>
      <c r="P307" s="8"/>
      <c r="Q307" s="12" t="s">
        <v>90</v>
      </c>
      <c r="R307" s="6"/>
      <c r="S307" s="6"/>
      <c r="T307" s="6"/>
      <c r="U307" s="6"/>
      <c r="V307" s="6"/>
    </row>
    <row r="308">
      <c r="A308" s="15">
        <v>46267.825271724534</v>
      </c>
      <c r="B308" s="8" t="str">
        <f t="shared" si="1"/>
        <v>241100</v>
      </c>
      <c r="C308" s="22" t="s">
        <v>295</v>
      </c>
      <c r="D308" s="22" t="s">
        <v>32</v>
      </c>
      <c r="E308" s="43">
        <v>0.047</v>
      </c>
      <c r="F308" s="12" t="s">
        <v>18</v>
      </c>
      <c r="G308" s="12">
        <v>53.9</v>
      </c>
      <c r="H308" s="12">
        <v>42.48</v>
      </c>
      <c r="I308" s="12">
        <v>159.96</v>
      </c>
      <c r="J308" s="12">
        <v>160.36</v>
      </c>
      <c r="K308" s="8"/>
      <c r="L308" s="12">
        <v>53.75</v>
      </c>
      <c r="M308" s="12">
        <v>42.16</v>
      </c>
      <c r="N308" s="12">
        <v>159.64</v>
      </c>
      <c r="O308" s="12">
        <v>159.64</v>
      </c>
      <c r="P308" s="8"/>
      <c r="Q308" s="12" t="s">
        <v>90</v>
      </c>
      <c r="R308" s="6"/>
      <c r="S308" s="6"/>
      <c r="T308" s="6"/>
      <c r="U308" s="6"/>
      <c r="V308" s="6"/>
    </row>
    <row r="309">
      <c r="A309" s="15">
        <v>46269.41786591435</v>
      </c>
      <c r="B309" s="8" t="str">
        <f t="shared" si="1"/>
        <v>146653</v>
      </c>
      <c r="C309" s="10" t="s">
        <v>296</v>
      </c>
      <c r="D309" s="10" t="s">
        <v>17</v>
      </c>
      <c r="E309" s="9"/>
      <c r="F309" s="12" t="s">
        <v>18</v>
      </c>
      <c r="G309" s="12">
        <v>50.53</v>
      </c>
      <c r="H309" s="12">
        <v>36.27</v>
      </c>
      <c r="I309" s="12">
        <v>146.39</v>
      </c>
      <c r="J309" s="12">
        <v>146.43</v>
      </c>
      <c r="K309" s="12" t="s">
        <v>19</v>
      </c>
      <c r="L309" s="12">
        <v>50.99</v>
      </c>
      <c r="M309" s="12">
        <v>36.14</v>
      </c>
      <c r="N309" s="12">
        <v>147.61</v>
      </c>
      <c r="O309" s="12">
        <v>147.75</v>
      </c>
      <c r="P309" s="12" t="s">
        <v>17</v>
      </c>
      <c r="Q309" s="12" t="s">
        <v>20</v>
      </c>
      <c r="R309" s="6"/>
      <c r="S309" s="6"/>
      <c r="T309" s="6"/>
      <c r="U309" s="6"/>
      <c r="V309" s="6"/>
    </row>
    <row r="310">
      <c r="A310" s="15">
        <v>46272.73297540509</v>
      </c>
      <c r="B310" s="8" t="str">
        <f t="shared" si="1"/>
        <v>204382</v>
      </c>
      <c r="C310" s="22" t="s">
        <v>297</v>
      </c>
      <c r="D310" s="22" t="s">
        <v>32</v>
      </c>
      <c r="E310" s="43">
        <v>0.375</v>
      </c>
      <c r="F310" s="12" t="s">
        <v>18</v>
      </c>
      <c r="G310" s="12">
        <v>43.99</v>
      </c>
      <c r="H310" s="12">
        <v>34.33</v>
      </c>
      <c r="I310" s="12">
        <v>129.97</v>
      </c>
      <c r="J310" s="12">
        <v>130.17</v>
      </c>
      <c r="K310" s="12" t="s">
        <v>107</v>
      </c>
      <c r="L310" s="12">
        <v>43.69</v>
      </c>
      <c r="M310" s="12">
        <v>34.04</v>
      </c>
      <c r="N310" s="12">
        <v>129.06</v>
      </c>
      <c r="O310" s="12">
        <v>129.45</v>
      </c>
      <c r="P310" s="12" t="s">
        <v>32</v>
      </c>
      <c r="Q310" s="12" t="s">
        <v>20</v>
      </c>
      <c r="R310" s="6"/>
      <c r="S310" s="6"/>
      <c r="T310" s="6"/>
      <c r="U310" s="6"/>
      <c r="V310" s="6"/>
    </row>
    <row r="311">
      <c r="A311" s="15">
        <v>46272.73411173611</v>
      </c>
      <c r="B311" s="8" t="str">
        <f t="shared" si="1"/>
        <v>246018</v>
      </c>
      <c r="C311" s="23" t="s">
        <v>249</v>
      </c>
      <c r="D311" s="23" t="s">
        <v>32</v>
      </c>
      <c r="E311" s="42">
        <v>0.1053</v>
      </c>
      <c r="F311" s="12" t="s">
        <v>18</v>
      </c>
      <c r="G311" s="12">
        <v>56.13</v>
      </c>
      <c r="H311" s="12">
        <v>38.87</v>
      </c>
      <c r="I311" s="12">
        <v>160.57</v>
      </c>
      <c r="J311" s="12">
        <v>159.83</v>
      </c>
      <c r="K311" s="12" t="s">
        <v>107</v>
      </c>
      <c r="L311" s="12">
        <v>55.9</v>
      </c>
      <c r="M311" s="12">
        <v>38.6</v>
      </c>
      <c r="N311" s="12">
        <v>159.73</v>
      </c>
      <c r="O311" s="12">
        <v>158.91</v>
      </c>
      <c r="P311" s="12" t="s">
        <v>32</v>
      </c>
      <c r="Q311" s="12" t="s">
        <v>20</v>
      </c>
      <c r="R311" s="6"/>
      <c r="S311" s="6"/>
      <c r="T311" s="6"/>
      <c r="U311" s="6"/>
      <c r="V311" s="6"/>
    </row>
    <row r="312">
      <c r="A312" s="15">
        <v>46272.735313067125</v>
      </c>
      <c r="B312" s="8" t="str">
        <f t="shared" si="1"/>
        <v>245915</v>
      </c>
      <c r="C312" s="22" t="s">
        <v>298</v>
      </c>
      <c r="D312" s="22" t="s">
        <v>32</v>
      </c>
      <c r="E312" s="43">
        <v>0.0526</v>
      </c>
      <c r="F312" s="12" t="s">
        <v>18</v>
      </c>
      <c r="G312" s="12">
        <v>53.29</v>
      </c>
      <c r="H312" s="12">
        <v>42.43</v>
      </c>
      <c r="I312" s="12">
        <v>158.81</v>
      </c>
      <c r="J312" s="12">
        <v>158.78</v>
      </c>
      <c r="K312" s="12" t="s">
        <v>107</v>
      </c>
      <c r="L312" s="12">
        <v>53.04</v>
      </c>
      <c r="M312" s="12">
        <v>42.19</v>
      </c>
      <c r="N312" s="12">
        <v>157.9</v>
      </c>
      <c r="O312" s="12">
        <v>158.01</v>
      </c>
      <c r="P312" s="12" t="s">
        <v>32</v>
      </c>
      <c r="Q312" s="12" t="s">
        <v>20</v>
      </c>
      <c r="R312" s="6"/>
      <c r="S312" s="6"/>
      <c r="T312" s="6"/>
      <c r="U312" s="6"/>
      <c r="V312" s="6"/>
    </row>
    <row r="313">
      <c r="A313" s="15">
        <v>46272.73639005787</v>
      </c>
      <c r="B313" s="8" t="str">
        <f t="shared" si="1"/>
        <v>221172</v>
      </c>
      <c r="C313" s="23" t="s">
        <v>299</v>
      </c>
      <c r="D313" s="23" t="s">
        <v>32</v>
      </c>
      <c r="E313" s="42">
        <v>0.0364</v>
      </c>
      <c r="F313" s="12" t="s">
        <v>18</v>
      </c>
      <c r="G313" s="12">
        <v>52.9</v>
      </c>
      <c r="H313" s="12">
        <v>37.93</v>
      </c>
      <c r="I313" s="12">
        <v>151.86</v>
      </c>
      <c r="J313" s="12">
        <v>151.99</v>
      </c>
      <c r="K313" s="12" t="s">
        <v>107</v>
      </c>
      <c r="L313" s="12">
        <v>52.69</v>
      </c>
      <c r="M313" s="12">
        <v>37.7</v>
      </c>
      <c r="N313" s="12">
        <v>151.02</v>
      </c>
      <c r="O313" s="12">
        <v>151.18</v>
      </c>
      <c r="P313" s="12" t="s">
        <v>32</v>
      </c>
      <c r="Q313" s="12" t="s">
        <v>20</v>
      </c>
      <c r="R313" s="6"/>
      <c r="S313" s="6"/>
      <c r="T313" s="6"/>
      <c r="U313" s="6"/>
      <c r="V313" s="6"/>
    </row>
    <row r="314">
      <c r="A314" s="15">
        <v>46272.73734033565</v>
      </c>
      <c r="B314" s="8" t="str">
        <f t="shared" si="1"/>
        <v>227454</v>
      </c>
      <c r="C314" s="22" t="s">
        <v>300</v>
      </c>
      <c r="D314" s="22" t="s">
        <v>32</v>
      </c>
      <c r="E314" s="43">
        <v>0.0508</v>
      </c>
      <c r="F314" s="12" t="s">
        <v>18</v>
      </c>
      <c r="G314" s="12">
        <v>53.12</v>
      </c>
      <c r="H314" s="12">
        <v>47.35</v>
      </c>
      <c r="I314" s="12">
        <v>162.43</v>
      </c>
      <c r="J314" s="12">
        <v>162.43</v>
      </c>
      <c r="K314" s="12" t="s">
        <v>107</v>
      </c>
      <c r="L314" s="12">
        <v>52.94</v>
      </c>
      <c r="M314" s="12">
        <v>47.15</v>
      </c>
      <c r="N314" s="12">
        <v>160.95</v>
      </c>
      <c r="O314" s="12">
        <v>160.8</v>
      </c>
      <c r="P314" s="12" t="s">
        <v>32</v>
      </c>
      <c r="Q314" s="12" t="s">
        <v>20</v>
      </c>
      <c r="R314" s="6"/>
      <c r="S314" s="6"/>
      <c r="T314" s="6"/>
      <c r="U314" s="6"/>
      <c r="V314" s="6"/>
    </row>
    <row r="315">
      <c r="A315" s="15">
        <v>46272.73854128472</v>
      </c>
      <c r="B315" s="8" t="str">
        <f t="shared" si="1"/>
        <v>245911</v>
      </c>
      <c r="C315" s="23" t="s">
        <v>301</v>
      </c>
      <c r="D315" s="23" t="s">
        <v>32</v>
      </c>
      <c r="E315" s="42">
        <v>0.0317</v>
      </c>
      <c r="F315" s="12" t="s">
        <v>18</v>
      </c>
      <c r="G315" s="12">
        <v>56.83</v>
      </c>
      <c r="H315" s="12">
        <v>43.92</v>
      </c>
      <c r="I315" s="12">
        <v>167.61</v>
      </c>
      <c r="J315" s="12">
        <v>167.59</v>
      </c>
      <c r="K315" s="12" t="s">
        <v>107</v>
      </c>
      <c r="L315" s="12">
        <v>56.62</v>
      </c>
      <c r="M315" s="12">
        <v>43.7</v>
      </c>
      <c r="N315" s="12">
        <v>166.89</v>
      </c>
      <c r="O315" s="12">
        <v>166.9</v>
      </c>
      <c r="P315" s="12" t="s">
        <v>32</v>
      </c>
      <c r="Q315" s="12" t="s">
        <v>20</v>
      </c>
      <c r="R315" s="6"/>
      <c r="S315" s="6"/>
      <c r="T315" s="6"/>
      <c r="U315" s="6"/>
      <c r="V315" s="6"/>
    </row>
    <row r="316">
      <c r="A316" s="15">
        <v>46272.73978664352</v>
      </c>
      <c r="B316" s="8" t="str">
        <f t="shared" si="1"/>
        <v>137974</v>
      </c>
      <c r="C316" s="22" t="s">
        <v>74</v>
      </c>
      <c r="D316" s="22" t="s">
        <v>32</v>
      </c>
      <c r="E316" s="43">
        <v>0.0376</v>
      </c>
      <c r="F316" s="12" t="s">
        <v>18</v>
      </c>
      <c r="G316" s="12">
        <v>53.27</v>
      </c>
      <c r="H316" s="12">
        <v>40.59</v>
      </c>
      <c r="I316" s="12">
        <v>155.4</v>
      </c>
      <c r="J316" s="12">
        <v>155.29</v>
      </c>
      <c r="K316" s="12" t="s">
        <v>107</v>
      </c>
      <c r="L316" s="12">
        <v>53.07</v>
      </c>
      <c r="M316" s="12">
        <v>40.4</v>
      </c>
      <c r="N316" s="12">
        <v>154.8</v>
      </c>
      <c r="O316" s="12">
        <v>154.7</v>
      </c>
      <c r="P316" s="12" t="s">
        <v>32</v>
      </c>
      <c r="Q316" s="12" t="s">
        <v>20</v>
      </c>
      <c r="R316" s="6"/>
      <c r="S316" s="6"/>
      <c r="T316" s="6"/>
      <c r="U316" s="6"/>
      <c r="V316" s="6"/>
    </row>
    <row r="317">
      <c r="A317" s="15">
        <v>46272.74083460648</v>
      </c>
      <c r="B317" s="8" t="str">
        <f t="shared" si="1"/>
        <v>201103</v>
      </c>
      <c r="C317" s="23" t="s">
        <v>302</v>
      </c>
      <c r="D317" s="23" t="s">
        <v>32</v>
      </c>
      <c r="E317" s="42">
        <v>0.0349</v>
      </c>
      <c r="F317" s="12" t="s">
        <v>18</v>
      </c>
      <c r="G317" s="12">
        <v>51.91</v>
      </c>
      <c r="H317" s="12">
        <v>40.23</v>
      </c>
      <c r="I317" s="12">
        <v>153.77</v>
      </c>
      <c r="J317" s="12">
        <v>154.8</v>
      </c>
      <c r="K317" s="12" t="s">
        <v>107</v>
      </c>
      <c r="L317" s="12">
        <v>51.7</v>
      </c>
      <c r="M317" s="12">
        <v>40.04</v>
      </c>
      <c r="N317" s="12">
        <v>153.03</v>
      </c>
      <c r="O317" s="12">
        <v>153.97</v>
      </c>
      <c r="P317" s="12" t="s">
        <v>32</v>
      </c>
      <c r="Q317" s="12" t="s">
        <v>20</v>
      </c>
      <c r="R317" s="6"/>
      <c r="S317" s="6"/>
      <c r="T317" s="6"/>
      <c r="U317" s="6"/>
      <c r="V317" s="6"/>
    </row>
    <row r="318">
      <c r="A318" s="8"/>
      <c r="B318" s="8" t="str">
        <f t="shared" si="1"/>
        <v>137971</v>
      </c>
      <c r="C318" s="22" t="s">
        <v>159</v>
      </c>
      <c r="D318" s="22" t="s">
        <v>32</v>
      </c>
      <c r="E318" s="43">
        <v>0.0727</v>
      </c>
      <c r="F318" s="12" t="s">
        <v>18</v>
      </c>
      <c r="G318" s="12">
        <v>52.24</v>
      </c>
      <c r="H318" s="12">
        <v>43.88</v>
      </c>
      <c r="I318" s="12">
        <v>156.99</v>
      </c>
      <c r="J318" s="12">
        <v>156.85</v>
      </c>
      <c r="K318" s="12" t="s">
        <v>107</v>
      </c>
      <c r="L318" s="12">
        <v>51.91</v>
      </c>
      <c r="M318" s="12">
        <v>43.66</v>
      </c>
      <c r="N318" s="12">
        <v>156.07</v>
      </c>
      <c r="O318" s="12">
        <v>155.95</v>
      </c>
      <c r="P318" s="12" t="s">
        <v>32</v>
      </c>
      <c r="Q318" s="12" t="s">
        <v>20</v>
      </c>
      <c r="R318" s="6"/>
      <c r="S318" s="6"/>
      <c r="T318" s="6"/>
      <c r="U318" s="6"/>
      <c r="V318" s="6"/>
    </row>
    <row r="319">
      <c r="A319" s="15">
        <v>46272.74316518518</v>
      </c>
      <c r="B319" s="8" t="str">
        <f t="shared" si="1"/>
        <v>221176</v>
      </c>
      <c r="C319" s="23" t="s">
        <v>303</v>
      </c>
      <c r="D319" s="23" t="s">
        <v>32</v>
      </c>
      <c r="E319" s="42">
        <v>0.0612</v>
      </c>
      <c r="F319" s="12" t="s">
        <v>18</v>
      </c>
      <c r="G319" s="12">
        <v>51.47</v>
      </c>
      <c r="H319" s="12">
        <v>41.06</v>
      </c>
      <c r="I319" s="12">
        <v>156.0</v>
      </c>
      <c r="J319" s="12">
        <v>156.24</v>
      </c>
      <c r="K319" s="12" t="s">
        <v>107</v>
      </c>
      <c r="L319" s="12">
        <v>51.28</v>
      </c>
      <c r="M319" s="12">
        <v>40.9</v>
      </c>
      <c r="N319" s="12">
        <v>155.26</v>
      </c>
      <c r="O319" s="12">
        <v>155.39</v>
      </c>
      <c r="P319" s="12" t="s">
        <v>32</v>
      </c>
      <c r="Q319" s="12" t="s">
        <v>20</v>
      </c>
      <c r="R319" s="6"/>
      <c r="S319" s="6"/>
      <c r="T319" s="6"/>
      <c r="U319" s="6"/>
      <c r="V319" s="6"/>
    </row>
    <row r="320">
      <c r="A320" s="15">
        <v>46272.74485671296</v>
      </c>
      <c r="B320" s="8" t="str">
        <f t="shared" si="1"/>
        <v>241079</v>
      </c>
      <c r="C320" s="22" t="s">
        <v>304</v>
      </c>
      <c r="D320" s="22" t="s">
        <v>32</v>
      </c>
      <c r="E320" s="43">
        <v>0.1379</v>
      </c>
      <c r="F320" s="12" t="s">
        <v>18</v>
      </c>
      <c r="G320" s="12">
        <v>59.97</v>
      </c>
      <c r="H320" s="12">
        <v>52.37</v>
      </c>
      <c r="I320" s="12">
        <v>183.02</v>
      </c>
      <c r="J320" s="12">
        <v>182.76</v>
      </c>
      <c r="K320" s="12" t="s">
        <v>107</v>
      </c>
      <c r="L320" s="12">
        <v>59.7</v>
      </c>
      <c r="M320" s="12">
        <v>52.06</v>
      </c>
      <c r="N320" s="12">
        <v>181.8</v>
      </c>
      <c r="O320" s="12">
        <v>181.67</v>
      </c>
      <c r="P320" s="12" t="s">
        <v>32</v>
      </c>
      <c r="Q320" s="12" t="s">
        <v>20</v>
      </c>
      <c r="R320" s="6"/>
      <c r="S320" s="6"/>
      <c r="T320" s="6"/>
      <c r="U320" s="6"/>
      <c r="V320" s="6"/>
    </row>
    <row r="321">
      <c r="A321" s="15">
        <v>46272.748884976856</v>
      </c>
      <c r="B321" s="8" t="str">
        <f t="shared" si="1"/>
        <v>242174</v>
      </c>
      <c r="C321" s="23" t="s">
        <v>305</v>
      </c>
      <c r="D321" s="23" t="s">
        <v>32</v>
      </c>
      <c r="E321" s="42">
        <v>0.1429</v>
      </c>
      <c r="F321" s="12" t="s">
        <v>18</v>
      </c>
      <c r="G321" s="12">
        <v>54.54</v>
      </c>
      <c r="H321" s="12">
        <v>41.88</v>
      </c>
      <c r="I321" s="12">
        <v>162.13</v>
      </c>
      <c r="J321" s="12">
        <v>162.23</v>
      </c>
      <c r="K321" s="12" t="s">
        <v>107</v>
      </c>
      <c r="L321" s="12">
        <v>54.29</v>
      </c>
      <c r="M321" s="12">
        <v>41.6</v>
      </c>
      <c r="N321" s="12">
        <v>160.97</v>
      </c>
      <c r="O321" s="12">
        <v>160.65</v>
      </c>
      <c r="P321" s="12" t="s">
        <v>32</v>
      </c>
      <c r="Q321" s="12" t="s">
        <v>20</v>
      </c>
      <c r="R321" s="6"/>
      <c r="S321" s="6"/>
      <c r="T321" s="6"/>
      <c r="U321" s="6"/>
      <c r="V321" s="6"/>
    </row>
    <row r="322">
      <c r="A322" s="15">
        <v>46272.86749296296</v>
      </c>
      <c r="B322" s="8" t="str">
        <f t="shared" si="1"/>
        <v>239026</v>
      </c>
      <c r="C322" s="22" t="s">
        <v>306</v>
      </c>
      <c r="D322" s="22" t="s">
        <v>307</v>
      </c>
      <c r="E322" s="43">
        <v>0.0341</v>
      </c>
      <c r="F322" s="12" t="s">
        <v>18</v>
      </c>
      <c r="G322" s="12">
        <v>52.72</v>
      </c>
      <c r="H322" s="12">
        <v>36.68</v>
      </c>
      <c r="I322" s="12">
        <v>151.27</v>
      </c>
      <c r="J322" s="12">
        <v>151.7</v>
      </c>
      <c r="K322" s="12" t="s">
        <v>107</v>
      </c>
      <c r="L322" s="12">
        <v>52.51</v>
      </c>
      <c r="M322" s="12">
        <v>36.49</v>
      </c>
      <c r="N322" s="12">
        <v>150.38</v>
      </c>
      <c r="O322" s="12">
        <v>150.71</v>
      </c>
      <c r="P322" s="12" t="s">
        <v>307</v>
      </c>
      <c r="Q322" s="12" t="s">
        <v>20</v>
      </c>
      <c r="R322" s="6"/>
      <c r="S322" s="6"/>
      <c r="T322" s="6"/>
      <c r="U322" s="6"/>
      <c r="V322" s="6"/>
    </row>
    <row r="323">
      <c r="A323" s="15">
        <v>46272.87558018518</v>
      </c>
      <c r="B323" s="8" t="str">
        <f t="shared" si="1"/>
        <v>216622</v>
      </c>
      <c r="C323" s="23" t="s">
        <v>308</v>
      </c>
      <c r="D323" s="23" t="s">
        <v>307</v>
      </c>
      <c r="E323" s="42">
        <v>0.0612</v>
      </c>
      <c r="F323" s="12" t="s">
        <v>18</v>
      </c>
      <c r="G323" s="12">
        <v>52.7</v>
      </c>
      <c r="H323" s="12">
        <v>41.94</v>
      </c>
      <c r="I323" s="12">
        <v>157.63</v>
      </c>
      <c r="J323" s="12">
        <v>157.79</v>
      </c>
      <c r="K323" s="12" t="s">
        <v>107</v>
      </c>
      <c r="L323" s="12">
        <v>52.49</v>
      </c>
      <c r="M323" s="12">
        <v>41.7</v>
      </c>
      <c r="N323" s="12">
        <v>156.68</v>
      </c>
      <c r="O323" s="12">
        <v>157.0</v>
      </c>
      <c r="P323" s="12" t="s">
        <v>307</v>
      </c>
      <c r="Q323" s="12" t="s">
        <v>20</v>
      </c>
      <c r="R323" s="6"/>
      <c r="S323" s="6"/>
      <c r="T323" s="6"/>
      <c r="U323" s="6"/>
      <c r="V323" s="6"/>
    </row>
    <row r="324">
      <c r="A324" s="15">
        <v>46272.878299097225</v>
      </c>
      <c r="B324" s="8" t="str">
        <f t="shared" si="1"/>
        <v>241119</v>
      </c>
      <c r="C324" s="22" t="s">
        <v>309</v>
      </c>
      <c r="D324" s="22" t="s">
        <v>307</v>
      </c>
      <c r="E324" s="43">
        <v>0.0526</v>
      </c>
      <c r="F324" s="12" t="s">
        <v>18</v>
      </c>
      <c r="G324" s="12">
        <v>55.6</v>
      </c>
      <c r="H324" s="12">
        <v>38.87</v>
      </c>
      <c r="I324" s="12">
        <v>163.32</v>
      </c>
      <c r="J324" s="12">
        <v>164.29</v>
      </c>
      <c r="K324" s="12" t="s">
        <v>107</v>
      </c>
      <c r="L324" s="12">
        <v>55.39</v>
      </c>
      <c r="M324" s="12">
        <v>38.66</v>
      </c>
      <c r="N324" s="12">
        <v>161.61</v>
      </c>
      <c r="O324" s="12">
        <v>162.59</v>
      </c>
      <c r="P324" s="12" t="s">
        <v>307</v>
      </c>
      <c r="Q324" s="12" t="s">
        <v>20</v>
      </c>
      <c r="R324" s="6"/>
      <c r="S324" s="6"/>
      <c r="T324" s="6"/>
      <c r="U324" s="6"/>
      <c r="V324" s="6"/>
    </row>
    <row r="325">
      <c r="A325" s="15">
        <v>46272.88140707176</v>
      </c>
      <c r="B325" s="8" t="str">
        <f t="shared" si="1"/>
        <v>237328</v>
      </c>
      <c r="C325" s="23" t="s">
        <v>310</v>
      </c>
      <c r="D325" s="23" t="s">
        <v>307</v>
      </c>
      <c r="E325" s="42">
        <v>0.0385</v>
      </c>
      <c r="F325" s="12" t="s">
        <v>18</v>
      </c>
      <c r="G325" s="12">
        <v>53.19</v>
      </c>
      <c r="H325" s="12">
        <v>33.31</v>
      </c>
      <c r="I325" s="12">
        <v>146.73</v>
      </c>
      <c r="J325" s="12">
        <v>146.9</v>
      </c>
      <c r="K325" s="12" t="s">
        <v>107</v>
      </c>
      <c r="L325" s="12">
        <v>53.05</v>
      </c>
      <c r="M325" s="12">
        <v>33.11</v>
      </c>
      <c r="N325" s="12">
        <v>146.04</v>
      </c>
      <c r="O325" s="12">
        <v>146.14</v>
      </c>
      <c r="P325" s="12" t="s">
        <v>307</v>
      </c>
      <c r="Q325" s="12" t="s">
        <v>20</v>
      </c>
      <c r="R325" s="6"/>
      <c r="S325" s="6"/>
      <c r="T325" s="6"/>
      <c r="U325" s="6"/>
      <c r="V325" s="6"/>
    </row>
    <row r="326">
      <c r="A326" s="15">
        <v>46272.88989947917</v>
      </c>
      <c r="B326" s="8" t="str">
        <f t="shared" si="1"/>
        <v>246240</v>
      </c>
      <c r="C326" s="22" t="s">
        <v>311</v>
      </c>
      <c r="D326" s="22" t="s">
        <v>124</v>
      </c>
      <c r="E326" s="43">
        <v>0.2143</v>
      </c>
      <c r="F326" s="12" t="s">
        <v>18</v>
      </c>
      <c r="G326" s="12">
        <v>55.99</v>
      </c>
      <c r="H326" s="12">
        <v>32.46</v>
      </c>
      <c r="I326" s="12">
        <v>153.55</v>
      </c>
      <c r="J326" s="12">
        <v>153.85</v>
      </c>
      <c r="K326" s="12" t="s">
        <v>107</v>
      </c>
      <c r="L326" s="12">
        <v>55.7</v>
      </c>
      <c r="M326" s="12">
        <v>32.2</v>
      </c>
      <c r="N326" s="12">
        <v>152.53</v>
      </c>
      <c r="O326" s="12">
        <v>152.44</v>
      </c>
      <c r="P326" s="12" t="s">
        <v>124</v>
      </c>
      <c r="Q326" s="12" t="s">
        <v>20</v>
      </c>
      <c r="R326" s="6"/>
      <c r="S326" s="6"/>
      <c r="T326" s="6"/>
      <c r="U326" s="6"/>
      <c r="V326" s="6"/>
    </row>
    <row r="327">
      <c r="A327" s="15">
        <v>46272.89107142361</v>
      </c>
      <c r="B327" s="8" t="str">
        <f t="shared" si="1"/>
        <v>241100</v>
      </c>
      <c r="C327" s="23" t="s">
        <v>312</v>
      </c>
      <c r="D327" s="23" t="s">
        <v>124</v>
      </c>
      <c r="E327" s="42">
        <v>0.0682</v>
      </c>
      <c r="F327" s="12" t="s">
        <v>18</v>
      </c>
      <c r="G327" s="12">
        <v>53.95</v>
      </c>
      <c r="H327" s="12">
        <v>42.15</v>
      </c>
      <c r="I327" s="12">
        <v>160.01</v>
      </c>
      <c r="J327" s="12">
        <v>160.65</v>
      </c>
      <c r="K327" s="12" t="s">
        <v>107</v>
      </c>
      <c r="L327" s="12">
        <v>53.76</v>
      </c>
      <c r="M327" s="12">
        <v>41.89</v>
      </c>
      <c r="N327" s="12">
        <v>159.17</v>
      </c>
      <c r="O327" s="12">
        <v>159.67</v>
      </c>
      <c r="P327" s="12" t="s">
        <v>124</v>
      </c>
      <c r="Q327" s="12" t="s">
        <v>20</v>
      </c>
      <c r="R327" s="6"/>
      <c r="S327" s="6"/>
      <c r="T327" s="6"/>
      <c r="U327" s="6"/>
      <c r="V327" s="6"/>
    </row>
    <row r="328">
      <c r="A328" s="15">
        <v>46272.898339224535</v>
      </c>
      <c r="B328" s="8" t="str">
        <f t="shared" si="1"/>
        <v>239026</v>
      </c>
      <c r="C328" s="22" t="s">
        <v>313</v>
      </c>
      <c r="D328" s="22" t="s">
        <v>124</v>
      </c>
      <c r="E328" s="43">
        <v>0.0282</v>
      </c>
      <c r="F328" s="12" t="s">
        <v>18</v>
      </c>
      <c r="G328" s="12">
        <v>52.89</v>
      </c>
      <c r="H328" s="12">
        <v>36.58</v>
      </c>
      <c r="I328" s="12">
        <v>151.31</v>
      </c>
      <c r="J328" s="12">
        <v>151.67</v>
      </c>
      <c r="K328" s="12" t="s">
        <v>107</v>
      </c>
      <c r="L328" s="12">
        <v>52.85</v>
      </c>
      <c r="M328" s="12">
        <v>36.48</v>
      </c>
      <c r="N328" s="12">
        <v>150.87</v>
      </c>
      <c r="O328" s="12">
        <v>150.08</v>
      </c>
      <c r="P328" s="12" t="s">
        <v>124</v>
      </c>
      <c r="Q328" s="12" t="s">
        <v>20</v>
      </c>
      <c r="R328" s="6"/>
      <c r="S328" s="6"/>
      <c r="T328" s="6"/>
      <c r="U328" s="6"/>
      <c r="V328" s="6"/>
    </row>
    <row r="329">
      <c r="A329" s="15">
        <v>46272.899437939814</v>
      </c>
      <c r="B329" s="8" t="str">
        <f t="shared" si="1"/>
        <v>242911</v>
      </c>
      <c r="C329" s="23" t="s">
        <v>123</v>
      </c>
      <c r="D329" s="23" t="s">
        <v>124</v>
      </c>
      <c r="E329" s="42">
        <v>0.0263</v>
      </c>
      <c r="F329" s="12" t="s">
        <v>18</v>
      </c>
      <c r="G329" s="12">
        <v>58.12</v>
      </c>
      <c r="H329" s="12">
        <v>47.12</v>
      </c>
      <c r="I329" s="12">
        <v>173.7</v>
      </c>
      <c r="J329" s="12">
        <v>173.89</v>
      </c>
      <c r="K329" s="12" t="s">
        <v>107</v>
      </c>
      <c r="L329" s="12">
        <v>58.04</v>
      </c>
      <c r="M329" s="12">
        <v>46.95</v>
      </c>
      <c r="N329" s="12">
        <v>173.31</v>
      </c>
      <c r="O329" s="12">
        <v>173.38</v>
      </c>
      <c r="P329" s="12" t="s">
        <v>124</v>
      </c>
      <c r="Q329" s="12" t="s">
        <v>20</v>
      </c>
      <c r="R329" s="6"/>
      <c r="S329" s="6"/>
      <c r="T329" s="6"/>
      <c r="U329" s="6"/>
      <c r="V329" s="6"/>
    </row>
    <row r="330">
      <c r="A330" s="15">
        <v>46272.90068976852</v>
      </c>
      <c r="B330" s="8" t="str">
        <f t="shared" si="1"/>
        <v>221176</v>
      </c>
      <c r="C330" s="22" t="s">
        <v>314</v>
      </c>
      <c r="D330" s="22" t="s">
        <v>124</v>
      </c>
      <c r="E330" s="43">
        <v>0.0336</v>
      </c>
      <c r="F330" s="12" t="s">
        <v>18</v>
      </c>
      <c r="G330" s="12">
        <v>51.65</v>
      </c>
      <c r="H330" s="12">
        <v>41.1</v>
      </c>
      <c r="I330" s="12">
        <v>156.06</v>
      </c>
      <c r="J330" s="12">
        <v>156.24</v>
      </c>
      <c r="K330" s="12" t="s">
        <v>107</v>
      </c>
      <c r="L330" s="12">
        <v>51.49</v>
      </c>
      <c r="M330" s="12">
        <v>40.9</v>
      </c>
      <c r="N330" s="12">
        <v>155.41</v>
      </c>
      <c r="O330" s="12">
        <v>155.77</v>
      </c>
      <c r="P330" s="12" t="s">
        <v>124</v>
      </c>
      <c r="Q330" s="12" t="s">
        <v>20</v>
      </c>
      <c r="R330" s="6"/>
      <c r="S330" s="6"/>
      <c r="T330" s="6"/>
      <c r="U330" s="6"/>
      <c r="V330" s="6"/>
    </row>
    <row r="331">
      <c r="A331" s="8"/>
      <c r="B331" s="8" t="str">
        <f t="shared" si="1"/>
        <v>239999</v>
      </c>
      <c r="C331" s="23" t="s">
        <v>315</v>
      </c>
      <c r="D331" s="23" t="s">
        <v>35</v>
      </c>
      <c r="E331" s="42">
        <v>0.2273</v>
      </c>
      <c r="F331" s="12" t="s">
        <v>35</v>
      </c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12" t="s">
        <v>20</v>
      </c>
      <c r="R331" s="6"/>
      <c r="S331" s="6"/>
      <c r="T331" s="6"/>
      <c r="U331" s="6"/>
      <c r="V331" s="6"/>
    </row>
    <row r="332">
      <c r="A332" s="15">
        <v>46272.902776435185</v>
      </c>
      <c r="B332" s="8" t="str">
        <f t="shared" si="1"/>
        <v>220238</v>
      </c>
      <c r="C332" s="22" t="s">
        <v>316</v>
      </c>
      <c r="D332" s="22" t="s">
        <v>124</v>
      </c>
      <c r="E332" s="43">
        <v>0.0652</v>
      </c>
      <c r="F332" s="12" t="s">
        <v>18</v>
      </c>
      <c r="G332" s="12">
        <v>49.99</v>
      </c>
      <c r="H332" s="12">
        <v>46.53</v>
      </c>
      <c r="I332" s="12">
        <v>154.44</v>
      </c>
      <c r="J332" s="12">
        <v>153.99</v>
      </c>
      <c r="K332" s="12" t="s">
        <v>107</v>
      </c>
      <c r="L332" s="12">
        <v>49.7</v>
      </c>
      <c r="M332" s="12">
        <v>46.33</v>
      </c>
      <c r="N332" s="12">
        <v>153.69</v>
      </c>
      <c r="O332" s="12">
        <v>153.36</v>
      </c>
      <c r="P332" s="12" t="s">
        <v>124</v>
      </c>
      <c r="Q332" s="12" t="s">
        <v>20</v>
      </c>
      <c r="R332" s="6"/>
      <c r="S332" s="6"/>
      <c r="T332" s="6"/>
      <c r="U332" s="6"/>
      <c r="V332" s="6"/>
    </row>
    <row r="333">
      <c r="A333" s="15">
        <v>46272.90391908565</v>
      </c>
      <c r="B333" s="8" t="str">
        <f t="shared" si="1"/>
        <v>238757</v>
      </c>
      <c r="C333" s="23" t="s">
        <v>317</v>
      </c>
      <c r="D333" s="23" t="s">
        <v>17</v>
      </c>
      <c r="E333" s="42">
        <v>0.1625</v>
      </c>
      <c r="F333" s="12" t="s">
        <v>18</v>
      </c>
      <c r="G333" s="12">
        <v>54.11</v>
      </c>
      <c r="H333" s="12">
        <v>38.98</v>
      </c>
      <c r="I333" s="12">
        <v>155.54</v>
      </c>
      <c r="J333" s="12">
        <v>155.6</v>
      </c>
      <c r="K333" s="12" t="s">
        <v>107</v>
      </c>
      <c r="L333" s="12">
        <v>54.4</v>
      </c>
      <c r="M333" s="12">
        <v>39.2</v>
      </c>
      <c r="N333" s="12">
        <v>156.31</v>
      </c>
      <c r="O333" s="12">
        <v>156.52</v>
      </c>
      <c r="P333" s="12" t="s">
        <v>17</v>
      </c>
      <c r="Q333" s="12" t="s">
        <v>20</v>
      </c>
      <c r="R333" s="6"/>
      <c r="S333" s="6"/>
      <c r="T333" s="6"/>
      <c r="U333" s="6"/>
      <c r="V333" s="6"/>
    </row>
    <row r="334">
      <c r="A334" s="15">
        <v>46272.905488159726</v>
      </c>
      <c r="B334" s="8" t="str">
        <f t="shared" si="1"/>
        <v>241112</v>
      </c>
      <c r="C334" s="22" t="s">
        <v>318</v>
      </c>
      <c r="D334" s="22" t="s">
        <v>17</v>
      </c>
      <c r="E334" s="43">
        <v>0.4167</v>
      </c>
      <c r="F334" s="12" t="s">
        <v>18</v>
      </c>
      <c r="G334" s="12">
        <v>45.96</v>
      </c>
      <c r="H334" s="12">
        <v>29.38</v>
      </c>
      <c r="I334" s="12">
        <v>125.86</v>
      </c>
      <c r="J334" s="12">
        <v>125.66</v>
      </c>
      <c r="K334" s="12" t="s">
        <v>107</v>
      </c>
      <c r="L334" s="12">
        <v>46.2</v>
      </c>
      <c r="M334" s="12">
        <v>29.7</v>
      </c>
      <c r="N334" s="12">
        <v>126.6</v>
      </c>
      <c r="O334" s="12">
        <v>126.6</v>
      </c>
      <c r="P334" s="12" t="s">
        <v>17</v>
      </c>
      <c r="Q334" s="12" t="s">
        <v>20</v>
      </c>
      <c r="R334" s="6"/>
      <c r="S334" s="6"/>
      <c r="T334" s="6"/>
      <c r="U334" s="6"/>
      <c r="V334" s="6"/>
    </row>
    <row r="335">
      <c r="A335" s="8"/>
      <c r="B335" s="8" t="str">
        <f t="shared" si="1"/>
        <v>218966</v>
      </c>
      <c r="C335" s="23" t="s">
        <v>319</v>
      </c>
      <c r="D335" s="23" t="s">
        <v>17</v>
      </c>
      <c r="E335" s="42">
        <v>0.5455</v>
      </c>
      <c r="F335" s="12" t="s">
        <v>18</v>
      </c>
      <c r="G335" s="44" t="s">
        <v>320</v>
      </c>
      <c r="H335" s="45"/>
      <c r="I335" s="45"/>
      <c r="J335" s="45"/>
      <c r="K335" s="45"/>
      <c r="L335" s="45"/>
      <c r="M335" s="45"/>
      <c r="N335" s="45"/>
      <c r="O335" s="45"/>
      <c r="P335" s="46"/>
      <c r="Q335" s="12" t="s">
        <v>20</v>
      </c>
      <c r="R335" s="6"/>
      <c r="S335" s="6"/>
      <c r="T335" s="6"/>
      <c r="U335" s="6"/>
      <c r="V335" s="6"/>
    </row>
    <row r="336">
      <c r="A336" s="15">
        <v>46272.91089564815</v>
      </c>
      <c r="B336" s="8" t="str">
        <f t="shared" si="1"/>
        <v>237932</v>
      </c>
      <c r="C336" s="22" t="s">
        <v>321</v>
      </c>
      <c r="D336" s="22" t="s">
        <v>17</v>
      </c>
      <c r="E336" s="43">
        <v>0.6667</v>
      </c>
      <c r="F336" s="12" t="s">
        <v>18</v>
      </c>
      <c r="G336" s="12">
        <v>47.17</v>
      </c>
      <c r="H336" s="12">
        <v>47.17</v>
      </c>
      <c r="I336" s="12">
        <v>146.39</v>
      </c>
      <c r="J336" s="12">
        <v>145.55</v>
      </c>
      <c r="K336" s="12" t="s">
        <v>107</v>
      </c>
      <c r="L336" s="12">
        <v>47.4</v>
      </c>
      <c r="M336" s="12">
        <v>43.81</v>
      </c>
      <c r="N336" s="12">
        <v>43.81</v>
      </c>
      <c r="O336" s="12">
        <v>146.95</v>
      </c>
      <c r="P336" s="12" t="s">
        <v>17</v>
      </c>
      <c r="Q336" s="12" t="s">
        <v>20</v>
      </c>
      <c r="R336" s="6"/>
      <c r="S336" s="6"/>
      <c r="T336" s="6"/>
      <c r="U336" s="6"/>
      <c r="V336" s="6"/>
    </row>
    <row r="337">
      <c r="A337" s="8"/>
      <c r="B337" s="8" t="str">
        <f t="shared" si="1"/>
        <v>204348</v>
      </c>
      <c r="C337" s="23" t="s">
        <v>322</v>
      </c>
      <c r="D337" s="23" t="s">
        <v>323</v>
      </c>
      <c r="E337" s="42">
        <v>0.0313</v>
      </c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6"/>
      <c r="S337" s="6"/>
      <c r="T337" s="6"/>
      <c r="U337" s="6"/>
      <c r="V337" s="6"/>
    </row>
    <row r="338">
      <c r="A338" s="8"/>
      <c r="B338" s="8" t="str">
        <f t="shared" si="1"/>
        <v>222272</v>
      </c>
      <c r="C338" s="22" t="s">
        <v>324</v>
      </c>
      <c r="D338" s="22" t="s">
        <v>323</v>
      </c>
      <c r="E338" s="43">
        <v>0.0182</v>
      </c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6"/>
      <c r="S338" s="6"/>
      <c r="T338" s="6"/>
      <c r="U338" s="6"/>
      <c r="V338" s="6"/>
    </row>
    <row r="339">
      <c r="A339" s="8"/>
      <c r="B339" s="8" t="str">
        <f t="shared" si="1"/>
        <v>236141</v>
      </c>
      <c r="C339" s="23" t="s">
        <v>325</v>
      </c>
      <c r="D339" s="23" t="s">
        <v>323</v>
      </c>
      <c r="E339" s="42">
        <v>0.0159</v>
      </c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6"/>
      <c r="S339" s="6"/>
      <c r="T339" s="6"/>
      <c r="U339" s="6"/>
      <c r="V339" s="6"/>
    </row>
    <row r="340">
      <c r="A340" s="8"/>
      <c r="B340" s="8" t="str">
        <f t="shared" si="1"/>
        <v>137971</v>
      </c>
      <c r="C340" s="22" t="s">
        <v>326</v>
      </c>
      <c r="D340" s="22" t="s">
        <v>323</v>
      </c>
      <c r="E340" s="43">
        <v>0.0395</v>
      </c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6"/>
      <c r="S340" s="6"/>
      <c r="T340" s="6"/>
      <c r="U340" s="6"/>
      <c r="V340" s="6"/>
    </row>
    <row r="341">
      <c r="A341" s="15">
        <v>46270.32726835649</v>
      </c>
      <c r="B341" s="8" t="str">
        <f t="shared" si="1"/>
        <v>146619</v>
      </c>
      <c r="C341" s="10" t="s">
        <v>261</v>
      </c>
      <c r="D341" s="10" t="s">
        <v>120</v>
      </c>
      <c r="E341" s="9"/>
      <c r="F341" s="12" t="s">
        <v>18</v>
      </c>
      <c r="G341" s="12">
        <v>49.25</v>
      </c>
      <c r="H341" s="12">
        <v>44.44</v>
      </c>
      <c r="I341" s="12">
        <v>152.3</v>
      </c>
      <c r="J341" s="12">
        <v>152.03</v>
      </c>
      <c r="K341" s="12" t="s">
        <v>19</v>
      </c>
      <c r="L341" s="12">
        <v>49.64</v>
      </c>
      <c r="M341" s="12">
        <v>44.03</v>
      </c>
      <c r="N341" s="12">
        <v>152.5</v>
      </c>
      <c r="O341" s="12">
        <v>152.08</v>
      </c>
      <c r="P341" s="12" t="s">
        <v>120</v>
      </c>
      <c r="Q341" s="12" t="s">
        <v>20</v>
      </c>
      <c r="R341" s="6"/>
      <c r="S341" s="6"/>
      <c r="T341" s="6"/>
      <c r="U341" s="6"/>
      <c r="V341" s="6"/>
    </row>
    <row r="342">
      <c r="A342" s="8"/>
      <c r="B342" s="8" t="str">
        <f t="shared" si="1"/>
        <v>242597</v>
      </c>
      <c r="C342" s="10" t="s">
        <v>256</v>
      </c>
      <c r="D342" s="10" t="s">
        <v>17</v>
      </c>
      <c r="E342" s="9"/>
      <c r="F342" s="12" t="s">
        <v>18</v>
      </c>
      <c r="G342" s="12">
        <v>49.01</v>
      </c>
      <c r="H342" s="12">
        <v>41.65</v>
      </c>
      <c r="I342" s="12">
        <v>148.44</v>
      </c>
      <c r="J342" s="12">
        <v>148.44</v>
      </c>
      <c r="K342" s="12" t="s">
        <v>19</v>
      </c>
      <c r="L342" s="12">
        <v>49.59</v>
      </c>
      <c r="M342" s="12">
        <v>41.89</v>
      </c>
      <c r="N342" s="12">
        <v>149.44</v>
      </c>
      <c r="O342" s="12">
        <v>149.44</v>
      </c>
      <c r="P342" s="12" t="s">
        <v>17</v>
      </c>
      <c r="Q342" s="12" t="s">
        <v>20</v>
      </c>
      <c r="R342" s="6"/>
      <c r="S342" s="6"/>
      <c r="T342" s="6"/>
      <c r="U342" s="6"/>
      <c r="V342" s="6"/>
    </row>
    <row r="343">
      <c r="A343" s="15">
        <v>46272.699105277774</v>
      </c>
      <c r="B343" s="8" t="str">
        <f t="shared" si="1"/>
        <v>237153</v>
      </c>
      <c r="C343" s="10" t="s">
        <v>153</v>
      </c>
      <c r="D343" s="10" t="s">
        <v>17</v>
      </c>
      <c r="E343" s="9"/>
      <c r="F343" s="12" t="s">
        <v>18</v>
      </c>
      <c r="G343" s="12">
        <v>52.02</v>
      </c>
      <c r="H343" s="12">
        <v>39.01</v>
      </c>
      <c r="I343" s="12">
        <v>153.53</v>
      </c>
      <c r="J343" s="12">
        <v>153.26</v>
      </c>
      <c r="K343" s="12" t="s">
        <v>19</v>
      </c>
      <c r="L343" s="12">
        <v>53.37</v>
      </c>
      <c r="M343" s="12">
        <v>39.77</v>
      </c>
      <c r="N343" s="12">
        <v>157.39</v>
      </c>
      <c r="O343" s="12">
        <v>157.34</v>
      </c>
      <c r="P343" s="12" t="s">
        <v>17</v>
      </c>
      <c r="Q343" s="12" t="s">
        <v>20</v>
      </c>
      <c r="R343" s="6"/>
      <c r="S343" s="6"/>
      <c r="T343" s="6"/>
      <c r="U343" s="6"/>
      <c r="V343" s="6"/>
    </row>
    <row r="344">
      <c r="A344" s="15">
        <v>46272.699105277774</v>
      </c>
      <c r="B344" s="8" t="str">
        <f t="shared" si="1"/>
        <v>246234</v>
      </c>
      <c r="C344" s="10" t="s">
        <v>267</v>
      </c>
      <c r="D344" s="10" t="s">
        <v>22</v>
      </c>
      <c r="E344" s="9"/>
      <c r="F344" s="12" t="s">
        <v>18</v>
      </c>
      <c r="G344" s="12">
        <v>49.61</v>
      </c>
      <c r="H344" s="12">
        <v>45.34</v>
      </c>
      <c r="I344" s="12">
        <v>153.83</v>
      </c>
      <c r="J344" s="12">
        <v>153.31</v>
      </c>
      <c r="K344" s="12" t="s">
        <v>19</v>
      </c>
      <c r="L344" s="12">
        <v>49.89</v>
      </c>
      <c r="M344" s="12">
        <v>44.9</v>
      </c>
      <c r="N344" s="12">
        <v>153.92</v>
      </c>
      <c r="O344" s="12">
        <v>154.18</v>
      </c>
      <c r="P344" s="12" t="s">
        <v>22</v>
      </c>
      <c r="Q344" s="12" t="s">
        <v>20</v>
      </c>
      <c r="R344" s="6"/>
      <c r="S344" s="6"/>
      <c r="T344" s="6"/>
      <c r="U344" s="6"/>
      <c r="V344" s="6"/>
    </row>
    <row r="345">
      <c r="A345" s="15">
        <v>46272.90917684028</v>
      </c>
      <c r="B345" s="8" t="str">
        <f t="shared" si="1"/>
        <v>244802</v>
      </c>
      <c r="C345" s="10" t="s">
        <v>327</v>
      </c>
      <c r="D345" s="10" t="s">
        <v>22</v>
      </c>
      <c r="E345" s="9"/>
      <c r="F345" s="12" t="s">
        <v>18</v>
      </c>
      <c r="G345" s="12">
        <v>54.8</v>
      </c>
      <c r="H345" s="12">
        <v>43.34</v>
      </c>
      <c r="I345" s="12">
        <v>160.35</v>
      </c>
      <c r="J345" s="12">
        <v>162.09</v>
      </c>
      <c r="K345" s="12" t="s">
        <v>19</v>
      </c>
      <c r="L345" s="12">
        <v>54.18</v>
      </c>
      <c r="M345" s="12">
        <v>43.43</v>
      </c>
      <c r="N345" s="12">
        <v>159.52</v>
      </c>
      <c r="O345" s="12">
        <v>159.35</v>
      </c>
      <c r="P345" s="12" t="s">
        <v>22</v>
      </c>
      <c r="Q345" s="12" t="s">
        <v>20</v>
      </c>
      <c r="R345" s="6"/>
      <c r="S345" s="6"/>
      <c r="T345" s="6"/>
      <c r="U345" s="6"/>
      <c r="V345" s="6"/>
    </row>
    <row r="346">
      <c r="A346" s="15">
        <v>46273.594662986114</v>
      </c>
      <c r="B346" s="8" t="str">
        <f t="shared" si="1"/>
        <v>244411</v>
      </c>
      <c r="C346" s="22" t="s">
        <v>328</v>
      </c>
      <c r="D346" s="22" t="s">
        <v>32</v>
      </c>
      <c r="E346" s="43">
        <v>0.2778</v>
      </c>
      <c r="F346" s="12" t="s">
        <v>18</v>
      </c>
      <c r="G346" s="12">
        <v>48.68</v>
      </c>
      <c r="H346" s="12">
        <v>42.38</v>
      </c>
      <c r="I346" s="12">
        <v>148.27</v>
      </c>
      <c r="J346" s="12">
        <v>148.66</v>
      </c>
      <c r="K346" s="12" t="s">
        <v>107</v>
      </c>
      <c r="L346" s="12">
        <v>48.48</v>
      </c>
      <c r="M346" s="12">
        <v>42.2</v>
      </c>
      <c r="N346" s="12">
        <v>147.45</v>
      </c>
      <c r="O346" s="12">
        <v>147.45</v>
      </c>
      <c r="P346" s="12" t="s">
        <v>32</v>
      </c>
      <c r="Q346" s="12" t="s">
        <v>20</v>
      </c>
      <c r="R346" s="6"/>
      <c r="S346" s="6"/>
      <c r="T346" s="6"/>
      <c r="U346" s="6"/>
      <c r="V346" s="6"/>
    </row>
    <row r="347">
      <c r="A347" s="15">
        <v>46273.59575450231</v>
      </c>
      <c r="B347" s="8" t="str">
        <f t="shared" si="1"/>
        <v>245914</v>
      </c>
      <c r="C347" s="23" t="s">
        <v>329</v>
      </c>
      <c r="D347" s="23" t="s">
        <v>32</v>
      </c>
      <c r="E347" s="42">
        <v>0.1143</v>
      </c>
      <c r="F347" s="12" t="s">
        <v>18</v>
      </c>
      <c r="G347" s="12">
        <v>51.64</v>
      </c>
      <c r="H347" s="12">
        <v>37.45</v>
      </c>
      <c r="I347" s="12">
        <v>150.89</v>
      </c>
      <c r="J347" s="12">
        <v>150.94</v>
      </c>
      <c r="K347" s="12" t="s">
        <v>107</v>
      </c>
      <c r="L347" s="12">
        <v>51.43</v>
      </c>
      <c r="M347" s="12">
        <v>51.43</v>
      </c>
      <c r="N347" s="12">
        <v>150.14</v>
      </c>
      <c r="O347" s="12">
        <v>150.14</v>
      </c>
      <c r="P347" s="12" t="s">
        <v>32</v>
      </c>
      <c r="Q347" s="12" t="s">
        <v>20</v>
      </c>
      <c r="R347" s="6"/>
      <c r="S347" s="6"/>
      <c r="T347" s="6"/>
      <c r="U347" s="6"/>
      <c r="V347" s="6"/>
    </row>
    <row r="348">
      <c r="A348" s="15">
        <v>46273.59662679398</v>
      </c>
      <c r="B348" s="8" t="str">
        <f t="shared" si="1"/>
        <v>241114</v>
      </c>
      <c r="C348" s="22" t="s">
        <v>330</v>
      </c>
      <c r="D348" s="22" t="s">
        <v>32</v>
      </c>
      <c r="E348" s="43">
        <v>0.1587</v>
      </c>
      <c r="F348" s="12" t="s">
        <v>18</v>
      </c>
      <c r="G348" s="12">
        <v>55.45</v>
      </c>
      <c r="H348" s="12">
        <v>34.84</v>
      </c>
      <c r="I348" s="12">
        <v>150.05</v>
      </c>
      <c r="J348" s="12">
        <v>150.57</v>
      </c>
      <c r="K348" s="12" t="s">
        <v>107</v>
      </c>
      <c r="L348" s="12">
        <v>55.2</v>
      </c>
      <c r="M348" s="12">
        <v>34.65</v>
      </c>
      <c r="N348" s="12">
        <v>149.33</v>
      </c>
      <c r="O348" s="12">
        <v>149.87</v>
      </c>
      <c r="P348" s="12" t="s">
        <v>32</v>
      </c>
      <c r="Q348" s="12" t="s">
        <v>20</v>
      </c>
      <c r="R348" s="6"/>
      <c r="S348" s="6"/>
      <c r="T348" s="6"/>
      <c r="U348" s="6"/>
      <c r="V348" s="6"/>
    </row>
    <row r="349">
      <c r="A349" s="15">
        <v>46273.597636273145</v>
      </c>
      <c r="B349" s="8" t="str">
        <f t="shared" si="1"/>
        <v>227450</v>
      </c>
      <c r="C349" s="23" t="s">
        <v>331</v>
      </c>
      <c r="D349" s="23" t="s">
        <v>32</v>
      </c>
      <c r="E349" s="42">
        <v>0.0857</v>
      </c>
      <c r="F349" s="12" t="s">
        <v>18</v>
      </c>
      <c r="G349" s="12">
        <v>54.3</v>
      </c>
      <c r="H349" s="12">
        <v>42.18</v>
      </c>
      <c r="I349" s="12">
        <v>162.58</v>
      </c>
      <c r="J349" s="12">
        <v>162.49</v>
      </c>
      <c r="K349" s="12" t="s">
        <v>107</v>
      </c>
      <c r="L349" s="12">
        <v>54.1</v>
      </c>
      <c r="M349" s="12">
        <v>42.06</v>
      </c>
      <c r="N349" s="12">
        <v>161.67</v>
      </c>
      <c r="O349" s="12">
        <v>161.58</v>
      </c>
      <c r="P349" s="12" t="s">
        <v>32</v>
      </c>
      <c r="Q349" s="12" t="s">
        <v>20</v>
      </c>
      <c r="R349" s="6"/>
      <c r="S349" s="6"/>
      <c r="T349" s="6"/>
      <c r="U349" s="6"/>
      <c r="V349" s="6"/>
    </row>
    <row r="350">
      <c r="A350" s="15">
        <v>46273.59892211806</v>
      </c>
      <c r="B350" s="8" t="str">
        <f t="shared" si="1"/>
        <v>220721</v>
      </c>
      <c r="C350" s="22" t="s">
        <v>332</v>
      </c>
      <c r="D350" s="22" t="s">
        <v>32</v>
      </c>
      <c r="E350" s="43">
        <v>0.0732</v>
      </c>
      <c r="F350" s="12" t="s">
        <v>18</v>
      </c>
      <c r="G350" s="12">
        <v>54.88</v>
      </c>
      <c r="H350" s="12">
        <v>44.72</v>
      </c>
      <c r="I350" s="12">
        <v>165.0</v>
      </c>
      <c r="J350" s="12">
        <v>165.21</v>
      </c>
      <c r="K350" s="12" t="s">
        <v>107</v>
      </c>
      <c r="L350" s="12">
        <v>54.66</v>
      </c>
      <c r="M350" s="12">
        <v>44.51</v>
      </c>
      <c r="N350" s="12">
        <v>164.22</v>
      </c>
      <c r="O350" s="12">
        <v>163.96</v>
      </c>
      <c r="P350" s="12" t="s">
        <v>32</v>
      </c>
      <c r="Q350" s="12" t="s">
        <v>20</v>
      </c>
      <c r="R350" s="6"/>
      <c r="S350" s="6"/>
      <c r="T350" s="6"/>
      <c r="U350" s="6"/>
      <c r="V350" s="6"/>
    </row>
    <row r="351">
      <c r="A351" s="15">
        <v>46273.62007887731</v>
      </c>
      <c r="B351" s="8" t="str">
        <f t="shared" si="1"/>
        <v>242175</v>
      </c>
      <c r="C351" s="23" t="s">
        <v>333</v>
      </c>
      <c r="D351" s="23" t="s">
        <v>32</v>
      </c>
      <c r="E351" s="42">
        <v>0.0556</v>
      </c>
      <c r="F351" s="12" t="s">
        <v>18</v>
      </c>
      <c r="G351" s="12">
        <v>53.53</v>
      </c>
      <c r="H351" s="12">
        <v>40.01</v>
      </c>
      <c r="I351" s="12">
        <v>159.33</v>
      </c>
      <c r="J351" s="12">
        <v>159.96</v>
      </c>
      <c r="K351" s="12" t="s">
        <v>107</v>
      </c>
      <c r="L351" s="12">
        <v>53.3</v>
      </c>
      <c r="M351" s="12">
        <v>39.9</v>
      </c>
      <c r="N351" s="12">
        <v>158.62</v>
      </c>
      <c r="O351" s="12">
        <v>158.81</v>
      </c>
      <c r="P351" s="8"/>
      <c r="Q351" s="12" t="s">
        <v>20</v>
      </c>
      <c r="R351" s="6"/>
      <c r="S351" s="6"/>
      <c r="T351" s="6"/>
      <c r="U351" s="6"/>
      <c r="V351" s="6"/>
    </row>
    <row r="352">
      <c r="A352" s="8"/>
      <c r="B352" s="8" t="str">
        <f t="shared" si="1"/>
        <v>235135</v>
      </c>
      <c r="C352" s="47" t="s">
        <v>334</v>
      </c>
      <c r="D352" s="22" t="s">
        <v>32</v>
      </c>
      <c r="E352" s="43">
        <v>0.0759</v>
      </c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6"/>
      <c r="S352" s="6"/>
      <c r="T352" s="6"/>
      <c r="U352" s="6"/>
      <c r="V352" s="6"/>
    </row>
    <row r="353">
      <c r="A353" s="15">
        <v>46273.624537407406</v>
      </c>
      <c r="B353" s="8" t="str">
        <f t="shared" si="1"/>
        <v>241117</v>
      </c>
      <c r="C353" s="23" t="s">
        <v>335</v>
      </c>
      <c r="D353" s="23" t="s">
        <v>32</v>
      </c>
      <c r="E353" s="42">
        <v>0.0704</v>
      </c>
      <c r="F353" s="12" t="s">
        <v>18</v>
      </c>
      <c r="G353" s="14">
        <v>54.55</v>
      </c>
      <c r="H353" s="12">
        <v>36.05</v>
      </c>
      <c r="I353" s="12">
        <v>154.38</v>
      </c>
      <c r="J353" s="12">
        <v>154.97</v>
      </c>
      <c r="K353" s="12" t="s">
        <v>107</v>
      </c>
      <c r="L353" s="12">
        <v>54.3</v>
      </c>
      <c r="M353" s="12">
        <v>35.9</v>
      </c>
      <c r="N353" s="12">
        <v>35.9</v>
      </c>
      <c r="O353" s="12">
        <v>153.97</v>
      </c>
      <c r="P353" s="12" t="s">
        <v>32</v>
      </c>
      <c r="Q353" s="12" t="s">
        <v>20</v>
      </c>
      <c r="R353" s="6"/>
      <c r="S353" s="6"/>
      <c r="T353" s="6"/>
      <c r="U353" s="6"/>
      <c r="V353" s="6"/>
    </row>
    <row r="354">
      <c r="A354" s="15">
        <v>46273.630992164355</v>
      </c>
      <c r="B354" s="8" t="str">
        <f t="shared" si="1"/>
        <v>221282</v>
      </c>
      <c r="C354" s="22" t="s">
        <v>336</v>
      </c>
      <c r="D354" s="22" t="s">
        <v>32</v>
      </c>
      <c r="E354" s="43">
        <v>0.0741</v>
      </c>
      <c r="F354" s="12" t="s">
        <v>18</v>
      </c>
      <c r="G354" s="12">
        <v>54.58</v>
      </c>
      <c r="H354" s="12">
        <v>41.91</v>
      </c>
      <c r="I354" s="12">
        <v>162.08</v>
      </c>
      <c r="J354" s="12">
        <v>161.91</v>
      </c>
      <c r="K354" s="12" t="s">
        <v>107</v>
      </c>
      <c r="L354" s="12">
        <v>54.5</v>
      </c>
      <c r="M354" s="12">
        <v>41.7</v>
      </c>
      <c r="N354" s="12">
        <v>161.39</v>
      </c>
      <c r="O354" s="12">
        <v>160.88</v>
      </c>
      <c r="P354" s="12" t="s">
        <v>32</v>
      </c>
      <c r="Q354" s="12" t="s">
        <v>20</v>
      </c>
      <c r="R354" s="6"/>
      <c r="S354" s="6"/>
      <c r="T354" s="6"/>
      <c r="U354" s="6"/>
      <c r="V354" s="6"/>
    </row>
    <row r="355">
      <c r="A355" s="15">
        <v>46273.6325877662</v>
      </c>
      <c r="B355" s="8" t="str">
        <f t="shared" si="1"/>
        <v>221165</v>
      </c>
      <c r="C355" s="22" t="s">
        <v>337</v>
      </c>
      <c r="D355" s="22" t="s">
        <v>32</v>
      </c>
      <c r="E355" s="43">
        <v>0.0727</v>
      </c>
      <c r="F355" s="12" t="s">
        <v>18</v>
      </c>
      <c r="G355" s="12">
        <v>56.79</v>
      </c>
      <c r="H355" s="12">
        <v>43.56</v>
      </c>
      <c r="I355" s="12">
        <v>166.78</v>
      </c>
      <c r="J355" s="12">
        <v>166.75</v>
      </c>
      <c r="K355" s="12" t="s">
        <v>107</v>
      </c>
      <c r="L355" s="12">
        <v>56.54</v>
      </c>
      <c r="M355" s="12">
        <v>43.36</v>
      </c>
      <c r="N355" s="12">
        <v>166.04</v>
      </c>
      <c r="O355" s="12">
        <v>166.06</v>
      </c>
      <c r="P355" s="12" t="s">
        <v>32</v>
      </c>
      <c r="Q355" s="12" t="s">
        <v>20</v>
      </c>
      <c r="R355" s="6"/>
      <c r="S355" s="6"/>
      <c r="T355" s="6"/>
      <c r="U355" s="6"/>
      <c r="V355" s="6"/>
    </row>
    <row r="356">
      <c r="A356" s="15">
        <v>46273.63755329861</v>
      </c>
      <c r="B356" s="8" t="str">
        <f t="shared" si="1"/>
        <v>245912</v>
      </c>
      <c r="C356" s="23" t="s">
        <v>338</v>
      </c>
      <c r="D356" s="23" t="s">
        <v>32</v>
      </c>
      <c r="E356" s="42">
        <v>0.0462</v>
      </c>
      <c r="F356" s="12" t="s">
        <v>18</v>
      </c>
      <c r="G356" s="12">
        <v>52.64</v>
      </c>
      <c r="H356" s="12">
        <v>42.73</v>
      </c>
      <c r="I356" s="12">
        <v>154.6</v>
      </c>
      <c r="J356" s="12">
        <v>154.93</v>
      </c>
      <c r="K356" s="12" t="s">
        <v>107</v>
      </c>
      <c r="L356" s="12">
        <v>52.42</v>
      </c>
      <c r="M356" s="12">
        <v>42.5</v>
      </c>
      <c r="N356" s="12">
        <v>153.75</v>
      </c>
      <c r="O356" s="12">
        <v>154.53</v>
      </c>
      <c r="P356" s="12" t="s">
        <v>32</v>
      </c>
      <c r="Q356" s="12" t="s">
        <v>20</v>
      </c>
      <c r="R356" s="6"/>
      <c r="S356" s="6"/>
      <c r="T356" s="6"/>
      <c r="U356" s="6"/>
      <c r="V356" s="6"/>
    </row>
    <row r="357">
      <c r="A357" s="15">
        <v>46273.64013049769</v>
      </c>
      <c r="B357" s="8" t="str">
        <f t="shared" si="1"/>
        <v>210178</v>
      </c>
      <c r="C357" s="23" t="s">
        <v>339</v>
      </c>
      <c r="D357" s="23" t="s">
        <v>32</v>
      </c>
      <c r="E357" s="42">
        <v>0.0506</v>
      </c>
      <c r="F357" s="12" t="s">
        <v>18</v>
      </c>
      <c r="G357" s="12">
        <v>56.82</v>
      </c>
      <c r="H357" s="12">
        <v>36.97</v>
      </c>
      <c r="I357" s="12">
        <v>159.54</v>
      </c>
      <c r="J357" s="12">
        <v>159.52</v>
      </c>
      <c r="K357" s="12" t="s">
        <v>107</v>
      </c>
      <c r="L357" s="12">
        <v>56.59</v>
      </c>
      <c r="M357" s="12">
        <v>36.75</v>
      </c>
      <c r="N357" s="12">
        <v>158.38</v>
      </c>
      <c r="O357" s="12">
        <v>158.36</v>
      </c>
      <c r="P357" s="12" t="s">
        <v>32</v>
      </c>
      <c r="Q357" s="12" t="s">
        <v>20</v>
      </c>
      <c r="R357" s="6"/>
      <c r="S357" s="6"/>
      <c r="T357" s="6"/>
      <c r="U357" s="6"/>
      <c r="V357" s="6"/>
    </row>
    <row r="358">
      <c r="A358" s="15">
        <v>46273.64277049768</v>
      </c>
      <c r="B358" s="8" t="str">
        <f t="shared" si="1"/>
        <v>222280</v>
      </c>
      <c r="C358" s="22" t="s">
        <v>340</v>
      </c>
      <c r="D358" s="22" t="s">
        <v>32</v>
      </c>
      <c r="E358" s="43">
        <v>0.0659</v>
      </c>
      <c r="F358" s="12" t="s">
        <v>18</v>
      </c>
      <c r="G358" s="12">
        <v>55.3</v>
      </c>
      <c r="H358" s="12">
        <v>44.6</v>
      </c>
      <c r="I358" s="12">
        <v>164.01</v>
      </c>
      <c r="J358" s="12">
        <v>164.07</v>
      </c>
      <c r="K358" s="12" t="s">
        <v>107</v>
      </c>
      <c r="L358" s="12">
        <v>55.1</v>
      </c>
      <c r="M358" s="12">
        <v>44.4</v>
      </c>
      <c r="N358" s="12">
        <v>163.36</v>
      </c>
      <c r="O358" s="12">
        <v>166.77</v>
      </c>
      <c r="P358" s="12" t="s">
        <v>32</v>
      </c>
      <c r="Q358" s="12" t="s">
        <v>20</v>
      </c>
      <c r="R358" s="6"/>
      <c r="S358" s="6"/>
      <c r="T358" s="6"/>
      <c r="U358" s="6"/>
      <c r="V358" s="6"/>
    </row>
    <row r="359">
      <c r="A359" s="15">
        <v>46273.64467795139</v>
      </c>
      <c r="B359" s="8" t="str">
        <f t="shared" si="1"/>
        <v>245905</v>
      </c>
      <c r="C359" s="22" t="s">
        <v>341</v>
      </c>
      <c r="D359" s="22" t="s">
        <v>32</v>
      </c>
      <c r="E359" s="43">
        <v>0.0504</v>
      </c>
      <c r="F359" s="12" t="s">
        <v>18</v>
      </c>
      <c r="G359" s="12">
        <v>58.43</v>
      </c>
      <c r="H359" s="12">
        <v>37.6</v>
      </c>
      <c r="I359" s="12">
        <v>163.11</v>
      </c>
      <c r="J359" s="12">
        <v>163.21</v>
      </c>
      <c r="K359" s="12" t="s">
        <v>107</v>
      </c>
      <c r="L359" s="12">
        <v>58.22</v>
      </c>
      <c r="M359" s="12">
        <v>37.4</v>
      </c>
      <c r="N359" s="12">
        <v>162.35</v>
      </c>
      <c r="O359" s="12">
        <v>162.45</v>
      </c>
      <c r="P359" s="12" t="s">
        <v>32</v>
      </c>
      <c r="Q359" s="12" t="s">
        <v>20</v>
      </c>
      <c r="R359" s="6"/>
      <c r="S359" s="6"/>
      <c r="T359" s="6"/>
      <c r="U359" s="6"/>
      <c r="V359" s="6"/>
    </row>
    <row r="360">
      <c r="A360" s="15">
        <v>46273.646300821754</v>
      </c>
      <c r="B360" s="8" t="str">
        <f t="shared" si="1"/>
        <v>241091</v>
      </c>
      <c r="C360" s="23" t="s">
        <v>342</v>
      </c>
      <c r="D360" s="23" t="s">
        <v>32</v>
      </c>
      <c r="E360" s="42">
        <v>0.0417</v>
      </c>
      <c r="F360" s="12" t="s">
        <v>18</v>
      </c>
      <c r="G360" s="12">
        <v>53.92</v>
      </c>
      <c r="H360" s="12">
        <v>43.3</v>
      </c>
      <c r="I360" s="12">
        <v>159.71</v>
      </c>
      <c r="J360" s="12">
        <v>159.79</v>
      </c>
      <c r="K360" s="12" t="s">
        <v>107</v>
      </c>
      <c r="L360" s="12">
        <v>53.7</v>
      </c>
      <c r="M360" s="12">
        <v>43.1</v>
      </c>
      <c r="N360" s="12">
        <v>158.86</v>
      </c>
      <c r="O360" s="12">
        <v>159.11</v>
      </c>
      <c r="P360" s="12" t="s">
        <v>32</v>
      </c>
      <c r="Q360" s="12" t="s">
        <v>20</v>
      </c>
      <c r="R360" s="6"/>
      <c r="S360" s="6"/>
      <c r="T360" s="6"/>
      <c r="U360" s="6"/>
      <c r="V360" s="6"/>
    </row>
    <row r="361">
      <c r="A361" s="15">
        <v>46273.64782871528</v>
      </c>
      <c r="B361" s="8" t="str">
        <f t="shared" si="1"/>
        <v>246862</v>
      </c>
      <c r="C361" s="22" t="s">
        <v>343</v>
      </c>
      <c r="D361" s="22" t="s">
        <v>32</v>
      </c>
      <c r="E361" s="43">
        <v>0.0423</v>
      </c>
      <c r="F361" s="12" t="s">
        <v>18</v>
      </c>
      <c r="G361" s="12">
        <v>53.33</v>
      </c>
      <c r="H361" s="12">
        <v>37.42</v>
      </c>
      <c r="I361" s="12">
        <v>154.12</v>
      </c>
      <c r="J361" s="12">
        <v>154.31</v>
      </c>
      <c r="K361" s="12" t="s">
        <v>107</v>
      </c>
      <c r="L361" s="12">
        <v>53.1</v>
      </c>
      <c r="M361" s="12">
        <v>37.2</v>
      </c>
      <c r="N361" s="12">
        <v>153.36</v>
      </c>
      <c r="O361" s="12">
        <v>153.53</v>
      </c>
      <c r="P361" s="12" t="s">
        <v>32</v>
      </c>
      <c r="Q361" s="12" t="s">
        <v>20</v>
      </c>
      <c r="R361" s="6"/>
      <c r="S361" s="6"/>
      <c r="T361" s="6"/>
      <c r="U361" s="6"/>
      <c r="V361" s="6"/>
    </row>
    <row r="362">
      <c r="A362" s="15">
        <v>46273.64893989584</v>
      </c>
      <c r="B362" s="8" t="str">
        <f t="shared" si="1"/>
        <v>217079</v>
      </c>
      <c r="C362" s="23" t="s">
        <v>344</v>
      </c>
      <c r="D362" s="23" t="s">
        <v>32</v>
      </c>
      <c r="E362" s="42">
        <v>0.042</v>
      </c>
      <c r="F362" s="12" t="s">
        <v>18</v>
      </c>
      <c r="G362" s="12">
        <v>52.44</v>
      </c>
      <c r="H362" s="12">
        <v>41.7</v>
      </c>
      <c r="I362" s="12">
        <v>155.67</v>
      </c>
      <c r="J362" s="12">
        <v>155.67</v>
      </c>
      <c r="K362" s="12" t="s">
        <v>107</v>
      </c>
      <c r="L362" s="12">
        <v>52.2</v>
      </c>
      <c r="M362" s="12">
        <v>41.5</v>
      </c>
      <c r="N362" s="12">
        <v>154.98</v>
      </c>
      <c r="O362" s="12">
        <v>154.98</v>
      </c>
      <c r="P362" s="12" t="s">
        <v>32</v>
      </c>
      <c r="Q362" s="12" t="s">
        <v>20</v>
      </c>
      <c r="R362" s="6"/>
      <c r="S362" s="6"/>
      <c r="T362" s="6"/>
      <c r="U362" s="6"/>
      <c r="V362" s="6"/>
    </row>
    <row r="363">
      <c r="A363" s="15">
        <v>46273.65098200232</v>
      </c>
      <c r="B363" s="8" t="str">
        <f t="shared" si="1"/>
        <v>241119</v>
      </c>
      <c r="C363" s="22" t="s">
        <v>345</v>
      </c>
      <c r="D363" s="22" t="s">
        <v>307</v>
      </c>
      <c r="E363" s="43">
        <v>0.087</v>
      </c>
      <c r="F363" s="12" t="s">
        <v>18</v>
      </c>
      <c r="G363" s="12">
        <v>55.65</v>
      </c>
      <c r="H363" s="12">
        <v>39.37</v>
      </c>
      <c r="I363" s="12">
        <v>163.85</v>
      </c>
      <c r="J363" s="12">
        <v>163.63</v>
      </c>
      <c r="K363" s="12" t="s">
        <v>107</v>
      </c>
      <c r="L363" s="12">
        <v>55.44</v>
      </c>
      <c r="M363" s="12">
        <v>39.17</v>
      </c>
      <c r="N363" s="12">
        <v>39.17</v>
      </c>
      <c r="O363" s="12">
        <v>162.86</v>
      </c>
      <c r="P363" s="12" t="s">
        <v>307</v>
      </c>
      <c r="Q363" s="12" t="s">
        <v>20</v>
      </c>
      <c r="R363" s="6"/>
      <c r="S363" s="6"/>
      <c r="T363" s="6"/>
      <c r="U363" s="6"/>
      <c r="V363" s="6"/>
    </row>
    <row r="364">
      <c r="A364" s="15">
        <v>46273.6525369213</v>
      </c>
      <c r="B364" s="8" t="str">
        <f t="shared" si="1"/>
        <v>241100</v>
      </c>
      <c r="C364" s="23" t="s">
        <v>346</v>
      </c>
      <c r="D364" s="23" t="s">
        <v>307</v>
      </c>
      <c r="E364" s="42">
        <v>0.0408</v>
      </c>
      <c r="F364" s="12" t="s">
        <v>18</v>
      </c>
      <c r="G364" s="12">
        <v>53.93</v>
      </c>
      <c r="H364" s="12">
        <v>42.2</v>
      </c>
      <c r="I364" s="12">
        <v>160.13</v>
      </c>
      <c r="J364" s="12">
        <v>159.87</v>
      </c>
      <c r="K364" s="12" t="s">
        <v>107</v>
      </c>
      <c r="L364" s="12">
        <v>53.7</v>
      </c>
      <c r="M364" s="12">
        <v>42.06</v>
      </c>
      <c r="N364" s="12">
        <v>159.53</v>
      </c>
      <c r="O364" s="12">
        <v>159.27</v>
      </c>
      <c r="P364" s="12" t="s">
        <v>307</v>
      </c>
      <c r="Q364" s="12" t="s">
        <v>20</v>
      </c>
      <c r="R364" s="6"/>
      <c r="S364" s="6"/>
      <c r="T364" s="6"/>
      <c r="U364" s="6"/>
      <c r="V364" s="6"/>
    </row>
    <row r="365">
      <c r="A365" s="15">
        <v>46273.65430631944</v>
      </c>
      <c r="B365" s="8" t="str">
        <f t="shared" si="1"/>
        <v>234791</v>
      </c>
      <c r="C365" s="48" t="s">
        <v>201</v>
      </c>
      <c r="D365" s="48" t="s">
        <v>307</v>
      </c>
      <c r="E365" s="49">
        <v>0.0278</v>
      </c>
      <c r="F365" s="8"/>
      <c r="G365" s="12"/>
      <c r="H365" s="12"/>
      <c r="I365" s="12"/>
      <c r="J365" s="12"/>
      <c r="K365" s="8"/>
      <c r="L365" s="8"/>
      <c r="M365" s="8"/>
      <c r="N365" s="8"/>
      <c r="O365" s="8"/>
      <c r="P365" s="8"/>
      <c r="Q365" s="8"/>
      <c r="R365" s="6"/>
      <c r="S365" s="6"/>
      <c r="T365" s="6"/>
      <c r="U365" s="6"/>
      <c r="V365" s="6"/>
    </row>
    <row r="366">
      <c r="A366" s="15">
        <v>46273.6554006713</v>
      </c>
      <c r="B366" s="8" t="str">
        <f t="shared" si="1"/>
        <v>243273</v>
      </c>
      <c r="C366" s="23" t="s">
        <v>347</v>
      </c>
      <c r="D366" s="23" t="s">
        <v>307</v>
      </c>
      <c r="E366" s="42">
        <v>0.0345</v>
      </c>
      <c r="F366" s="12" t="s">
        <v>18</v>
      </c>
      <c r="G366" s="12">
        <v>53.19</v>
      </c>
      <c r="H366" s="12">
        <v>44.91</v>
      </c>
      <c r="I366" s="12">
        <v>163.18</v>
      </c>
      <c r="J366" s="12">
        <v>163.55</v>
      </c>
      <c r="K366" s="12" t="s">
        <v>107</v>
      </c>
      <c r="L366" s="12">
        <v>53.09</v>
      </c>
      <c r="M366" s="12">
        <v>44.81</v>
      </c>
      <c r="N366" s="12">
        <v>162.72</v>
      </c>
      <c r="O366" s="12">
        <v>162.77</v>
      </c>
      <c r="P366" s="12" t="s">
        <v>307</v>
      </c>
      <c r="Q366" s="12" t="s">
        <v>20</v>
      </c>
      <c r="R366" s="6"/>
      <c r="S366" s="6"/>
      <c r="T366" s="6"/>
      <c r="U366" s="6"/>
      <c r="V366" s="6"/>
    </row>
    <row r="367">
      <c r="A367" s="15">
        <v>46273.65887246528</v>
      </c>
      <c r="B367" s="8" t="str">
        <f t="shared" si="1"/>
        <v>221165</v>
      </c>
      <c r="C367" s="23" t="s">
        <v>348</v>
      </c>
      <c r="D367" s="23" t="s">
        <v>307</v>
      </c>
      <c r="E367" s="42">
        <v>0.0333</v>
      </c>
      <c r="F367" s="12" t="s">
        <v>18</v>
      </c>
      <c r="G367" s="12">
        <v>56.65</v>
      </c>
      <c r="H367" s="12">
        <v>43.37</v>
      </c>
      <c r="I367" s="12">
        <v>166.22</v>
      </c>
      <c r="J367" s="12">
        <v>166.03</v>
      </c>
      <c r="K367" s="12" t="s">
        <v>107</v>
      </c>
      <c r="L367" s="12">
        <v>56.45</v>
      </c>
      <c r="M367" s="12">
        <v>43.17</v>
      </c>
      <c r="N367" s="12">
        <v>165.54</v>
      </c>
      <c r="O367" s="12">
        <v>165.45</v>
      </c>
      <c r="P367" s="12" t="s">
        <v>307</v>
      </c>
      <c r="Q367" s="12" t="s">
        <v>20</v>
      </c>
      <c r="R367" s="6"/>
      <c r="S367" s="6"/>
      <c r="T367" s="6"/>
      <c r="U367" s="6"/>
      <c r="V367" s="6"/>
    </row>
    <row r="368">
      <c r="A368" s="15">
        <v>46273.66114002315</v>
      </c>
      <c r="B368" s="8" t="str">
        <f t="shared" si="1"/>
        <v>217079</v>
      </c>
      <c r="C368" s="23" t="s">
        <v>349</v>
      </c>
      <c r="D368" s="23" t="s">
        <v>307</v>
      </c>
      <c r="E368" s="42">
        <v>0.0204</v>
      </c>
      <c r="F368" s="12" t="s">
        <v>18</v>
      </c>
      <c r="G368" s="12">
        <v>52.55</v>
      </c>
      <c r="H368" s="12">
        <v>41.77</v>
      </c>
      <c r="I368" s="12">
        <v>155.81</v>
      </c>
      <c r="J368" s="12">
        <v>165.45</v>
      </c>
      <c r="K368" s="12" t="s">
        <v>107</v>
      </c>
      <c r="L368" s="12">
        <v>52.35</v>
      </c>
      <c r="M368" s="12">
        <v>41.58</v>
      </c>
      <c r="N368" s="12">
        <v>155.04</v>
      </c>
      <c r="O368" s="12">
        <v>155.29</v>
      </c>
      <c r="P368" s="12" t="s">
        <v>307</v>
      </c>
      <c r="Q368" s="12" t="s">
        <v>20</v>
      </c>
      <c r="R368" s="6"/>
      <c r="S368" s="6"/>
      <c r="T368" s="6"/>
      <c r="U368" s="6"/>
      <c r="V368" s="6"/>
    </row>
    <row r="369">
      <c r="A369" s="50"/>
      <c r="B369" s="8" t="str">
        <f t="shared" si="1"/>
        <v>150584</v>
      </c>
      <c r="C369" s="51" t="s">
        <v>350</v>
      </c>
      <c r="D369" s="51" t="s">
        <v>351</v>
      </c>
      <c r="E369" s="52">
        <v>0.0417</v>
      </c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3"/>
      <c r="S369" s="53"/>
      <c r="T369" s="53"/>
      <c r="U369" s="53"/>
      <c r="V369" s="53"/>
    </row>
    <row r="370">
      <c r="A370" s="50"/>
      <c r="B370" s="8" t="str">
        <f t="shared" si="1"/>
        <v>246820</v>
      </c>
      <c r="C370" s="51" t="s">
        <v>352</v>
      </c>
      <c r="D370" s="51" t="s">
        <v>351</v>
      </c>
      <c r="E370" s="52">
        <v>0.0313</v>
      </c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3"/>
      <c r="S370" s="53"/>
      <c r="T370" s="53"/>
      <c r="U370" s="53"/>
      <c r="V370" s="53"/>
    </row>
    <row r="371">
      <c r="A371" s="8"/>
      <c r="B371" s="8" t="str">
        <f t="shared" si="1"/>
        <v>240000</v>
      </c>
      <c r="C371" s="54" t="s">
        <v>353</v>
      </c>
      <c r="D371" s="23" t="s">
        <v>124</v>
      </c>
      <c r="E371" s="42">
        <v>0.3636</v>
      </c>
      <c r="F371" s="12" t="s">
        <v>35</v>
      </c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6"/>
      <c r="S371" s="6"/>
      <c r="T371" s="6"/>
      <c r="U371" s="6"/>
      <c r="V371" s="6"/>
    </row>
    <row r="372">
      <c r="A372" s="8"/>
      <c r="B372" s="8" t="str">
        <f t="shared" si="1"/>
        <v>240000</v>
      </c>
      <c r="C372" s="54" t="s">
        <v>354</v>
      </c>
      <c r="D372" s="22" t="s">
        <v>124</v>
      </c>
      <c r="E372" s="43">
        <v>0.4</v>
      </c>
      <c r="F372" s="12" t="s">
        <v>35</v>
      </c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6"/>
      <c r="S372" s="6"/>
      <c r="T372" s="6"/>
      <c r="U372" s="6"/>
      <c r="V372" s="6"/>
    </row>
    <row r="373">
      <c r="A373" s="15">
        <v>46273.667734120376</v>
      </c>
      <c r="B373" s="8" t="str">
        <f t="shared" si="1"/>
        <v>208758</v>
      </c>
      <c r="C373" s="22" t="s">
        <v>355</v>
      </c>
      <c r="D373" s="22" t="s">
        <v>124</v>
      </c>
      <c r="E373" s="43">
        <v>0.0769</v>
      </c>
      <c r="F373" s="12" t="s">
        <v>18</v>
      </c>
      <c r="G373" s="12">
        <v>53.07</v>
      </c>
      <c r="H373" s="12">
        <v>36.78</v>
      </c>
      <c r="I373" s="12">
        <v>154.13</v>
      </c>
      <c r="J373" s="12">
        <v>154.13</v>
      </c>
      <c r="K373" s="12" t="s">
        <v>107</v>
      </c>
      <c r="L373" s="12">
        <v>52.9</v>
      </c>
      <c r="M373" s="12">
        <v>36.6</v>
      </c>
      <c r="N373" s="12">
        <v>153.22</v>
      </c>
      <c r="O373" s="12">
        <v>152.88</v>
      </c>
      <c r="P373" s="12" t="s">
        <v>124</v>
      </c>
      <c r="Q373" s="12" t="s">
        <v>20</v>
      </c>
      <c r="R373" s="6"/>
      <c r="S373" s="6"/>
      <c r="T373" s="6"/>
      <c r="U373" s="6"/>
      <c r="V373" s="6"/>
    </row>
    <row r="374">
      <c r="A374" s="15">
        <v>46273.66902821759</v>
      </c>
      <c r="B374" s="8" t="str">
        <f t="shared" si="1"/>
        <v>235307</v>
      </c>
      <c r="C374" s="23" t="s">
        <v>356</v>
      </c>
      <c r="D374" s="23" t="s">
        <v>124</v>
      </c>
      <c r="E374" s="42">
        <v>0.0714</v>
      </c>
      <c r="F374" s="12" t="s">
        <v>18</v>
      </c>
      <c r="G374" s="12">
        <v>50.66</v>
      </c>
      <c r="H374" s="12">
        <v>40.82</v>
      </c>
      <c r="I374" s="12">
        <v>152.89</v>
      </c>
      <c r="J374" s="12">
        <v>152.39</v>
      </c>
      <c r="K374" s="12" t="s">
        <v>107</v>
      </c>
      <c r="L374" s="12">
        <v>50.4</v>
      </c>
      <c r="M374" s="12">
        <v>40.6</v>
      </c>
      <c r="N374" s="12">
        <v>152.14</v>
      </c>
      <c r="O374" s="12">
        <v>151.72</v>
      </c>
      <c r="P374" s="12" t="s">
        <v>124</v>
      </c>
      <c r="Q374" s="12" t="s">
        <v>20</v>
      </c>
      <c r="R374" s="6"/>
      <c r="S374" s="6"/>
      <c r="T374" s="6"/>
      <c r="U374" s="6"/>
      <c r="V374" s="6"/>
    </row>
    <row r="375">
      <c r="A375" s="8"/>
      <c r="B375" s="8" t="str">
        <f t="shared" si="1"/>
        <v>239999</v>
      </c>
      <c r="C375" s="54" t="s">
        <v>357</v>
      </c>
      <c r="D375" s="23" t="s">
        <v>124</v>
      </c>
      <c r="E375" s="42">
        <v>0.0769</v>
      </c>
      <c r="F375" s="12" t="s">
        <v>35</v>
      </c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6"/>
      <c r="S375" s="6"/>
      <c r="T375" s="6"/>
      <c r="U375" s="6"/>
      <c r="V375" s="6"/>
    </row>
    <row r="376">
      <c r="A376" s="8"/>
      <c r="B376" s="8" t="str">
        <f t="shared" si="1"/>
        <v>243052</v>
      </c>
      <c r="C376" s="23" t="s">
        <v>358</v>
      </c>
      <c r="D376" s="23" t="s">
        <v>124</v>
      </c>
      <c r="E376" s="42">
        <v>0.0822</v>
      </c>
      <c r="F376" s="12" t="s">
        <v>35</v>
      </c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6"/>
      <c r="S376" s="6"/>
      <c r="T376" s="6"/>
      <c r="U376" s="6"/>
      <c r="V376" s="6"/>
    </row>
    <row r="377">
      <c r="A377" s="15">
        <v>46273.68885608796</v>
      </c>
      <c r="B377" s="8" t="str">
        <f t="shared" si="1"/>
        <v>221165</v>
      </c>
      <c r="C377" s="23" t="s">
        <v>359</v>
      </c>
      <c r="D377" s="23" t="s">
        <v>124</v>
      </c>
      <c r="E377" s="42">
        <v>0.0326</v>
      </c>
      <c r="F377" s="12" t="s">
        <v>18</v>
      </c>
      <c r="G377" s="12">
        <v>56.72</v>
      </c>
      <c r="H377" s="12">
        <v>43.1</v>
      </c>
      <c r="I377" s="12">
        <v>166.28</v>
      </c>
      <c r="J377" s="12">
        <v>166.33</v>
      </c>
      <c r="K377" s="12" t="s">
        <v>107</v>
      </c>
      <c r="L377" s="12">
        <v>56.49</v>
      </c>
      <c r="M377" s="12">
        <v>42.9</v>
      </c>
      <c r="N377" s="12">
        <v>165.44</v>
      </c>
      <c r="O377" s="12">
        <v>165.55</v>
      </c>
      <c r="P377" s="12" t="s">
        <v>124</v>
      </c>
      <c r="Q377" s="12" t="s">
        <v>20</v>
      </c>
      <c r="R377" s="6"/>
      <c r="S377" s="6"/>
      <c r="T377" s="6"/>
      <c r="U377" s="6"/>
      <c r="V377" s="6"/>
    </row>
    <row r="378">
      <c r="A378" s="15">
        <v>46273.68997398148</v>
      </c>
      <c r="B378" s="8" t="str">
        <f t="shared" si="1"/>
        <v>219823</v>
      </c>
      <c r="C378" s="22" t="s">
        <v>360</v>
      </c>
      <c r="D378" s="22" t="s">
        <v>124</v>
      </c>
      <c r="E378" s="43">
        <v>0.0397</v>
      </c>
      <c r="F378" s="12" t="s">
        <v>18</v>
      </c>
      <c r="G378" s="12">
        <v>53.48</v>
      </c>
      <c r="H378" s="12">
        <v>41.41</v>
      </c>
      <c r="I378" s="12">
        <v>158.21</v>
      </c>
      <c r="J378" s="12">
        <v>158.26</v>
      </c>
      <c r="K378" s="12" t="s">
        <v>107</v>
      </c>
      <c r="L378" s="12">
        <v>53.29</v>
      </c>
      <c r="M378" s="12">
        <v>41.19</v>
      </c>
      <c r="N378" s="12">
        <v>157.4</v>
      </c>
      <c r="O378" s="12">
        <v>157.4</v>
      </c>
      <c r="P378" s="12" t="s">
        <v>124</v>
      </c>
      <c r="Q378" s="12" t="s">
        <v>20</v>
      </c>
      <c r="R378" s="6"/>
      <c r="S378" s="6"/>
      <c r="T378" s="6"/>
      <c r="U378" s="6"/>
      <c r="V378" s="6"/>
    </row>
    <row r="379">
      <c r="A379" s="15">
        <v>46273.69118631944</v>
      </c>
      <c r="B379" s="8" t="str">
        <f t="shared" si="1"/>
        <v>242138</v>
      </c>
      <c r="C379" s="22" t="s">
        <v>361</v>
      </c>
      <c r="D379" s="22" t="s">
        <v>124</v>
      </c>
      <c r="E379" s="43">
        <v>0.0452</v>
      </c>
      <c r="F379" s="12" t="s">
        <v>18</v>
      </c>
      <c r="G379" s="12">
        <v>51.49</v>
      </c>
      <c r="H379" s="12">
        <v>38.55</v>
      </c>
      <c r="I379" s="12">
        <v>149.44</v>
      </c>
      <c r="J379" s="12">
        <v>149.31</v>
      </c>
      <c r="K379" s="12" t="s">
        <v>107</v>
      </c>
      <c r="L379" s="12">
        <v>51.29</v>
      </c>
      <c r="M379" s="12">
        <v>38.35</v>
      </c>
      <c r="N379" s="12">
        <v>148.7</v>
      </c>
      <c r="O379" s="12">
        <v>148.78</v>
      </c>
      <c r="P379" s="12" t="s">
        <v>124</v>
      </c>
      <c r="Q379" s="12" t="s">
        <v>20</v>
      </c>
      <c r="R379" s="6"/>
      <c r="S379" s="6"/>
      <c r="T379" s="6"/>
      <c r="U379" s="6"/>
      <c r="V379" s="6"/>
    </row>
    <row r="380">
      <c r="A380" s="15">
        <v>46273.69362479167</v>
      </c>
      <c r="B380" s="8" t="str">
        <f t="shared" si="1"/>
        <v>241448</v>
      </c>
      <c r="C380" s="22" t="s">
        <v>362</v>
      </c>
      <c r="D380" s="22" t="s">
        <v>17</v>
      </c>
      <c r="E380" s="43">
        <v>0.5833</v>
      </c>
      <c r="F380" s="12" t="s">
        <v>18</v>
      </c>
      <c r="G380" s="12">
        <v>52.73</v>
      </c>
      <c r="H380" s="12">
        <v>47.86</v>
      </c>
      <c r="I380" s="12">
        <v>163.19</v>
      </c>
      <c r="J380" s="12">
        <v>163.4</v>
      </c>
      <c r="K380" s="12" t="s">
        <v>107</v>
      </c>
      <c r="L380" s="12">
        <v>53.05</v>
      </c>
      <c r="M380" s="12">
        <v>48.1</v>
      </c>
      <c r="N380" s="12">
        <v>163.43</v>
      </c>
      <c r="O380" s="12">
        <v>164.11</v>
      </c>
      <c r="P380" s="12" t="s">
        <v>17</v>
      </c>
      <c r="Q380" s="12" t="s">
        <v>20</v>
      </c>
      <c r="R380" s="6"/>
      <c r="S380" s="6"/>
      <c r="T380" s="6"/>
      <c r="U380" s="6"/>
      <c r="V380" s="6"/>
    </row>
    <row r="381">
      <c r="A381" s="8"/>
      <c r="B381" s="8" t="str">
        <f t="shared" si="1"/>
        <v>240000</v>
      </c>
      <c r="C381" s="54" t="s">
        <v>363</v>
      </c>
      <c r="D381" s="23" t="s">
        <v>17</v>
      </c>
      <c r="E381" s="42">
        <v>0.2</v>
      </c>
      <c r="F381" s="12" t="s">
        <v>35</v>
      </c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6"/>
      <c r="S381" s="6"/>
      <c r="T381" s="6"/>
      <c r="U381" s="6"/>
      <c r="V381" s="6"/>
    </row>
    <row r="382">
      <c r="A382" s="15">
        <v>46273.694869756946</v>
      </c>
      <c r="B382" s="8" t="str">
        <f t="shared" si="1"/>
        <v>241446</v>
      </c>
      <c r="C382" s="23" t="s">
        <v>364</v>
      </c>
      <c r="D382" s="23" t="s">
        <v>17</v>
      </c>
      <c r="E382" s="42">
        <v>0.2353</v>
      </c>
      <c r="F382" s="12" t="s">
        <v>18</v>
      </c>
      <c r="G382" s="12">
        <v>52.56</v>
      </c>
      <c r="H382" s="12">
        <v>47.68</v>
      </c>
      <c r="I382" s="12">
        <v>161.82</v>
      </c>
      <c r="J382" s="12">
        <v>162.9</v>
      </c>
      <c r="K382" s="12" t="s">
        <v>107</v>
      </c>
      <c r="L382" s="12">
        <v>52.8</v>
      </c>
      <c r="M382" s="12">
        <v>47.91</v>
      </c>
      <c r="N382" s="12">
        <v>162.61</v>
      </c>
      <c r="O382" s="12">
        <v>163.46</v>
      </c>
      <c r="P382" s="12" t="s">
        <v>17</v>
      </c>
      <c r="Q382" s="12" t="s">
        <v>20</v>
      </c>
      <c r="R382" s="6"/>
      <c r="S382" s="6"/>
      <c r="T382" s="6"/>
      <c r="U382" s="6"/>
      <c r="V382" s="6"/>
    </row>
    <row r="383">
      <c r="A383" s="15">
        <v>46273.696477210644</v>
      </c>
      <c r="B383" s="8" t="str">
        <f t="shared" si="1"/>
        <v>241832</v>
      </c>
      <c r="C383" s="22" t="s">
        <v>365</v>
      </c>
      <c r="D383" s="22" t="s">
        <v>17</v>
      </c>
      <c r="E383" s="43">
        <v>0.0571</v>
      </c>
      <c r="F383" s="12" t="s">
        <v>18</v>
      </c>
      <c r="G383" s="12">
        <v>46.5</v>
      </c>
      <c r="H383" s="12">
        <v>42.37</v>
      </c>
      <c r="I383" s="12">
        <v>144.82</v>
      </c>
      <c r="J383" s="12">
        <v>144.41</v>
      </c>
      <c r="K383" s="12" t="s">
        <v>107</v>
      </c>
      <c r="L383" s="12">
        <v>46.7</v>
      </c>
      <c r="M383" s="12">
        <v>42.61</v>
      </c>
      <c r="N383" s="12">
        <v>145.51</v>
      </c>
      <c r="O383" s="12">
        <v>145.04</v>
      </c>
      <c r="P383" s="12" t="s">
        <v>17</v>
      </c>
      <c r="Q383" s="12" t="s">
        <v>20</v>
      </c>
      <c r="R383" s="6"/>
      <c r="S383" s="6"/>
      <c r="T383" s="6"/>
      <c r="U383" s="6"/>
      <c r="V383" s="6"/>
    </row>
    <row r="384">
      <c r="A384" s="8"/>
      <c r="B384" s="8" t="str">
        <f t="shared" si="1"/>
        <v>211318</v>
      </c>
      <c r="C384" s="55" t="s">
        <v>366</v>
      </c>
      <c r="D384" s="23" t="s">
        <v>17</v>
      </c>
      <c r="E384" s="42">
        <v>0.0417</v>
      </c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6"/>
      <c r="S384" s="6"/>
      <c r="T384" s="6"/>
      <c r="U384" s="6"/>
      <c r="V384" s="6"/>
    </row>
    <row r="385">
      <c r="A385" s="15">
        <v>46273.69774996528</v>
      </c>
      <c r="B385" s="8" t="str">
        <f t="shared" si="1"/>
        <v>147938</v>
      </c>
      <c r="C385" s="22" t="s">
        <v>367</v>
      </c>
      <c r="D385" s="22" t="s">
        <v>17</v>
      </c>
      <c r="E385" s="43">
        <v>0.0385</v>
      </c>
      <c r="F385" s="12" t="s">
        <v>18</v>
      </c>
      <c r="G385" s="12">
        <v>52.86</v>
      </c>
      <c r="H385" s="12">
        <v>36.86</v>
      </c>
      <c r="I385" s="12">
        <v>152.67</v>
      </c>
      <c r="J385" s="12">
        <v>152.69</v>
      </c>
      <c r="K385" s="12" t="s">
        <v>107</v>
      </c>
      <c r="L385" s="12">
        <v>53.05</v>
      </c>
      <c r="M385" s="12">
        <v>37.09</v>
      </c>
      <c r="N385" s="12">
        <v>153.4</v>
      </c>
      <c r="O385" s="12">
        <v>153.44</v>
      </c>
      <c r="P385" s="12" t="s">
        <v>17</v>
      </c>
      <c r="Q385" s="12" t="s">
        <v>20</v>
      </c>
      <c r="R385" s="6"/>
      <c r="S385" s="6"/>
      <c r="T385" s="6"/>
      <c r="U385" s="6"/>
      <c r="V385" s="6"/>
    </row>
    <row r="386">
      <c r="A386" s="15">
        <v>46273.69887799768</v>
      </c>
      <c r="B386" s="8" t="str">
        <f t="shared" si="1"/>
        <v>241183</v>
      </c>
      <c r="C386" s="22" t="s">
        <v>368</v>
      </c>
      <c r="D386" s="22" t="s">
        <v>17</v>
      </c>
      <c r="E386" s="43">
        <v>0.0424</v>
      </c>
      <c r="F386" s="12" t="s">
        <v>18</v>
      </c>
      <c r="G386" s="12">
        <v>49.91</v>
      </c>
      <c r="H386" s="12">
        <v>39.06</v>
      </c>
      <c r="I386" s="12">
        <v>148.12</v>
      </c>
      <c r="J386" s="12">
        <v>148.15</v>
      </c>
      <c r="K386" s="12" t="s">
        <v>107</v>
      </c>
      <c r="L386" s="12">
        <v>50.1</v>
      </c>
      <c r="M386" s="12">
        <v>39.3</v>
      </c>
      <c r="N386" s="12">
        <v>148.75</v>
      </c>
      <c r="O386" s="12">
        <v>148.9</v>
      </c>
      <c r="P386" s="12" t="s">
        <v>17</v>
      </c>
      <c r="Q386" s="12" t="s">
        <v>20</v>
      </c>
      <c r="R386" s="6"/>
      <c r="S386" s="6"/>
      <c r="T386" s="6"/>
      <c r="U386" s="6"/>
      <c r="V386" s="6"/>
    </row>
    <row r="387">
      <c r="A387" s="15">
        <v>46273.70046663194</v>
      </c>
      <c r="B387" s="8" t="str">
        <f t="shared" si="1"/>
        <v>237938</v>
      </c>
      <c r="C387" s="22" t="s">
        <v>369</v>
      </c>
      <c r="D387" s="22" t="s">
        <v>17</v>
      </c>
      <c r="E387" s="43">
        <v>0.042</v>
      </c>
      <c r="F387" s="12" t="s">
        <v>18</v>
      </c>
      <c r="G387" s="12">
        <v>50.75</v>
      </c>
      <c r="H387" s="12">
        <v>39.18</v>
      </c>
      <c r="I387" s="12">
        <v>146.97</v>
      </c>
      <c r="J387" s="12">
        <v>146.33</v>
      </c>
      <c r="K387" s="12" t="s">
        <v>107</v>
      </c>
      <c r="L387" s="12">
        <v>50.96</v>
      </c>
      <c r="M387" s="12">
        <v>39.4</v>
      </c>
      <c r="N387" s="12">
        <v>147.57</v>
      </c>
      <c r="O387" s="12">
        <v>147.77</v>
      </c>
      <c r="P387" s="12" t="s">
        <v>17</v>
      </c>
      <c r="Q387" s="12" t="s">
        <v>20</v>
      </c>
      <c r="R387" s="6"/>
      <c r="S387" s="6"/>
      <c r="T387" s="6"/>
      <c r="U387" s="6"/>
      <c r="V387" s="6"/>
    </row>
    <row r="388">
      <c r="A388" s="8"/>
      <c r="B388" s="8" t="str">
        <f t="shared" si="1"/>
        <v>239999</v>
      </c>
      <c r="C388" s="22" t="s">
        <v>370</v>
      </c>
      <c r="D388" s="22" t="s">
        <v>371</v>
      </c>
      <c r="E388" s="43">
        <v>0.1429</v>
      </c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6"/>
      <c r="S388" s="6"/>
      <c r="T388" s="6"/>
      <c r="U388" s="6"/>
      <c r="V388" s="6"/>
    </row>
    <row r="389">
      <c r="A389" s="8"/>
      <c r="B389" s="8" t="str">
        <f t="shared" si="1"/>
        <v>241184</v>
      </c>
      <c r="C389" s="23" t="s">
        <v>372</v>
      </c>
      <c r="D389" s="23" t="s">
        <v>371</v>
      </c>
      <c r="E389" s="42">
        <v>0.0238</v>
      </c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6"/>
      <c r="S389" s="6"/>
      <c r="T389" s="6"/>
      <c r="U389" s="6"/>
      <c r="V389" s="6"/>
    </row>
    <row r="390">
      <c r="A390" s="8"/>
      <c r="B390" s="8" t="str">
        <f t="shared" si="1"/>
        <v>243867</v>
      </c>
      <c r="C390" s="23" t="s">
        <v>373</v>
      </c>
      <c r="D390" s="23" t="s">
        <v>323</v>
      </c>
      <c r="E390" s="42">
        <v>0.0268</v>
      </c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6"/>
      <c r="S390" s="6"/>
      <c r="T390" s="6"/>
      <c r="U390" s="6"/>
      <c r="V390" s="6"/>
    </row>
    <row r="391">
      <c r="A391" s="15">
        <v>46273.41215113426</v>
      </c>
      <c r="B391" s="8" t="str">
        <f t="shared" si="1"/>
        <v>227454</v>
      </c>
      <c r="C391" s="10" t="s">
        <v>300</v>
      </c>
      <c r="D391" s="9"/>
      <c r="E391" s="9"/>
      <c r="F391" s="12" t="s">
        <v>18</v>
      </c>
      <c r="G391" s="12">
        <v>52.94</v>
      </c>
      <c r="H391" s="12">
        <v>47.15</v>
      </c>
      <c r="I391" s="12">
        <v>160.95</v>
      </c>
      <c r="J391" s="12">
        <v>161.8</v>
      </c>
      <c r="K391" s="12" t="s">
        <v>19</v>
      </c>
      <c r="L391" s="12">
        <v>53.12</v>
      </c>
      <c r="M391" s="12">
        <v>47.77</v>
      </c>
      <c r="N391" s="12">
        <v>162.5</v>
      </c>
      <c r="O391" s="12">
        <v>162.5</v>
      </c>
      <c r="P391" s="12" t="s">
        <v>22</v>
      </c>
      <c r="Q391" s="12" t="s">
        <v>20</v>
      </c>
      <c r="R391" s="6"/>
      <c r="S391" s="6"/>
      <c r="T391" s="6"/>
      <c r="U391" s="6"/>
      <c r="V391" s="6"/>
    </row>
    <row r="392">
      <c r="A392" s="15">
        <v>46273.413767199076</v>
      </c>
      <c r="B392" s="8" t="str">
        <f t="shared" si="1"/>
        <v>201103</v>
      </c>
      <c r="C392" s="10" t="s">
        <v>302</v>
      </c>
      <c r="D392" s="9"/>
      <c r="E392" s="9"/>
      <c r="F392" s="12" t="s">
        <v>18</v>
      </c>
      <c r="G392" s="12">
        <v>51.7</v>
      </c>
      <c r="H392" s="12">
        <v>40.04</v>
      </c>
      <c r="I392" s="12">
        <v>153.03</v>
      </c>
      <c r="J392" s="12">
        <v>153.97</v>
      </c>
      <c r="K392" s="12" t="s">
        <v>19</v>
      </c>
      <c r="L392" s="12">
        <v>52.1</v>
      </c>
      <c r="M392" s="12">
        <v>40.59</v>
      </c>
      <c r="N392" s="12">
        <v>154.58</v>
      </c>
      <c r="O392" s="12">
        <v>154.61</v>
      </c>
      <c r="P392" s="12" t="s">
        <v>17</v>
      </c>
      <c r="Q392" s="12" t="s">
        <v>20</v>
      </c>
      <c r="R392" s="6"/>
      <c r="S392" s="6"/>
      <c r="T392" s="6"/>
      <c r="U392" s="6"/>
      <c r="V392" s="6"/>
    </row>
    <row r="393">
      <c r="A393" s="8"/>
      <c r="B393" s="8" t="str">
        <f t="shared" si="1"/>
        <v>245915</v>
      </c>
      <c r="C393" s="22" t="s">
        <v>298</v>
      </c>
      <c r="D393" s="10" t="s">
        <v>77</v>
      </c>
      <c r="E393" s="9"/>
      <c r="F393" s="12" t="s">
        <v>18</v>
      </c>
      <c r="G393" s="12">
        <v>53.04</v>
      </c>
      <c r="H393" s="12">
        <v>42.19</v>
      </c>
      <c r="I393" s="12">
        <v>157.9</v>
      </c>
      <c r="J393" s="12">
        <v>158.01</v>
      </c>
      <c r="K393" s="12" t="s">
        <v>19</v>
      </c>
      <c r="L393" s="12">
        <v>53.49</v>
      </c>
      <c r="M393" s="12">
        <v>42.65</v>
      </c>
      <c r="N393" s="12">
        <v>159.42</v>
      </c>
      <c r="O393" s="12">
        <v>159.42</v>
      </c>
      <c r="P393" s="8"/>
      <c r="Q393" s="12" t="s">
        <v>90</v>
      </c>
      <c r="R393" s="6"/>
      <c r="S393" s="6"/>
      <c r="T393" s="6"/>
      <c r="U393" s="6"/>
      <c r="V393" s="6"/>
    </row>
    <row r="394">
      <c r="A394" s="8"/>
      <c r="B394" s="8" t="str">
        <f t="shared" si="1"/>
        <v>242138</v>
      </c>
      <c r="C394" s="10" t="s">
        <v>361</v>
      </c>
      <c r="D394" s="10" t="s">
        <v>374</v>
      </c>
      <c r="E394" s="9"/>
      <c r="F394" s="8"/>
      <c r="G394" s="12">
        <v>51.29</v>
      </c>
      <c r="H394" s="12">
        <v>38.35</v>
      </c>
      <c r="I394" s="12">
        <v>148.7</v>
      </c>
      <c r="J394" s="12">
        <v>148.78</v>
      </c>
      <c r="K394" s="12" t="s">
        <v>19</v>
      </c>
      <c r="L394" s="12">
        <v>51.64</v>
      </c>
      <c r="M394" s="12">
        <v>38.84</v>
      </c>
      <c r="N394" s="12">
        <v>150.09</v>
      </c>
      <c r="O394" s="12">
        <v>150.09</v>
      </c>
      <c r="P394" s="8"/>
      <c r="Q394" s="8"/>
      <c r="R394" s="6"/>
      <c r="S394" s="6"/>
      <c r="T394" s="6"/>
      <c r="U394" s="6"/>
      <c r="V394" s="6"/>
    </row>
    <row r="395">
      <c r="A395" s="15">
        <v>46275.30366586805</v>
      </c>
      <c r="B395" s="8" t="str">
        <f t="shared" si="1"/>
        <v>221928</v>
      </c>
      <c r="C395" s="10" t="s">
        <v>270</v>
      </c>
      <c r="D395" s="10" t="s">
        <v>22</v>
      </c>
      <c r="E395" s="9"/>
      <c r="F395" s="12" t="s">
        <v>18</v>
      </c>
      <c r="G395" s="12">
        <v>53.16</v>
      </c>
      <c r="H395" s="12">
        <v>39.52</v>
      </c>
      <c r="I395" s="12">
        <v>157.59</v>
      </c>
      <c r="J395" s="12">
        <v>157.59</v>
      </c>
      <c r="K395" s="12" t="s">
        <v>19</v>
      </c>
      <c r="L395" s="12">
        <v>53.29</v>
      </c>
      <c r="M395" s="12">
        <v>39.27</v>
      </c>
      <c r="N395" s="12">
        <v>157.01</v>
      </c>
      <c r="O395" s="12">
        <v>157.08</v>
      </c>
      <c r="P395" s="12" t="s">
        <v>22</v>
      </c>
      <c r="Q395" s="12" t="s">
        <v>20</v>
      </c>
      <c r="R395" s="6"/>
      <c r="S395" s="6"/>
      <c r="T395" s="6"/>
      <c r="U395" s="6"/>
      <c r="V395" s="6"/>
    </row>
    <row r="396">
      <c r="A396" s="15">
        <v>46275.490962800926</v>
      </c>
      <c r="B396" s="8" t="str">
        <f t="shared" si="1"/>
        <v>246864</v>
      </c>
      <c r="C396" s="23" t="s">
        <v>375</v>
      </c>
      <c r="D396" s="10" t="s">
        <v>22</v>
      </c>
      <c r="E396" s="9"/>
      <c r="F396" s="12" t="s">
        <v>18</v>
      </c>
      <c r="G396" s="12">
        <v>51.1</v>
      </c>
      <c r="H396" s="12">
        <v>48.03</v>
      </c>
      <c r="I396" s="12">
        <v>157.63</v>
      </c>
      <c r="J396" s="12">
        <v>157.63</v>
      </c>
      <c r="K396" s="12" t="s">
        <v>19</v>
      </c>
      <c r="L396" s="12">
        <v>51.4</v>
      </c>
      <c r="M396" s="12">
        <v>47.88</v>
      </c>
      <c r="N396" s="12">
        <v>158.0</v>
      </c>
      <c r="O396" s="12">
        <v>158.0</v>
      </c>
      <c r="P396" s="12" t="s">
        <v>22</v>
      </c>
      <c r="Q396" s="12" t="s">
        <v>20</v>
      </c>
      <c r="R396" s="6"/>
      <c r="S396" s="6"/>
      <c r="T396" s="6"/>
      <c r="U396" s="6"/>
      <c r="V396" s="6"/>
    </row>
    <row r="397">
      <c r="A397" s="15">
        <v>46275.492668252315</v>
      </c>
      <c r="B397" s="8" t="str">
        <f t="shared" si="1"/>
        <v>246892</v>
      </c>
      <c r="C397" s="10" t="s">
        <v>376</v>
      </c>
      <c r="D397" s="10" t="s">
        <v>22</v>
      </c>
      <c r="E397" s="9"/>
      <c r="F397" s="12" t="s">
        <v>18</v>
      </c>
      <c r="G397" s="12">
        <v>53.05</v>
      </c>
      <c r="H397" s="12">
        <v>46.96</v>
      </c>
      <c r="I397" s="12">
        <v>163.45</v>
      </c>
      <c r="J397" s="12">
        <v>167.35</v>
      </c>
      <c r="K397" s="12" t="s">
        <v>19</v>
      </c>
      <c r="L397" s="12">
        <v>53.05</v>
      </c>
      <c r="M397" s="12">
        <v>46.97</v>
      </c>
      <c r="N397" s="12">
        <v>163.51</v>
      </c>
      <c r="O397" s="12">
        <v>163.47</v>
      </c>
      <c r="P397" s="12" t="s">
        <v>22</v>
      </c>
      <c r="Q397" s="12" t="s">
        <v>20</v>
      </c>
      <c r="R397" s="6"/>
      <c r="S397" s="6"/>
      <c r="T397" s="6"/>
      <c r="U397" s="6"/>
      <c r="V397" s="6"/>
    </row>
    <row r="398">
      <c r="A398" s="15">
        <v>46275.8149124537</v>
      </c>
      <c r="B398" s="8" t="str">
        <f t="shared" si="1"/>
        <v>242762</v>
      </c>
      <c r="C398" s="22" t="s">
        <v>377</v>
      </c>
      <c r="D398" s="22" t="s">
        <v>32</v>
      </c>
      <c r="E398" s="43">
        <v>0.3333</v>
      </c>
      <c r="F398" s="12" t="s">
        <v>18</v>
      </c>
      <c r="G398" s="12">
        <v>49.98</v>
      </c>
      <c r="H398" s="12">
        <v>39.45</v>
      </c>
      <c r="I398" s="12">
        <v>148.35</v>
      </c>
      <c r="J398" s="12">
        <v>149.01</v>
      </c>
      <c r="K398" s="12" t="s">
        <v>107</v>
      </c>
      <c r="L398" s="12">
        <v>49.81</v>
      </c>
      <c r="M398" s="12">
        <v>39.32</v>
      </c>
      <c r="N398" s="12">
        <v>148.35</v>
      </c>
      <c r="O398" s="12">
        <v>148.51</v>
      </c>
      <c r="P398" s="8"/>
      <c r="Q398" s="12" t="s">
        <v>214</v>
      </c>
      <c r="R398" s="6"/>
      <c r="S398" s="6"/>
      <c r="T398" s="6"/>
      <c r="U398" s="6"/>
      <c r="V398" s="6"/>
    </row>
    <row r="399">
      <c r="A399" s="15">
        <v>46275.81590710648</v>
      </c>
      <c r="B399" s="8" t="str">
        <f t="shared" si="1"/>
        <v>241121</v>
      </c>
      <c r="C399" s="23" t="s">
        <v>378</v>
      </c>
      <c r="D399" s="23" t="s">
        <v>32</v>
      </c>
      <c r="E399" s="42">
        <v>0.2222</v>
      </c>
      <c r="F399" s="12" t="s">
        <v>18</v>
      </c>
      <c r="G399" s="12">
        <v>54.06</v>
      </c>
      <c r="H399" s="12">
        <v>50.48</v>
      </c>
      <c r="I399" s="12">
        <v>166.44</v>
      </c>
      <c r="J399" s="12">
        <v>166.49</v>
      </c>
      <c r="K399" s="12" t="s">
        <v>107</v>
      </c>
      <c r="L399" s="12">
        <v>53.86</v>
      </c>
      <c r="M399" s="12">
        <v>50.27</v>
      </c>
      <c r="N399" s="12">
        <v>166.05</v>
      </c>
      <c r="O399" s="12">
        <v>166.05</v>
      </c>
      <c r="P399" s="8"/>
      <c r="Q399" s="12" t="s">
        <v>214</v>
      </c>
      <c r="R399" s="6"/>
      <c r="S399" s="6"/>
      <c r="T399" s="6"/>
      <c r="U399" s="6"/>
      <c r="V399" s="6"/>
    </row>
    <row r="400">
      <c r="A400" s="15">
        <v>46275.81917737269</v>
      </c>
      <c r="B400" s="8" t="str">
        <f t="shared" si="1"/>
        <v>244415</v>
      </c>
      <c r="C400" s="22" t="s">
        <v>186</v>
      </c>
      <c r="D400" s="22" t="s">
        <v>32</v>
      </c>
      <c r="E400" s="43">
        <v>0.2143</v>
      </c>
      <c r="F400" s="12" t="s">
        <v>18</v>
      </c>
      <c r="G400" s="12">
        <v>52.73</v>
      </c>
      <c r="H400" s="12">
        <v>33.66</v>
      </c>
      <c r="I400" s="12">
        <v>138.47</v>
      </c>
      <c r="J400" s="12">
        <v>138.47</v>
      </c>
      <c r="K400" s="12" t="s">
        <v>107</v>
      </c>
      <c r="L400" s="12">
        <v>52.68</v>
      </c>
      <c r="M400" s="12">
        <v>33.62</v>
      </c>
      <c r="N400" s="12">
        <v>138.33</v>
      </c>
      <c r="O400" s="12">
        <v>138.33</v>
      </c>
      <c r="P400" s="8"/>
      <c r="Q400" s="12" t="s">
        <v>214</v>
      </c>
      <c r="R400" s="6"/>
      <c r="S400" s="6"/>
      <c r="T400" s="6"/>
      <c r="U400" s="6"/>
      <c r="V400" s="6"/>
    </row>
    <row r="401">
      <c r="A401" s="15">
        <v>46275.82040831019</v>
      </c>
      <c r="B401" s="8" t="str">
        <f t="shared" si="1"/>
        <v>235135</v>
      </c>
      <c r="C401" s="23" t="s">
        <v>334</v>
      </c>
      <c r="D401" s="23" t="s">
        <v>32</v>
      </c>
      <c r="E401" s="42">
        <v>0.125</v>
      </c>
      <c r="F401" s="12" t="s">
        <v>18</v>
      </c>
      <c r="G401" s="12">
        <v>54.2</v>
      </c>
      <c r="H401" s="12">
        <v>46.16</v>
      </c>
      <c r="I401" s="12">
        <v>166.16</v>
      </c>
      <c r="J401" s="12">
        <v>166.42</v>
      </c>
      <c r="K401" s="12" t="s">
        <v>107</v>
      </c>
      <c r="L401" s="12">
        <v>53.99</v>
      </c>
      <c r="M401" s="12">
        <v>45.93</v>
      </c>
      <c r="N401" s="12">
        <v>165.76</v>
      </c>
      <c r="O401" s="12">
        <v>165.97</v>
      </c>
      <c r="P401" s="8"/>
      <c r="Q401" s="12" t="s">
        <v>214</v>
      </c>
      <c r="R401" s="6"/>
      <c r="S401" s="6"/>
      <c r="T401" s="6"/>
      <c r="U401" s="6"/>
      <c r="V401" s="6"/>
    </row>
    <row r="402">
      <c r="A402" s="15">
        <v>46275.82206706019</v>
      </c>
      <c r="B402" s="8" t="str">
        <f t="shared" si="1"/>
        <v>243674</v>
      </c>
      <c r="C402" s="22" t="s">
        <v>167</v>
      </c>
      <c r="D402" s="22" t="s">
        <v>32</v>
      </c>
      <c r="E402" s="43">
        <v>0.0909</v>
      </c>
      <c r="F402" s="12" t="s">
        <v>18</v>
      </c>
      <c r="G402" s="12">
        <v>48.81</v>
      </c>
      <c r="H402" s="12">
        <v>40.6</v>
      </c>
      <c r="I402" s="12">
        <v>147.01</v>
      </c>
      <c r="J402" s="12">
        <v>147.01</v>
      </c>
      <c r="K402" s="12" t="s">
        <v>107</v>
      </c>
      <c r="L402" s="12">
        <v>48.76</v>
      </c>
      <c r="M402" s="12">
        <v>40.55</v>
      </c>
      <c r="N402" s="12">
        <v>146.83</v>
      </c>
      <c r="O402" s="12">
        <v>146.51</v>
      </c>
      <c r="P402" s="8"/>
      <c r="Q402" s="12" t="s">
        <v>214</v>
      </c>
      <c r="R402" s="6"/>
      <c r="S402" s="6"/>
      <c r="T402" s="6"/>
      <c r="U402" s="6"/>
      <c r="V402" s="6"/>
    </row>
    <row r="403">
      <c r="A403" s="15">
        <v>46275.82513013889</v>
      </c>
      <c r="B403" s="8" t="str">
        <f t="shared" si="1"/>
        <v>246865</v>
      </c>
      <c r="C403" s="23" t="s">
        <v>379</v>
      </c>
      <c r="D403" s="23" t="s">
        <v>32</v>
      </c>
      <c r="E403" s="42">
        <v>0.0833</v>
      </c>
      <c r="F403" s="12" t="s">
        <v>18</v>
      </c>
      <c r="G403" s="12">
        <v>53.25</v>
      </c>
      <c r="H403" s="12">
        <v>40.72</v>
      </c>
      <c r="I403" s="12">
        <v>157.49</v>
      </c>
      <c r="J403" s="12">
        <v>157.89</v>
      </c>
      <c r="K403" s="12" t="s">
        <v>107</v>
      </c>
      <c r="L403" s="12">
        <v>53.01</v>
      </c>
      <c r="M403" s="12">
        <v>40.69</v>
      </c>
      <c r="N403" s="12">
        <v>157.46</v>
      </c>
      <c r="O403" s="12">
        <v>157.46</v>
      </c>
      <c r="P403" s="8"/>
      <c r="Q403" s="12" t="s">
        <v>214</v>
      </c>
      <c r="R403" s="6"/>
      <c r="S403" s="6"/>
      <c r="T403" s="6"/>
      <c r="U403" s="6"/>
      <c r="V403" s="6"/>
    </row>
    <row r="404">
      <c r="A404" s="15">
        <v>46275.82626524306</v>
      </c>
      <c r="B404" s="8" t="str">
        <f t="shared" si="1"/>
        <v>149037</v>
      </c>
      <c r="C404" s="22" t="s">
        <v>180</v>
      </c>
      <c r="D404" s="22" t="s">
        <v>32</v>
      </c>
      <c r="E404" s="43">
        <v>0.0714</v>
      </c>
      <c r="F404" s="12" t="s">
        <v>18</v>
      </c>
      <c r="G404" s="12">
        <v>57.3</v>
      </c>
      <c r="H404" s="12">
        <v>46.75</v>
      </c>
      <c r="I404" s="12">
        <v>173.43</v>
      </c>
      <c r="J404" s="12">
        <v>173.43</v>
      </c>
      <c r="K404" s="12" t="s">
        <v>107</v>
      </c>
      <c r="L404" s="12">
        <v>57.25</v>
      </c>
      <c r="M404" s="12">
        <v>46.68</v>
      </c>
      <c r="N404" s="12">
        <v>173.25</v>
      </c>
      <c r="O404" s="12">
        <v>173.25</v>
      </c>
      <c r="P404" s="8"/>
      <c r="Q404" s="12" t="s">
        <v>214</v>
      </c>
      <c r="R404" s="6"/>
      <c r="S404" s="6"/>
      <c r="T404" s="6"/>
      <c r="U404" s="6"/>
      <c r="V404" s="6"/>
    </row>
    <row r="405">
      <c r="A405" s="15">
        <v>46275.826997881944</v>
      </c>
      <c r="B405" s="8" t="str">
        <f t="shared" si="1"/>
        <v>242286</v>
      </c>
      <c r="C405" s="23" t="s">
        <v>380</v>
      </c>
      <c r="D405" s="23" t="s">
        <v>32</v>
      </c>
      <c r="E405" s="42">
        <v>0.0571</v>
      </c>
      <c r="F405" s="12" t="s">
        <v>18</v>
      </c>
      <c r="G405" s="12">
        <v>52.59</v>
      </c>
      <c r="H405" s="12">
        <v>36.83</v>
      </c>
      <c r="I405" s="12">
        <v>151.21</v>
      </c>
      <c r="J405" s="12">
        <v>151.04</v>
      </c>
      <c r="K405" s="12" t="s">
        <v>107</v>
      </c>
      <c r="L405" s="12">
        <v>52.48</v>
      </c>
      <c r="M405" s="12">
        <v>36.51</v>
      </c>
      <c r="N405" s="12">
        <v>150.85</v>
      </c>
      <c r="O405" s="12">
        <v>150.08</v>
      </c>
      <c r="P405" s="8"/>
      <c r="Q405" s="12" t="s">
        <v>214</v>
      </c>
      <c r="R405" s="6"/>
      <c r="S405" s="6"/>
      <c r="T405" s="6"/>
      <c r="U405" s="6"/>
      <c r="V405" s="6"/>
    </row>
    <row r="406">
      <c r="A406" s="15">
        <v>46275.82814197917</v>
      </c>
      <c r="B406" s="8" t="str">
        <f t="shared" si="1"/>
        <v>219823</v>
      </c>
      <c r="C406" s="22" t="s">
        <v>294</v>
      </c>
      <c r="D406" s="22" t="s">
        <v>32</v>
      </c>
      <c r="E406" s="43">
        <v>0.0543</v>
      </c>
      <c r="F406" s="12" t="s">
        <v>18</v>
      </c>
      <c r="G406" s="12">
        <v>53.62</v>
      </c>
      <c r="H406" s="12">
        <v>41.38</v>
      </c>
      <c r="I406" s="12">
        <v>158.34</v>
      </c>
      <c r="J406" s="12">
        <v>158.43</v>
      </c>
      <c r="K406" s="12" t="s">
        <v>107</v>
      </c>
      <c r="L406" s="12">
        <v>53.57</v>
      </c>
      <c r="M406" s="12">
        <v>41.34</v>
      </c>
      <c r="N406" s="12">
        <v>158.13</v>
      </c>
      <c r="O406" s="12">
        <v>158.26</v>
      </c>
      <c r="P406" s="8"/>
      <c r="Q406" s="12" t="s">
        <v>214</v>
      </c>
      <c r="R406" s="6"/>
      <c r="S406" s="6"/>
      <c r="T406" s="6"/>
      <c r="U406" s="6"/>
      <c r="V406" s="6"/>
    </row>
    <row r="407">
      <c r="A407" s="15">
        <v>46275.829447951386</v>
      </c>
      <c r="B407" s="8" t="str">
        <f t="shared" si="1"/>
        <v>210178</v>
      </c>
      <c r="C407" s="23" t="s">
        <v>339</v>
      </c>
      <c r="D407" s="23" t="s">
        <v>32</v>
      </c>
      <c r="E407" s="42">
        <v>0.0351</v>
      </c>
      <c r="F407" s="12" t="s">
        <v>18</v>
      </c>
      <c r="G407" s="12">
        <v>56.69</v>
      </c>
      <c r="H407" s="12">
        <v>36.8</v>
      </c>
      <c r="I407" s="12">
        <v>158.38</v>
      </c>
      <c r="J407" s="35">
        <v>158.38</v>
      </c>
      <c r="K407" s="12" t="s">
        <v>107</v>
      </c>
      <c r="L407" s="12">
        <v>56.59</v>
      </c>
      <c r="M407" s="12">
        <v>36.75</v>
      </c>
      <c r="N407" s="12">
        <v>158.38</v>
      </c>
      <c r="O407" s="12">
        <v>158.1</v>
      </c>
      <c r="P407" s="8"/>
      <c r="Q407" s="12" t="s">
        <v>214</v>
      </c>
      <c r="R407" s="6"/>
      <c r="S407" s="6"/>
      <c r="T407" s="6"/>
      <c r="U407" s="6"/>
      <c r="V407" s="6"/>
    </row>
    <row r="408" ht="28.5" customHeight="1">
      <c r="A408" s="15">
        <v>46275.76958474537</v>
      </c>
      <c r="B408" s="8" t="str">
        <f t="shared" si="1"/>
        <v>138420</v>
      </c>
      <c r="C408" s="22" t="s">
        <v>165</v>
      </c>
      <c r="D408" s="22" t="s">
        <v>307</v>
      </c>
      <c r="E408" s="43">
        <v>0.0638</v>
      </c>
      <c r="F408" s="12" t="s">
        <v>18</v>
      </c>
      <c r="G408" s="12">
        <v>56.97</v>
      </c>
      <c r="H408" s="12">
        <v>46.57</v>
      </c>
      <c r="I408" s="12">
        <v>172.91</v>
      </c>
      <c r="J408" s="12">
        <v>172.65</v>
      </c>
      <c r="K408" s="12" t="s">
        <v>107</v>
      </c>
      <c r="L408" s="12">
        <v>56.93</v>
      </c>
      <c r="M408" s="12">
        <v>46.53</v>
      </c>
      <c r="N408" s="12">
        <v>172.78</v>
      </c>
      <c r="O408" s="12">
        <v>172.51</v>
      </c>
      <c r="P408" s="8"/>
      <c r="Q408" s="12" t="s">
        <v>90</v>
      </c>
      <c r="R408" s="6"/>
      <c r="S408" s="6"/>
      <c r="T408" s="6"/>
      <c r="U408" s="6"/>
      <c r="V408" s="6"/>
    </row>
    <row r="409">
      <c r="A409" s="50"/>
      <c r="B409" s="8" t="str">
        <f t="shared" si="1"/>
        <v>201104</v>
      </c>
      <c r="C409" s="51" t="s">
        <v>381</v>
      </c>
      <c r="D409" s="51" t="s">
        <v>382</v>
      </c>
      <c r="E409" s="52">
        <v>0.16</v>
      </c>
      <c r="F409" s="56" t="s">
        <v>18</v>
      </c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3"/>
      <c r="S409" s="53"/>
      <c r="T409" s="53"/>
      <c r="U409" s="53"/>
      <c r="V409" s="53"/>
    </row>
    <row r="410">
      <c r="A410" s="50"/>
      <c r="B410" s="8" t="str">
        <f t="shared" si="1"/>
        <v>221172</v>
      </c>
      <c r="C410" s="51" t="s">
        <v>383</v>
      </c>
      <c r="D410" s="51" t="s">
        <v>382</v>
      </c>
      <c r="E410" s="52">
        <v>0.14</v>
      </c>
      <c r="F410" s="56" t="s">
        <v>18</v>
      </c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3"/>
      <c r="S410" s="53"/>
      <c r="T410" s="53"/>
      <c r="U410" s="53"/>
      <c r="V410" s="53"/>
    </row>
    <row r="411">
      <c r="A411" s="50"/>
      <c r="B411" s="8" t="str">
        <f t="shared" si="1"/>
        <v>227454</v>
      </c>
      <c r="C411" s="51" t="s">
        <v>300</v>
      </c>
      <c r="D411" s="51" t="s">
        <v>382</v>
      </c>
      <c r="E411" s="52">
        <v>0.1282</v>
      </c>
      <c r="F411" s="56" t="s">
        <v>18</v>
      </c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3"/>
      <c r="S411" s="53"/>
      <c r="T411" s="53"/>
      <c r="U411" s="53"/>
      <c r="V411" s="53"/>
    </row>
    <row r="412">
      <c r="A412" s="50"/>
      <c r="B412" s="8" t="str">
        <f t="shared" si="1"/>
        <v>236141</v>
      </c>
      <c r="C412" s="51" t="s">
        <v>325</v>
      </c>
      <c r="D412" s="51" t="s">
        <v>382</v>
      </c>
      <c r="E412" s="52">
        <v>0.1077</v>
      </c>
      <c r="F412" s="56" t="s">
        <v>18</v>
      </c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3"/>
      <c r="S412" s="53"/>
      <c r="T412" s="53"/>
      <c r="U412" s="53"/>
      <c r="V412" s="53"/>
    </row>
    <row r="413">
      <c r="A413" s="8"/>
      <c r="B413" s="8" t="str">
        <f t="shared" si="1"/>
        <v>137934</v>
      </c>
      <c r="C413" s="23" t="s">
        <v>384</v>
      </c>
      <c r="D413" s="23" t="s">
        <v>385</v>
      </c>
      <c r="E413" s="42">
        <v>0.0405</v>
      </c>
      <c r="F413" s="12" t="s">
        <v>18</v>
      </c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30"/>
      <c r="S413" s="6"/>
      <c r="T413" s="6"/>
      <c r="U413" s="6"/>
      <c r="V413" s="6"/>
    </row>
    <row r="414">
      <c r="A414" s="8"/>
      <c r="B414" s="8" t="str">
        <f t="shared" si="1"/>
        <v>137935</v>
      </c>
      <c r="C414" s="22" t="s">
        <v>386</v>
      </c>
      <c r="D414" s="22" t="s">
        <v>351</v>
      </c>
      <c r="E414" s="43">
        <v>0.0357</v>
      </c>
      <c r="F414" s="12" t="s">
        <v>18</v>
      </c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30"/>
      <c r="S414" s="6"/>
      <c r="T414" s="6"/>
      <c r="U414" s="6"/>
      <c r="V414" s="6"/>
    </row>
    <row r="415">
      <c r="A415" s="8"/>
      <c r="B415" s="8" t="str">
        <f t="shared" si="1"/>
        <v>240000</v>
      </c>
      <c r="C415" s="54" t="s">
        <v>387</v>
      </c>
      <c r="D415" s="23" t="s">
        <v>124</v>
      </c>
      <c r="E415" s="42">
        <v>0.32</v>
      </c>
      <c r="F415" s="12" t="s">
        <v>18</v>
      </c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12" t="s">
        <v>90</v>
      </c>
      <c r="R415" s="6"/>
      <c r="S415" s="6"/>
      <c r="T415" s="6"/>
      <c r="U415" s="6"/>
      <c r="V415" s="6"/>
    </row>
    <row r="416">
      <c r="A416" s="15">
        <v>46275.78452130787</v>
      </c>
      <c r="B416" s="8" t="str">
        <f t="shared" si="1"/>
        <v>241100</v>
      </c>
      <c r="C416" s="22" t="s">
        <v>388</v>
      </c>
      <c r="D416" s="22" t="s">
        <v>124</v>
      </c>
      <c r="E416" s="43">
        <v>0.1739</v>
      </c>
      <c r="F416" s="12" t="s">
        <v>18</v>
      </c>
      <c r="G416" s="12">
        <v>53.95</v>
      </c>
      <c r="H416" s="12">
        <v>42.35</v>
      </c>
      <c r="I416" s="12">
        <v>159.99</v>
      </c>
      <c r="J416" s="12">
        <v>160.32</v>
      </c>
      <c r="K416" s="12" t="s">
        <v>107</v>
      </c>
      <c r="L416" s="12">
        <v>42.28</v>
      </c>
      <c r="M416" s="12">
        <v>53.93</v>
      </c>
      <c r="N416" s="12">
        <v>159.77</v>
      </c>
      <c r="O416" s="12">
        <v>160.08</v>
      </c>
      <c r="P416" s="8"/>
      <c r="Q416" s="12" t="s">
        <v>90</v>
      </c>
      <c r="R416" s="6"/>
      <c r="S416" s="6"/>
      <c r="T416" s="6"/>
      <c r="U416" s="6"/>
      <c r="V416" s="6"/>
    </row>
    <row r="417">
      <c r="A417" s="15">
        <v>46275.79072159722</v>
      </c>
      <c r="B417" s="8" t="str">
        <f t="shared" si="1"/>
        <v>222262</v>
      </c>
      <c r="C417" s="23" t="s">
        <v>389</v>
      </c>
      <c r="D417" s="23" t="s">
        <v>124</v>
      </c>
      <c r="E417" s="42">
        <v>0.1176</v>
      </c>
      <c r="F417" s="12" t="s">
        <v>18</v>
      </c>
      <c r="G417" s="12">
        <v>52.77</v>
      </c>
      <c r="H417" s="12">
        <v>44.83</v>
      </c>
      <c r="I417" s="12">
        <v>160.41</v>
      </c>
      <c r="J417" s="12">
        <v>160.41</v>
      </c>
      <c r="K417" s="12" t="s">
        <v>107</v>
      </c>
      <c r="L417" s="12">
        <v>44.78</v>
      </c>
      <c r="M417" s="12">
        <v>52.75</v>
      </c>
      <c r="N417" s="12">
        <v>160.22</v>
      </c>
      <c r="O417" s="12">
        <v>160.22</v>
      </c>
      <c r="P417" s="8"/>
      <c r="Q417" s="12" t="s">
        <v>90</v>
      </c>
      <c r="R417" s="6"/>
      <c r="S417" s="6"/>
      <c r="T417" s="6"/>
      <c r="U417" s="6"/>
      <c r="V417" s="6"/>
    </row>
    <row r="418">
      <c r="A418" s="15">
        <v>46275.79413435185</v>
      </c>
      <c r="B418" s="8" t="str">
        <f t="shared" si="1"/>
        <v>235307</v>
      </c>
      <c r="C418" s="22" t="s">
        <v>356</v>
      </c>
      <c r="D418" s="22" t="s">
        <v>124</v>
      </c>
      <c r="E418" s="43">
        <v>0.1</v>
      </c>
      <c r="F418" s="12" t="s">
        <v>18</v>
      </c>
      <c r="G418" s="12">
        <v>50.4</v>
      </c>
      <c r="H418" s="12">
        <v>40.6</v>
      </c>
      <c r="I418" s="12">
        <v>151.14</v>
      </c>
      <c r="J418" s="12">
        <v>151.72</v>
      </c>
      <c r="K418" s="12" t="s">
        <v>107</v>
      </c>
      <c r="L418" s="12">
        <v>50.35</v>
      </c>
      <c r="M418" s="12">
        <v>40.55</v>
      </c>
      <c r="N418" s="12">
        <v>151.94</v>
      </c>
      <c r="O418" s="12">
        <v>151.72</v>
      </c>
      <c r="P418" s="8"/>
      <c r="Q418" s="12" t="s">
        <v>90</v>
      </c>
      <c r="R418" s="6"/>
      <c r="S418" s="6"/>
      <c r="T418" s="6"/>
      <c r="U418" s="6"/>
      <c r="V418" s="6"/>
    </row>
    <row r="419">
      <c r="A419" s="15">
        <v>46275.7951375463</v>
      </c>
      <c r="B419" s="8" t="str">
        <f t="shared" si="1"/>
        <v>222276</v>
      </c>
      <c r="C419" s="23" t="s">
        <v>390</v>
      </c>
      <c r="D419" s="23" t="s">
        <v>124</v>
      </c>
      <c r="E419" s="42">
        <v>0.0938</v>
      </c>
      <c r="F419" s="12" t="s">
        <v>18</v>
      </c>
      <c r="G419" s="12">
        <v>56.47</v>
      </c>
      <c r="H419" s="12">
        <v>44.15</v>
      </c>
      <c r="I419" s="12">
        <v>169.1</v>
      </c>
      <c r="J419" s="12">
        <v>169.14</v>
      </c>
      <c r="K419" s="12" t="s">
        <v>107</v>
      </c>
      <c r="L419" s="12">
        <v>56.42</v>
      </c>
      <c r="M419" s="12">
        <v>44.1</v>
      </c>
      <c r="N419" s="12">
        <v>168.79</v>
      </c>
      <c r="O419" s="12">
        <v>168.79</v>
      </c>
      <c r="P419" s="8"/>
      <c r="Q419" s="12" t="s">
        <v>90</v>
      </c>
      <c r="R419" s="6"/>
      <c r="S419" s="6"/>
      <c r="T419" s="6"/>
      <c r="U419" s="6"/>
      <c r="V419" s="6"/>
    </row>
    <row r="420">
      <c r="A420" s="8"/>
      <c r="B420" s="8" t="str">
        <f t="shared" si="1"/>
        <v>242138</v>
      </c>
      <c r="C420" s="22" t="s">
        <v>361</v>
      </c>
      <c r="D420" s="22" t="s">
        <v>124</v>
      </c>
      <c r="E420" s="43">
        <v>0.0816</v>
      </c>
      <c r="F420" s="12" t="s">
        <v>18</v>
      </c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12" t="s">
        <v>90</v>
      </c>
      <c r="R420" s="6"/>
      <c r="S420" s="6"/>
      <c r="T420" s="6"/>
      <c r="U420" s="6"/>
      <c r="V420" s="6"/>
    </row>
    <row r="421">
      <c r="A421" s="15">
        <v>46275.798928530094</v>
      </c>
      <c r="B421" s="8" t="str">
        <f t="shared" si="1"/>
        <v>246232</v>
      </c>
      <c r="C421" s="23" t="s">
        <v>169</v>
      </c>
      <c r="D421" s="23" t="s">
        <v>124</v>
      </c>
      <c r="E421" s="42">
        <v>0.0588</v>
      </c>
      <c r="F421" s="12" t="s">
        <v>18</v>
      </c>
      <c r="G421" s="12">
        <v>53.8</v>
      </c>
      <c r="H421" s="12">
        <v>35.98</v>
      </c>
      <c r="I421" s="12">
        <v>151.75</v>
      </c>
      <c r="J421" s="12">
        <v>151.73</v>
      </c>
      <c r="K421" s="12" t="s">
        <v>107</v>
      </c>
      <c r="L421" s="12">
        <v>53.76</v>
      </c>
      <c r="M421" s="12">
        <v>35.96</v>
      </c>
      <c r="N421" s="12">
        <v>151.34</v>
      </c>
      <c r="O421" s="12">
        <v>151.47</v>
      </c>
      <c r="P421" s="8"/>
      <c r="Q421" s="12" t="s">
        <v>90</v>
      </c>
      <c r="R421" s="6"/>
      <c r="S421" s="6"/>
      <c r="T421" s="6"/>
      <c r="U421" s="6"/>
      <c r="V421" s="6"/>
    </row>
    <row r="422">
      <c r="A422" s="57"/>
      <c r="B422" s="8" t="str">
        <f t="shared" si="1"/>
        <v>241509</v>
      </c>
      <c r="C422" s="58" t="s">
        <v>391</v>
      </c>
      <c r="D422" s="58" t="s">
        <v>392</v>
      </c>
      <c r="E422" s="59">
        <v>0.2</v>
      </c>
      <c r="F422" s="60" t="s">
        <v>18</v>
      </c>
      <c r="G422" s="57"/>
      <c r="H422" s="57"/>
      <c r="I422" s="57"/>
      <c r="J422" s="57"/>
      <c r="K422" s="60" t="s">
        <v>107</v>
      </c>
      <c r="L422" s="57"/>
      <c r="M422" s="57"/>
      <c r="N422" s="57"/>
      <c r="O422" s="57"/>
      <c r="P422" s="57"/>
      <c r="Q422" s="57"/>
      <c r="R422" s="61"/>
      <c r="S422" s="61"/>
      <c r="T422" s="61"/>
      <c r="U422" s="61"/>
      <c r="V422" s="61"/>
    </row>
    <row r="423">
      <c r="A423" s="57"/>
      <c r="B423" s="8" t="str">
        <f t="shared" si="1"/>
        <v>238757</v>
      </c>
      <c r="C423" s="58" t="s">
        <v>317</v>
      </c>
      <c r="D423" s="58" t="s">
        <v>392</v>
      </c>
      <c r="E423" s="59">
        <v>0.1591</v>
      </c>
      <c r="F423" s="60" t="s">
        <v>18</v>
      </c>
      <c r="G423" s="57"/>
      <c r="H423" s="57"/>
      <c r="I423" s="57"/>
      <c r="J423" s="57"/>
      <c r="K423" s="60" t="s">
        <v>107</v>
      </c>
      <c r="L423" s="57"/>
      <c r="M423" s="57"/>
      <c r="N423" s="57"/>
      <c r="O423" s="57"/>
      <c r="P423" s="57"/>
      <c r="Q423" s="57"/>
      <c r="R423" s="61"/>
      <c r="S423" s="61"/>
      <c r="T423" s="61"/>
      <c r="U423" s="61"/>
      <c r="V423" s="61"/>
    </row>
    <row r="424">
      <c r="A424" s="57"/>
      <c r="B424" s="8" t="str">
        <f t="shared" si="1"/>
        <v>241119</v>
      </c>
      <c r="C424" s="58" t="s">
        <v>393</v>
      </c>
      <c r="D424" s="58" t="s">
        <v>392</v>
      </c>
      <c r="E424" s="59">
        <v>0.0952</v>
      </c>
      <c r="F424" s="60" t="s">
        <v>18</v>
      </c>
      <c r="G424" s="57"/>
      <c r="H424" s="57"/>
      <c r="I424" s="57"/>
      <c r="J424" s="57"/>
      <c r="K424" s="60" t="s">
        <v>107</v>
      </c>
      <c r="L424" s="57"/>
      <c r="M424" s="57"/>
      <c r="N424" s="57"/>
      <c r="O424" s="57"/>
      <c r="P424" s="57"/>
      <c r="Q424" s="57"/>
      <c r="R424" s="61"/>
      <c r="S424" s="61"/>
      <c r="T424" s="61"/>
      <c r="U424" s="61"/>
      <c r="V424" s="61"/>
    </row>
    <row r="425">
      <c r="A425" s="57"/>
      <c r="B425" s="8" t="str">
        <f t="shared" si="1"/>
        <v>134756</v>
      </c>
      <c r="C425" s="58" t="s">
        <v>394</v>
      </c>
      <c r="D425" s="58" t="s">
        <v>392</v>
      </c>
      <c r="E425" s="59">
        <v>0.0536</v>
      </c>
      <c r="F425" s="60" t="s">
        <v>18</v>
      </c>
      <c r="G425" s="57"/>
      <c r="H425" s="57"/>
      <c r="I425" s="57"/>
      <c r="J425" s="57"/>
      <c r="K425" s="60" t="s">
        <v>107</v>
      </c>
      <c r="L425" s="57"/>
      <c r="M425" s="57"/>
      <c r="N425" s="57"/>
      <c r="O425" s="57"/>
      <c r="P425" s="57"/>
      <c r="Q425" s="57"/>
      <c r="R425" s="61"/>
      <c r="S425" s="61"/>
      <c r="T425" s="61"/>
      <c r="U425" s="61"/>
      <c r="V425" s="61"/>
    </row>
    <row r="426">
      <c r="A426" s="57"/>
      <c r="B426" s="8" t="str">
        <f t="shared" si="1"/>
        <v>236146</v>
      </c>
      <c r="C426" s="58" t="s">
        <v>395</v>
      </c>
      <c r="D426" s="58" t="s">
        <v>396</v>
      </c>
      <c r="E426" s="59">
        <v>0.0267</v>
      </c>
      <c r="F426" s="60" t="s">
        <v>18</v>
      </c>
      <c r="G426" s="57"/>
      <c r="H426" s="57"/>
      <c r="I426" s="57"/>
      <c r="J426" s="57"/>
      <c r="K426" s="60" t="s">
        <v>107</v>
      </c>
      <c r="L426" s="57"/>
      <c r="M426" s="57"/>
      <c r="N426" s="57"/>
      <c r="O426" s="57"/>
      <c r="P426" s="57"/>
      <c r="Q426" s="57"/>
      <c r="R426" s="61"/>
      <c r="S426" s="61"/>
      <c r="T426" s="61"/>
      <c r="U426" s="61"/>
      <c r="V426" s="61"/>
    </row>
    <row r="427">
      <c r="A427" s="15">
        <v>46275.834679328706</v>
      </c>
      <c r="B427" s="8" t="str">
        <f t="shared" si="1"/>
        <v>237932</v>
      </c>
      <c r="C427" s="23" t="s">
        <v>321</v>
      </c>
      <c r="D427" s="23" t="s">
        <v>17</v>
      </c>
      <c r="E427" s="42">
        <v>0.6</v>
      </c>
      <c r="F427" s="12" t="s">
        <v>18</v>
      </c>
      <c r="G427" s="12">
        <v>47.19</v>
      </c>
      <c r="H427" s="12">
        <v>43.81</v>
      </c>
      <c r="I427" s="12">
        <v>147.39</v>
      </c>
      <c r="J427" s="12">
        <v>146.95</v>
      </c>
      <c r="K427" s="12" t="s">
        <v>107</v>
      </c>
      <c r="L427" s="12">
        <v>47.4</v>
      </c>
      <c r="M427" s="12">
        <v>43.95</v>
      </c>
      <c r="N427" s="12">
        <v>147.63</v>
      </c>
      <c r="O427" s="12">
        <v>147.29</v>
      </c>
      <c r="P427" s="8"/>
      <c r="Q427" s="12" t="s">
        <v>214</v>
      </c>
      <c r="R427" s="6"/>
      <c r="S427" s="6"/>
      <c r="T427" s="6"/>
      <c r="U427" s="6"/>
      <c r="V427" s="6"/>
    </row>
    <row r="428">
      <c r="A428" s="15">
        <v>46275.83924706018</v>
      </c>
      <c r="B428" s="8" t="str">
        <f t="shared" si="1"/>
        <v>234768</v>
      </c>
      <c r="C428" s="22" t="s">
        <v>200</v>
      </c>
      <c r="D428" s="22" t="s">
        <v>17</v>
      </c>
      <c r="E428" s="43">
        <v>0.4211</v>
      </c>
      <c r="F428" s="12" t="s">
        <v>18</v>
      </c>
      <c r="G428" s="12">
        <v>54.34</v>
      </c>
      <c r="H428" s="12">
        <v>40.26</v>
      </c>
      <c r="I428" s="12">
        <v>151.02</v>
      </c>
      <c r="J428" s="12">
        <v>150.81</v>
      </c>
      <c r="K428" s="12" t="s">
        <v>107</v>
      </c>
      <c r="L428" s="12">
        <v>54.45</v>
      </c>
      <c r="M428" s="12">
        <v>40.37</v>
      </c>
      <c r="N428" s="12">
        <v>151.38</v>
      </c>
      <c r="O428" s="12">
        <v>151.16</v>
      </c>
      <c r="P428" s="8"/>
      <c r="Q428" s="12" t="s">
        <v>214</v>
      </c>
      <c r="R428" s="6"/>
      <c r="S428" s="6"/>
      <c r="T428" s="6"/>
      <c r="U428" s="6"/>
      <c r="V428" s="6"/>
    </row>
    <row r="429">
      <c r="A429" s="15">
        <v>46275.84088592592</v>
      </c>
      <c r="B429" s="8" t="str">
        <f t="shared" si="1"/>
        <v>234791</v>
      </c>
      <c r="C429" s="23" t="s">
        <v>259</v>
      </c>
      <c r="D429" s="23" t="s">
        <v>17</v>
      </c>
      <c r="E429" s="42">
        <v>0.2813</v>
      </c>
      <c r="F429" s="12" t="s">
        <v>18</v>
      </c>
      <c r="G429" s="12">
        <v>50.13</v>
      </c>
      <c r="H429" s="12">
        <v>42.29</v>
      </c>
      <c r="I429" s="12">
        <v>149.56</v>
      </c>
      <c r="J429" s="12">
        <v>149.5</v>
      </c>
      <c r="K429" s="12" t="s">
        <v>107</v>
      </c>
      <c r="L429" s="12">
        <v>50.29</v>
      </c>
      <c r="M429" s="12">
        <v>42.45</v>
      </c>
      <c r="N429" s="12">
        <v>150.08</v>
      </c>
      <c r="O429" s="12">
        <v>150.01</v>
      </c>
      <c r="P429" s="8"/>
      <c r="Q429" s="12" t="s">
        <v>214</v>
      </c>
      <c r="R429" s="6"/>
      <c r="S429" s="6"/>
      <c r="T429" s="6"/>
      <c r="U429" s="6"/>
      <c r="V429" s="6"/>
    </row>
    <row r="430">
      <c r="A430" s="15">
        <v>46275.84323503472</v>
      </c>
      <c r="B430" s="8" t="str">
        <f t="shared" si="1"/>
        <v>234804</v>
      </c>
      <c r="C430" s="22" t="s">
        <v>397</v>
      </c>
      <c r="D430" s="22" t="s">
        <v>17</v>
      </c>
      <c r="E430" s="43">
        <v>0.2632</v>
      </c>
      <c r="F430" s="12" t="s">
        <v>18</v>
      </c>
      <c r="G430" s="12">
        <v>50.48</v>
      </c>
      <c r="H430" s="12">
        <v>42.41</v>
      </c>
      <c r="I430" s="12">
        <v>150.26</v>
      </c>
      <c r="J430" s="12">
        <v>151.97</v>
      </c>
      <c r="K430" s="12" t="s">
        <v>107</v>
      </c>
      <c r="L430" s="12">
        <v>51.09</v>
      </c>
      <c r="M430" s="12">
        <v>42.65</v>
      </c>
      <c r="N430" s="12">
        <v>151.55</v>
      </c>
      <c r="O430" s="12">
        <v>151.31</v>
      </c>
      <c r="P430" s="8"/>
      <c r="Q430" s="12" t="s">
        <v>214</v>
      </c>
      <c r="R430" s="6"/>
      <c r="S430" s="6"/>
      <c r="T430" s="6"/>
      <c r="U430" s="6"/>
      <c r="V430" s="6"/>
    </row>
    <row r="431">
      <c r="A431" s="15">
        <v>46275.846170324076</v>
      </c>
      <c r="B431" s="8" t="str">
        <f t="shared" si="1"/>
        <v>242762</v>
      </c>
      <c r="C431" s="23" t="s">
        <v>398</v>
      </c>
      <c r="D431" s="23" t="s">
        <v>17</v>
      </c>
      <c r="E431" s="42">
        <v>0.1818</v>
      </c>
      <c r="F431" s="12" t="s">
        <v>18</v>
      </c>
      <c r="G431" s="12">
        <v>49.86</v>
      </c>
      <c r="H431" s="12">
        <v>39.3</v>
      </c>
      <c r="I431" s="12">
        <v>148.41</v>
      </c>
      <c r="J431" s="12">
        <v>148.19</v>
      </c>
      <c r="K431" s="12" t="s">
        <v>107</v>
      </c>
      <c r="L431" s="12">
        <v>49.98</v>
      </c>
      <c r="M431" s="12">
        <v>39.46</v>
      </c>
      <c r="N431" s="12">
        <v>148.77</v>
      </c>
      <c r="O431" s="12">
        <v>148.43</v>
      </c>
      <c r="P431" s="8"/>
      <c r="Q431" s="12" t="s">
        <v>214</v>
      </c>
      <c r="R431" s="6"/>
      <c r="S431" s="6"/>
      <c r="T431" s="6"/>
      <c r="U431" s="6"/>
      <c r="V431" s="6"/>
    </row>
    <row r="432">
      <c r="A432" s="15">
        <v>46275.849534988425</v>
      </c>
      <c r="B432" s="8" t="str">
        <f t="shared" si="1"/>
        <v>246815</v>
      </c>
      <c r="C432" s="22" t="s">
        <v>254</v>
      </c>
      <c r="D432" s="22" t="s">
        <v>17</v>
      </c>
      <c r="E432" s="43">
        <v>0.1667</v>
      </c>
      <c r="F432" s="12" t="s">
        <v>18</v>
      </c>
      <c r="G432" s="12">
        <v>56.32</v>
      </c>
      <c r="H432" s="12">
        <v>36.86</v>
      </c>
      <c r="I432" s="12">
        <v>153.24</v>
      </c>
      <c r="J432" s="12">
        <v>153.24</v>
      </c>
      <c r="K432" s="12" t="s">
        <v>107</v>
      </c>
      <c r="L432" s="12">
        <v>56.45</v>
      </c>
      <c r="M432" s="12">
        <v>36.98</v>
      </c>
      <c r="N432" s="12">
        <v>153.65</v>
      </c>
      <c r="O432" s="12">
        <v>153.65</v>
      </c>
      <c r="P432" s="8"/>
      <c r="Q432" s="12" t="s">
        <v>214</v>
      </c>
      <c r="R432" s="6"/>
      <c r="S432" s="6"/>
      <c r="T432" s="6"/>
      <c r="U432" s="6"/>
      <c r="V432" s="6"/>
    </row>
    <row r="433">
      <c r="A433" s="15">
        <v>46275.85189255787</v>
      </c>
      <c r="B433" s="8" t="str">
        <f t="shared" si="1"/>
        <v>245915</v>
      </c>
      <c r="C433" s="23" t="s">
        <v>298</v>
      </c>
      <c r="D433" s="23" t="s">
        <v>17</v>
      </c>
      <c r="E433" s="42">
        <v>0.1163</v>
      </c>
      <c r="F433" s="12" t="s">
        <v>18</v>
      </c>
      <c r="G433" s="12">
        <v>53.49</v>
      </c>
      <c r="H433" s="12">
        <v>42.65</v>
      </c>
      <c r="I433" s="12">
        <v>159.42</v>
      </c>
      <c r="J433" s="12">
        <v>158.92</v>
      </c>
      <c r="K433" s="12" t="s">
        <v>107</v>
      </c>
      <c r="L433" s="12">
        <v>53.58</v>
      </c>
      <c r="M433" s="12">
        <v>42.75</v>
      </c>
      <c r="N433" s="12">
        <v>159.73</v>
      </c>
      <c r="O433" s="12">
        <v>159.55</v>
      </c>
      <c r="P433" s="8"/>
      <c r="Q433" s="12" t="s">
        <v>214</v>
      </c>
      <c r="R433" s="6"/>
      <c r="S433" s="6"/>
      <c r="T433" s="6"/>
      <c r="U433" s="6"/>
      <c r="V433" s="6"/>
    </row>
    <row r="434">
      <c r="A434" s="15">
        <v>46275.854109085645</v>
      </c>
      <c r="B434" s="8" t="str">
        <f t="shared" si="1"/>
        <v>242175</v>
      </c>
      <c r="C434" s="22" t="s">
        <v>333</v>
      </c>
      <c r="D434" s="22" t="s">
        <v>17</v>
      </c>
      <c r="E434" s="43">
        <v>0.1034</v>
      </c>
      <c r="F434" s="12" t="s">
        <v>18</v>
      </c>
      <c r="G434" s="12">
        <v>53.3</v>
      </c>
      <c r="H434" s="12">
        <v>39.9</v>
      </c>
      <c r="I434" s="12">
        <v>158.62</v>
      </c>
      <c r="J434" s="12">
        <v>158.81</v>
      </c>
      <c r="K434" s="12" t="s">
        <v>107</v>
      </c>
      <c r="L434" s="12">
        <v>53.42</v>
      </c>
      <c r="M434" s="12">
        <v>40.19</v>
      </c>
      <c r="N434" s="12">
        <v>159.32</v>
      </c>
      <c r="O434" s="12">
        <v>158.7</v>
      </c>
      <c r="P434" s="8"/>
      <c r="Q434" s="12" t="s">
        <v>214</v>
      </c>
      <c r="R434" s="6"/>
      <c r="S434" s="6"/>
      <c r="T434" s="6"/>
      <c r="U434" s="6"/>
      <c r="V434" s="6"/>
    </row>
    <row r="435">
      <c r="A435" s="15">
        <v>46275.855883807875</v>
      </c>
      <c r="B435" s="8" t="str">
        <f t="shared" si="1"/>
        <v>234791</v>
      </c>
      <c r="C435" s="23" t="s">
        <v>201</v>
      </c>
      <c r="D435" s="23" t="s">
        <v>17</v>
      </c>
      <c r="E435" s="42">
        <v>0.1</v>
      </c>
      <c r="F435" s="12" t="s">
        <v>18</v>
      </c>
      <c r="G435" s="12">
        <v>50.11</v>
      </c>
      <c r="H435" s="12">
        <v>42.16</v>
      </c>
      <c r="I435" s="12">
        <v>149.73</v>
      </c>
      <c r="J435" s="12">
        <v>149.24</v>
      </c>
      <c r="K435" s="12" t="s">
        <v>107</v>
      </c>
      <c r="L435" s="12">
        <v>50.15</v>
      </c>
      <c r="M435" s="12">
        <v>42.22</v>
      </c>
      <c r="N435" s="12">
        <v>149.89</v>
      </c>
      <c r="O435" s="12">
        <v>149.77</v>
      </c>
      <c r="P435" s="8"/>
      <c r="Q435" s="12" t="s">
        <v>214</v>
      </c>
      <c r="R435" s="6"/>
      <c r="S435" s="6"/>
      <c r="T435" s="6"/>
      <c r="U435" s="6"/>
      <c r="V435" s="6"/>
    </row>
    <row r="436">
      <c r="A436" s="8"/>
      <c r="B436" s="8" t="str">
        <f t="shared" si="1"/>
        <v>241832</v>
      </c>
      <c r="C436" s="22" t="s">
        <v>399</v>
      </c>
      <c r="D436" s="22" t="s">
        <v>17</v>
      </c>
      <c r="E436" s="43">
        <v>0.0909</v>
      </c>
      <c r="F436" s="12" t="s">
        <v>18</v>
      </c>
      <c r="G436" s="8"/>
      <c r="H436" s="8"/>
      <c r="I436" s="8"/>
      <c r="J436" s="8"/>
      <c r="K436" s="12" t="s">
        <v>107</v>
      </c>
      <c r="L436" s="8"/>
      <c r="M436" s="8"/>
      <c r="N436" s="8"/>
      <c r="O436" s="8"/>
      <c r="P436" s="8"/>
      <c r="Q436" s="12" t="s">
        <v>214</v>
      </c>
      <c r="R436" s="6"/>
      <c r="S436" s="6"/>
      <c r="T436" s="6"/>
      <c r="U436" s="6"/>
      <c r="V436" s="6"/>
    </row>
    <row r="437">
      <c r="A437" s="8"/>
      <c r="B437" s="8" t="str">
        <f t="shared" si="1"/>
        <v>245622</v>
      </c>
      <c r="C437" s="23" t="s">
        <v>400</v>
      </c>
      <c r="D437" s="23" t="s">
        <v>17</v>
      </c>
      <c r="E437" s="42">
        <v>0.05</v>
      </c>
      <c r="F437" s="12" t="s">
        <v>18</v>
      </c>
      <c r="G437" s="8"/>
      <c r="H437" s="8"/>
      <c r="I437" s="8"/>
      <c r="J437" s="8"/>
      <c r="K437" s="12" t="s">
        <v>107</v>
      </c>
      <c r="L437" s="8"/>
      <c r="M437" s="8"/>
      <c r="N437" s="8"/>
      <c r="O437" s="8"/>
      <c r="P437" s="8"/>
      <c r="Q437" s="12" t="s">
        <v>214</v>
      </c>
      <c r="R437" s="6"/>
      <c r="S437" s="6"/>
      <c r="T437" s="6"/>
      <c r="U437" s="6"/>
      <c r="V437" s="6"/>
    </row>
    <row r="438">
      <c r="A438" s="8"/>
      <c r="B438" s="8" t="str">
        <f t="shared" si="1"/>
        <v>215378</v>
      </c>
      <c r="C438" s="22" t="s">
        <v>401</v>
      </c>
      <c r="D438" s="22" t="s">
        <v>402</v>
      </c>
      <c r="E438" s="43">
        <v>0.0526</v>
      </c>
      <c r="F438" s="12" t="s">
        <v>18</v>
      </c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30"/>
      <c r="S438" s="6"/>
      <c r="T438" s="6"/>
      <c r="U438" s="6"/>
      <c r="V438" s="6"/>
    </row>
    <row r="439">
      <c r="A439" s="8"/>
      <c r="B439" s="8" t="str">
        <f t="shared" si="1"/>
        <v>241100</v>
      </c>
      <c r="C439" s="23" t="s">
        <v>403</v>
      </c>
      <c r="D439" s="23" t="s">
        <v>402</v>
      </c>
      <c r="E439" s="42">
        <v>0.0476</v>
      </c>
      <c r="F439" s="12" t="s">
        <v>18</v>
      </c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30"/>
      <c r="S439" s="6"/>
      <c r="T439" s="6"/>
      <c r="U439" s="6"/>
      <c r="V439" s="6"/>
    </row>
    <row r="440">
      <c r="A440" s="8"/>
      <c r="B440" s="8" t="str">
        <f t="shared" si="1"/>
        <v>225123</v>
      </c>
      <c r="C440" s="22" t="s">
        <v>404</v>
      </c>
      <c r="D440" s="22" t="s">
        <v>402</v>
      </c>
      <c r="E440" s="43">
        <v>0.0476</v>
      </c>
      <c r="F440" s="12" t="s">
        <v>18</v>
      </c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30"/>
      <c r="S440" s="6"/>
      <c r="T440" s="6"/>
      <c r="U440" s="6"/>
      <c r="V440" s="6"/>
    </row>
    <row r="441">
      <c r="A441" s="8"/>
      <c r="B441" s="8" t="str">
        <f t="shared" si="1"/>
        <v>222135</v>
      </c>
      <c r="C441" s="23" t="s">
        <v>405</v>
      </c>
      <c r="D441" s="23" t="s">
        <v>402</v>
      </c>
      <c r="E441" s="42">
        <v>0.0294</v>
      </c>
      <c r="F441" s="12" t="s">
        <v>18</v>
      </c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30"/>
      <c r="S441" s="6"/>
      <c r="T441" s="6"/>
      <c r="U441" s="6"/>
      <c r="V441" s="6"/>
    </row>
    <row r="442">
      <c r="A442" s="15">
        <v>46275.798928530094</v>
      </c>
      <c r="B442" s="8" t="str">
        <f t="shared" si="1"/>
        <v>212873</v>
      </c>
      <c r="C442" s="10" t="s">
        <v>406</v>
      </c>
      <c r="D442" s="10" t="s">
        <v>17</v>
      </c>
      <c r="E442" s="9"/>
      <c r="F442" s="12" t="s">
        <v>18</v>
      </c>
      <c r="G442" s="12">
        <v>54.48</v>
      </c>
      <c r="H442" s="12">
        <v>43.33</v>
      </c>
      <c r="I442" s="12">
        <v>163.04</v>
      </c>
      <c r="J442" s="12">
        <v>163.08</v>
      </c>
      <c r="K442" s="12" t="s">
        <v>19</v>
      </c>
      <c r="L442" s="12">
        <v>54.9</v>
      </c>
      <c r="M442" s="12">
        <v>43.53</v>
      </c>
      <c r="N442" s="12">
        <v>163.77</v>
      </c>
      <c r="O442" s="12">
        <v>163.89</v>
      </c>
      <c r="P442" s="8"/>
      <c r="Q442" s="12" t="s">
        <v>42</v>
      </c>
      <c r="R442" s="6"/>
      <c r="S442" s="6"/>
      <c r="T442" s="6"/>
      <c r="U442" s="6"/>
      <c r="V442" s="6"/>
    </row>
    <row r="443">
      <c r="A443" s="15">
        <v>46275.88539927083</v>
      </c>
      <c r="B443" s="8" t="str">
        <f t="shared" si="1"/>
        <v>255858</v>
      </c>
      <c r="C443" s="10" t="s">
        <v>407</v>
      </c>
      <c r="D443" s="10" t="s">
        <v>323</v>
      </c>
      <c r="E443" s="9"/>
      <c r="F443" s="12" t="s">
        <v>18</v>
      </c>
      <c r="G443" s="12">
        <v>51.09</v>
      </c>
      <c r="H443" s="12">
        <v>41.41</v>
      </c>
      <c r="I443" s="12">
        <v>154.07</v>
      </c>
      <c r="J443" s="12">
        <v>154.07</v>
      </c>
      <c r="K443" s="12" t="s">
        <v>19</v>
      </c>
      <c r="L443" s="8"/>
      <c r="M443" s="8"/>
      <c r="N443" s="8"/>
      <c r="O443" s="8"/>
      <c r="P443" s="8"/>
      <c r="Q443" s="8"/>
      <c r="R443" s="6"/>
      <c r="S443" s="6"/>
      <c r="T443" s="6"/>
      <c r="U443" s="6"/>
      <c r="V443" s="6"/>
    </row>
    <row r="444">
      <c r="A444" s="15">
        <v>46275.88910515046</v>
      </c>
      <c r="B444" s="8" t="str">
        <f t="shared" si="1"/>
        <v>230537</v>
      </c>
      <c r="C444" s="10" t="s">
        <v>408</v>
      </c>
      <c r="D444" s="10" t="s">
        <v>17</v>
      </c>
      <c r="E444" s="9"/>
      <c r="F444" s="12" t="s">
        <v>18</v>
      </c>
      <c r="G444" s="12">
        <v>51.42</v>
      </c>
      <c r="H444" s="12">
        <v>36.66</v>
      </c>
      <c r="I444" s="12">
        <v>148.69</v>
      </c>
      <c r="J444" s="12">
        <v>148.69</v>
      </c>
      <c r="K444" s="12" t="s">
        <v>19</v>
      </c>
      <c r="L444" s="8"/>
      <c r="M444" s="8"/>
      <c r="N444" s="8"/>
      <c r="O444" s="8"/>
      <c r="P444" s="8"/>
      <c r="Q444" s="8"/>
      <c r="R444" s="6"/>
      <c r="S444" s="6"/>
      <c r="T444" s="6"/>
      <c r="U444" s="6"/>
      <c r="V444" s="6"/>
    </row>
    <row r="445">
      <c r="A445" s="15">
        <v>46276.36126642361</v>
      </c>
      <c r="B445" s="8" t="str">
        <f t="shared" si="1"/>
        <v>206127</v>
      </c>
      <c r="C445" s="10" t="s">
        <v>409</v>
      </c>
      <c r="D445" s="10" t="s">
        <v>17</v>
      </c>
      <c r="E445" s="9"/>
      <c r="F445" s="12" t="s">
        <v>18</v>
      </c>
      <c r="G445" s="12">
        <v>51.59</v>
      </c>
      <c r="H445" s="12">
        <v>41.15</v>
      </c>
      <c r="I445" s="12">
        <v>153.49</v>
      </c>
      <c r="J445" s="12">
        <v>153.49</v>
      </c>
      <c r="K445" s="12" t="s">
        <v>19</v>
      </c>
      <c r="L445" s="12">
        <v>52.4</v>
      </c>
      <c r="M445" s="12">
        <v>41.9</v>
      </c>
      <c r="N445" s="12">
        <v>156.44</v>
      </c>
      <c r="O445" s="12">
        <v>156.44</v>
      </c>
      <c r="P445" s="12" t="s">
        <v>17</v>
      </c>
      <c r="Q445" s="12" t="s">
        <v>20</v>
      </c>
      <c r="R445" s="6"/>
      <c r="S445" s="6"/>
      <c r="T445" s="6"/>
      <c r="U445" s="6"/>
      <c r="V445" s="6"/>
    </row>
    <row r="446">
      <c r="A446" s="15">
        <v>46276.43286774306</v>
      </c>
      <c r="B446" s="8" t="str">
        <f t="shared" si="1"/>
        <v>242597</v>
      </c>
      <c r="C446" s="10" t="s">
        <v>410</v>
      </c>
      <c r="D446" s="10" t="s">
        <v>22</v>
      </c>
      <c r="E446" s="9"/>
      <c r="F446" s="12" t="s">
        <v>18</v>
      </c>
      <c r="G446" s="12">
        <v>49.76</v>
      </c>
      <c r="H446" s="12">
        <v>41.47</v>
      </c>
      <c r="I446" s="12">
        <v>149.42</v>
      </c>
      <c r="J446" s="12">
        <v>149.42</v>
      </c>
      <c r="K446" s="12" t="s">
        <v>19</v>
      </c>
      <c r="L446" s="12">
        <v>49.09</v>
      </c>
      <c r="M446" s="12">
        <v>41.79</v>
      </c>
      <c r="N446" s="12">
        <v>148.46</v>
      </c>
      <c r="O446" s="12">
        <v>148.46</v>
      </c>
      <c r="P446" s="12" t="s">
        <v>143</v>
      </c>
      <c r="Q446" s="12" t="s">
        <v>20</v>
      </c>
      <c r="R446" s="6"/>
      <c r="S446" s="6"/>
      <c r="T446" s="6"/>
      <c r="U446" s="6"/>
      <c r="V446" s="6"/>
    </row>
    <row r="447">
      <c r="A447" s="15">
        <v>46276.57078204861</v>
      </c>
      <c r="B447" s="8" t="str">
        <f t="shared" si="1"/>
        <v>207671</v>
      </c>
      <c r="C447" s="10" t="s">
        <v>411</v>
      </c>
      <c r="D447" s="10" t="s">
        <v>17</v>
      </c>
      <c r="E447" s="9"/>
      <c r="F447" s="12" t="s">
        <v>18</v>
      </c>
      <c r="G447" s="12">
        <v>52.19</v>
      </c>
      <c r="H447" s="12">
        <v>43.16</v>
      </c>
      <c r="I447" s="12">
        <v>155.77</v>
      </c>
      <c r="J447" s="12">
        <v>155.77</v>
      </c>
      <c r="K447" s="12" t="s">
        <v>19</v>
      </c>
      <c r="L447" s="12">
        <v>50.71</v>
      </c>
      <c r="M447" s="12">
        <v>42.99</v>
      </c>
      <c r="N447" s="12">
        <v>153.73</v>
      </c>
      <c r="O447" s="12">
        <v>153.7</v>
      </c>
      <c r="P447" s="12" t="s">
        <v>17</v>
      </c>
      <c r="Q447" s="12" t="s">
        <v>20</v>
      </c>
      <c r="R447" s="6"/>
      <c r="S447" s="6"/>
      <c r="T447" s="6"/>
      <c r="U447" s="6"/>
      <c r="V447" s="6"/>
    </row>
    <row r="448">
      <c r="A448" s="15">
        <v>46276.57750368056</v>
      </c>
      <c r="B448" s="8" t="str">
        <f t="shared" si="1"/>
        <v>241854</v>
      </c>
      <c r="C448" s="10">
        <v>241854.0</v>
      </c>
      <c r="D448" s="10" t="s">
        <v>17</v>
      </c>
      <c r="E448" s="9"/>
      <c r="F448" s="12" t="s">
        <v>18</v>
      </c>
      <c r="G448" s="12">
        <v>50.38</v>
      </c>
      <c r="H448" s="12">
        <v>39.91</v>
      </c>
      <c r="I448" s="12">
        <v>152.02</v>
      </c>
      <c r="J448" s="12">
        <v>152.69</v>
      </c>
      <c r="K448" s="12" t="s">
        <v>19</v>
      </c>
      <c r="L448" s="12">
        <v>50.8</v>
      </c>
      <c r="M448" s="12">
        <v>40.05</v>
      </c>
      <c r="N448" s="12">
        <v>153.25</v>
      </c>
      <c r="O448" s="12">
        <v>154.0</v>
      </c>
      <c r="P448" s="12" t="s">
        <v>17</v>
      </c>
      <c r="Q448" s="12" t="s">
        <v>20</v>
      </c>
      <c r="R448" s="6"/>
      <c r="S448" s="6"/>
      <c r="T448" s="6"/>
      <c r="U448" s="6"/>
      <c r="V448" s="6"/>
    </row>
    <row r="449">
      <c r="A449" s="15">
        <v>46276.57882388889</v>
      </c>
      <c r="B449" s="8" t="str">
        <f t="shared" si="1"/>
        <v>244257</v>
      </c>
      <c r="C449" s="10" t="s">
        <v>412</v>
      </c>
      <c r="D449" s="10" t="s">
        <v>22</v>
      </c>
      <c r="E449" s="9"/>
      <c r="F449" s="12" t="s">
        <v>18</v>
      </c>
      <c r="G449" s="12">
        <v>51.28</v>
      </c>
      <c r="H449" s="12">
        <v>43.12</v>
      </c>
      <c r="I449" s="12">
        <v>154.76</v>
      </c>
      <c r="J449" s="12">
        <v>156.57</v>
      </c>
      <c r="K449" s="12" t="s">
        <v>19</v>
      </c>
      <c r="L449" s="12">
        <v>51.3</v>
      </c>
      <c r="M449" s="12">
        <v>43.23</v>
      </c>
      <c r="N449" s="12">
        <v>154.58</v>
      </c>
      <c r="O449" s="12">
        <v>154.58</v>
      </c>
      <c r="P449" s="12" t="s">
        <v>143</v>
      </c>
      <c r="Q449" s="12" t="s">
        <v>20</v>
      </c>
      <c r="R449" s="6"/>
      <c r="S449" s="6"/>
      <c r="T449" s="6"/>
      <c r="U449" s="6"/>
      <c r="V449" s="6"/>
    </row>
    <row r="450">
      <c r="A450" s="15">
        <v>46276.58320253472</v>
      </c>
      <c r="B450" s="8" t="str">
        <f t="shared" si="1"/>
        <v>241185</v>
      </c>
      <c r="C450" s="10" t="s">
        <v>413</v>
      </c>
      <c r="D450" s="10" t="s">
        <v>17</v>
      </c>
      <c r="E450" s="9"/>
      <c r="F450" s="12" t="s">
        <v>18</v>
      </c>
      <c r="G450" s="12">
        <v>49.94</v>
      </c>
      <c r="H450" s="12">
        <v>39.21</v>
      </c>
      <c r="I450" s="12">
        <v>148.29</v>
      </c>
      <c r="J450" s="12">
        <v>148.5</v>
      </c>
      <c r="K450" s="12" t="s">
        <v>19</v>
      </c>
      <c r="L450" s="12">
        <v>49.93</v>
      </c>
      <c r="M450" s="12">
        <v>39.15</v>
      </c>
      <c r="N450" s="12">
        <v>148.37</v>
      </c>
      <c r="O450" s="12">
        <v>148.44</v>
      </c>
      <c r="P450" s="12" t="s">
        <v>17</v>
      </c>
      <c r="Q450" s="12" t="s">
        <v>20</v>
      </c>
      <c r="R450" s="6"/>
      <c r="S450" s="6"/>
      <c r="T450" s="6"/>
      <c r="U450" s="6"/>
      <c r="V450" s="6"/>
    </row>
    <row r="451">
      <c r="A451" s="15">
        <v>46277.579756562496</v>
      </c>
      <c r="B451" s="8" t="str">
        <f t="shared" si="1"/>
        <v>241673</v>
      </c>
      <c r="C451" s="10">
        <v>241673.0</v>
      </c>
      <c r="D451" s="10" t="s">
        <v>17</v>
      </c>
      <c r="E451" s="9"/>
      <c r="F451" s="12" t="s">
        <v>18</v>
      </c>
      <c r="G451" s="12">
        <v>54.32</v>
      </c>
      <c r="H451" s="12">
        <v>43.24</v>
      </c>
      <c r="I451" s="12">
        <v>163.2</v>
      </c>
      <c r="J451" s="12">
        <v>163.2</v>
      </c>
      <c r="K451" s="12" t="s">
        <v>19</v>
      </c>
      <c r="L451" s="12">
        <v>54.47</v>
      </c>
      <c r="M451" s="12">
        <v>44.14</v>
      </c>
      <c r="N451" s="12">
        <v>163.9</v>
      </c>
      <c r="O451" s="12">
        <v>164.2</v>
      </c>
      <c r="P451" s="12" t="s">
        <v>17</v>
      </c>
      <c r="Q451" s="12" t="s">
        <v>20</v>
      </c>
      <c r="R451" s="6"/>
      <c r="S451" s="6"/>
      <c r="T451" s="6"/>
      <c r="U451" s="6"/>
      <c r="V451" s="6"/>
    </row>
    <row r="452">
      <c r="A452" s="15">
        <v>46277.759788043986</v>
      </c>
      <c r="B452" s="8" t="str">
        <f t="shared" si="1"/>
        <v>241094</v>
      </c>
      <c r="C452" s="23" t="s">
        <v>414</v>
      </c>
      <c r="D452" s="23" t="s">
        <v>32</v>
      </c>
      <c r="E452" s="42">
        <v>0.16</v>
      </c>
      <c r="F452" s="12" t="s">
        <v>18</v>
      </c>
      <c r="G452" s="12">
        <v>54.93</v>
      </c>
      <c r="H452" s="12">
        <v>45.11</v>
      </c>
      <c r="I452" s="12">
        <v>160.6</v>
      </c>
      <c r="J452" s="12">
        <v>160.4</v>
      </c>
      <c r="K452" s="12" t="s">
        <v>107</v>
      </c>
      <c r="L452" s="12">
        <v>54.87</v>
      </c>
      <c r="M452" s="12">
        <v>45.07</v>
      </c>
      <c r="N452" s="12">
        <v>160.58</v>
      </c>
      <c r="O452" s="12">
        <v>160.35</v>
      </c>
      <c r="P452" s="8"/>
      <c r="Q452" s="12" t="s">
        <v>90</v>
      </c>
      <c r="R452" s="6"/>
      <c r="S452" s="6"/>
      <c r="T452" s="6"/>
      <c r="U452" s="6"/>
      <c r="V452" s="6"/>
    </row>
    <row r="453">
      <c r="A453" s="28"/>
      <c r="B453" s="8" t="str">
        <f t="shared" si="1"/>
        <v>234791</v>
      </c>
      <c r="C453" s="62" t="s">
        <v>262</v>
      </c>
      <c r="D453" s="62" t="s">
        <v>32</v>
      </c>
      <c r="E453" s="63">
        <v>0.1333</v>
      </c>
      <c r="F453" s="29" t="s">
        <v>18</v>
      </c>
      <c r="G453" s="28"/>
      <c r="H453" s="28"/>
      <c r="I453" s="28"/>
      <c r="J453" s="28"/>
      <c r="K453" s="29" t="s">
        <v>107</v>
      </c>
      <c r="L453" s="28"/>
      <c r="M453" s="28"/>
      <c r="N453" s="28"/>
      <c r="O453" s="28"/>
      <c r="P453" s="28"/>
      <c r="Q453" s="12" t="s">
        <v>90</v>
      </c>
      <c r="R453" s="30"/>
      <c r="S453" s="30"/>
      <c r="T453" s="30"/>
      <c r="U453" s="30"/>
      <c r="V453" s="30"/>
    </row>
    <row r="454">
      <c r="A454" s="15">
        <v>46277.76163075231</v>
      </c>
      <c r="B454" s="8" t="str">
        <f t="shared" si="1"/>
        <v>247138</v>
      </c>
      <c r="C454" s="23" t="s">
        <v>250</v>
      </c>
      <c r="D454" s="23" t="s">
        <v>32</v>
      </c>
      <c r="E454" s="42">
        <v>0.0556</v>
      </c>
      <c r="F454" s="12" t="s">
        <v>18</v>
      </c>
      <c r="G454" s="12">
        <v>53.38</v>
      </c>
      <c r="H454" s="12">
        <v>43.78</v>
      </c>
      <c r="I454" s="12">
        <v>161.58</v>
      </c>
      <c r="J454" s="12">
        <v>161.63</v>
      </c>
      <c r="K454" s="12" t="s">
        <v>107</v>
      </c>
      <c r="L454" s="12">
        <v>53.33</v>
      </c>
      <c r="M454" s="12">
        <v>43.72</v>
      </c>
      <c r="N454" s="12">
        <v>161.23</v>
      </c>
      <c r="O454" s="12">
        <v>160.97</v>
      </c>
      <c r="P454" s="8"/>
      <c r="Q454" s="12" t="s">
        <v>90</v>
      </c>
      <c r="R454" s="6"/>
      <c r="S454" s="6"/>
      <c r="T454" s="6"/>
      <c r="U454" s="6"/>
      <c r="V454" s="6"/>
    </row>
    <row r="455">
      <c r="A455" s="15">
        <v>46277.76228549768</v>
      </c>
      <c r="B455" s="8" t="str">
        <f t="shared" si="1"/>
        <v>206728</v>
      </c>
      <c r="C455" s="22" t="s">
        <v>415</v>
      </c>
      <c r="D455" s="22" t="s">
        <v>32</v>
      </c>
      <c r="E455" s="43">
        <v>0.0476</v>
      </c>
      <c r="F455" s="12" t="s">
        <v>18</v>
      </c>
      <c r="G455" s="12">
        <v>51.04</v>
      </c>
      <c r="H455" s="12">
        <v>34.73</v>
      </c>
      <c r="I455" s="12">
        <v>147.33</v>
      </c>
      <c r="J455" s="12">
        <v>147.72</v>
      </c>
      <c r="K455" s="12" t="s">
        <v>107</v>
      </c>
      <c r="L455" s="12">
        <v>50.97</v>
      </c>
      <c r="M455" s="12">
        <v>34.67</v>
      </c>
      <c r="N455" s="12">
        <v>147.3</v>
      </c>
      <c r="O455" s="12">
        <v>147.51</v>
      </c>
      <c r="P455" s="8"/>
      <c r="Q455" s="12" t="s">
        <v>90</v>
      </c>
      <c r="R455" s="6"/>
      <c r="S455" s="6"/>
      <c r="T455" s="6"/>
      <c r="U455" s="6"/>
      <c r="V455" s="6"/>
    </row>
    <row r="456">
      <c r="A456" s="15">
        <v>46277.76376311343</v>
      </c>
      <c r="B456" s="8" t="str">
        <f t="shared" si="1"/>
        <v>137934</v>
      </c>
      <c r="C456" s="39" t="s">
        <v>384</v>
      </c>
      <c r="D456" s="23" t="s">
        <v>32</v>
      </c>
      <c r="E456" s="42">
        <v>0.0448</v>
      </c>
      <c r="F456" s="12" t="s">
        <v>18</v>
      </c>
      <c r="G456" s="12">
        <v>53.45</v>
      </c>
      <c r="H456" s="12">
        <v>38.45</v>
      </c>
      <c r="I456" s="12">
        <v>147.65</v>
      </c>
      <c r="J456" s="12">
        <v>148.34</v>
      </c>
      <c r="K456" s="12" t="s">
        <v>107</v>
      </c>
      <c r="L456" s="12">
        <v>53.0</v>
      </c>
      <c r="M456" s="12">
        <v>38.3</v>
      </c>
      <c r="N456" s="12">
        <v>147.45</v>
      </c>
      <c r="O456" s="12">
        <v>147.61</v>
      </c>
      <c r="P456" s="8"/>
      <c r="Q456" s="12" t="s">
        <v>90</v>
      </c>
      <c r="R456" s="6"/>
      <c r="S456" s="6"/>
      <c r="T456" s="6"/>
      <c r="U456" s="6"/>
      <c r="V456" s="6"/>
    </row>
    <row r="457">
      <c r="A457" s="15">
        <v>46277.76500866898</v>
      </c>
      <c r="B457" s="8" t="str">
        <f t="shared" si="1"/>
        <v>240785</v>
      </c>
      <c r="C457" s="22" t="s">
        <v>416</v>
      </c>
      <c r="D457" s="22" t="s">
        <v>32</v>
      </c>
      <c r="E457" s="43">
        <v>0.0615</v>
      </c>
      <c r="F457" s="12" t="s">
        <v>18</v>
      </c>
      <c r="G457" s="12">
        <v>52.86</v>
      </c>
      <c r="H457" s="12">
        <v>41.9</v>
      </c>
      <c r="I457" s="12">
        <v>157.12</v>
      </c>
      <c r="J457" s="12">
        <v>157.24</v>
      </c>
      <c r="K457" s="12" t="s">
        <v>107</v>
      </c>
      <c r="L457" s="12">
        <v>52.79</v>
      </c>
      <c r="M457" s="12">
        <v>41.51</v>
      </c>
      <c r="N457" s="12">
        <v>156.49</v>
      </c>
      <c r="O457" s="12">
        <v>157.14</v>
      </c>
      <c r="P457" s="8"/>
      <c r="Q457" s="12" t="s">
        <v>90</v>
      </c>
      <c r="R457" s="6"/>
      <c r="S457" s="6"/>
      <c r="T457" s="6"/>
      <c r="U457" s="6"/>
      <c r="V457" s="6"/>
    </row>
    <row r="458">
      <c r="A458" s="15">
        <v>46277.823833946764</v>
      </c>
      <c r="B458" s="8" t="str">
        <f t="shared" si="1"/>
        <v>210433</v>
      </c>
      <c r="C458" s="23" t="s">
        <v>417</v>
      </c>
      <c r="D458" s="23" t="s">
        <v>32</v>
      </c>
      <c r="E458" s="42">
        <v>0.049</v>
      </c>
      <c r="F458" s="12" t="s">
        <v>18</v>
      </c>
      <c r="G458" s="12">
        <v>52.31</v>
      </c>
      <c r="H458" s="12">
        <v>34.97</v>
      </c>
      <c r="I458" s="12">
        <v>147.57</v>
      </c>
      <c r="J458" s="12">
        <v>147.49</v>
      </c>
      <c r="K458" s="12" t="s">
        <v>107</v>
      </c>
      <c r="L458" s="12">
        <v>52.12</v>
      </c>
      <c r="M458" s="12">
        <v>34.87</v>
      </c>
      <c r="N458" s="12">
        <v>147.23</v>
      </c>
      <c r="O458" s="35">
        <v>147.23</v>
      </c>
      <c r="P458" s="8"/>
      <c r="Q458" s="12" t="s">
        <v>90</v>
      </c>
      <c r="R458" s="6"/>
      <c r="S458" s="6"/>
      <c r="T458" s="6"/>
      <c r="U458" s="6"/>
      <c r="V458" s="6"/>
    </row>
    <row r="459">
      <c r="A459" s="28"/>
      <c r="B459" s="8" t="str">
        <f t="shared" si="1"/>
        <v>240000</v>
      </c>
      <c r="C459" s="62" t="s">
        <v>354</v>
      </c>
      <c r="D459" s="62" t="s">
        <v>307</v>
      </c>
      <c r="E459" s="63">
        <v>0.3333</v>
      </c>
      <c r="F459" s="29" t="s">
        <v>18</v>
      </c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12" t="s">
        <v>90</v>
      </c>
      <c r="R459" s="30"/>
      <c r="S459" s="30"/>
      <c r="T459" s="30"/>
      <c r="U459" s="30"/>
      <c r="V459" s="30"/>
    </row>
    <row r="460">
      <c r="A460" s="15">
        <v>46277.82456606481</v>
      </c>
      <c r="B460" s="8" t="str">
        <f t="shared" si="1"/>
        <v>245915</v>
      </c>
      <c r="C460" s="39" t="s">
        <v>298</v>
      </c>
      <c r="D460" s="23" t="s">
        <v>307</v>
      </c>
      <c r="E460" s="42">
        <v>0.0972</v>
      </c>
      <c r="F460" s="12" t="s">
        <v>18</v>
      </c>
      <c r="G460" s="12">
        <v>53.58</v>
      </c>
      <c r="H460" s="12">
        <v>42.75</v>
      </c>
      <c r="I460" s="12">
        <v>159.73</v>
      </c>
      <c r="J460" s="12">
        <v>159.55</v>
      </c>
      <c r="K460" s="12" t="s">
        <v>107</v>
      </c>
      <c r="L460" s="12">
        <v>53.52</v>
      </c>
      <c r="M460" s="12">
        <v>42.7</v>
      </c>
      <c r="N460" s="12">
        <v>159.55</v>
      </c>
      <c r="O460" s="12">
        <v>159.36</v>
      </c>
      <c r="P460" s="8"/>
      <c r="Q460" s="12" t="s">
        <v>90</v>
      </c>
      <c r="R460" s="6"/>
      <c r="S460" s="6"/>
      <c r="T460" s="6"/>
      <c r="U460" s="6"/>
      <c r="V460" s="6"/>
    </row>
    <row r="461">
      <c r="A461" s="15">
        <v>46277.82563438657</v>
      </c>
      <c r="B461" s="8" t="str">
        <f t="shared" si="1"/>
        <v>241093</v>
      </c>
      <c r="C461" s="22" t="s">
        <v>418</v>
      </c>
      <c r="D461" s="22" t="s">
        <v>382</v>
      </c>
      <c r="E461" s="43">
        <v>0.129</v>
      </c>
      <c r="F461" s="12" t="s">
        <v>18</v>
      </c>
      <c r="G461" s="12">
        <v>55.22</v>
      </c>
      <c r="H461" s="12">
        <v>44.9</v>
      </c>
      <c r="I461" s="12">
        <v>160.29</v>
      </c>
      <c r="J461" s="12">
        <v>160.46</v>
      </c>
      <c r="K461" s="12" t="s">
        <v>107</v>
      </c>
      <c r="L461" s="12">
        <v>54.92</v>
      </c>
      <c r="M461" s="12">
        <v>44.49</v>
      </c>
      <c r="N461" s="12">
        <v>159.67</v>
      </c>
      <c r="O461" s="12">
        <v>159.67</v>
      </c>
      <c r="P461" s="8"/>
      <c r="Q461" s="12" t="s">
        <v>90</v>
      </c>
      <c r="R461" s="6"/>
      <c r="S461" s="6"/>
      <c r="T461" s="6"/>
      <c r="U461" s="6"/>
      <c r="V461" s="6"/>
    </row>
    <row r="462">
      <c r="A462" s="15">
        <v>46277.826361898144</v>
      </c>
      <c r="B462" s="8" t="str">
        <f t="shared" si="1"/>
        <v>236141</v>
      </c>
      <c r="C462" s="39" t="s">
        <v>325</v>
      </c>
      <c r="D462" s="23" t="s">
        <v>382</v>
      </c>
      <c r="E462" s="42">
        <v>0.0444</v>
      </c>
      <c r="F462" s="12" t="s">
        <v>18</v>
      </c>
      <c r="G462" s="12">
        <v>53.7</v>
      </c>
      <c r="H462" s="12">
        <v>42.02</v>
      </c>
      <c r="I462" s="12">
        <v>158.12</v>
      </c>
      <c r="J462" s="12">
        <v>158.14</v>
      </c>
      <c r="K462" s="12" t="s">
        <v>107</v>
      </c>
      <c r="L462" s="12">
        <v>53.5</v>
      </c>
      <c r="M462" s="12">
        <v>41.71</v>
      </c>
      <c r="N462" s="12">
        <v>157.79</v>
      </c>
      <c r="O462" s="12">
        <v>157.65</v>
      </c>
      <c r="P462" s="8"/>
      <c r="Q462" s="12" t="s">
        <v>90</v>
      </c>
      <c r="R462" s="6"/>
      <c r="S462" s="6"/>
      <c r="T462" s="6"/>
      <c r="U462" s="6"/>
      <c r="V462" s="6"/>
    </row>
    <row r="463">
      <c r="A463" s="15">
        <v>46277.82764870371</v>
      </c>
      <c r="B463" s="8" t="str">
        <f t="shared" si="1"/>
        <v>241100</v>
      </c>
      <c r="C463" s="22" t="s">
        <v>419</v>
      </c>
      <c r="D463" s="22" t="s">
        <v>124</v>
      </c>
      <c r="E463" s="43">
        <v>0.0588</v>
      </c>
      <c r="F463" s="12" t="s">
        <v>18</v>
      </c>
      <c r="G463" s="12">
        <v>53.92</v>
      </c>
      <c r="H463" s="12">
        <v>42.36</v>
      </c>
      <c r="I463" s="12">
        <v>159.73</v>
      </c>
      <c r="J463" s="12">
        <v>159.73</v>
      </c>
      <c r="K463" s="12" t="s">
        <v>107</v>
      </c>
      <c r="L463" s="12">
        <v>53.79</v>
      </c>
      <c r="M463" s="12">
        <v>42.24</v>
      </c>
      <c r="N463" s="12">
        <v>159.57</v>
      </c>
      <c r="O463" s="12">
        <v>159.57</v>
      </c>
      <c r="P463" s="8"/>
      <c r="Q463" s="12" t="s">
        <v>90</v>
      </c>
      <c r="R463" s="6"/>
      <c r="S463" s="6"/>
      <c r="T463" s="6"/>
      <c r="U463" s="6"/>
      <c r="V463" s="6"/>
    </row>
    <row r="464">
      <c r="A464" s="57"/>
      <c r="B464" s="8" t="str">
        <f t="shared" si="1"/>
        <v>206728</v>
      </c>
      <c r="C464" s="58" t="s">
        <v>420</v>
      </c>
      <c r="D464" s="58" t="s">
        <v>392</v>
      </c>
      <c r="E464" s="59">
        <v>0.0638</v>
      </c>
      <c r="F464" s="60" t="s">
        <v>18</v>
      </c>
      <c r="G464" s="57"/>
      <c r="H464" s="57"/>
      <c r="I464" s="57"/>
      <c r="J464" s="57"/>
      <c r="K464" s="60" t="s">
        <v>107</v>
      </c>
      <c r="L464" s="57"/>
      <c r="M464" s="57"/>
      <c r="N464" s="57"/>
      <c r="O464" s="57"/>
      <c r="P464" s="57"/>
      <c r="Q464" s="60" t="s">
        <v>90</v>
      </c>
      <c r="R464" s="61"/>
      <c r="S464" s="61"/>
      <c r="T464" s="61"/>
      <c r="U464" s="61"/>
      <c r="V464" s="61"/>
    </row>
    <row r="465">
      <c r="A465" s="57"/>
      <c r="B465" s="8" t="str">
        <f t="shared" si="1"/>
        <v>221282</v>
      </c>
      <c r="C465" s="58" t="s">
        <v>421</v>
      </c>
      <c r="D465" s="58" t="s">
        <v>392</v>
      </c>
      <c r="E465" s="59">
        <v>0.0714</v>
      </c>
      <c r="F465" s="60" t="s">
        <v>18</v>
      </c>
      <c r="G465" s="57"/>
      <c r="H465" s="57"/>
      <c r="I465" s="57"/>
      <c r="J465" s="57"/>
      <c r="K465" s="60" t="s">
        <v>107</v>
      </c>
      <c r="L465" s="57"/>
      <c r="M465" s="57"/>
      <c r="N465" s="57"/>
      <c r="O465" s="57"/>
      <c r="P465" s="57"/>
      <c r="Q465" s="60" t="s">
        <v>90</v>
      </c>
      <c r="R465" s="61"/>
      <c r="S465" s="61"/>
      <c r="T465" s="61"/>
      <c r="U465" s="61"/>
      <c r="V465" s="61"/>
    </row>
    <row r="466">
      <c r="A466" s="57"/>
      <c r="B466" s="8" t="str">
        <f t="shared" si="1"/>
        <v>241112</v>
      </c>
      <c r="C466" s="58" t="s">
        <v>422</v>
      </c>
      <c r="D466" s="58" t="s">
        <v>392</v>
      </c>
      <c r="E466" s="59">
        <v>0.0968</v>
      </c>
      <c r="F466" s="60" t="s">
        <v>18</v>
      </c>
      <c r="G466" s="57"/>
      <c r="H466" s="57"/>
      <c r="I466" s="57"/>
      <c r="J466" s="57"/>
      <c r="K466" s="60" t="s">
        <v>107</v>
      </c>
      <c r="L466" s="57"/>
      <c r="M466" s="57"/>
      <c r="N466" s="57"/>
      <c r="O466" s="57"/>
      <c r="P466" s="57"/>
      <c r="Q466" s="60" t="s">
        <v>90</v>
      </c>
      <c r="R466" s="61"/>
      <c r="S466" s="61"/>
      <c r="T466" s="61"/>
      <c r="U466" s="61"/>
      <c r="V466" s="61"/>
    </row>
    <row r="467">
      <c r="A467" s="57"/>
      <c r="B467" s="8" t="str">
        <f t="shared" si="1"/>
        <v>211293</v>
      </c>
      <c r="C467" s="58" t="s">
        <v>423</v>
      </c>
      <c r="D467" s="58" t="s">
        <v>392</v>
      </c>
      <c r="E467" s="59">
        <v>0.0594</v>
      </c>
      <c r="F467" s="60" t="s">
        <v>18</v>
      </c>
      <c r="G467" s="57"/>
      <c r="H467" s="57"/>
      <c r="I467" s="57"/>
      <c r="J467" s="57"/>
      <c r="K467" s="60" t="s">
        <v>107</v>
      </c>
      <c r="L467" s="57"/>
      <c r="M467" s="57"/>
      <c r="N467" s="57"/>
      <c r="O467" s="57"/>
      <c r="P467" s="57"/>
      <c r="Q467" s="60" t="s">
        <v>90</v>
      </c>
      <c r="R467" s="61"/>
      <c r="S467" s="61"/>
      <c r="T467" s="61"/>
      <c r="U467" s="61"/>
      <c r="V467" s="61"/>
    </row>
    <row r="468">
      <c r="A468" s="15">
        <v>46277.82805140046</v>
      </c>
      <c r="B468" s="8" t="str">
        <f t="shared" si="1"/>
        <v>200859</v>
      </c>
      <c r="C468" s="23" t="s">
        <v>424</v>
      </c>
      <c r="D468" s="23" t="s">
        <v>17</v>
      </c>
      <c r="E468" s="42">
        <v>0.375</v>
      </c>
      <c r="F468" s="12" t="s">
        <v>18</v>
      </c>
      <c r="G468" s="12">
        <v>52.03</v>
      </c>
      <c r="H468" s="12">
        <v>40.24</v>
      </c>
      <c r="I468" s="12">
        <v>151.6</v>
      </c>
      <c r="J468" s="12">
        <v>151.6</v>
      </c>
      <c r="K468" s="12" t="s">
        <v>107</v>
      </c>
      <c r="L468" s="12">
        <v>52.28</v>
      </c>
      <c r="M468" s="12">
        <v>40.38</v>
      </c>
      <c r="N468" s="12">
        <v>152.01</v>
      </c>
      <c r="O468" s="12">
        <v>152.01</v>
      </c>
      <c r="P468" s="8"/>
      <c r="Q468" s="12" t="s">
        <v>90</v>
      </c>
      <c r="R468" s="6"/>
      <c r="S468" s="6"/>
      <c r="T468" s="6"/>
      <c r="U468" s="6"/>
      <c r="V468" s="6"/>
    </row>
    <row r="469">
      <c r="A469" s="64"/>
      <c r="B469" s="8" t="str">
        <f t="shared" si="1"/>
        <v>234768</v>
      </c>
      <c r="C469" s="65" t="s">
        <v>200</v>
      </c>
      <c r="D469" s="65" t="s">
        <v>17</v>
      </c>
      <c r="E469" s="66">
        <v>0.4211</v>
      </c>
      <c r="F469" s="67" t="s">
        <v>18</v>
      </c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12" t="s">
        <v>90</v>
      </c>
      <c r="R469" s="68"/>
      <c r="S469" s="68"/>
      <c r="T469" s="68"/>
      <c r="U469" s="68"/>
      <c r="V469" s="68"/>
    </row>
    <row r="470">
      <c r="A470" s="15">
        <v>46277.82917964121</v>
      </c>
      <c r="B470" s="8" t="str">
        <f t="shared" si="1"/>
        <v>220721</v>
      </c>
      <c r="C470" s="39" t="s">
        <v>332</v>
      </c>
      <c r="D470" s="23" t="s">
        <v>17</v>
      </c>
      <c r="E470" s="42">
        <v>0.3846</v>
      </c>
      <c r="F470" s="12" t="s">
        <v>18</v>
      </c>
      <c r="G470" s="12">
        <v>54.59</v>
      </c>
      <c r="H470" s="12">
        <v>44.41</v>
      </c>
      <c r="I470" s="12">
        <v>164.22</v>
      </c>
      <c r="J470" s="12">
        <v>163.96</v>
      </c>
      <c r="K470" s="12" t="s">
        <v>107</v>
      </c>
      <c r="L470" s="12">
        <v>54.72</v>
      </c>
      <c r="M470" s="12">
        <v>44.57</v>
      </c>
      <c r="N470" s="12">
        <v>164.44</v>
      </c>
      <c r="O470" s="12">
        <v>164.44</v>
      </c>
      <c r="P470" s="8"/>
      <c r="Q470" s="12" t="s">
        <v>90</v>
      </c>
      <c r="R470" s="6"/>
      <c r="S470" s="6"/>
      <c r="T470" s="6"/>
      <c r="U470" s="6"/>
      <c r="V470" s="6"/>
    </row>
    <row r="471">
      <c r="A471" s="15">
        <v>46277.83011996528</v>
      </c>
      <c r="B471" s="8" t="str">
        <f t="shared" si="1"/>
        <v>239836</v>
      </c>
      <c r="C471" s="22" t="s">
        <v>425</v>
      </c>
      <c r="D471" s="22" t="s">
        <v>17</v>
      </c>
      <c r="E471" s="43">
        <v>0.0458</v>
      </c>
      <c r="F471" s="12" t="s">
        <v>18</v>
      </c>
      <c r="G471" s="12">
        <v>50.73</v>
      </c>
      <c r="H471" s="12">
        <v>40.81</v>
      </c>
      <c r="I471" s="12">
        <v>148.83</v>
      </c>
      <c r="J471" s="12">
        <v>148.7</v>
      </c>
      <c r="K471" s="12" t="s">
        <v>107</v>
      </c>
      <c r="L471" s="12">
        <v>50.8</v>
      </c>
      <c r="M471" s="12">
        <v>40.85</v>
      </c>
      <c r="N471" s="12">
        <v>149.05</v>
      </c>
      <c r="O471" s="12">
        <v>148.95</v>
      </c>
      <c r="P471" s="8"/>
      <c r="Q471" s="12" t="s">
        <v>90</v>
      </c>
      <c r="R471" s="6"/>
      <c r="S471" s="6"/>
      <c r="T471" s="6"/>
      <c r="U471" s="6"/>
      <c r="V471" s="6"/>
    </row>
    <row r="472">
      <c r="A472" s="64"/>
      <c r="B472" s="8" t="str">
        <f t="shared" si="1"/>
        <v>234791</v>
      </c>
      <c r="C472" s="65" t="s">
        <v>210</v>
      </c>
      <c r="D472" s="65" t="s">
        <v>17</v>
      </c>
      <c r="E472" s="66">
        <v>0.0488</v>
      </c>
      <c r="F472" s="67" t="s">
        <v>18</v>
      </c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12" t="s">
        <v>90</v>
      </c>
      <c r="R472" s="68"/>
      <c r="S472" s="68"/>
      <c r="T472" s="68"/>
      <c r="U472" s="68"/>
      <c r="V472" s="68"/>
    </row>
    <row r="473">
      <c r="A473" s="69"/>
      <c r="B473" s="8" t="str">
        <f t="shared" si="1"/>
        <v>239999</v>
      </c>
      <c r="C473" s="70" t="s">
        <v>426</v>
      </c>
      <c r="D473" s="70" t="s">
        <v>371</v>
      </c>
      <c r="E473" s="71">
        <v>0.2667</v>
      </c>
      <c r="F473" s="72" t="s">
        <v>18</v>
      </c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12" t="s">
        <v>90</v>
      </c>
      <c r="R473" s="73"/>
      <c r="S473" s="73"/>
      <c r="T473" s="73"/>
      <c r="U473" s="73"/>
      <c r="V473" s="73"/>
    </row>
    <row r="474">
      <c r="A474" s="69"/>
      <c r="B474" s="8" t="str">
        <f t="shared" si="1"/>
        <v>234791</v>
      </c>
      <c r="C474" s="70" t="s">
        <v>262</v>
      </c>
      <c r="D474" s="70" t="s">
        <v>323</v>
      </c>
      <c r="E474" s="71">
        <v>0.1333</v>
      </c>
      <c r="F474" s="72" t="s">
        <v>18</v>
      </c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12" t="s">
        <v>90</v>
      </c>
      <c r="R474" s="73"/>
      <c r="S474" s="73"/>
      <c r="T474" s="73"/>
      <c r="U474" s="73"/>
      <c r="V474" s="73"/>
    </row>
    <row r="475">
      <c r="A475" s="69"/>
      <c r="B475" s="8" t="str">
        <f t="shared" si="1"/>
        <v>231612</v>
      </c>
      <c r="C475" s="70" t="s">
        <v>427</v>
      </c>
      <c r="D475" s="70" t="s">
        <v>323</v>
      </c>
      <c r="E475" s="71">
        <v>0.0541</v>
      </c>
      <c r="F475" s="72" t="s">
        <v>18</v>
      </c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12" t="s">
        <v>90</v>
      </c>
      <c r="R475" s="73"/>
      <c r="S475" s="73"/>
      <c r="T475" s="73"/>
      <c r="U475" s="73"/>
      <c r="V475" s="73"/>
    </row>
    <row r="476">
      <c r="A476" s="8"/>
      <c r="B476" s="8" t="str">
        <f t="shared" si="1"/>
        <v>242651</v>
      </c>
      <c r="C476" s="10" t="s">
        <v>428</v>
      </c>
      <c r="D476" s="9"/>
      <c r="E476" s="9"/>
      <c r="F476" s="8"/>
      <c r="G476" s="8"/>
      <c r="H476" s="8"/>
      <c r="I476" s="8"/>
      <c r="J476" s="8"/>
      <c r="K476" s="12" t="s">
        <v>19</v>
      </c>
      <c r="L476" s="8"/>
      <c r="M476" s="8"/>
      <c r="N476" s="8"/>
      <c r="O476" s="8"/>
      <c r="P476" s="8"/>
      <c r="Q476" s="12" t="s">
        <v>90</v>
      </c>
      <c r="R476" s="6"/>
      <c r="S476" s="6"/>
      <c r="T476" s="6"/>
      <c r="U476" s="6"/>
      <c r="V476" s="6"/>
    </row>
    <row r="477">
      <c r="A477" s="15">
        <v>46279.82968361111</v>
      </c>
      <c r="B477" s="8" t="str">
        <f t="shared" si="1"/>
        <v>241186</v>
      </c>
      <c r="C477" s="22" t="s">
        <v>429</v>
      </c>
      <c r="D477" s="22" t="s">
        <v>32</v>
      </c>
      <c r="E477" s="43">
        <v>0.1875</v>
      </c>
      <c r="F477" s="12" t="s">
        <v>18</v>
      </c>
      <c r="G477" s="12">
        <v>50.16</v>
      </c>
      <c r="H477" s="12">
        <v>39.37</v>
      </c>
      <c r="I477" s="12">
        <v>149.34</v>
      </c>
      <c r="J477" s="12">
        <v>149.34</v>
      </c>
      <c r="K477" s="12" t="s">
        <v>107</v>
      </c>
      <c r="L477" s="12">
        <v>50.1</v>
      </c>
      <c r="M477" s="12">
        <v>39.28</v>
      </c>
      <c r="N477" s="12">
        <v>149.13</v>
      </c>
      <c r="O477" s="12">
        <v>148.93</v>
      </c>
      <c r="P477" s="8"/>
      <c r="Q477" s="12" t="s">
        <v>90</v>
      </c>
      <c r="R477" s="6"/>
      <c r="S477" s="6"/>
      <c r="T477" s="6"/>
      <c r="U477" s="6"/>
      <c r="V477" s="6"/>
    </row>
    <row r="478">
      <c r="A478" s="15">
        <v>46279.83071976852</v>
      </c>
      <c r="B478" s="8" t="str">
        <f t="shared" si="1"/>
        <v>206728</v>
      </c>
      <c r="C478" s="23" t="s">
        <v>420</v>
      </c>
      <c r="D478" s="23" t="s">
        <v>32</v>
      </c>
      <c r="E478" s="42">
        <v>0.119</v>
      </c>
      <c r="F478" s="12" t="s">
        <v>18</v>
      </c>
      <c r="G478" s="12">
        <v>50.83</v>
      </c>
      <c r="H478" s="12">
        <v>34.97</v>
      </c>
      <c r="I478" s="12">
        <v>146.96</v>
      </c>
      <c r="J478" s="12">
        <v>147.08</v>
      </c>
      <c r="K478" s="12" t="s">
        <v>107</v>
      </c>
      <c r="L478" s="12">
        <v>50.78</v>
      </c>
      <c r="M478" s="12">
        <v>34.67</v>
      </c>
      <c r="N478" s="12">
        <v>146.7</v>
      </c>
      <c r="O478" s="12">
        <v>146.3</v>
      </c>
      <c r="P478" s="8"/>
      <c r="Q478" s="12" t="s">
        <v>90</v>
      </c>
      <c r="R478" s="6"/>
      <c r="S478" s="6"/>
      <c r="T478" s="6"/>
      <c r="U478" s="6"/>
      <c r="V478" s="6"/>
    </row>
    <row r="479">
      <c r="A479" s="15">
        <v>46279.832079583335</v>
      </c>
      <c r="B479" s="8" t="str">
        <f t="shared" si="1"/>
        <v>245911</v>
      </c>
      <c r="C479" s="22" t="s">
        <v>430</v>
      </c>
      <c r="D479" s="22" t="s">
        <v>32</v>
      </c>
      <c r="E479" s="43">
        <v>0.0962</v>
      </c>
      <c r="F479" s="12" t="s">
        <v>18</v>
      </c>
      <c r="G479" s="12">
        <v>56.88</v>
      </c>
      <c r="H479" s="12">
        <v>43.82</v>
      </c>
      <c r="I479" s="12">
        <v>167.47</v>
      </c>
      <c r="J479" s="12">
        <v>167.35</v>
      </c>
      <c r="K479" s="12" t="s">
        <v>107</v>
      </c>
      <c r="L479" s="12">
        <v>56.85</v>
      </c>
      <c r="M479" s="12">
        <v>43.71</v>
      </c>
      <c r="N479" s="12">
        <v>167.23</v>
      </c>
      <c r="O479" s="12">
        <v>167.23</v>
      </c>
      <c r="P479" s="8"/>
      <c r="Q479" s="12" t="s">
        <v>90</v>
      </c>
      <c r="R479" s="6"/>
      <c r="S479" s="6"/>
      <c r="T479" s="6"/>
      <c r="U479" s="6"/>
      <c r="V479" s="6"/>
    </row>
    <row r="480">
      <c r="A480" s="15">
        <v>46279.833531435186</v>
      </c>
      <c r="B480" s="8" t="str">
        <f t="shared" si="1"/>
        <v>221172</v>
      </c>
      <c r="C480" s="23" t="s">
        <v>431</v>
      </c>
      <c r="D480" s="23" t="s">
        <v>32</v>
      </c>
      <c r="E480" s="42">
        <v>0.0943</v>
      </c>
      <c r="F480" s="12" t="s">
        <v>18</v>
      </c>
      <c r="G480" s="12">
        <v>52.57</v>
      </c>
      <c r="H480" s="12">
        <v>37.92</v>
      </c>
      <c r="I480" s="12">
        <v>151.31</v>
      </c>
      <c r="J480" s="12">
        <v>151.31</v>
      </c>
      <c r="K480" s="12" t="s">
        <v>107</v>
      </c>
      <c r="L480" s="12">
        <v>52.54</v>
      </c>
      <c r="M480" s="12">
        <v>37.88</v>
      </c>
      <c r="N480" s="12">
        <v>151.25</v>
      </c>
      <c r="O480" s="12">
        <v>151.25</v>
      </c>
      <c r="P480" s="8"/>
      <c r="Q480" s="12" t="s">
        <v>90</v>
      </c>
      <c r="R480" s="6"/>
      <c r="S480" s="6"/>
      <c r="T480" s="6"/>
      <c r="U480" s="6"/>
      <c r="V480" s="6"/>
    </row>
    <row r="481">
      <c r="A481" s="15">
        <v>46279.83469420139</v>
      </c>
      <c r="B481" s="8" t="str">
        <f t="shared" si="1"/>
        <v>246865</v>
      </c>
      <c r="C481" s="22" t="s">
        <v>379</v>
      </c>
      <c r="D481" s="22" t="s">
        <v>32</v>
      </c>
      <c r="E481" s="43">
        <v>0.0909</v>
      </c>
      <c r="F481" s="12" t="s">
        <v>18</v>
      </c>
      <c r="G481" s="12">
        <v>53.01</v>
      </c>
      <c r="H481" s="12">
        <v>40.69</v>
      </c>
      <c r="I481" s="12">
        <v>157.5</v>
      </c>
      <c r="J481" s="12">
        <v>157.5</v>
      </c>
      <c r="K481" s="12" t="s">
        <v>107</v>
      </c>
      <c r="L481" s="12">
        <v>52.91</v>
      </c>
      <c r="M481" s="12">
        <v>40.6</v>
      </c>
      <c r="N481" s="12">
        <v>157.12</v>
      </c>
      <c r="O481" s="12">
        <v>157.12</v>
      </c>
      <c r="P481" s="8"/>
      <c r="Q481" s="12" t="s">
        <v>90</v>
      </c>
      <c r="R481" s="6"/>
      <c r="S481" s="6"/>
      <c r="T481" s="6"/>
      <c r="U481" s="6"/>
      <c r="V481" s="6"/>
    </row>
    <row r="482">
      <c r="A482" s="15">
        <v>46279.83571501158</v>
      </c>
      <c r="B482" s="8" t="str">
        <f t="shared" si="1"/>
        <v>217659</v>
      </c>
      <c r="C482" s="23" t="s">
        <v>432</v>
      </c>
      <c r="D482" s="23" t="s">
        <v>32</v>
      </c>
      <c r="E482" s="42">
        <v>0.0566</v>
      </c>
      <c r="F482" s="12" t="s">
        <v>18</v>
      </c>
      <c r="G482" s="12">
        <v>51.8</v>
      </c>
      <c r="H482" s="12">
        <v>39.87</v>
      </c>
      <c r="I482" s="12">
        <v>152.47</v>
      </c>
      <c r="J482" s="12">
        <v>152.73</v>
      </c>
      <c r="K482" s="12" t="s">
        <v>107</v>
      </c>
      <c r="L482" s="12">
        <v>51.61</v>
      </c>
      <c r="M482" s="12">
        <v>39.71</v>
      </c>
      <c r="N482" s="12">
        <v>152.4</v>
      </c>
      <c r="O482" s="12">
        <v>152.4</v>
      </c>
      <c r="P482" s="8"/>
      <c r="Q482" s="12" t="s">
        <v>90</v>
      </c>
      <c r="R482" s="6"/>
      <c r="S482" s="6"/>
      <c r="T482" s="6"/>
      <c r="U482" s="6"/>
      <c r="V482" s="6"/>
    </row>
    <row r="483">
      <c r="A483" s="15">
        <v>46279.836524375</v>
      </c>
      <c r="B483" s="8" t="str">
        <f t="shared" si="1"/>
        <v>241185</v>
      </c>
      <c r="C483" s="22" t="s">
        <v>413</v>
      </c>
      <c r="D483" s="22" t="s">
        <v>32</v>
      </c>
      <c r="E483" s="43">
        <v>0.0541</v>
      </c>
      <c r="F483" s="12" t="s">
        <v>18</v>
      </c>
      <c r="G483" s="12">
        <v>50.29</v>
      </c>
      <c r="H483" s="12">
        <v>39.5</v>
      </c>
      <c r="I483" s="12">
        <v>149.27</v>
      </c>
      <c r="J483" s="12">
        <v>149.27</v>
      </c>
      <c r="K483" s="12" t="s">
        <v>107</v>
      </c>
      <c r="L483" s="12">
        <v>50.2</v>
      </c>
      <c r="M483" s="12">
        <v>39.35</v>
      </c>
      <c r="N483" s="12">
        <v>149.21</v>
      </c>
      <c r="O483" s="12">
        <v>148.83</v>
      </c>
      <c r="P483" s="8"/>
      <c r="Q483" s="12" t="s">
        <v>90</v>
      </c>
      <c r="R483" s="6"/>
      <c r="S483" s="6"/>
      <c r="T483" s="6"/>
      <c r="U483" s="6"/>
      <c r="V483" s="6"/>
    </row>
    <row r="484">
      <c r="A484" s="15">
        <v>46279.84681664352</v>
      </c>
      <c r="B484" s="8" t="str">
        <f t="shared" si="1"/>
        <v>239021</v>
      </c>
      <c r="C484" s="23" t="s">
        <v>433</v>
      </c>
      <c r="D484" s="23" t="s">
        <v>32</v>
      </c>
      <c r="E484" s="42">
        <v>0.038</v>
      </c>
      <c r="F484" s="12" t="s">
        <v>18</v>
      </c>
      <c r="G484" s="12">
        <v>51.99</v>
      </c>
      <c r="H484" s="12">
        <v>42.08</v>
      </c>
      <c r="I484" s="12">
        <v>153.25</v>
      </c>
      <c r="J484" s="12">
        <v>153.45</v>
      </c>
      <c r="K484" s="12" t="s">
        <v>107</v>
      </c>
      <c r="L484" s="12">
        <v>51.9</v>
      </c>
      <c r="M484" s="12">
        <v>41.93</v>
      </c>
      <c r="N484" s="12">
        <v>153.09</v>
      </c>
      <c r="O484" s="12">
        <v>153.09</v>
      </c>
      <c r="P484" s="8"/>
      <c r="Q484" s="12" t="s">
        <v>90</v>
      </c>
      <c r="R484" s="6"/>
      <c r="S484" s="6"/>
      <c r="T484" s="6"/>
      <c r="U484" s="6"/>
      <c r="V484" s="6"/>
    </row>
    <row r="485">
      <c r="A485" s="15">
        <v>46279.8554334375</v>
      </c>
      <c r="B485" s="8" t="str">
        <f t="shared" si="1"/>
        <v>211293</v>
      </c>
      <c r="C485" s="22" t="s">
        <v>434</v>
      </c>
      <c r="D485" s="22" t="s">
        <v>32</v>
      </c>
      <c r="E485" s="43">
        <v>0.037</v>
      </c>
      <c r="F485" s="12" t="s">
        <v>18</v>
      </c>
      <c r="G485" s="12">
        <v>56.37</v>
      </c>
      <c r="H485" s="12">
        <v>43.29</v>
      </c>
      <c r="I485" s="12">
        <v>165.41</v>
      </c>
      <c r="J485" s="12">
        <v>165.41</v>
      </c>
      <c r="K485" s="12" t="s">
        <v>107</v>
      </c>
      <c r="L485" s="12">
        <v>56.35</v>
      </c>
      <c r="M485" s="12">
        <v>42.99</v>
      </c>
      <c r="N485" s="12">
        <v>165.03</v>
      </c>
      <c r="O485" s="12">
        <v>165.03</v>
      </c>
      <c r="P485" s="8"/>
      <c r="Q485" s="12" t="s">
        <v>90</v>
      </c>
      <c r="R485" s="6"/>
      <c r="S485" s="6"/>
      <c r="T485" s="6"/>
      <c r="U485" s="6"/>
      <c r="V485" s="6"/>
    </row>
    <row r="486">
      <c r="A486" s="15">
        <v>46281.30591484954</v>
      </c>
      <c r="B486" s="8" t="str">
        <f t="shared" si="1"/>
        <v>241112</v>
      </c>
      <c r="C486" s="23" t="s">
        <v>435</v>
      </c>
      <c r="D486" s="23" t="s">
        <v>307</v>
      </c>
      <c r="E486" s="42">
        <v>0.0714</v>
      </c>
      <c r="F486" s="12" t="s">
        <v>18</v>
      </c>
      <c r="G486" s="12">
        <v>37.64</v>
      </c>
      <c r="H486" s="12">
        <v>54.23</v>
      </c>
      <c r="I486" s="12">
        <v>151.94</v>
      </c>
      <c r="J486" s="12">
        <v>151.65</v>
      </c>
      <c r="K486" s="12" t="s">
        <v>107</v>
      </c>
      <c r="L486" s="12">
        <v>37.52</v>
      </c>
      <c r="M486" s="12">
        <v>54.21</v>
      </c>
      <c r="N486" s="12">
        <v>151.76</v>
      </c>
      <c r="O486" s="12">
        <v>151.66</v>
      </c>
      <c r="P486" s="8"/>
      <c r="Q486" s="12" t="s">
        <v>90</v>
      </c>
      <c r="R486" s="6"/>
      <c r="S486" s="6"/>
      <c r="T486" s="6"/>
      <c r="U486" s="6"/>
      <c r="V486" s="6"/>
    </row>
    <row r="487">
      <c r="A487" s="15">
        <v>46281.30724981481</v>
      </c>
      <c r="B487" s="8" t="str">
        <f t="shared" si="1"/>
        <v>241100</v>
      </c>
      <c r="C487" s="22" t="s">
        <v>436</v>
      </c>
      <c r="D487" s="22" t="s">
        <v>382</v>
      </c>
      <c r="E487" s="43">
        <v>0.0625</v>
      </c>
      <c r="F487" s="12" t="s">
        <v>18</v>
      </c>
      <c r="G487" s="12">
        <v>53.91</v>
      </c>
      <c r="H487" s="12">
        <v>42.01</v>
      </c>
      <c r="I487" s="12">
        <v>159.6</v>
      </c>
      <c r="J487" s="12">
        <v>159.96</v>
      </c>
      <c r="K487" s="12" t="s">
        <v>107</v>
      </c>
      <c r="L487" s="12">
        <v>53.87</v>
      </c>
      <c r="M487" s="12">
        <v>41.97</v>
      </c>
      <c r="N487" s="12">
        <v>159.46</v>
      </c>
      <c r="O487" s="12">
        <v>159.46</v>
      </c>
      <c r="P487" s="8"/>
      <c r="Q487" s="12" t="s">
        <v>90</v>
      </c>
      <c r="R487" s="6"/>
      <c r="S487" s="6"/>
      <c r="T487" s="6"/>
      <c r="U487" s="6"/>
      <c r="V487" s="6"/>
    </row>
    <row r="488">
      <c r="A488" s="15">
        <v>46281.30797181713</v>
      </c>
      <c r="B488" s="8" t="str">
        <f t="shared" si="1"/>
        <v>241124</v>
      </c>
      <c r="C488" s="23" t="s">
        <v>437</v>
      </c>
      <c r="D488" s="23" t="s">
        <v>382</v>
      </c>
      <c r="E488" s="42">
        <v>0.0417</v>
      </c>
      <c r="F488" s="12" t="s">
        <v>18</v>
      </c>
      <c r="G488" s="12">
        <v>53.88</v>
      </c>
      <c r="H488" s="12">
        <v>48.7</v>
      </c>
      <c r="I488" s="12">
        <v>163.12</v>
      </c>
      <c r="J488" s="12">
        <v>163.37</v>
      </c>
      <c r="K488" s="12" t="s">
        <v>107</v>
      </c>
      <c r="L488" s="12">
        <v>53.84</v>
      </c>
      <c r="M488" s="12">
        <v>48.61</v>
      </c>
      <c r="N488" s="12">
        <v>163.07</v>
      </c>
      <c r="O488" s="12">
        <v>163.07</v>
      </c>
      <c r="P488" s="8"/>
      <c r="Q488" s="12" t="s">
        <v>90</v>
      </c>
      <c r="R488" s="6"/>
      <c r="S488" s="6"/>
      <c r="T488" s="6"/>
      <c r="U488" s="6"/>
      <c r="V488" s="6"/>
    </row>
    <row r="489">
      <c r="A489" s="15">
        <v>46281.30877695602</v>
      </c>
      <c r="B489" s="8" t="str">
        <f t="shared" si="1"/>
        <v>242674</v>
      </c>
      <c r="C489" s="22" t="s">
        <v>438</v>
      </c>
      <c r="D489" s="22" t="s">
        <v>439</v>
      </c>
      <c r="E489" s="43">
        <v>0.1304</v>
      </c>
      <c r="F489" s="12" t="s">
        <v>18</v>
      </c>
      <c r="G489" s="12">
        <v>51.93</v>
      </c>
      <c r="H489" s="12">
        <v>40.87</v>
      </c>
      <c r="I489" s="12">
        <v>155.22</v>
      </c>
      <c r="J489" s="12">
        <v>155.13</v>
      </c>
      <c r="K489" s="12" t="s">
        <v>107</v>
      </c>
      <c r="L489" s="12">
        <v>51.85</v>
      </c>
      <c r="M489" s="12">
        <v>40.86</v>
      </c>
      <c r="N489" s="12">
        <v>155.09</v>
      </c>
      <c r="O489" s="12">
        <v>155.09</v>
      </c>
      <c r="P489" s="8"/>
      <c r="Q489" s="12" t="s">
        <v>90</v>
      </c>
      <c r="R489" s="6"/>
      <c r="S489" s="6"/>
      <c r="T489" s="6"/>
      <c r="U489" s="6"/>
      <c r="V489" s="6"/>
    </row>
    <row r="490">
      <c r="A490" s="15">
        <v>46281.31024421296</v>
      </c>
      <c r="B490" s="8" t="str">
        <f t="shared" si="1"/>
        <v>245915</v>
      </c>
      <c r="C490" s="23" t="s">
        <v>298</v>
      </c>
      <c r="D490" s="23" t="s">
        <v>439</v>
      </c>
      <c r="E490" s="42">
        <v>0.1299</v>
      </c>
      <c r="F490" s="12" t="s">
        <v>18</v>
      </c>
      <c r="G490" s="12">
        <v>53.52</v>
      </c>
      <c r="H490" s="12">
        <v>42.7</v>
      </c>
      <c r="I490" s="12">
        <v>159.55</v>
      </c>
      <c r="J490" s="12">
        <v>159.55</v>
      </c>
      <c r="K490" s="12" t="s">
        <v>107</v>
      </c>
      <c r="L490" s="12">
        <v>53.48</v>
      </c>
      <c r="M490" s="12">
        <v>42.66</v>
      </c>
      <c r="N490" s="12">
        <v>159.41</v>
      </c>
      <c r="O490" s="12">
        <v>159.41</v>
      </c>
      <c r="P490" s="8"/>
      <c r="Q490" s="12" t="s">
        <v>90</v>
      </c>
      <c r="R490" s="6"/>
      <c r="S490" s="6"/>
      <c r="T490" s="6"/>
      <c r="U490" s="6"/>
      <c r="V490" s="6"/>
    </row>
    <row r="491">
      <c r="A491" s="15">
        <v>46280.93745460648</v>
      </c>
      <c r="B491" s="8" t="str">
        <f t="shared" si="1"/>
        <v>200859</v>
      </c>
      <c r="C491" s="23" t="s">
        <v>424</v>
      </c>
      <c r="D491" s="23" t="s">
        <v>17</v>
      </c>
      <c r="E491" s="42">
        <v>0.4286</v>
      </c>
      <c r="F491" s="12" t="s">
        <v>18</v>
      </c>
      <c r="G491" s="12">
        <v>52.29</v>
      </c>
      <c r="H491" s="12">
        <v>40.37</v>
      </c>
      <c r="I491" s="12">
        <v>152.01</v>
      </c>
      <c r="J491" s="12">
        <v>152.01</v>
      </c>
      <c r="K491" s="12" t="s">
        <v>107</v>
      </c>
      <c r="L491" s="12">
        <v>52.4</v>
      </c>
      <c r="M491" s="12">
        <v>40.5</v>
      </c>
      <c r="N491" s="12">
        <v>152.44</v>
      </c>
      <c r="O491" s="12">
        <v>152.44</v>
      </c>
      <c r="P491" s="8"/>
      <c r="Q491" s="12" t="s">
        <v>90</v>
      </c>
      <c r="R491" s="6"/>
      <c r="S491" s="6"/>
      <c r="T491" s="6"/>
      <c r="U491" s="6"/>
      <c r="V491" s="6"/>
    </row>
    <row r="492">
      <c r="A492" s="15">
        <v>46280.92888071759</v>
      </c>
      <c r="B492" s="8" t="str">
        <f t="shared" si="1"/>
        <v>218966</v>
      </c>
      <c r="C492" s="22" t="s">
        <v>440</v>
      </c>
      <c r="D492" s="22" t="s">
        <v>17</v>
      </c>
      <c r="E492" s="43">
        <v>0.381</v>
      </c>
      <c r="F492" s="12" t="s">
        <v>18</v>
      </c>
      <c r="G492" s="12">
        <v>51.89</v>
      </c>
      <c r="H492" s="12">
        <v>38.94</v>
      </c>
      <c r="I492" s="12">
        <v>145.2</v>
      </c>
      <c r="J492" s="12">
        <v>145.42</v>
      </c>
      <c r="K492" s="12" t="s">
        <v>107</v>
      </c>
      <c r="L492" s="12">
        <v>52.25</v>
      </c>
      <c r="M492" s="12">
        <v>39.06</v>
      </c>
      <c r="N492" s="12">
        <v>145.86</v>
      </c>
      <c r="O492" s="12">
        <v>145.89</v>
      </c>
      <c r="P492" s="8"/>
      <c r="Q492" s="12" t="s">
        <v>42</v>
      </c>
      <c r="R492" s="6"/>
      <c r="S492" s="6"/>
      <c r="T492" s="6"/>
      <c r="U492" s="6"/>
      <c r="V492" s="6"/>
    </row>
    <row r="493">
      <c r="A493" s="15">
        <v>46280.931173460645</v>
      </c>
      <c r="B493" s="8" t="str">
        <f t="shared" si="1"/>
        <v>225336</v>
      </c>
      <c r="C493" s="23" t="s">
        <v>441</v>
      </c>
      <c r="D493" s="23" t="s">
        <v>17</v>
      </c>
      <c r="E493" s="42">
        <v>0.2414</v>
      </c>
      <c r="F493" s="12" t="s">
        <v>18</v>
      </c>
      <c r="G493" s="12">
        <v>47.68</v>
      </c>
      <c r="H493" s="12">
        <v>40.8</v>
      </c>
      <c r="I493" s="12">
        <v>143.36</v>
      </c>
      <c r="J493" s="12">
        <v>142.75</v>
      </c>
      <c r="K493" s="12" t="s">
        <v>107</v>
      </c>
      <c r="L493" s="12">
        <v>47.87</v>
      </c>
      <c r="M493" s="12">
        <v>41.0</v>
      </c>
      <c r="N493" s="12">
        <v>143.98</v>
      </c>
      <c r="O493" s="12">
        <v>142.87</v>
      </c>
      <c r="P493" s="8"/>
      <c r="Q493" s="12" t="s">
        <v>42</v>
      </c>
      <c r="R493" s="6"/>
      <c r="S493" s="6"/>
      <c r="T493" s="6"/>
      <c r="U493" s="6"/>
      <c r="V493" s="6"/>
    </row>
    <row r="494">
      <c r="A494" s="15">
        <v>46280.9336370949</v>
      </c>
      <c r="B494" s="8" t="str">
        <f t="shared" si="1"/>
        <v>239999</v>
      </c>
      <c r="C494" s="22" t="s">
        <v>370</v>
      </c>
      <c r="D494" s="22" t="s">
        <v>17</v>
      </c>
      <c r="E494" s="43">
        <v>0.2</v>
      </c>
      <c r="F494" s="12" t="s">
        <v>18</v>
      </c>
      <c r="G494" s="12">
        <v>56.41</v>
      </c>
      <c r="H494" s="12">
        <v>45.04</v>
      </c>
      <c r="I494" s="12">
        <v>169.12</v>
      </c>
      <c r="J494" s="12">
        <v>169.12</v>
      </c>
      <c r="K494" s="12" t="s">
        <v>107</v>
      </c>
      <c r="L494" s="12">
        <v>56.61</v>
      </c>
      <c r="M494" s="12">
        <v>45.2</v>
      </c>
      <c r="N494" s="12">
        <v>169.76</v>
      </c>
      <c r="O494" s="12">
        <v>169.76</v>
      </c>
      <c r="P494" s="8"/>
      <c r="Q494" s="12" t="s">
        <v>42</v>
      </c>
      <c r="R494" s="6"/>
      <c r="S494" s="6"/>
      <c r="T494" s="6"/>
      <c r="U494" s="6"/>
      <c r="V494" s="6"/>
    </row>
    <row r="495">
      <c r="A495" s="15">
        <v>46280.93792722222</v>
      </c>
      <c r="B495" s="8" t="str">
        <f t="shared" si="1"/>
        <v>245914</v>
      </c>
      <c r="C495" s="23" t="s">
        <v>329</v>
      </c>
      <c r="D495" s="23" t="s">
        <v>17</v>
      </c>
      <c r="E495" s="42">
        <v>0.15</v>
      </c>
      <c r="F495" s="12" t="s">
        <v>18</v>
      </c>
      <c r="G495" s="12">
        <v>51.43</v>
      </c>
      <c r="H495" s="12">
        <v>37.1</v>
      </c>
      <c r="I495" s="12">
        <v>150.14</v>
      </c>
      <c r="J495" s="12">
        <v>150.14</v>
      </c>
      <c r="K495" s="12" t="s">
        <v>107</v>
      </c>
      <c r="L495" s="12">
        <v>51.55</v>
      </c>
      <c r="M495" s="12">
        <v>37.16</v>
      </c>
      <c r="N495" s="12">
        <v>150.21</v>
      </c>
      <c r="O495" s="12">
        <v>150.21</v>
      </c>
      <c r="P495" s="8"/>
      <c r="Q495" s="12" t="s">
        <v>42</v>
      </c>
      <c r="R495" s="6"/>
      <c r="S495" s="6"/>
      <c r="T495" s="6"/>
      <c r="U495" s="6"/>
      <c r="V495" s="6"/>
    </row>
    <row r="496">
      <c r="A496" s="15">
        <v>46279.86164444445</v>
      </c>
      <c r="B496" s="8" t="str">
        <f t="shared" si="1"/>
        <v>206775</v>
      </c>
      <c r="C496" s="22" t="s">
        <v>442</v>
      </c>
      <c r="D496" s="22" t="s">
        <v>17</v>
      </c>
      <c r="E496" s="43">
        <v>0.1304</v>
      </c>
      <c r="F496" s="12" t="s">
        <v>18</v>
      </c>
      <c r="G496" s="12">
        <v>47.96</v>
      </c>
      <c r="H496" s="12">
        <v>42.29</v>
      </c>
      <c r="I496" s="12">
        <v>146.51</v>
      </c>
      <c r="J496" s="12">
        <v>146.46</v>
      </c>
      <c r="K496" s="12" t="s">
        <v>107</v>
      </c>
      <c r="L496" s="12">
        <v>48.08</v>
      </c>
      <c r="M496" s="12">
        <v>42.44</v>
      </c>
      <c r="N496" s="12">
        <v>146.72</v>
      </c>
      <c r="O496" s="12">
        <v>146.69</v>
      </c>
      <c r="P496" s="8"/>
      <c r="Q496" s="12" t="s">
        <v>42</v>
      </c>
      <c r="R496" s="6"/>
      <c r="S496" s="6"/>
      <c r="T496" s="6"/>
      <c r="U496" s="6"/>
      <c r="V496" s="6"/>
    </row>
    <row r="497">
      <c r="A497" s="15">
        <v>46280.5645469213</v>
      </c>
      <c r="B497" s="8" t="str">
        <f t="shared" si="1"/>
        <v>150584</v>
      </c>
      <c r="C497" s="10" t="s">
        <v>443</v>
      </c>
      <c r="D497" s="10" t="s">
        <v>17</v>
      </c>
      <c r="E497" s="9"/>
      <c r="F497" s="12" t="s">
        <v>18</v>
      </c>
      <c r="G497" s="12">
        <v>55.45</v>
      </c>
      <c r="H497" s="12">
        <v>34.72</v>
      </c>
      <c r="I497" s="12">
        <v>154.74</v>
      </c>
      <c r="J497" s="12">
        <v>154.31</v>
      </c>
      <c r="K497" s="12" t="s">
        <v>19</v>
      </c>
      <c r="L497" s="12">
        <v>55.6</v>
      </c>
      <c r="M497" s="12">
        <v>35.3</v>
      </c>
      <c r="N497" s="12">
        <v>156.53</v>
      </c>
      <c r="O497" s="12">
        <v>156.53</v>
      </c>
      <c r="P497" s="12" t="s">
        <v>17</v>
      </c>
      <c r="Q497" s="12" t="s">
        <v>20</v>
      </c>
      <c r="R497" s="6"/>
      <c r="S497" s="6"/>
      <c r="T497" s="6"/>
      <c r="U497" s="6"/>
      <c r="V497" s="6"/>
    </row>
    <row r="498">
      <c r="A498" s="15">
        <v>46280.568239201384</v>
      </c>
      <c r="B498" s="8" t="str">
        <f t="shared" si="1"/>
        <v>238022</v>
      </c>
      <c r="C498" s="10" t="s">
        <v>444</v>
      </c>
      <c r="D498" s="10" t="s">
        <v>32</v>
      </c>
      <c r="E498" s="9"/>
      <c r="F498" s="12" t="s">
        <v>18</v>
      </c>
      <c r="G498" s="12">
        <v>52.5</v>
      </c>
      <c r="H498" s="12">
        <v>38.36</v>
      </c>
      <c r="I498" s="12">
        <v>151.2</v>
      </c>
      <c r="J498" s="12">
        <v>151.05</v>
      </c>
      <c r="K498" s="12" t="s">
        <v>19</v>
      </c>
      <c r="L498" s="12">
        <v>49.27</v>
      </c>
      <c r="M498" s="12">
        <v>32.65</v>
      </c>
      <c r="N498" s="12">
        <v>137.58</v>
      </c>
      <c r="O498" s="12">
        <v>137.44</v>
      </c>
      <c r="P498" s="12" t="s">
        <v>17</v>
      </c>
      <c r="Q498" s="12" t="s">
        <v>20</v>
      </c>
      <c r="R498" s="6"/>
      <c r="S498" s="6"/>
      <c r="T498" s="6"/>
      <c r="U498" s="6"/>
      <c r="V498" s="6"/>
    </row>
    <row r="499">
      <c r="A499" s="15">
        <v>46280.71013178241</v>
      </c>
      <c r="B499" s="8" t="str">
        <f t="shared" si="1"/>
        <v>209151</v>
      </c>
      <c r="C499" s="10" t="s">
        <v>445</v>
      </c>
      <c r="D499" s="10" t="s">
        <v>120</v>
      </c>
      <c r="E499" s="9"/>
      <c r="F499" s="12" t="s">
        <v>18</v>
      </c>
      <c r="G499" s="12">
        <v>51.68</v>
      </c>
      <c r="H499" s="12">
        <v>43.69</v>
      </c>
      <c r="I499" s="12">
        <v>156.77</v>
      </c>
      <c r="J499" s="12">
        <v>156.77</v>
      </c>
      <c r="K499" s="12" t="s">
        <v>19</v>
      </c>
      <c r="L499" s="12">
        <v>47.28</v>
      </c>
      <c r="M499" s="12">
        <v>40.24</v>
      </c>
      <c r="N499" s="12">
        <v>143.52</v>
      </c>
      <c r="O499" s="12">
        <v>143.36</v>
      </c>
      <c r="P499" s="12" t="s">
        <v>120</v>
      </c>
      <c r="Q499" s="12" t="s">
        <v>42</v>
      </c>
      <c r="R499" s="6"/>
      <c r="S499" s="6"/>
      <c r="T499" s="6"/>
      <c r="U499" s="6"/>
      <c r="V499" s="6"/>
    </row>
    <row r="500">
      <c r="A500" s="15">
        <v>46280.71372288195</v>
      </c>
      <c r="B500" s="8" t="str">
        <f t="shared" si="1"/>
        <v>238022</v>
      </c>
      <c r="C500" s="10" t="s">
        <v>446</v>
      </c>
      <c r="D500" s="10" t="s">
        <v>120</v>
      </c>
      <c r="E500" s="9"/>
      <c r="F500" s="12" t="s">
        <v>18</v>
      </c>
      <c r="G500" s="12">
        <v>49.45</v>
      </c>
      <c r="H500" s="12">
        <v>32.55</v>
      </c>
      <c r="I500" s="12">
        <v>137.78</v>
      </c>
      <c r="J500" s="12">
        <v>137.78</v>
      </c>
      <c r="K500" s="12" t="s">
        <v>19</v>
      </c>
      <c r="L500" s="12">
        <v>49.35</v>
      </c>
      <c r="M500" s="12">
        <v>32.63</v>
      </c>
      <c r="N500" s="12">
        <v>137.71</v>
      </c>
      <c r="O500" s="12">
        <v>137.54</v>
      </c>
      <c r="P500" s="12" t="s">
        <v>120</v>
      </c>
      <c r="Q500" s="12" t="s">
        <v>42</v>
      </c>
      <c r="R500" s="6"/>
      <c r="S500" s="6"/>
      <c r="T500" s="6"/>
      <c r="U500" s="6"/>
      <c r="V500" s="6"/>
    </row>
    <row r="501">
      <c r="A501" s="15">
        <v>46280.73627327546</v>
      </c>
      <c r="B501" s="8" t="str">
        <f t="shared" si="1"/>
        <v>236141</v>
      </c>
      <c r="C501" s="10" t="s">
        <v>325</v>
      </c>
      <c r="D501" s="10" t="s">
        <v>17</v>
      </c>
      <c r="E501" s="9"/>
      <c r="F501" s="12" t="s">
        <v>18</v>
      </c>
      <c r="G501" s="12">
        <v>53.5</v>
      </c>
      <c r="H501" s="12">
        <v>41.71</v>
      </c>
      <c r="I501" s="12">
        <v>157.79</v>
      </c>
      <c r="J501" s="12">
        <v>157.65</v>
      </c>
      <c r="K501" s="12" t="s">
        <v>19</v>
      </c>
      <c r="L501" s="12">
        <v>53.67</v>
      </c>
      <c r="M501" s="12">
        <v>42.36</v>
      </c>
      <c r="N501" s="12">
        <v>158.82</v>
      </c>
      <c r="O501" s="12">
        <v>158.85</v>
      </c>
      <c r="P501" s="12" t="s">
        <v>17</v>
      </c>
      <c r="Q501" s="12" t="s">
        <v>42</v>
      </c>
      <c r="R501" s="6"/>
      <c r="S501" s="6"/>
      <c r="T501" s="6"/>
      <c r="U501" s="6"/>
      <c r="V501" s="6"/>
    </row>
    <row r="502">
      <c r="A502" s="15">
        <v>46280.73789956019</v>
      </c>
      <c r="B502" s="8" t="str">
        <f t="shared" si="1"/>
        <v>234807</v>
      </c>
      <c r="C502" s="10" t="s">
        <v>447</v>
      </c>
      <c r="D502" s="10" t="s">
        <v>120</v>
      </c>
      <c r="E502" s="9"/>
      <c r="F502" s="12" t="s">
        <v>18</v>
      </c>
      <c r="G502" s="12">
        <v>52.29</v>
      </c>
      <c r="H502" s="12">
        <v>49.02</v>
      </c>
      <c r="I502" s="12">
        <v>164.88</v>
      </c>
      <c r="J502" s="12">
        <v>164.72</v>
      </c>
      <c r="K502" s="12" t="s">
        <v>19</v>
      </c>
      <c r="L502" s="12">
        <v>50.39</v>
      </c>
      <c r="M502" s="12">
        <v>46.57</v>
      </c>
      <c r="N502" s="12">
        <v>157.92</v>
      </c>
      <c r="O502" s="12">
        <v>158.03</v>
      </c>
      <c r="P502" s="12" t="s">
        <v>120</v>
      </c>
      <c r="Q502" s="12" t="s">
        <v>42</v>
      </c>
      <c r="R502" s="6"/>
      <c r="S502" s="6"/>
      <c r="T502" s="6"/>
      <c r="U502" s="6"/>
      <c r="V502" s="6"/>
    </row>
    <row r="503">
      <c r="A503" s="15">
        <v>46281.546162928236</v>
      </c>
      <c r="B503" s="8" t="str">
        <f t="shared" si="1"/>
        <v>238022</v>
      </c>
      <c r="C503" s="10" t="s">
        <v>446</v>
      </c>
      <c r="D503" s="10" t="s">
        <v>448</v>
      </c>
      <c r="E503" s="9"/>
      <c r="F503" s="12" t="s">
        <v>18</v>
      </c>
      <c r="G503" s="12">
        <v>50.39</v>
      </c>
      <c r="H503" s="12">
        <v>46.57</v>
      </c>
      <c r="I503" s="12">
        <v>157.92</v>
      </c>
      <c r="J503" s="12">
        <v>158.03</v>
      </c>
      <c r="K503" s="12" t="s">
        <v>19</v>
      </c>
      <c r="L503" s="12">
        <v>49.32</v>
      </c>
      <c r="M503" s="12">
        <v>32.5</v>
      </c>
      <c r="N503" s="12">
        <v>137.68</v>
      </c>
      <c r="O503" s="12">
        <v>137.64</v>
      </c>
      <c r="P503" s="12" t="s">
        <v>448</v>
      </c>
      <c r="Q503" s="12" t="s">
        <v>90</v>
      </c>
      <c r="R503" s="6"/>
      <c r="S503" s="6"/>
      <c r="T503" s="6"/>
      <c r="U503" s="6"/>
      <c r="V503" s="6"/>
    </row>
    <row r="504">
      <c r="A504" s="15">
        <v>46282.336344247684</v>
      </c>
      <c r="B504" s="8" t="str">
        <f t="shared" si="1"/>
        <v>219834</v>
      </c>
      <c r="C504" s="10" t="s">
        <v>449</v>
      </c>
      <c r="D504" s="9"/>
      <c r="E504" s="9"/>
      <c r="F504" s="12" t="s">
        <v>18</v>
      </c>
      <c r="G504" s="12">
        <v>53.25</v>
      </c>
      <c r="H504" s="12">
        <v>39.97</v>
      </c>
      <c r="I504" s="12">
        <v>159.13</v>
      </c>
      <c r="J504" s="12">
        <v>159.43</v>
      </c>
      <c r="K504" s="12" t="s">
        <v>19</v>
      </c>
      <c r="L504" s="12">
        <v>53.76</v>
      </c>
      <c r="M504" s="12">
        <v>39.64</v>
      </c>
      <c r="N504" s="12">
        <v>159.86</v>
      </c>
      <c r="O504" s="12">
        <v>159.13</v>
      </c>
      <c r="P504" s="12" t="s">
        <v>448</v>
      </c>
      <c r="Q504" s="12" t="s">
        <v>55</v>
      </c>
      <c r="R504" s="6"/>
      <c r="S504" s="6"/>
      <c r="T504" s="6"/>
      <c r="U504" s="6"/>
      <c r="V504" s="6"/>
    </row>
    <row r="505">
      <c r="A505" s="15">
        <v>46282.37707097222</v>
      </c>
      <c r="B505" s="8" t="str">
        <f t="shared" si="1"/>
        <v>206775</v>
      </c>
      <c r="C505" s="10" t="s">
        <v>450</v>
      </c>
      <c r="D505" s="9"/>
      <c r="E505" s="9"/>
      <c r="F505" s="12" t="s">
        <v>18</v>
      </c>
      <c r="G505" s="12">
        <v>48.24</v>
      </c>
      <c r="H505" s="12">
        <v>42.12</v>
      </c>
      <c r="I505" s="12">
        <v>146.32</v>
      </c>
      <c r="J505" s="12">
        <v>146.63</v>
      </c>
      <c r="K505" s="12" t="s">
        <v>19</v>
      </c>
      <c r="L505" s="12">
        <v>48.16</v>
      </c>
      <c r="M505" s="12">
        <v>42.32</v>
      </c>
      <c r="N505" s="12">
        <v>146.48</v>
      </c>
      <c r="O505" s="12">
        <v>146.77</v>
      </c>
      <c r="P505" s="12" t="s">
        <v>17</v>
      </c>
      <c r="Q505" s="12" t="s">
        <v>55</v>
      </c>
      <c r="R505" s="6"/>
      <c r="S505" s="6"/>
      <c r="T505" s="6"/>
      <c r="U505" s="6"/>
      <c r="V505" s="6"/>
    </row>
    <row r="506">
      <c r="A506" s="15">
        <v>46282.55780628472</v>
      </c>
      <c r="B506" s="8" t="str">
        <f t="shared" si="1"/>
        <v>209252</v>
      </c>
      <c r="C506" s="10">
        <v>209252.0</v>
      </c>
      <c r="D506" s="9"/>
      <c r="E506" s="9"/>
      <c r="F506" s="12" t="s">
        <v>18</v>
      </c>
      <c r="G506" s="12">
        <v>41.47</v>
      </c>
      <c r="H506" s="12">
        <v>40.81</v>
      </c>
      <c r="I506" s="12">
        <v>129.74</v>
      </c>
      <c r="J506" s="12">
        <v>129.74</v>
      </c>
      <c r="K506" s="12" t="s">
        <v>19</v>
      </c>
      <c r="L506" s="12">
        <v>41.69</v>
      </c>
      <c r="M506" s="12">
        <v>41.39</v>
      </c>
      <c r="N506" s="12">
        <v>130.95</v>
      </c>
      <c r="O506" s="12">
        <v>130.95</v>
      </c>
      <c r="P506" s="12" t="s">
        <v>17</v>
      </c>
      <c r="Q506" s="12" t="s">
        <v>55</v>
      </c>
      <c r="R506" s="6"/>
      <c r="S506" s="6"/>
      <c r="T506" s="6"/>
      <c r="U506" s="6"/>
      <c r="V506" s="6"/>
    </row>
    <row r="507">
      <c r="A507" s="15">
        <v>46282.56027447917</v>
      </c>
      <c r="B507" s="8" t="str">
        <f t="shared" si="1"/>
        <v>244642</v>
      </c>
      <c r="C507" s="10" t="s">
        <v>451</v>
      </c>
      <c r="D507" s="9"/>
      <c r="E507" s="9"/>
      <c r="F507" s="12" t="s">
        <v>18</v>
      </c>
      <c r="G507" s="12">
        <v>52.96</v>
      </c>
      <c r="H507" s="12">
        <v>46.04</v>
      </c>
      <c r="I507" s="12">
        <v>160.14</v>
      </c>
      <c r="J507" s="12">
        <v>160.49</v>
      </c>
      <c r="K507" s="12" t="s">
        <v>19</v>
      </c>
      <c r="L507" s="12">
        <v>52.46</v>
      </c>
      <c r="M507" s="12">
        <v>45.83</v>
      </c>
      <c r="N507" s="12">
        <v>159.09</v>
      </c>
      <c r="O507" s="12">
        <v>159.36</v>
      </c>
      <c r="P507" s="12" t="s">
        <v>17</v>
      </c>
      <c r="Q507" s="12" t="s">
        <v>55</v>
      </c>
      <c r="R507" s="6"/>
      <c r="S507" s="6"/>
      <c r="T507" s="6"/>
      <c r="U507" s="6"/>
      <c r="V507" s="6"/>
    </row>
    <row r="508">
      <c r="A508" s="15">
        <v>46282.57088153935</v>
      </c>
      <c r="B508" s="8" t="str">
        <f t="shared" si="1"/>
        <v>148488</v>
      </c>
      <c r="C508" s="10" t="s">
        <v>452</v>
      </c>
      <c r="D508" s="9"/>
      <c r="E508" s="9"/>
      <c r="F508" s="12" t="s">
        <v>18</v>
      </c>
      <c r="G508" s="12">
        <v>49.68</v>
      </c>
      <c r="H508" s="12">
        <v>43.88</v>
      </c>
      <c r="I508" s="12">
        <v>150.78</v>
      </c>
      <c r="J508" s="12">
        <v>150.96</v>
      </c>
      <c r="K508" s="12" t="s">
        <v>19</v>
      </c>
      <c r="L508" s="12">
        <v>49.75</v>
      </c>
      <c r="M508" s="12">
        <v>44.06</v>
      </c>
      <c r="N508" s="12">
        <v>151.09</v>
      </c>
      <c r="O508" s="12">
        <v>151.25</v>
      </c>
      <c r="P508" s="12" t="s">
        <v>17</v>
      </c>
      <c r="Q508" s="12" t="s">
        <v>55</v>
      </c>
      <c r="R508" s="6"/>
      <c r="S508" s="6"/>
      <c r="T508" s="6"/>
      <c r="U508" s="6"/>
      <c r="V508" s="6"/>
    </row>
    <row r="509">
      <c r="A509" s="15">
        <v>46282.608959432866</v>
      </c>
      <c r="B509" s="8" t="str">
        <f t="shared" si="1"/>
        <v>150609</v>
      </c>
      <c r="C509" s="10" t="s">
        <v>453</v>
      </c>
      <c r="D509" s="9"/>
      <c r="E509" s="9"/>
      <c r="F509" s="12" t="s">
        <v>18</v>
      </c>
      <c r="G509" s="12">
        <v>48.5</v>
      </c>
      <c r="H509" s="12">
        <v>33.62</v>
      </c>
      <c r="I509" s="12">
        <v>33.62</v>
      </c>
      <c r="J509" s="12">
        <v>33.62</v>
      </c>
      <c r="K509" s="8"/>
      <c r="L509" s="12">
        <v>48.94</v>
      </c>
      <c r="M509" s="12">
        <v>33.84</v>
      </c>
      <c r="N509" s="12">
        <v>134.96</v>
      </c>
      <c r="O509" s="12">
        <v>134.96</v>
      </c>
      <c r="P509" s="12" t="s">
        <v>17</v>
      </c>
      <c r="Q509" s="12" t="s">
        <v>20</v>
      </c>
      <c r="R509" s="6"/>
      <c r="S509" s="6"/>
      <c r="T509" s="6"/>
      <c r="U509" s="6"/>
      <c r="V509" s="6"/>
    </row>
    <row r="510">
      <c r="A510" s="15">
        <v>46285.80794291667</v>
      </c>
      <c r="B510" s="8" t="str">
        <f t="shared" si="1"/>
        <v>241074</v>
      </c>
      <c r="C510" s="23" t="s">
        <v>454</v>
      </c>
      <c r="D510" s="22" t="s">
        <v>32</v>
      </c>
      <c r="E510" s="43">
        <v>0.3077</v>
      </c>
      <c r="F510" s="12" t="s">
        <v>18</v>
      </c>
      <c r="G510" s="12">
        <v>58.63</v>
      </c>
      <c r="H510" s="12">
        <v>42.78</v>
      </c>
      <c r="I510" s="12">
        <v>172.62</v>
      </c>
      <c r="J510" s="12">
        <v>172.37</v>
      </c>
      <c r="K510" s="8"/>
      <c r="L510" s="12">
        <v>58.16</v>
      </c>
      <c r="M510" s="12">
        <v>42.59</v>
      </c>
      <c r="N510" s="12">
        <v>171.75</v>
      </c>
      <c r="O510" s="12">
        <v>170.95</v>
      </c>
      <c r="P510" s="8"/>
      <c r="Q510" s="12" t="s">
        <v>90</v>
      </c>
      <c r="R510" s="6"/>
      <c r="S510" s="6"/>
      <c r="T510" s="6"/>
      <c r="U510" s="6"/>
      <c r="V510" s="6"/>
    </row>
    <row r="511">
      <c r="A511" s="15">
        <v>46285.80908994213</v>
      </c>
      <c r="B511" s="8" t="str">
        <f t="shared" si="1"/>
        <v>247078</v>
      </c>
      <c r="C511" s="23" t="s">
        <v>455</v>
      </c>
      <c r="D511" s="23" t="s">
        <v>32</v>
      </c>
      <c r="E511" s="42">
        <v>0.1667</v>
      </c>
      <c r="F511" s="12" t="s">
        <v>18</v>
      </c>
      <c r="G511" s="12">
        <v>55.79</v>
      </c>
      <c r="H511" s="12">
        <v>34.9</v>
      </c>
      <c r="I511" s="12">
        <v>150.16</v>
      </c>
      <c r="J511" s="12">
        <v>150.78</v>
      </c>
      <c r="K511" s="8"/>
      <c r="L511" s="12">
        <v>55.68</v>
      </c>
      <c r="M511" s="12">
        <v>34.78</v>
      </c>
      <c r="N511" s="12">
        <v>150.21</v>
      </c>
      <c r="O511" s="12">
        <v>150.4</v>
      </c>
      <c r="P511" s="8"/>
      <c r="Q511" s="12" t="s">
        <v>90</v>
      </c>
      <c r="R511" s="6"/>
      <c r="S511" s="6"/>
      <c r="T511" s="6"/>
      <c r="U511" s="6"/>
      <c r="V511" s="6"/>
    </row>
    <row r="512">
      <c r="A512" s="15">
        <v>46285.81055008102</v>
      </c>
      <c r="B512" s="8" t="str">
        <f t="shared" si="1"/>
        <v>236092</v>
      </c>
      <c r="C512" s="23" t="s">
        <v>456</v>
      </c>
      <c r="D512" s="23" t="s">
        <v>32</v>
      </c>
      <c r="E512" s="42">
        <v>0.0976</v>
      </c>
      <c r="F512" s="12" t="s">
        <v>18</v>
      </c>
      <c r="G512" s="12">
        <v>50.41</v>
      </c>
      <c r="H512" s="12">
        <v>42.9</v>
      </c>
      <c r="I512" s="12">
        <v>151.92</v>
      </c>
      <c r="J512" s="12">
        <v>151.92</v>
      </c>
      <c r="K512" s="8"/>
      <c r="L512" s="12">
        <v>50.32</v>
      </c>
      <c r="M512" s="12">
        <v>42.82</v>
      </c>
      <c r="N512" s="12">
        <v>151.67</v>
      </c>
      <c r="O512" s="12">
        <v>151.67</v>
      </c>
      <c r="P512" s="8"/>
      <c r="Q512" s="12" t="s">
        <v>90</v>
      </c>
      <c r="R512" s="6"/>
      <c r="S512" s="6"/>
      <c r="T512" s="6"/>
      <c r="U512" s="6"/>
      <c r="V512" s="6"/>
    </row>
    <row r="513">
      <c r="A513" s="15">
        <v>46285.81843672454</v>
      </c>
      <c r="B513" s="8" t="str">
        <f t="shared" si="1"/>
        <v>241117</v>
      </c>
      <c r="C513" s="23" t="s">
        <v>457</v>
      </c>
      <c r="D513" s="22" t="s">
        <v>32</v>
      </c>
      <c r="E513" s="43">
        <v>0.0678</v>
      </c>
      <c r="F513" s="12" t="s">
        <v>18</v>
      </c>
      <c r="G513" s="12">
        <v>54.62</v>
      </c>
      <c r="H513" s="12">
        <v>36.22</v>
      </c>
      <c r="I513" s="12">
        <v>154.43</v>
      </c>
      <c r="J513" s="12">
        <v>154.64</v>
      </c>
      <c r="K513" s="8"/>
      <c r="L513" s="12">
        <v>54.34</v>
      </c>
      <c r="M513" s="12">
        <v>36.02</v>
      </c>
      <c r="N513" s="12">
        <v>153.69</v>
      </c>
      <c r="O513" s="12">
        <v>154.08</v>
      </c>
      <c r="P513" s="8"/>
      <c r="Q513" s="12" t="s">
        <v>90</v>
      </c>
      <c r="R513" s="6"/>
      <c r="S513" s="6"/>
      <c r="T513" s="6"/>
      <c r="U513" s="6"/>
      <c r="V513" s="6"/>
    </row>
    <row r="514">
      <c r="A514" s="15">
        <v>46285.821778819445</v>
      </c>
      <c r="B514" s="8" t="str">
        <f t="shared" si="1"/>
        <v>217079</v>
      </c>
      <c r="C514" s="23" t="s">
        <v>458</v>
      </c>
      <c r="D514" s="23" t="s">
        <v>32</v>
      </c>
      <c r="E514" s="42">
        <v>0.0411</v>
      </c>
      <c r="F514" s="12" t="s">
        <v>18</v>
      </c>
      <c r="G514" s="12">
        <v>52.66</v>
      </c>
      <c r="H514" s="12">
        <v>42.22</v>
      </c>
      <c r="I514" s="12">
        <v>156.16</v>
      </c>
      <c r="J514" s="12">
        <v>156.15</v>
      </c>
      <c r="K514" s="8"/>
      <c r="L514" s="12">
        <v>52.52</v>
      </c>
      <c r="M514" s="12">
        <v>41.79</v>
      </c>
      <c r="N514" s="12">
        <v>155.81</v>
      </c>
      <c r="O514" s="12">
        <v>155.35</v>
      </c>
      <c r="P514" s="8"/>
      <c r="Q514" s="12" t="s">
        <v>90</v>
      </c>
      <c r="R514" s="6"/>
      <c r="S514" s="6"/>
      <c r="T514" s="6"/>
      <c r="U514" s="6"/>
      <c r="V514" s="6"/>
    </row>
    <row r="515">
      <c r="A515" s="15">
        <v>46285.82284040509</v>
      </c>
      <c r="B515" s="8" t="str">
        <f t="shared" si="1"/>
        <v>222280</v>
      </c>
      <c r="C515" s="23" t="s">
        <v>459</v>
      </c>
      <c r="D515" s="22" t="s">
        <v>32</v>
      </c>
      <c r="E515" s="43">
        <v>0.0361</v>
      </c>
      <c r="F515" s="12" t="s">
        <v>18</v>
      </c>
      <c r="G515" s="12">
        <v>55.29</v>
      </c>
      <c r="H515" s="12">
        <v>44.55</v>
      </c>
      <c r="I515" s="12">
        <v>163.84</v>
      </c>
      <c r="J515" s="12">
        <v>163.84</v>
      </c>
      <c r="K515" s="8"/>
      <c r="L515" s="12">
        <v>55.15</v>
      </c>
      <c r="M515" s="12">
        <v>44.48</v>
      </c>
      <c r="N515" s="12">
        <v>163.72</v>
      </c>
      <c r="O515" s="12">
        <v>163.67</v>
      </c>
      <c r="P515" s="8"/>
      <c r="Q515" s="12" t="s">
        <v>90</v>
      </c>
      <c r="R515" s="6"/>
      <c r="S515" s="6"/>
      <c r="T515" s="6"/>
      <c r="U515" s="6"/>
      <c r="V515" s="6"/>
    </row>
    <row r="516">
      <c r="A516" s="15">
        <v>46285.84205331019</v>
      </c>
      <c r="B516" s="8" t="str">
        <f t="shared" si="1"/>
        <v>137971</v>
      </c>
      <c r="C516" s="23" t="s">
        <v>159</v>
      </c>
      <c r="D516" s="23" t="s">
        <v>460</v>
      </c>
      <c r="E516" s="42">
        <v>0.0469</v>
      </c>
      <c r="F516" s="12" t="s">
        <v>18</v>
      </c>
      <c r="G516" s="12">
        <v>51.91</v>
      </c>
      <c r="H516" s="12">
        <v>43.6</v>
      </c>
      <c r="I516" s="12">
        <v>156.07</v>
      </c>
      <c r="J516" s="12">
        <v>155.95</v>
      </c>
      <c r="K516" s="8"/>
      <c r="L516" s="12">
        <v>51.95</v>
      </c>
      <c r="M516" s="12">
        <v>43.66</v>
      </c>
      <c r="N516" s="12">
        <v>156.14</v>
      </c>
      <c r="O516" s="12">
        <v>156.05</v>
      </c>
      <c r="P516" s="8"/>
      <c r="Q516" s="8"/>
      <c r="R516" s="6"/>
      <c r="S516" s="6"/>
      <c r="T516" s="6"/>
      <c r="U516" s="6"/>
      <c r="V516" s="6"/>
    </row>
    <row r="517">
      <c r="A517" s="15">
        <v>46285.843524502314</v>
      </c>
      <c r="B517" s="8" t="str">
        <f t="shared" si="1"/>
        <v>222280</v>
      </c>
      <c r="C517" s="23" t="s">
        <v>340</v>
      </c>
      <c r="D517" s="22" t="s">
        <v>382</v>
      </c>
      <c r="E517" s="43">
        <v>0.0857</v>
      </c>
      <c r="F517" s="12" t="s">
        <v>18</v>
      </c>
      <c r="G517" s="12">
        <v>56.9</v>
      </c>
      <c r="H517" s="12">
        <v>44.7</v>
      </c>
      <c r="I517" s="12">
        <v>163.36</v>
      </c>
      <c r="J517" s="12">
        <v>166.77</v>
      </c>
      <c r="K517" s="8"/>
      <c r="L517" s="12">
        <v>55.1</v>
      </c>
      <c r="M517" s="12">
        <v>44.4</v>
      </c>
      <c r="N517" s="12">
        <v>163.34</v>
      </c>
      <c r="O517" s="12">
        <v>163.27</v>
      </c>
      <c r="P517" s="8"/>
      <c r="Q517" s="8"/>
      <c r="R517" s="6"/>
      <c r="S517" s="6"/>
      <c r="T517" s="6"/>
      <c r="U517" s="6"/>
      <c r="V517" s="6"/>
    </row>
    <row r="518">
      <c r="A518" s="15">
        <v>46285.84561804398</v>
      </c>
      <c r="B518" s="8" t="str">
        <f t="shared" si="1"/>
        <v>241089</v>
      </c>
      <c r="C518" s="23" t="s">
        <v>461</v>
      </c>
      <c r="D518" s="23" t="s">
        <v>382</v>
      </c>
      <c r="E518" s="42">
        <v>0.0973</v>
      </c>
      <c r="F518" s="12" t="s">
        <v>18</v>
      </c>
      <c r="G518" s="12">
        <v>60.41</v>
      </c>
      <c r="H518" s="12">
        <v>48.48</v>
      </c>
      <c r="I518" s="12">
        <v>177.02</v>
      </c>
      <c r="J518" s="12">
        <v>177.77</v>
      </c>
      <c r="K518" s="8"/>
      <c r="L518" s="12">
        <v>60.21</v>
      </c>
      <c r="M518" s="12">
        <v>48.36</v>
      </c>
      <c r="N518" s="12">
        <v>176.92</v>
      </c>
      <c r="O518" s="12">
        <v>177.03</v>
      </c>
      <c r="P518" s="8"/>
      <c r="Q518" s="8"/>
      <c r="R518" s="6"/>
      <c r="S518" s="6"/>
      <c r="T518" s="6"/>
      <c r="U518" s="6"/>
      <c r="V518" s="6"/>
    </row>
    <row r="519">
      <c r="A519" s="15">
        <v>46285.848731782404</v>
      </c>
      <c r="B519" s="8" t="str">
        <f t="shared" si="1"/>
        <v>222135</v>
      </c>
      <c r="C519" s="23" t="s">
        <v>462</v>
      </c>
      <c r="D519" s="22" t="s">
        <v>382</v>
      </c>
      <c r="E519" s="43">
        <v>0.0222</v>
      </c>
      <c r="F519" s="12" t="s">
        <v>18</v>
      </c>
      <c r="G519" s="12">
        <v>55.2</v>
      </c>
      <c r="H519" s="12">
        <v>34.39</v>
      </c>
      <c r="I519" s="12">
        <v>156.85</v>
      </c>
      <c r="J519" s="12">
        <v>156.21</v>
      </c>
      <c r="K519" s="8"/>
      <c r="L519" s="12">
        <v>55.25</v>
      </c>
      <c r="M519" s="12">
        <v>34.45</v>
      </c>
      <c r="N519" s="12">
        <v>155.84</v>
      </c>
      <c r="O519" s="12">
        <v>155.84</v>
      </c>
      <c r="P519" s="8"/>
      <c r="Q519" s="8"/>
      <c r="R519" s="6"/>
      <c r="S519" s="6"/>
      <c r="T519" s="6"/>
      <c r="U519" s="6"/>
      <c r="V519" s="6"/>
    </row>
    <row r="520">
      <c r="A520" s="15">
        <v>46285.84992317129</v>
      </c>
      <c r="B520" s="8" t="str">
        <f t="shared" si="1"/>
        <v>236398</v>
      </c>
      <c r="C520" s="23" t="s">
        <v>463</v>
      </c>
      <c r="D520" s="23" t="s">
        <v>124</v>
      </c>
      <c r="E520" s="42">
        <v>0.1026</v>
      </c>
      <c r="F520" s="12" t="s">
        <v>18</v>
      </c>
      <c r="G520" s="12">
        <v>55.39</v>
      </c>
      <c r="H520" s="12">
        <v>38.28</v>
      </c>
      <c r="I520" s="12">
        <v>158.42</v>
      </c>
      <c r="J520" s="12">
        <v>158.52</v>
      </c>
      <c r="K520" s="8"/>
      <c r="L520" s="12">
        <v>55.45</v>
      </c>
      <c r="M520" s="12">
        <v>38.33</v>
      </c>
      <c r="N520" s="12">
        <v>158.17</v>
      </c>
      <c r="O520" s="12">
        <v>158.17</v>
      </c>
      <c r="P520" s="8"/>
      <c r="Q520" s="8"/>
      <c r="R520" s="6"/>
      <c r="S520" s="6"/>
      <c r="T520" s="6"/>
      <c r="U520" s="6"/>
      <c r="V520" s="6"/>
    </row>
    <row r="521">
      <c r="A521" s="15">
        <v>46285.851093171295</v>
      </c>
      <c r="B521" s="8" t="str">
        <f t="shared" si="1"/>
        <v>243170</v>
      </c>
      <c r="C521" s="23" t="s">
        <v>464</v>
      </c>
      <c r="D521" s="22" t="s">
        <v>465</v>
      </c>
      <c r="E521" s="43">
        <v>0.0398</v>
      </c>
      <c r="F521" s="12" t="s">
        <v>18</v>
      </c>
      <c r="G521" s="12">
        <v>51.85</v>
      </c>
      <c r="H521" s="12">
        <v>33.18</v>
      </c>
      <c r="I521" s="12">
        <v>145.27</v>
      </c>
      <c r="J521" s="12">
        <v>145.25</v>
      </c>
      <c r="K521" s="8"/>
      <c r="L521" s="12">
        <v>51.6</v>
      </c>
      <c r="M521" s="12">
        <v>32.99</v>
      </c>
      <c r="N521" s="12">
        <v>144.5</v>
      </c>
      <c r="O521" s="12">
        <v>144.61</v>
      </c>
      <c r="P521" s="8"/>
      <c r="Q521" s="8"/>
      <c r="R521" s="6"/>
      <c r="S521" s="6"/>
      <c r="T521" s="6"/>
      <c r="U521" s="6"/>
      <c r="V521" s="6"/>
    </row>
    <row r="522">
      <c r="A522" s="50"/>
      <c r="B522" s="8" t="str">
        <f t="shared" si="1"/>
        <v>241100</v>
      </c>
      <c r="C522" s="51" t="s">
        <v>466</v>
      </c>
      <c r="D522" s="51" t="s">
        <v>392</v>
      </c>
      <c r="E522" s="52">
        <v>0.1395</v>
      </c>
      <c r="F522" s="56" t="s">
        <v>18</v>
      </c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6" t="s">
        <v>90</v>
      </c>
      <c r="R522" s="53"/>
      <c r="S522" s="53"/>
      <c r="T522" s="53"/>
      <c r="U522" s="53"/>
      <c r="V522" s="53"/>
    </row>
    <row r="523">
      <c r="A523" s="50"/>
      <c r="B523" s="8" t="str">
        <f t="shared" si="1"/>
        <v>241124</v>
      </c>
      <c r="C523" s="51" t="s">
        <v>467</v>
      </c>
      <c r="D523" s="51" t="s">
        <v>392</v>
      </c>
      <c r="E523" s="52">
        <v>0.1034</v>
      </c>
      <c r="F523" s="56" t="s">
        <v>18</v>
      </c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6" t="s">
        <v>90</v>
      </c>
      <c r="R523" s="53"/>
      <c r="S523" s="53"/>
      <c r="T523" s="53"/>
      <c r="U523" s="53"/>
      <c r="V523" s="53"/>
    </row>
    <row r="524">
      <c r="A524" s="50"/>
      <c r="B524" s="8" t="str">
        <f t="shared" si="1"/>
        <v>221282</v>
      </c>
      <c r="C524" s="51" t="s">
        <v>274</v>
      </c>
      <c r="D524" s="51" t="s">
        <v>392</v>
      </c>
      <c r="E524" s="52">
        <v>0.1294</v>
      </c>
      <c r="F524" s="56" t="s">
        <v>18</v>
      </c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6" t="s">
        <v>90</v>
      </c>
      <c r="R524" s="53"/>
      <c r="S524" s="53"/>
      <c r="T524" s="53"/>
      <c r="U524" s="53"/>
      <c r="V524" s="53"/>
    </row>
    <row r="525">
      <c r="A525" s="50"/>
      <c r="B525" s="8" t="str">
        <f t="shared" si="1"/>
        <v>236141</v>
      </c>
      <c r="C525" s="51" t="s">
        <v>468</v>
      </c>
      <c r="D525" s="51" t="s">
        <v>392</v>
      </c>
      <c r="E525" s="52">
        <v>0.0678</v>
      </c>
      <c r="F525" s="56" t="s">
        <v>18</v>
      </c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6" t="s">
        <v>90</v>
      </c>
      <c r="R525" s="53"/>
      <c r="S525" s="53"/>
      <c r="T525" s="53"/>
      <c r="U525" s="53"/>
      <c r="V525" s="53"/>
    </row>
    <row r="526">
      <c r="A526" s="50"/>
      <c r="B526" s="8" t="str">
        <f t="shared" si="1"/>
        <v>221928</v>
      </c>
      <c r="C526" s="51" t="s">
        <v>243</v>
      </c>
      <c r="D526" s="51" t="s">
        <v>392</v>
      </c>
      <c r="E526" s="52">
        <v>0.0704</v>
      </c>
      <c r="F526" s="56" t="s">
        <v>18</v>
      </c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6" t="s">
        <v>90</v>
      </c>
      <c r="R526" s="53"/>
      <c r="S526" s="53"/>
      <c r="T526" s="53"/>
      <c r="U526" s="53"/>
      <c r="V526" s="53"/>
    </row>
    <row r="527">
      <c r="A527" s="50"/>
      <c r="B527" s="8" t="str">
        <f t="shared" si="1"/>
        <v>152984</v>
      </c>
      <c r="C527" s="51" t="s">
        <v>469</v>
      </c>
      <c r="D527" s="51" t="s">
        <v>392</v>
      </c>
      <c r="E527" s="52">
        <v>0.0594</v>
      </c>
      <c r="F527" s="56" t="s">
        <v>18</v>
      </c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6" t="s">
        <v>90</v>
      </c>
      <c r="R527" s="53"/>
      <c r="S527" s="53"/>
      <c r="T527" s="53"/>
      <c r="U527" s="53"/>
      <c r="V527" s="53"/>
    </row>
    <row r="528">
      <c r="A528" s="15">
        <v>46285.82418596065</v>
      </c>
      <c r="B528" s="8" t="str">
        <f t="shared" si="1"/>
        <v>236095</v>
      </c>
      <c r="C528" s="23" t="s">
        <v>470</v>
      </c>
      <c r="D528" s="22" t="s">
        <v>17</v>
      </c>
      <c r="E528" s="43">
        <v>0.122</v>
      </c>
      <c r="F528" s="12" t="s">
        <v>18</v>
      </c>
      <c r="G528" s="12">
        <v>49.51</v>
      </c>
      <c r="H528" s="12">
        <v>42.3</v>
      </c>
      <c r="I528" s="12">
        <v>149.8</v>
      </c>
      <c r="J528" s="12">
        <v>149.49</v>
      </c>
      <c r="K528" s="8"/>
      <c r="L528" s="12">
        <v>49.61</v>
      </c>
      <c r="M528" s="12">
        <v>42.4</v>
      </c>
      <c r="N528" s="12">
        <v>150.13</v>
      </c>
      <c r="O528" s="35">
        <v>150.13</v>
      </c>
      <c r="P528" s="8"/>
      <c r="Q528" s="56" t="s">
        <v>90</v>
      </c>
      <c r="R528" s="6"/>
      <c r="S528" s="6"/>
      <c r="T528" s="6"/>
      <c r="U528" s="6"/>
      <c r="V528" s="6"/>
    </row>
    <row r="529">
      <c r="A529" s="15">
        <v>46285.82537491898</v>
      </c>
      <c r="B529" s="8" t="str">
        <f t="shared" si="1"/>
        <v>208956</v>
      </c>
      <c r="C529" s="23" t="s">
        <v>471</v>
      </c>
      <c r="D529" s="23" t="s">
        <v>17</v>
      </c>
      <c r="E529" s="42">
        <v>0.2857</v>
      </c>
      <c r="F529" s="12" t="s">
        <v>18</v>
      </c>
      <c r="G529" s="12">
        <v>51.2</v>
      </c>
      <c r="H529" s="12">
        <v>42.86</v>
      </c>
      <c r="I529" s="12">
        <v>153.77</v>
      </c>
      <c r="J529" s="12">
        <v>153.85</v>
      </c>
      <c r="K529" s="8"/>
      <c r="L529" s="12">
        <v>51.38</v>
      </c>
      <c r="M529" s="12">
        <v>43.02</v>
      </c>
      <c r="N529" s="12">
        <v>154.27</v>
      </c>
      <c r="O529" s="12">
        <v>154.27</v>
      </c>
      <c r="P529" s="8"/>
      <c r="Q529" s="56" t="s">
        <v>90</v>
      </c>
      <c r="R529" s="6"/>
      <c r="S529" s="6"/>
      <c r="T529" s="6"/>
      <c r="U529" s="6"/>
      <c r="V529" s="6"/>
    </row>
    <row r="530">
      <c r="A530" s="15">
        <v>46285.8314502662</v>
      </c>
      <c r="B530" s="8" t="str">
        <f t="shared" si="1"/>
        <v>242175</v>
      </c>
      <c r="C530" s="23" t="s">
        <v>472</v>
      </c>
      <c r="D530" s="23" t="s">
        <v>17</v>
      </c>
      <c r="E530" s="42">
        <v>0.05</v>
      </c>
      <c r="F530" s="12" t="s">
        <v>18</v>
      </c>
      <c r="G530" s="12">
        <v>53.44</v>
      </c>
      <c r="H530" s="12">
        <v>40.17</v>
      </c>
      <c r="I530" s="12">
        <v>159.47</v>
      </c>
      <c r="J530" s="12">
        <v>159.93</v>
      </c>
      <c r="K530" s="8"/>
      <c r="L530" s="12">
        <v>53.62</v>
      </c>
      <c r="M530" s="12">
        <v>40.41</v>
      </c>
      <c r="N530" s="12">
        <v>160.04</v>
      </c>
      <c r="O530" s="12">
        <v>159.84</v>
      </c>
      <c r="P530" s="8"/>
      <c r="Q530" s="56" t="s">
        <v>90</v>
      </c>
      <c r="R530" s="6"/>
      <c r="S530" s="6"/>
      <c r="T530" s="6"/>
      <c r="U530" s="6"/>
      <c r="V530" s="6"/>
    </row>
    <row r="531">
      <c r="A531" s="15">
        <v>46285.83367384259</v>
      </c>
      <c r="B531" s="8" t="str">
        <f t="shared" si="1"/>
        <v>137971</v>
      </c>
      <c r="C531" s="23" t="s">
        <v>473</v>
      </c>
      <c r="D531" s="22" t="s">
        <v>17</v>
      </c>
      <c r="E531" s="43">
        <v>0.0323</v>
      </c>
      <c r="F531" s="12" t="s">
        <v>18</v>
      </c>
      <c r="G531" s="12">
        <v>52.19</v>
      </c>
      <c r="H531" s="12">
        <v>43.76</v>
      </c>
      <c r="I531" s="12">
        <v>156.41</v>
      </c>
      <c r="J531" s="12">
        <v>156.36</v>
      </c>
      <c r="K531" s="8"/>
      <c r="L531" s="12">
        <v>52.24</v>
      </c>
      <c r="M531" s="35">
        <v>43.81</v>
      </c>
      <c r="N531" s="12">
        <v>156.57</v>
      </c>
      <c r="O531" s="12">
        <v>156.49</v>
      </c>
      <c r="P531" s="8"/>
      <c r="Q531" s="56" t="s">
        <v>90</v>
      </c>
      <c r="R531" s="6"/>
      <c r="S531" s="6"/>
      <c r="T531" s="6"/>
      <c r="U531" s="6"/>
      <c r="V531" s="6"/>
    </row>
    <row r="532">
      <c r="A532" s="15">
        <v>46285.83523873842</v>
      </c>
      <c r="B532" s="8" t="str">
        <f t="shared" si="1"/>
        <v>242143</v>
      </c>
      <c r="C532" s="23" t="s">
        <v>474</v>
      </c>
      <c r="D532" s="22" t="s">
        <v>17</v>
      </c>
      <c r="E532" s="43">
        <v>0.1053</v>
      </c>
      <c r="F532" s="12" t="s">
        <v>18</v>
      </c>
      <c r="G532" s="12">
        <v>54.66</v>
      </c>
      <c r="H532" s="12">
        <v>32.28</v>
      </c>
      <c r="I532" s="12">
        <v>149.13</v>
      </c>
      <c r="J532" s="12">
        <v>149.41</v>
      </c>
      <c r="K532" s="8"/>
      <c r="L532" s="12">
        <v>54.75</v>
      </c>
      <c r="M532" s="12">
        <v>32.34</v>
      </c>
      <c r="N532" s="12">
        <v>149.2</v>
      </c>
      <c r="O532" s="12">
        <v>149.2</v>
      </c>
      <c r="P532" s="8"/>
      <c r="Q532" s="56" t="s">
        <v>90</v>
      </c>
      <c r="R532" s="6"/>
      <c r="S532" s="6"/>
      <c r="T532" s="6"/>
      <c r="U532" s="6"/>
      <c r="V532" s="6"/>
    </row>
    <row r="533">
      <c r="A533" s="15">
        <v>46285.83766913194</v>
      </c>
      <c r="B533" s="8" t="str">
        <f t="shared" si="1"/>
        <v>242138</v>
      </c>
      <c r="C533" s="23" t="s">
        <v>361</v>
      </c>
      <c r="D533" s="23" t="s">
        <v>17</v>
      </c>
      <c r="E533" s="42">
        <v>0.0427</v>
      </c>
      <c r="F533" s="12" t="s">
        <v>18</v>
      </c>
      <c r="G533" s="12">
        <v>51.29</v>
      </c>
      <c r="H533" s="12">
        <v>38.35</v>
      </c>
      <c r="I533" s="35">
        <v>148.7</v>
      </c>
      <c r="J533" s="12">
        <v>148.78</v>
      </c>
      <c r="K533" s="8"/>
      <c r="L533" s="12">
        <v>51.35</v>
      </c>
      <c r="M533" s="12">
        <v>38.6</v>
      </c>
      <c r="N533" s="12">
        <v>150.09</v>
      </c>
      <c r="O533" s="12">
        <v>150.03</v>
      </c>
      <c r="P533" s="8"/>
      <c r="Q533" s="56" t="s">
        <v>90</v>
      </c>
      <c r="R533" s="6"/>
      <c r="S533" s="6"/>
      <c r="T533" s="6"/>
      <c r="U533" s="6"/>
      <c r="V533" s="6"/>
    </row>
    <row r="534">
      <c r="A534" s="8"/>
      <c r="B534" s="8" t="str">
        <f t="shared" si="1"/>
        <v>244798</v>
      </c>
      <c r="C534" s="23" t="s">
        <v>129</v>
      </c>
      <c r="D534" s="23" t="s">
        <v>323</v>
      </c>
      <c r="E534" s="42">
        <v>0.3889</v>
      </c>
      <c r="F534" s="12" t="s">
        <v>18</v>
      </c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6"/>
      <c r="S534" s="6"/>
      <c r="T534" s="6"/>
      <c r="U534" s="6"/>
      <c r="V534" s="6"/>
    </row>
    <row r="535">
      <c r="A535" s="15">
        <v>46286.89000668981</v>
      </c>
      <c r="B535" s="8" t="str">
        <f t="shared" si="1"/>
        <v>242597</v>
      </c>
      <c r="C535" s="10" t="s">
        <v>475</v>
      </c>
      <c r="D535" s="23" t="s">
        <v>323</v>
      </c>
      <c r="E535" s="9"/>
      <c r="F535" s="12" t="s">
        <v>18</v>
      </c>
      <c r="G535" s="12">
        <v>50.87</v>
      </c>
      <c r="H535" s="12">
        <v>41.74</v>
      </c>
      <c r="I535" s="12">
        <v>151.55</v>
      </c>
      <c r="J535" s="12">
        <v>151.55</v>
      </c>
      <c r="K535" s="12" t="s">
        <v>107</v>
      </c>
      <c r="L535" s="12">
        <v>49.19</v>
      </c>
      <c r="M535" s="12">
        <v>41.89</v>
      </c>
      <c r="N535" s="12">
        <v>148.67</v>
      </c>
      <c r="O535" s="12">
        <v>148.78</v>
      </c>
      <c r="P535" s="8"/>
      <c r="Q535" s="12" t="s">
        <v>90</v>
      </c>
      <c r="R535" s="6"/>
      <c r="S535" s="6"/>
      <c r="T535" s="6"/>
      <c r="U535" s="6"/>
      <c r="V535" s="6"/>
    </row>
    <row r="536">
      <c r="A536" s="15">
        <v>46287.30534723379</v>
      </c>
      <c r="B536" s="8" t="str">
        <f t="shared" si="1"/>
        <v>207671</v>
      </c>
      <c r="C536" s="10" t="s">
        <v>411</v>
      </c>
      <c r="D536" s="10" t="s">
        <v>476</v>
      </c>
      <c r="E536" s="9"/>
      <c r="F536" s="12" t="s">
        <v>18</v>
      </c>
      <c r="G536" s="12">
        <v>50.71</v>
      </c>
      <c r="H536" s="12">
        <v>43.05</v>
      </c>
      <c r="I536" s="12">
        <v>153.73</v>
      </c>
      <c r="J536" s="12">
        <v>153.7</v>
      </c>
      <c r="K536" s="12" t="s">
        <v>19</v>
      </c>
      <c r="L536" s="12">
        <v>51.65</v>
      </c>
      <c r="M536" s="12">
        <v>43.78</v>
      </c>
      <c r="N536" s="12">
        <v>156.22</v>
      </c>
      <c r="O536" s="12">
        <v>155.93</v>
      </c>
      <c r="P536" s="8"/>
      <c r="Q536" s="12" t="s">
        <v>90</v>
      </c>
      <c r="R536" s="6"/>
      <c r="S536" s="6"/>
      <c r="T536" s="6"/>
      <c r="U536" s="6"/>
      <c r="V536" s="6"/>
    </row>
    <row r="537">
      <c r="A537" s="15">
        <v>46287.71933474537</v>
      </c>
      <c r="B537" s="8" t="str">
        <f t="shared" si="1"/>
        <v>239316</v>
      </c>
      <c r="C537" s="22" t="s">
        <v>477</v>
      </c>
      <c r="D537" s="22" t="s">
        <v>120</v>
      </c>
      <c r="E537" s="43">
        <v>0.0423</v>
      </c>
      <c r="F537" s="12" t="s">
        <v>18</v>
      </c>
      <c r="G537" s="12">
        <v>54.26</v>
      </c>
      <c r="H537" s="12">
        <v>39.85</v>
      </c>
      <c r="I537" s="12">
        <v>157.65</v>
      </c>
      <c r="J537" s="12">
        <v>157.91</v>
      </c>
      <c r="K537" s="12" t="s">
        <v>107</v>
      </c>
      <c r="L537" s="12">
        <v>54.06</v>
      </c>
      <c r="M537" s="12">
        <v>39.65</v>
      </c>
      <c r="N537" s="12">
        <v>156.77</v>
      </c>
      <c r="O537" s="12">
        <v>157.01</v>
      </c>
      <c r="P537" s="8"/>
      <c r="Q537" s="12" t="s">
        <v>20</v>
      </c>
      <c r="R537" s="6"/>
      <c r="S537" s="6"/>
      <c r="T537" s="6"/>
      <c r="U537" s="6"/>
      <c r="V537" s="6"/>
    </row>
    <row r="538">
      <c r="A538" s="15">
        <v>46287.721234375</v>
      </c>
      <c r="B538" s="8" t="str">
        <f t="shared" si="1"/>
        <v>210178</v>
      </c>
      <c r="C538" s="23" t="s">
        <v>478</v>
      </c>
      <c r="D538" s="23" t="s">
        <v>120</v>
      </c>
      <c r="E538" s="42">
        <v>0.0561</v>
      </c>
      <c r="F538" s="12" t="s">
        <v>18</v>
      </c>
      <c r="G538" s="12">
        <v>56.84</v>
      </c>
      <c r="H538" s="12">
        <v>37.4</v>
      </c>
      <c r="I538" s="12">
        <v>159.81</v>
      </c>
      <c r="J538" s="12">
        <v>159.7</v>
      </c>
      <c r="K538" s="12" t="s">
        <v>107</v>
      </c>
      <c r="L538" s="12">
        <v>56.63</v>
      </c>
      <c r="M538" s="12">
        <v>37.2</v>
      </c>
      <c r="N538" s="12">
        <v>159.15</v>
      </c>
      <c r="O538" s="12">
        <v>159.19</v>
      </c>
      <c r="P538" s="8"/>
      <c r="Q538" s="12" t="s">
        <v>20</v>
      </c>
      <c r="R538" s="6"/>
      <c r="S538" s="6"/>
      <c r="T538" s="6"/>
      <c r="U538" s="6"/>
      <c r="V538" s="6"/>
    </row>
    <row r="539">
      <c r="A539" s="15">
        <v>46287.72303542824</v>
      </c>
      <c r="B539" s="8" t="str">
        <f t="shared" si="1"/>
        <v>221176</v>
      </c>
      <c r="C539" s="22" t="s">
        <v>479</v>
      </c>
      <c r="D539" s="22" t="s">
        <v>120</v>
      </c>
      <c r="E539" s="43">
        <v>0.0494</v>
      </c>
      <c r="F539" s="12" t="s">
        <v>18</v>
      </c>
      <c r="G539" s="12">
        <v>51.45</v>
      </c>
      <c r="H539" s="12">
        <v>40.87</v>
      </c>
      <c r="I539" s="12">
        <v>155.67</v>
      </c>
      <c r="J539" s="12">
        <v>155.71</v>
      </c>
      <c r="K539" s="12" t="s">
        <v>107</v>
      </c>
      <c r="L539" s="12">
        <v>51.24</v>
      </c>
      <c r="M539" s="12">
        <v>40.67</v>
      </c>
      <c r="N539" s="12">
        <v>154.82</v>
      </c>
      <c r="O539" s="12">
        <v>154.87</v>
      </c>
      <c r="P539" s="8"/>
      <c r="Q539" s="12" t="s">
        <v>20</v>
      </c>
      <c r="R539" s="6"/>
      <c r="S539" s="6"/>
      <c r="T539" s="6"/>
      <c r="U539" s="6"/>
      <c r="V539" s="6"/>
    </row>
    <row r="540">
      <c r="A540" s="15">
        <v>46287.7258293287</v>
      </c>
      <c r="B540" s="8" t="str">
        <f t="shared" si="1"/>
        <v>234791</v>
      </c>
      <c r="C540" s="23" t="s">
        <v>480</v>
      </c>
      <c r="D540" s="23" t="s">
        <v>120</v>
      </c>
      <c r="E540" s="42">
        <v>0.2632</v>
      </c>
      <c r="F540" s="12" t="s">
        <v>18</v>
      </c>
      <c r="G540" s="12">
        <v>52.22</v>
      </c>
      <c r="H540" s="12">
        <v>43.36</v>
      </c>
      <c r="I540" s="12">
        <v>155.06</v>
      </c>
      <c r="J540" s="12">
        <v>155.06</v>
      </c>
      <c r="K540" s="12" t="s">
        <v>107</v>
      </c>
      <c r="L540" s="12">
        <v>52.02</v>
      </c>
      <c r="M540" s="12">
        <v>43.16</v>
      </c>
      <c r="N540" s="12">
        <v>154.41</v>
      </c>
      <c r="O540" s="12">
        <v>154.37</v>
      </c>
      <c r="P540" s="8"/>
      <c r="Q540" s="12" t="s">
        <v>20</v>
      </c>
      <c r="R540" s="6"/>
      <c r="S540" s="6"/>
      <c r="T540" s="6"/>
      <c r="U540" s="6"/>
      <c r="V540" s="6"/>
    </row>
    <row r="541">
      <c r="A541" s="15">
        <v>46287.72812892361</v>
      </c>
      <c r="B541" s="8" t="str">
        <f t="shared" si="1"/>
        <v>239839</v>
      </c>
      <c r="C541" s="22" t="s">
        <v>481</v>
      </c>
      <c r="D541" s="22" t="s">
        <v>120</v>
      </c>
      <c r="E541" s="43">
        <v>0.1087</v>
      </c>
      <c r="F541" s="12" t="s">
        <v>18</v>
      </c>
      <c r="G541" s="12">
        <v>54.36</v>
      </c>
      <c r="H541" s="12">
        <v>35.09</v>
      </c>
      <c r="I541" s="12">
        <v>153.56</v>
      </c>
      <c r="J541" s="12">
        <v>153.2</v>
      </c>
      <c r="K541" s="12" t="s">
        <v>107</v>
      </c>
      <c r="L541" s="12">
        <v>54.16</v>
      </c>
      <c r="M541" s="12">
        <v>34.89</v>
      </c>
      <c r="N541" s="12">
        <v>152.9</v>
      </c>
      <c r="O541" s="12">
        <v>152.55</v>
      </c>
      <c r="P541" s="8"/>
      <c r="Q541" s="12" t="s">
        <v>20</v>
      </c>
      <c r="R541" s="6"/>
      <c r="S541" s="6"/>
      <c r="T541" s="6"/>
      <c r="U541" s="6"/>
      <c r="V541" s="6"/>
    </row>
    <row r="542">
      <c r="A542" s="15">
        <v>46288.34197688657</v>
      </c>
      <c r="B542" s="8" t="str">
        <f t="shared" si="1"/>
        <v>241114</v>
      </c>
      <c r="C542" s="23" t="s">
        <v>482</v>
      </c>
      <c r="D542" s="23" t="s">
        <v>120</v>
      </c>
      <c r="E542" s="42">
        <v>0.3077</v>
      </c>
      <c r="F542" s="12" t="s">
        <v>18</v>
      </c>
      <c r="G542" s="12">
        <v>55.31</v>
      </c>
      <c r="H542" s="12">
        <v>34.93</v>
      </c>
      <c r="I542" s="12">
        <v>149.64</v>
      </c>
      <c r="J542" s="12">
        <v>150.2</v>
      </c>
      <c r="K542" s="12" t="s">
        <v>107</v>
      </c>
      <c r="L542" s="12">
        <v>55.25</v>
      </c>
      <c r="M542" s="12">
        <v>34.7</v>
      </c>
      <c r="N542" s="12">
        <v>149.44</v>
      </c>
      <c r="O542" s="12">
        <v>149.41</v>
      </c>
      <c r="P542" s="8"/>
      <c r="Q542" s="12" t="s">
        <v>90</v>
      </c>
      <c r="R542" s="6"/>
      <c r="S542" s="6"/>
      <c r="T542" s="6"/>
      <c r="U542" s="6"/>
      <c r="V542" s="6"/>
    </row>
    <row r="543">
      <c r="A543" s="15">
        <v>46288.343306319446</v>
      </c>
      <c r="B543" s="8" t="str">
        <f t="shared" si="1"/>
        <v>245915</v>
      </c>
      <c r="C543" s="22" t="s">
        <v>298</v>
      </c>
      <c r="D543" s="22" t="s">
        <v>483</v>
      </c>
      <c r="E543" s="43">
        <v>0.0705</v>
      </c>
      <c r="F543" s="12" t="s">
        <v>18</v>
      </c>
      <c r="G543" s="12">
        <v>53.48</v>
      </c>
      <c r="H543" s="12">
        <v>42.66</v>
      </c>
      <c r="I543" s="12">
        <v>159.41</v>
      </c>
      <c r="J543" s="12">
        <v>159.23</v>
      </c>
      <c r="K543" s="12" t="s">
        <v>107</v>
      </c>
      <c r="L543" s="12">
        <v>53.42</v>
      </c>
      <c r="M543" s="12">
        <v>42.61</v>
      </c>
      <c r="N543" s="12">
        <v>159.24</v>
      </c>
      <c r="O543" s="12">
        <v>159.07</v>
      </c>
      <c r="P543" s="8"/>
      <c r="Q543" s="12" t="s">
        <v>90</v>
      </c>
      <c r="R543" s="6"/>
      <c r="S543" s="6"/>
      <c r="T543" s="6"/>
      <c r="U543" s="6"/>
      <c r="V543" s="6"/>
    </row>
    <row r="544">
      <c r="A544" s="15">
        <v>46288.352109432875</v>
      </c>
      <c r="B544" s="8" t="str">
        <f t="shared" si="1"/>
        <v>241119</v>
      </c>
      <c r="C544" s="23" t="s">
        <v>484</v>
      </c>
      <c r="D544" s="23" t="s">
        <v>485</v>
      </c>
      <c r="E544" s="42">
        <v>0.098</v>
      </c>
      <c r="F544" s="12" t="s">
        <v>18</v>
      </c>
      <c r="G544" s="12">
        <v>55.53</v>
      </c>
      <c r="H544" s="12">
        <v>38.9</v>
      </c>
      <c r="I544" s="12">
        <v>163.24</v>
      </c>
      <c r="J544" s="12">
        <v>164.24</v>
      </c>
      <c r="K544" s="12" t="s">
        <v>107</v>
      </c>
      <c r="L544" s="35">
        <v>55.47</v>
      </c>
      <c r="M544" s="12">
        <v>38.85</v>
      </c>
      <c r="N544" s="12">
        <v>162.53</v>
      </c>
      <c r="O544" s="12">
        <v>163.13</v>
      </c>
      <c r="P544" s="8"/>
      <c r="Q544" s="12" t="s">
        <v>42</v>
      </c>
      <c r="R544" s="6"/>
      <c r="S544" s="6"/>
      <c r="T544" s="6"/>
      <c r="U544" s="6"/>
      <c r="V544" s="6"/>
    </row>
    <row r="545">
      <c r="A545" s="15">
        <v>46288.35557248842</v>
      </c>
      <c r="B545" s="8" t="str">
        <f t="shared" si="1"/>
        <v>207671</v>
      </c>
      <c r="C545" s="22" t="s">
        <v>486</v>
      </c>
      <c r="D545" s="22" t="s">
        <v>485</v>
      </c>
      <c r="E545" s="43">
        <v>0.092</v>
      </c>
      <c r="F545" s="12" t="s">
        <v>18</v>
      </c>
      <c r="G545" s="12">
        <v>52.2</v>
      </c>
      <c r="H545" s="12">
        <v>44.35</v>
      </c>
      <c r="I545" s="12">
        <v>157.86</v>
      </c>
      <c r="J545" s="12">
        <v>157.52</v>
      </c>
      <c r="K545" s="12" t="s">
        <v>107</v>
      </c>
      <c r="L545" s="12">
        <v>52.15</v>
      </c>
      <c r="M545" s="12">
        <v>44.31</v>
      </c>
      <c r="N545" s="12">
        <v>157.63</v>
      </c>
      <c r="O545" s="12">
        <v>157.63</v>
      </c>
      <c r="P545" s="8"/>
      <c r="Q545" s="12" t="s">
        <v>42</v>
      </c>
      <c r="R545" s="6"/>
      <c r="S545" s="6"/>
      <c r="T545" s="6"/>
      <c r="U545" s="6"/>
      <c r="V545" s="6"/>
    </row>
    <row r="546">
      <c r="A546" s="15">
        <v>46288.35950184028</v>
      </c>
      <c r="B546" s="8" t="str">
        <f t="shared" si="1"/>
        <v>211292</v>
      </c>
      <c r="C546" s="23" t="s">
        <v>487</v>
      </c>
      <c r="D546" s="23" t="s">
        <v>485</v>
      </c>
      <c r="E546" s="42">
        <v>0.035</v>
      </c>
      <c r="F546" s="12" t="s">
        <v>18</v>
      </c>
      <c r="G546" s="12">
        <v>51.55</v>
      </c>
      <c r="H546" s="12">
        <v>39.78</v>
      </c>
      <c r="I546" s="12">
        <v>151.17</v>
      </c>
      <c r="J546" s="12">
        <v>151.17</v>
      </c>
      <c r="K546" s="12" t="s">
        <v>107</v>
      </c>
      <c r="L546" s="12">
        <v>51.51</v>
      </c>
      <c r="M546" s="12">
        <v>39.75</v>
      </c>
      <c r="N546" s="12">
        <v>151.2</v>
      </c>
      <c r="O546" s="12">
        <v>151.2</v>
      </c>
      <c r="P546" s="8"/>
      <c r="Q546" s="12" t="s">
        <v>42</v>
      </c>
      <c r="R546" s="6"/>
      <c r="S546" s="6"/>
      <c r="T546" s="6"/>
      <c r="U546" s="6"/>
      <c r="V546" s="6"/>
    </row>
    <row r="547">
      <c r="A547" s="15">
        <v>46288.36256059028</v>
      </c>
      <c r="B547" s="8" t="str">
        <f t="shared" si="1"/>
        <v>240000</v>
      </c>
      <c r="C547" s="22" t="s">
        <v>488</v>
      </c>
      <c r="D547" s="22" t="s">
        <v>374</v>
      </c>
      <c r="E547" s="43">
        <v>0.381</v>
      </c>
      <c r="F547" s="12" t="s">
        <v>18</v>
      </c>
      <c r="G547" s="12">
        <v>56.5</v>
      </c>
      <c r="H547" s="12">
        <v>44.58</v>
      </c>
      <c r="I547" s="12">
        <v>168.9</v>
      </c>
      <c r="J547" s="12">
        <v>168.9</v>
      </c>
      <c r="K547" s="12" t="s">
        <v>107</v>
      </c>
      <c r="L547" s="12">
        <v>56.4</v>
      </c>
      <c r="M547" s="12">
        <v>44.5</v>
      </c>
      <c r="N547" s="12">
        <v>168.65</v>
      </c>
      <c r="O547" s="12">
        <v>168.65</v>
      </c>
      <c r="P547" s="8"/>
      <c r="Q547" s="12" t="s">
        <v>42</v>
      </c>
      <c r="R547" s="6"/>
      <c r="S547" s="6"/>
      <c r="T547" s="6"/>
      <c r="U547" s="6"/>
      <c r="V547" s="6"/>
    </row>
    <row r="548">
      <c r="A548" s="15">
        <v>46288.365000844904</v>
      </c>
      <c r="B548" s="8" t="str">
        <f t="shared" si="1"/>
        <v>240000</v>
      </c>
      <c r="C548" s="23" t="s">
        <v>354</v>
      </c>
      <c r="D548" s="23" t="s">
        <v>374</v>
      </c>
      <c r="E548" s="42">
        <v>0.2381</v>
      </c>
      <c r="F548" s="12" t="s">
        <v>18</v>
      </c>
      <c r="G548" s="12">
        <v>56.7</v>
      </c>
      <c r="H548" s="12">
        <v>45.16</v>
      </c>
      <c r="I548" s="12">
        <v>169.69</v>
      </c>
      <c r="J548" s="12">
        <v>169.69</v>
      </c>
      <c r="K548" s="12" t="s">
        <v>107</v>
      </c>
      <c r="L548" s="12">
        <v>56.65</v>
      </c>
      <c r="M548" s="12">
        <v>45.1</v>
      </c>
      <c r="N548" s="12">
        <v>169.52</v>
      </c>
      <c r="O548" s="12">
        <v>169.52</v>
      </c>
      <c r="P548" s="8"/>
      <c r="Q548" s="12" t="s">
        <v>42</v>
      </c>
      <c r="R548" s="6"/>
      <c r="S548" s="6"/>
      <c r="T548" s="6"/>
      <c r="U548" s="6"/>
      <c r="V548" s="6"/>
    </row>
    <row r="549">
      <c r="A549" s="15">
        <v>46288.36707561342</v>
      </c>
      <c r="B549" s="8" t="str">
        <f t="shared" si="1"/>
        <v>241100</v>
      </c>
      <c r="C549" s="22" t="s">
        <v>466</v>
      </c>
      <c r="D549" s="39" t="s">
        <v>489</v>
      </c>
      <c r="E549" s="43">
        <v>0.1111</v>
      </c>
      <c r="F549" s="12" t="s">
        <v>18</v>
      </c>
      <c r="G549" s="12">
        <v>54.41</v>
      </c>
      <c r="H549" s="12">
        <v>42.29</v>
      </c>
      <c r="I549" s="12">
        <v>160.73</v>
      </c>
      <c r="J549" s="12">
        <v>160.23</v>
      </c>
      <c r="K549" s="12" t="s">
        <v>107</v>
      </c>
      <c r="L549" s="12">
        <v>54.3</v>
      </c>
      <c r="M549" s="12">
        <v>42.22</v>
      </c>
      <c r="N549" s="12">
        <v>160.42</v>
      </c>
      <c r="O549" s="12">
        <v>160.42</v>
      </c>
      <c r="P549" s="8"/>
      <c r="Q549" s="12" t="s">
        <v>42</v>
      </c>
      <c r="R549" s="6"/>
      <c r="S549" s="6"/>
      <c r="T549" s="6"/>
      <c r="U549" s="6"/>
      <c r="V549" s="6"/>
    </row>
    <row r="550">
      <c r="A550" s="15">
        <v>46288.37090084491</v>
      </c>
      <c r="B550" s="8" t="str">
        <f t="shared" si="1"/>
        <v>220577</v>
      </c>
      <c r="C550" s="23" t="s">
        <v>490</v>
      </c>
      <c r="D550" s="23" t="s">
        <v>491</v>
      </c>
      <c r="E550" s="42">
        <v>0.0254</v>
      </c>
      <c r="F550" s="12" t="s">
        <v>18</v>
      </c>
      <c r="G550" s="12">
        <v>54.38</v>
      </c>
      <c r="H550" s="12">
        <v>39.06</v>
      </c>
      <c r="I550" s="12">
        <v>156.19</v>
      </c>
      <c r="J550" s="12">
        <v>156.11</v>
      </c>
      <c r="K550" s="12" t="s">
        <v>107</v>
      </c>
      <c r="L550" s="12">
        <v>54.2</v>
      </c>
      <c r="M550" s="12">
        <v>39.05</v>
      </c>
      <c r="N550" s="12">
        <v>155.8</v>
      </c>
      <c r="O550" s="12">
        <v>156.18</v>
      </c>
      <c r="P550" s="8"/>
      <c r="Q550" s="12" t="s">
        <v>42</v>
      </c>
      <c r="R550" s="6"/>
      <c r="S550" s="6"/>
      <c r="T550" s="6"/>
      <c r="U550" s="6"/>
      <c r="V550" s="6"/>
    </row>
    <row r="551">
      <c r="A551" s="74"/>
      <c r="B551" s="8" t="str">
        <f t="shared" si="1"/>
        <v>239030</v>
      </c>
      <c r="C551" s="75" t="s">
        <v>492</v>
      </c>
      <c r="D551" s="75" t="s">
        <v>493</v>
      </c>
      <c r="E551" s="76">
        <v>0.045</v>
      </c>
      <c r="F551" s="77" t="s">
        <v>18</v>
      </c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8"/>
      <c r="S551" s="78"/>
      <c r="T551" s="78"/>
      <c r="U551" s="78"/>
      <c r="V551" s="78"/>
    </row>
    <row r="552">
      <c r="A552" s="74"/>
      <c r="B552" s="8" t="str">
        <f t="shared" si="1"/>
        <v>149602</v>
      </c>
      <c r="C552" s="75" t="s">
        <v>494</v>
      </c>
      <c r="D552" s="75" t="s">
        <v>493</v>
      </c>
      <c r="E552" s="76">
        <v>0.0571</v>
      </c>
      <c r="F552" s="77" t="s">
        <v>18</v>
      </c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8"/>
      <c r="S552" s="78"/>
      <c r="T552" s="78"/>
      <c r="U552" s="78"/>
      <c r="V552" s="78"/>
    </row>
    <row r="553">
      <c r="A553" s="74"/>
      <c r="B553" s="8" t="str">
        <f t="shared" si="1"/>
        <v>206775</v>
      </c>
      <c r="C553" s="75" t="s">
        <v>450</v>
      </c>
      <c r="D553" s="75" t="s">
        <v>493</v>
      </c>
      <c r="E553" s="76">
        <v>0.0449</v>
      </c>
      <c r="F553" s="77" t="s">
        <v>18</v>
      </c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8"/>
      <c r="S553" s="78"/>
      <c r="T553" s="78"/>
      <c r="U553" s="78"/>
      <c r="V553" s="78"/>
    </row>
    <row r="554">
      <c r="A554" s="74"/>
      <c r="B554" s="8" t="str">
        <f t="shared" si="1"/>
        <v>219834</v>
      </c>
      <c r="C554" s="75" t="s">
        <v>449</v>
      </c>
      <c r="D554" s="75" t="s">
        <v>493</v>
      </c>
      <c r="E554" s="76">
        <v>0.0494</v>
      </c>
      <c r="F554" s="77" t="s">
        <v>18</v>
      </c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8"/>
      <c r="S554" s="78"/>
      <c r="T554" s="78"/>
      <c r="U554" s="78"/>
      <c r="V554" s="78"/>
    </row>
    <row r="555">
      <c r="A555" s="74"/>
      <c r="B555" s="8" t="str">
        <f t="shared" si="1"/>
        <v>245912</v>
      </c>
      <c r="C555" s="75" t="s">
        <v>338</v>
      </c>
      <c r="D555" s="75" t="s">
        <v>493</v>
      </c>
      <c r="E555" s="76">
        <v>0.0694</v>
      </c>
      <c r="F555" s="77" t="s">
        <v>18</v>
      </c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8"/>
      <c r="S555" s="78"/>
      <c r="T555" s="78"/>
      <c r="U555" s="78"/>
      <c r="V555" s="78"/>
    </row>
    <row r="556">
      <c r="A556" s="74"/>
      <c r="B556" s="8" t="str">
        <f t="shared" si="1"/>
        <v>241124</v>
      </c>
      <c r="C556" s="75" t="s">
        <v>495</v>
      </c>
      <c r="D556" s="75" t="s">
        <v>493</v>
      </c>
      <c r="E556" s="76">
        <v>0.0758</v>
      </c>
      <c r="F556" s="77" t="s">
        <v>18</v>
      </c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8"/>
      <c r="S556" s="78"/>
      <c r="T556" s="78"/>
      <c r="U556" s="78"/>
      <c r="V556" s="78"/>
    </row>
    <row r="557">
      <c r="A557" s="15">
        <v>46288.39010740741</v>
      </c>
      <c r="B557" s="8" t="str">
        <f t="shared" si="1"/>
        <v>238757</v>
      </c>
      <c r="C557" s="22" t="s">
        <v>496</v>
      </c>
      <c r="D557" s="22" t="s">
        <v>497</v>
      </c>
      <c r="E557" s="43">
        <v>0.1364</v>
      </c>
      <c r="F557" s="12" t="s">
        <v>18</v>
      </c>
      <c r="G557" s="12">
        <v>54.29</v>
      </c>
      <c r="H557" s="12">
        <v>39.17</v>
      </c>
      <c r="I557" s="12">
        <v>156.08</v>
      </c>
      <c r="J557" s="12">
        <v>156.1</v>
      </c>
      <c r="K557" s="8"/>
      <c r="L557" s="12">
        <v>54.22</v>
      </c>
      <c r="M557" s="12">
        <v>39.12</v>
      </c>
      <c r="N557" s="12">
        <v>155.88</v>
      </c>
      <c r="O557" s="12">
        <v>155.93</v>
      </c>
      <c r="P557" s="8"/>
      <c r="Q557" s="8"/>
      <c r="R557" s="6"/>
      <c r="S557" s="6"/>
      <c r="T557" s="6"/>
      <c r="U557" s="6"/>
      <c r="V557" s="6"/>
    </row>
    <row r="558">
      <c r="A558" s="15">
        <v>46288.38891296297</v>
      </c>
      <c r="B558" s="8" t="str">
        <f t="shared" si="1"/>
        <v>241124</v>
      </c>
      <c r="C558" s="23" t="s">
        <v>498</v>
      </c>
      <c r="D558" s="23" t="s">
        <v>497</v>
      </c>
      <c r="E558" s="42">
        <v>0.0889</v>
      </c>
      <c r="F558" s="12" t="s">
        <v>18</v>
      </c>
      <c r="G558" s="12">
        <v>53.91</v>
      </c>
      <c r="H558" s="12">
        <v>48.17</v>
      </c>
      <c r="I558" s="12">
        <v>162.44</v>
      </c>
      <c r="J558" s="12">
        <v>162.19</v>
      </c>
      <c r="K558" s="8"/>
      <c r="L558" s="12">
        <v>53.71</v>
      </c>
      <c r="M558" s="12">
        <v>48.1</v>
      </c>
      <c r="N558" s="12">
        <v>162.18</v>
      </c>
      <c r="O558" s="12">
        <v>162.13</v>
      </c>
      <c r="P558" s="8"/>
      <c r="Q558" s="8"/>
      <c r="R558" s="6"/>
      <c r="S558" s="6"/>
      <c r="T558" s="6"/>
      <c r="U558" s="6"/>
      <c r="V558" s="6"/>
    </row>
    <row r="559">
      <c r="A559" s="15">
        <v>46288.346305960644</v>
      </c>
      <c r="B559" s="8" t="str">
        <f t="shared" si="1"/>
        <v>242145</v>
      </c>
      <c r="C559" s="23" t="s">
        <v>499</v>
      </c>
      <c r="D559" s="23" t="s">
        <v>77</v>
      </c>
      <c r="E559" s="42">
        <v>0.0732</v>
      </c>
      <c r="F559" s="12" t="s">
        <v>18</v>
      </c>
      <c r="G559" s="12">
        <v>54.69</v>
      </c>
      <c r="H559" s="12">
        <v>38.69</v>
      </c>
      <c r="I559" s="12">
        <v>159.66</v>
      </c>
      <c r="J559" s="12">
        <v>159.66</v>
      </c>
      <c r="K559" s="8"/>
      <c r="L559" s="12">
        <v>54.77</v>
      </c>
      <c r="M559" s="12">
        <v>38.79</v>
      </c>
      <c r="N559" s="12">
        <v>159.76</v>
      </c>
      <c r="O559" s="12">
        <v>159.76</v>
      </c>
      <c r="P559" s="8"/>
      <c r="Q559" s="12" t="s">
        <v>90</v>
      </c>
      <c r="R559" s="6"/>
      <c r="S559" s="6"/>
      <c r="T559" s="6"/>
      <c r="U559" s="6"/>
      <c r="V559" s="6"/>
    </row>
    <row r="560">
      <c r="A560" s="15">
        <v>46288.347101203704</v>
      </c>
      <c r="B560" s="8" t="str">
        <f t="shared" si="1"/>
        <v>242221</v>
      </c>
      <c r="C560" s="22" t="s">
        <v>500</v>
      </c>
      <c r="D560" s="22" t="s">
        <v>77</v>
      </c>
      <c r="E560" s="43">
        <v>0.5</v>
      </c>
      <c r="F560" s="12" t="s">
        <v>18</v>
      </c>
      <c r="G560" s="12">
        <v>49.92</v>
      </c>
      <c r="H560" s="12">
        <v>46.48</v>
      </c>
      <c r="I560" s="12">
        <v>154.85</v>
      </c>
      <c r="J560" s="12">
        <v>155.37</v>
      </c>
      <c r="K560" s="8"/>
      <c r="L560" s="12">
        <v>50.34</v>
      </c>
      <c r="M560" s="12">
        <v>46.62</v>
      </c>
      <c r="N560" s="12">
        <v>155.57</v>
      </c>
      <c r="O560" s="12">
        <v>155.64</v>
      </c>
      <c r="P560" s="8"/>
      <c r="Q560" s="12" t="s">
        <v>90</v>
      </c>
      <c r="R560" s="6"/>
      <c r="S560" s="6"/>
      <c r="T560" s="6"/>
      <c r="U560" s="6"/>
      <c r="V560" s="6"/>
    </row>
    <row r="561">
      <c r="A561" s="15">
        <v>46288.34522581019</v>
      </c>
      <c r="B561" s="8" t="str">
        <f t="shared" si="1"/>
        <v>234768</v>
      </c>
      <c r="C561" s="23" t="s">
        <v>200</v>
      </c>
      <c r="D561" s="23" t="s">
        <v>77</v>
      </c>
      <c r="E561" s="42">
        <v>0.2963</v>
      </c>
      <c r="F561" s="12" t="s">
        <v>18</v>
      </c>
      <c r="G561" s="12">
        <v>54.45</v>
      </c>
      <c r="H561" s="12">
        <v>40.37</v>
      </c>
      <c r="I561" s="12">
        <v>151.38</v>
      </c>
      <c r="J561" s="12">
        <v>151.16</v>
      </c>
      <c r="K561" s="8"/>
      <c r="L561" s="12">
        <v>54.6</v>
      </c>
      <c r="M561" s="12">
        <v>40.48</v>
      </c>
      <c r="N561" s="12">
        <v>151.79</v>
      </c>
      <c r="O561" s="12">
        <v>151.58</v>
      </c>
      <c r="P561" s="8"/>
      <c r="Q561" s="12" t="s">
        <v>90</v>
      </c>
      <c r="R561" s="6"/>
      <c r="S561" s="6"/>
      <c r="T561" s="6"/>
      <c r="U561" s="6"/>
      <c r="V561" s="6"/>
    </row>
    <row r="562">
      <c r="A562" s="28"/>
      <c r="B562" s="8" t="str">
        <f t="shared" si="1"/>
        <v>241098</v>
      </c>
      <c r="C562" s="62" t="s">
        <v>501</v>
      </c>
      <c r="D562" s="62" t="s">
        <v>448</v>
      </c>
      <c r="E562" s="63">
        <v>0.5</v>
      </c>
      <c r="F562" s="29" t="s">
        <v>18</v>
      </c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30"/>
      <c r="S562" s="30"/>
      <c r="T562" s="30"/>
      <c r="U562" s="30"/>
      <c r="V562" s="30"/>
    </row>
    <row r="563">
      <c r="A563" s="28"/>
      <c r="B563" s="8" t="str">
        <f t="shared" si="1"/>
        <v>209756</v>
      </c>
      <c r="C563" s="62" t="s">
        <v>502</v>
      </c>
      <c r="D563" s="62" t="s">
        <v>448</v>
      </c>
      <c r="E563" s="63">
        <v>0.0299</v>
      </c>
      <c r="F563" s="29" t="s">
        <v>18</v>
      </c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30"/>
      <c r="S563" s="30"/>
      <c r="T563" s="30"/>
      <c r="U563" s="30"/>
      <c r="V563" s="30"/>
    </row>
    <row r="564">
      <c r="A564" s="28"/>
      <c r="B564" s="8" t="str">
        <f t="shared" si="1"/>
        <v>225339</v>
      </c>
      <c r="C564" s="62" t="s">
        <v>503</v>
      </c>
      <c r="D564" s="62" t="s">
        <v>448</v>
      </c>
      <c r="E564" s="63">
        <v>0.15</v>
      </c>
      <c r="F564" s="29" t="s">
        <v>18</v>
      </c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30"/>
      <c r="S564" s="30"/>
      <c r="T564" s="30"/>
      <c r="U564" s="30"/>
      <c r="V564" s="30"/>
    </row>
    <row r="565">
      <c r="A565" s="28"/>
      <c r="B565" s="8" t="str">
        <f t="shared" si="1"/>
        <v>234780</v>
      </c>
      <c r="C565" s="62" t="s">
        <v>504</v>
      </c>
      <c r="D565" s="62" t="s">
        <v>448</v>
      </c>
      <c r="E565" s="63">
        <v>0.2083</v>
      </c>
      <c r="F565" s="29" t="s">
        <v>18</v>
      </c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30"/>
      <c r="S565" s="30"/>
      <c r="T565" s="30"/>
      <c r="U565" s="30"/>
      <c r="V565" s="30"/>
    </row>
    <row r="566">
      <c r="A566" s="15">
        <v>46287.85150012732</v>
      </c>
      <c r="B566" s="8" t="str">
        <f t="shared" si="1"/>
        <v>241958</v>
      </c>
      <c r="C566" s="79" t="s">
        <v>505</v>
      </c>
      <c r="D566" s="9"/>
      <c r="E566" s="9"/>
      <c r="F566" s="12" t="s">
        <v>18</v>
      </c>
      <c r="G566" s="12">
        <v>53.8</v>
      </c>
      <c r="H566" s="12">
        <v>36.44</v>
      </c>
      <c r="I566" s="12">
        <v>155.34</v>
      </c>
      <c r="J566" s="12">
        <v>155.23</v>
      </c>
      <c r="K566" s="12" t="s">
        <v>107</v>
      </c>
      <c r="L566" s="12">
        <v>53.8</v>
      </c>
      <c r="M566" s="12">
        <v>36.44</v>
      </c>
      <c r="N566" s="12">
        <v>155.34</v>
      </c>
      <c r="O566" s="12">
        <v>155.23</v>
      </c>
      <c r="P566" s="12" t="s">
        <v>506</v>
      </c>
      <c r="Q566" s="12" t="s">
        <v>20</v>
      </c>
      <c r="R566" s="31" t="s">
        <v>507</v>
      </c>
      <c r="S566" s="6"/>
      <c r="T566" s="6"/>
      <c r="U566" s="6"/>
      <c r="V566" s="6"/>
    </row>
    <row r="567">
      <c r="A567" s="15">
        <v>46287.85282467592</v>
      </c>
      <c r="B567" s="8" t="str">
        <f t="shared" si="1"/>
        <v>229137</v>
      </c>
      <c r="C567" s="79" t="s">
        <v>508</v>
      </c>
      <c r="D567" s="9"/>
      <c r="E567" s="9"/>
      <c r="F567" s="12" t="s">
        <v>18</v>
      </c>
      <c r="G567" s="12">
        <v>54.49</v>
      </c>
      <c r="H567" s="12">
        <v>40.41</v>
      </c>
      <c r="I567" s="12">
        <v>160.42</v>
      </c>
      <c r="J567" s="12">
        <v>160.42</v>
      </c>
      <c r="K567" s="12" t="s">
        <v>107</v>
      </c>
      <c r="L567" s="12">
        <v>54.35</v>
      </c>
      <c r="M567" s="12">
        <v>40.57</v>
      </c>
      <c r="N567" s="12">
        <v>160.46</v>
      </c>
      <c r="O567" s="12">
        <v>160.36</v>
      </c>
      <c r="P567" s="12" t="s">
        <v>506</v>
      </c>
      <c r="Q567" s="12" t="s">
        <v>20</v>
      </c>
      <c r="R567" s="31" t="s">
        <v>507</v>
      </c>
      <c r="S567" s="6"/>
      <c r="T567" s="6"/>
      <c r="U567" s="6"/>
      <c r="V567" s="6"/>
    </row>
    <row r="568">
      <c r="A568" s="15">
        <v>46287.884719548616</v>
      </c>
      <c r="B568" s="8" t="str">
        <f t="shared" si="1"/>
        <v>219769</v>
      </c>
      <c r="C568" s="10" t="s">
        <v>509</v>
      </c>
      <c r="D568" s="10" t="s">
        <v>77</v>
      </c>
      <c r="E568" s="9"/>
      <c r="F568" s="12" t="s">
        <v>18</v>
      </c>
      <c r="G568" s="12">
        <v>50.94</v>
      </c>
      <c r="H568" s="12">
        <v>33.02</v>
      </c>
      <c r="I568" s="12">
        <v>143.01</v>
      </c>
      <c r="J568" s="12">
        <v>143.01</v>
      </c>
      <c r="K568" s="12" t="s">
        <v>19</v>
      </c>
      <c r="L568" s="12">
        <v>51.79</v>
      </c>
      <c r="M568" s="12">
        <v>33.19</v>
      </c>
      <c r="N568" s="12">
        <v>145.18</v>
      </c>
      <c r="O568" s="12">
        <v>145.18</v>
      </c>
      <c r="P568" s="12" t="s">
        <v>77</v>
      </c>
      <c r="Q568" s="12" t="s">
        <v>20</v>
      </c>
      <c r="R568" s="6"/>
      <c r="S568" s="6"/>
      <c r="T568" s="6"/>
      <c r="U568" s="6"/>
      <c r="V568" s="6"/>
    </row>
    <row r="569">
      <c r="A569" s="15">
        <v>46287.88796320602</v>
      </c>
      <c r="B569" s="8" t="str">
        <f t="shared" si="1"/>
        <v>200859</v>
      </c>
      <c r="C569" s="10" t="s">
        <v>424</v>
      </c>
      <c r="D569" s="10" t="s">
        <v>77</v>
      </c>
      <c r="E569" s="9"/>
      <c r="F569" s="12" t="s">
        <v>18</v>
      </c>
      <c r="G569" s="12">
        <v>52.4</v>
      </c>
      <c r="H569" s="12">
        <v>40.5</v>
      </c>
      <c r="I569" s="12">
        <v>152.43</v>
      </c>
      <c r="J569" s="12">
        <v>152.44</v>
      </c>
      <c r="K569" s="12" t="s">
        <v>19</v>
      </c>
      <c r="L569" s="12">
        <v>52.97</v>
      </c>
      <c r="M569" s="12">
        <v>41.33</v>
      </c>
      <c r="N569" s="12">
        <v>155.32</v>
      </c>
      <c r="O569" s="12">
        <v>155.42</v>
      </c>
      <c r="P569" s="12" t="s">
        <v>77</v>
      </c>
      <c r="Q569" s="12" t="s">
        <v>20</v>
      </c>
      <c r="R569" s="6"/>
      <c r="S569" s="6"/>
      <c r="T569" s="6"/>
      <c r="U569" s="6"/>
      <c r="V569" s="6"/>
    </row>
    <row r="570">
      <c r="A570" s="15">
        <v>46287.89121003472</v>
      </c>
      <c r="B570" s="8" t="str">
        <f t="shared" si="1"/>
        <v>136711</v>
      </c>
      <c r="C570" s="80" t="s">
        <v>510</v>
      </c>
      <c r="D570" s="9"/>
      <c r="E570" s="9"/>
      <c r="F570" s="12" t="s">
        <v>18</v>
      </c>
      <c r="G570" s="12">
        <v>52.03</v>
      </c>
      <c r="H570" s="12">
        <v>34.56</v>
      </c>
      <c r="I570" s="12">
        <v>146.72</v>
      </c>
      <c r="J570" s="12">
        <v>147.19</v>
      </c>
      <c r="K570" s="12" t="s">
        <v>19</v>
      </c>
      <c r="L570" s="12">
        <v>51.89</v>
      </c>
      <c r="M570" s="12">
        <v>34.95</v>
      </c>
      <c r="N570" s="12">
        <v>146.92</v>
      </c>
      <c r="O570" s="12">
        <v>146.28</v>
      </c>
      <c r="P570" s="12" t="s">
        <v>506</v>
      </c>
      <c r="Q570" s="12" t="s">
        <v>20</v>
      </c>
      <c r="R570" s="6"/>
      <c r="S570" s="6"/>
      <c r="T570" s="6"/>
      <c r="U570" s="6"/>
      <c r="V570" s="6"/>
    </row>
    <row r="571">
      <c r="A571" s="15">
        <v>46287.90827509259</v>
      </c>
      <c r="B571" s="8" t="str">
        <f t="shared" si="1"/>
        <v>212873</v>
      </c>
      <c r="C571" s="10" t="s">
        <v>511</v>
      </c>
      <c r="D571" s="9"/>
      <c r="E571" s="9"/>
      <c r="F571" s="12" t="s">
        <v>18</v>
      </c>
      <c r="G571" s="12">
        <v>54.53</v>
      </c>
      <c r="H571" s="12">
        <v>43.2</v>
      </c>
      <c r="I571" s="12">
        <v>162.45</v>
      </c>
      <c r="J571" s="12">
        <v>162.79</v>
      </c>
      <c r="K571" s="12" t="s">
        <v>107</v>
      </c>
      <c r="L571" s="12">
        <v>54.31</v>
      </c>
      <c r="M571" s="12">
        <v>41.85</v>
      </c>
      <c r="N571" s="12">
        <v>161.49</v>
      </c>
      <c r="O571" s="12">
        <v>161.45</v>
      </c>
      <c r="P571" s="8"/>
      <c r="Q571" s="12" t="s">
        <v>20</v>
      </c>
      <c r="R571" s="6"/>
      <c r="S571" s="6"/>
      <c r="T571" s="6"/>
      <c r="U571" s="6"/>
      <c r="V571" s="6"/>
    </row>
    <row r="572">
      <c r="A572" s="15">
        <v>46288.62686671296</v>
      </c>
      <c r="B572" s="8" t="str">
        <f t="shared" si="1"/>
        <v>209756</v>
      </c>
      <c r="C572" s="81" t="s">
        <v>232</v>
      </c>
      <c r="D572" s="9"/>
      <c r="E572" s="9"/>
      <c r="F572" s="12" t="s">
        <v>18</v>
      </c>
      <c r="G572" s="12">
        <v>53.55</v>
      </c>
      <c r="H572" s="12">
        <v>38.55</v>
      </c>
      <c r="I572" s="12">
        <v>154.64</v>
      </c>
      <c r="J572" s="12">
        <v>154.8</v>
      </c>
      <c r="K572" s="12" t="s">
        <v>107</v>
      </c>
      <c r="L572" s="8"/>
      <c r="M572" s="8"/>
      <c r="N572" s="8"/>
      <c r="O572" s="8"/>
      <c r="P572" s="12"/>
      <c r="Q572" s="12" t="s">
        <v>20</v>
      </c>
      <c r="R572" s="6"/>
      <c r="S572" s="6"/>
      <c r="T572" s="6"/>
      <c r="U572" s="6"/>
      <c r="V572" s="6"/>
    </row>
    <row r="573">
      <c r="A573" s="15">
        <v>46288.68227590278</v>
      </c>
      <c r="B573" s="8" t="str">
        <f t="shared" si="1"/>
        <v>221163</v>
      </c>
      <c r="C573" s="79" t="s">
        <v>512</v>
      </c>
      <c r="D573" s="9"/>
      <c r="E573" s="9"/>
      <c r="F573" s="12" t="s">
        <v>18</v>
      </c>
      <c r="G573" s="12">
        <v>51.8</v>
      </c>
      <c r="H573" s="12">
        <v>38.97</v>
      </c>
      <c r="I573" s="12">
        <v>155.1</v>
      </c>
      <c r="J573" s="12">
        <v>155.22</v>
      </c>
      <c r="K573" s="8"/>
      <c r="L573" s="8"/>
      <c r="M573" s="8"/>
      <c r="N573" s="8"/>
      <c r="O573" s="8"/>
      <c r="P573" s="12" t="s">
        <v>506</v>
      </c>
      <c r="Q573" s="12" t="s">
        <v>20</v>
      </c>
      <c r="R573" s="31" t="s">
        <v>507</v>
      </c>
      <c r="S573" s="6"/>
      <c r="T573" s="6"/>
      <c r="U573" s="6"/>
      <c r="V573" s="6"/>
    </row>
    <row r="574">
      <c r="A574" s="15">
        <v>46288.68449673611</v>
      </c>
      <c r="B574" s="8" t="str">
        <f t="shared" si="1"/>
        <v>221282</v>
      </c>
      <c r="C574" s="79" t="s">
        <v>513</v>
      </c>
      <c r="D574" s="9"/>
      <c r="E574" s="9"/>
      <c r="F574" s="12" t="s">
        <v>18</v>
      </c>
      <c r="G574" s="12">
        <v>54.31</v>
      </c>
      <c r="H574" s="12">
        <v>41.42</v>
      </c>
      <c r="I574" s="12">
        <v>160.46</v>
      </c>
      <c r="J574" s="12">
        <v>160.47</v>
      </c>
      <c r="K574" s="8"/>
      <c r="L574" s="12">
        <v>54.41</v>
      </c>
      <c r="M574" s="12">
        <v>41.9</v>
      </c>
      <c r="N574" s="12">
        <v>161.42</v>
      </c>
      <c r="O574" s="12">
        <v>161.74</v>
      </c>
      <c r="P574" s="12" t="s">
        <v>506</v>
      </c>
      <c r="Q574" s="12" t="s">
        <v>20</v>
      </c>
      <c r="R574" s="6"/>
      <c r="S574" s="6"/>
      <c r="T574" s="6"/>
      <c r="U574" s="6"/>
      <c r="V574" s="6"/>
    </row>
    <row r="575">
      <c r="A575" s="15">
        <v>46288.68928846065</v>
      </c>
      <c r="B575" s="8" t="str">
        <f t="shared" si="1"/>
        <v>219829</v>
      </c>
      <c r="C575" s="79" t="s">
        <v>514</v>
      </c>
      <c r="D575" s="9"/>
      <c r="E575" s="9"/>
      <c r="F575" s="12" t="s">
        <v>18</v>
      </c>
      <c r="G575" s="12">
        <v>54.22</v>
      </c>
      <c r="H575" s="12">
        <v>41.52</v>
      </c>
      <c r="I575" s="12">
        <v>160.9</v>
      </c>
      <c r="J575" s="12">
        <v>161.02</v>
      </c>
      <c r="K575" s="8"/>
      <c r="L575" s="8"/>
      <c r="M575" s="8"/>
      <c r="N575" s="8"/>
      <c r="O575" s="8"/>
      <c r="P575" s="12" t="s">
        <v>506</v>
      </c>
      <c r="Q575" s="12" t="s">
        <v>20</v>
      </c>
      <c r="R575" s="31" t="s">
        <v>515</v>
      </c>
      <c r="S575" s="6"/>
      <c r="T575" s="6"/>
      <c r="U575" s="6"/>
      <c r="V575" s="6"/>
    </row>
    <row r="576">
      <c r="A576" s="15">
        <v>46288.69238978009</v>
      </c>
      <c r="B576" s="8" t="str">
        <f t="shared" si="1"/>
        <v>209756</v>
      </c>
      <c r="C576" s="79" t="s">
        <v>232</v>
      </c>
      <c r="D576" s="9"/>
      <c r="E576" s="9"/>
      <c r="F576" s="12" t="s">
        <v>18</v>
      </c>
      <c r="G576" s="12">
        <v>53.55</v>
      </c>
      <c r="H576" s="12">
        <v>38.55</v>
      </c>
      <c r="I576" s="12">
        <v>154.64</v>
      </c>
      <c r="J576" s="12">
        <v>154.64</v>
      </c>
      <c r="K576" s="8"/>
      <c r="L576" s="12">
        <v>53.55</v>
      </c>
      <c r="M576" s="12">
        <v>38.7</v>
      </c>
      <c r="N576" s="12">
        <v>154.78</v>
      </c>
      <c r="O576" s="12">
        <v>148.57</v>
      </c>
      <c r="P576" s="12" t="s">
        <v>506</v>
      </c>
      <c r="Q576" s="12" t="s">
        <v>20</v>
      </c>
      <c r="R576" s="6"/>
      <c r="S576" s="6"/>
      <c r="T576" s="6"/>
      <c r="U576" s="6"/>
      <c r="V576" s="6"/>
    </row>
    <row r="577">
      <c r="A577" s="15">
        <v>46288.73443056713</v>
      </c>
      <c r="B577" s="8" t="str">
        <f t="shared" si="1"/>
        <v>221282</v>
      </c>
      <c r="C577" s="79" t="s">
        <v>516</v>
      </c>
      <c r="D577" s="9"/>
      <c r="E577" s="9"/>
      <c r="F577" s="12" t="s">
        <v>18</v>
      </c>
      <c r="G577" s="12">
        <v>54.33</v>
      </c>
      <c r="H577" s="12">
        <v>41.85</v>
      </c>
      <c r="I577" s="12">
        <v>161.32</v>
      </c>
      <c r="J577" s="12">
        <v>161.32</v>
      </c>
      <c r="K577" s="8"/>
      <c r="L577" s="12">
        <v>54.33</v>
      </c>
      <c r="M577" s="12">
        <v>41.61</v>
      </c>
      <c r="N577" s="12">
        <v>160.72</v>
      </c>
      <c r="O577" s="12">
        <v>161.23</v>
      </c>
      <c r="P577" s="12" t="s">
        <v>506</v>
      </c>
      <c r="Q577" s="12" t="s">
        <v>20</v>
      </c>
      <c r="R577" s="6"/>
      <c r="S577" s="6"/>
      <c r="T577" s="6"/>
      <c r="U577" s="6"/>
      <c r="V577" s="6"/>
    </row>
    <row r="578">
      <c r="A578" s="15">
        <v>46288.736006875</v>
      </c>
      <c r="B578" s="8" t="str">
        <f t="shared" si="1"/>
        <v>222135</v>
      </c>
      <c r="C578" s="79" t="s">
        <v>517</v>
      </c>
      <c r="D578" s="9"/>
      <c r="E578" s="9"/>
      <c r="F578" s="12" t="s">
        <v>18</v>
      </c>
      <c r="G578" s="12">
        <v>55.14</v>
      </c>
      <c r="H578" s="12">
        <v>34.97</v>
      </c>
      <c r="I578" s="12">
        <v>156.04</v>
      </c>
      <c r="J578" s="12">
        <v>156.1</v>
      </c>
      <c r="K578" s="8"/>
      <c r="L578" s="12">
        <v>55.2</v>
      </c>
      <c r="M578" s="12">
        <v>35.2</v>
      </c>
      <c r="N578" s="12">
        <v>156.52</v>
      </c>
      <c r="O578" s="12">
        <v>156.86</v>
      </c>
      <c r="P578" s="12" t="s">
        <v>506</v>
      </c>
      <c r="Q578" s="12" t="s">
        <v>20</v>
      </c>
      <c r="R578" s="6"/>
      <c r="S578" s="6"/>
      <c r="T578" s="6"/>
      <c r="U578" s="6"/>
      <c r="V578" s="6"/>
    </row>
    <row r="579">
      <c r="A579" s="15">
        <v>46288.73804549768</v>
      </c>
      <c r="B579" s="8" t="str">
        <f t="shared" si="1"/>
        <v>221282</v>
      </c>
      <c r="C579" s="79" t="s">
        <v>421</v>
      </c>
      <c r="D579" s="9"/>
      <c r="E579" s="9"/>
      <c r="F579" s="12" t="s">
        <v>18</v>
      </c>
      <c r="G579" s="12">
        <v>54.58</v>
      </c>
      <c r="H579" s="12">
        <v>41.86</v>
      </c>
      <c r="I579" s="12">
        <v>162.11</v>
      </c>
      <c r="J579" s="12">
        <v>162.27</v>
      </c>
      <c r="K579" s="8"/>
      <c r="L579" s="8"/>
      <c r="M579" s="8"/>
      <c r="N579" s="8"/>
      <c r="O579" s="8"/>
      <c r="P579" s="12" t="s">
        <v>506</v>
      </c>
      <c r="Q579" s="12" t="s">
        <v>20</v>
      </c>
      <c r="R579" s="31" t="s">
        <v>515</v>
      </c>
      <c r="S579" s="6"/>
      <c r="T579" s="6"/>
      <c r="U579" s="6"/>
      <c r="V579" s="6"/>
    </row>
    <row r="580">
      <c r="A580" s="15">
        <v>46288.74586818287</v>
      </c>
      <c r="B580" s="8" t="str">
        <f t="shared" si="1"/>
        <v>242238</v>
      </c>
      <c r="C580" s="10" t="s">
        <v>518</v>
      </c>
      <c r="D580" s="10" t="s">
        <v>22</v>
      </c>
      <c r="E580" s="9"/>
      <c r="F580" s="12" t="s">
        <v>18</v>
      </c>
      <c r="G580" s="12">
        <v>50.78</v>
      </c>
      <c r="H580" s="12">
        <v>35.84</v>
      </c>
      <c r="I580" s="12">
        <v>145.85</v>
      </c>
      <c r="J580" s="12">
        <v>145.82</v>
      </c>
      <c r="K580" s="12" t="s">
        <v>19</v>
      </c>
      <c r="L580" s="12">
        <v>50.53</v>
      </c>
      <c r="M580" s="12">
        <v>34.34</v>
      </c>
      <c r="N580" s="12">
        <v>146.44</v>
      </c>
      <c r="O580" s="12">
        <v>146.28</v>
      </c>
      <c r="P580" s="12" t="s">
        <v>22</v>
      </c>
      <c r="Q580" s="12" t="s">
        <v>20</v>
      </c>
      <c r="R580" s="6"/>
      <c r="S580" s="6"/>
      <c r="T580" s="6"/>
      <c r="U580" s="6"/>
      <c r="V580" s="6"/>
    </row>
    <row r="581">
      <c r="A581" s="82">
        <v>46288.74786733797</v>
      </c>
      <c r="B581" s="8" t="str">
        <f t="shared" si="1"/>
        <v>209756</v>
      </c>
      <c r="C581" s="83" t="s">
        <v>519</v>
      </c>
      <c r="D581" s="84"/>
      <c r="E581" s="84"/>
      <c r="F581" s="85" t="s">
        <v>18</v>
      </c>
      <c r="G581" s="85">
        <v>53.7</v>
      </c>
      <c r="H581" s="85">
        <v>38.83</v>
      </c>
      <c r="I581" s="85">
        <v>155.3</v>
      </c>
      <c r="J581" s="85">
        <v>155.33</v>
      </c>
      <c r="K581" s="85" t="s">
        <v>19</v>
      </c>
      <c r="L581" s="85">
        <v>53.6</v>
      </c>
      <c r="M581" s="85">
        <v>39.2</v>
      </c>
      <c r="N581" s="85">
        <v>155.58</v>
      </c>
      <c r="O581" s="85">
        <v>155.19</v>
      </c>
      <c r="P581" s="85" t="s">
        <v>506</v>
      </c>
      <c r="Q581" s="85" t="s">
        <v>20</v>
      </c>
      <c r="R581" s="86"/>
      <c r="S581" s="86"/>
      <c r="T581" s="86"/>
      <c r="U581" s="86"/>
      <c r="V581" s="86"/>
    </row>
    <row r="582">
      <c r="A582" s="15">
        <v>46288.90475501158</v>
      </c>
      <c r="B582" s="8" t="str">
        <f t="shared" si="1"/>
        <v>222135</v>
      </c>
      <c r="C582" s="10" t="s">
        <v>520</v>
      </c>
      <c r="D582" s="9"/>
      <c r="E582" s="9"/>
      <c r="F582" s="12" t="s">
        <v>18</v>
      </c>
      <c r="G582" s="12">
        <v>55.26</v>
      </c>
      <c r="H582" s="12">
        <v>34.8</v>
      </c>
      <c r="I582" s="12">
        <v>156.44</v>
      </c>
      <c r="J582" s="12">
        <v>156.44</v>
      </c>
      <c r="K582" s="12" t="s">
        <v>19</v>
      </c>
      <c r="L582" s="12">
        <v>55.26</v>
      </c>
      <c r="M582" s="12">
        <v>35.15</v>
      </c>
      <c r="N582" s="12">
        <v>156.86</v>
      </c>
      <c r="O582" s="12">
        <v>156.59</v>
      </c>
      <c r="P582" s="12" t="s">
        <v>506</v>
      </c>
      <c r="Q582" s="12" t="s">
        <v>20</v>
      </c>
      <c r="R582" s="6"/>
      <c r="S582" s="6"/>
      <c r="T582" s="6"/>
      <c r="U582" s="6"/>
      <c r="V582" s="6"/>
    </row>
    <row r="583">
      <c r="A583" s="15">
        <v>46288.899024328704</v>
      </c>
      <c r="B583" s="8" t="str">
        <f t="shared" si="1"/>
        <v>241085</v>
      </c>
      <c r="C583" s="10" t="s">
        <v>521</v>
      </c>
      <c r="D583" s="9"/>
      <c r="E583" s="9"/>
      <c r="F583" s="12" t="s">
        <v>18</v>
      </c>
      <c r="G583" s="12">
        <v>59.71</v>
      </c>
      <c r="H583" s="12">
        <v>50.08</v>
      </c>
      <c r="I583" s="12">
        <v>181.26</v>
      </c>
      <c r="J583" s="12">
        <v>181.26</v>
      </c>
      <c r="K583" s="12" t="s">
        <v>19</v>
      </c>
      <c r="L583" s="12">
        <v>53.73</v>
      </c>
      <c r="M583" s="12">
        <v>42.45</v>
      </c>
      <c r="N583" s="12">
        <v>160.13</v>
      </c>
      <c r="O583" s="12">
        <v>160.01</v>
      </c>
      <c r="P583" s="12" t="s">
        <v>506</v>
      </c>
      <c r="Q583" s="12" t="s">
        <v>20</v>
      </c>
      <c r="R583" s="6"/>
      <c r="S583" s="6"/>
      <c r="T583" s="6"/>
      <c r="U583" s="6"/>
      <c r="V583" s="6"/>
    </row>
    <row r="584">
      <c r="A584" s="15">
        <v>46288.91629690972</v>
      </c>
      <c r="B584" s="8" t="str">
        <f t="shared" si="1"/>
        <v>150609</v>
      </c>
      <c r="C584" s="10" t="s">
        <v>522</v>
      </c>
      <c r="D584" s="10" t="s">
        <v>17</v>
      </c>
      <c r="E584" s="9"/>
      <c r="F584" s="12" t="s">
        <v>18</v>
      </c>
      <c r="G584" s="12">
        <v>48.5</v>
      </c>
      <c r="H584" s="12">
        <v>33.62</v>
      </c>
      <c r="I584" s="12">
        <v>133.69</v>
      </c>
      <c r="J584" s="12">
        <v>133.69</v>
      </c>
      <c r="K584" s="12" t="s">
        <v>19</v>
      </c>
      <c r="L584" s="12">
        <v>48.89</v>
      </c>
      <c r="M584" s="12">
        <v>33.75</v>
      </c>
      <c r="N584" s="12">
        <v>134.77</v>
      </c>
      <c r="O584" s="12">
        <v>134.77</v>
      </c>
      <c r="P584" s="12" t="s">
        <v>17</v>
      </c>
      <c r="Q584" s="12" t="s">
        <v>20</v>
      </c>
      <c r="R584" s="6"/>
      <c r="S584" s="6"/>
      <c r="T584" s="6"/>
      <c r="U584" s="6"/>
      <c r="V584" s="6"/>
    </row>
    <row r="585">
      <c r="A585" s="15">
        <v>46288.92050342592</v>
      </c>
      <c r="B585" s="8" t="str">
        <f t="shared" si="1"/>
        <v>136711</v>
      </c>
      <c r="C585" s="79" t="s">
        <v>523</v>
      </c>
      <c r="D585" s="9"/>
      <c r="E585" s="9"/>
      <c r="F585" s="12" t="s">
        <v>18</v>
      </c>
      <c r="G585" s="12">
        <v>52.01</v>
      </c>
      <c r="H585" s="12">
        <v>34.53</v>
      </c>
      <c r="I585" s="12">
        <v>146.8</v>
      </c>
      <c r="J585" s="12">
        <v>147.52</v>
      </c>
      <c r="K585" s="12" t="s">
        <v>19</v>
      </c>
      <c r="L585" s="8"/>
      <c r="M585" s="8"/>
      <c r="N585" s="8"/>
      <c r="O585" s="8"/>
      <c r="P585" s="12" t="s">
        <v>506</v>
      </c>
      <c r="Q585" s="12" t="s">
        <v>20</v>
      </c>
      <c r="R585" s="31" t="s">
        <v>515</v>
      </c>
      <c r="S585" s="6"/>
      <c r="T585" s="6"/>
      <c r="U585" s="6"/>
      <c r="V585" s="6"/>
    </row>
    <row r="586">
      <c r="A586" s="15">
        <v>46288.92307809027</v>
      </c>
      <c r="B586" s="8" t="str">
        <f t="shared" si="1"/>
        <v>241958</v>
      </c>
      <c r="C586" s="79" t="s">
        <v>524</v>
      </c>
      <c r="D586" s="9"/>
      <c r="E586" s="9"/>
      <c r="F586" s="12" t="s">
        <v>18</v>
      </c>
      <c r="G586" s="12">
        <v>53.9</v>
      </c>
      <c r="H586" s="12">
        <v>36.48</v>
      </c>
      <c r="I586" s="12">
        <v>155.33</v>
      </c>
      <c r="J586" s="12">
        <v>155.47</v>
      </c>
      <c r="K586" s="12" t="s">
        <v>19</v>
      </c>
      <c r="L586" s="12">
        <v>53.9</v>
      </c>
      <c r="M586" s="12">
        <v>36.32</v>
      </c>
      <c r="N586" s="12">
        <v>155.29</v>
      </c>
      <c r="O586" s="12">
        <v>155.43</v>
      </c>
      <c r="P586" s="12" t="s">
        <v>506</v>
      </c>
      <c r="Q586" s="12" t="s">
        <v>20</v>
      </c>
      <c r="R586" s="6"/>
      <c r="S586" s="6"/>
      <c r="T586" s="6"/>
      <c r="U586" s="6"/>
      <c r="V586" s="6"/>
    </row>
    <row r="587">
      <c r="A587" s="15">
        <v>46289.461307997684</v>
      </c>
      <c r="B587" s="8" t="str">
        <f t="shared" si="1"/>
        <v>207551</v>
      </c>
      <c r="C587" s="10" t="s">
        <v>525</v>
      </c>
      <c r="D587" s="10" t="s">
        <v>323</v>
      </c>
      <c r="E587" s="9"/>
      <c r="F587" s="12" t="s">
        <v>18</v>
      </c>
      <c r="G587" s="12">
        <v>56.87</v>
      </c>
      <c r="H587" s="12">
        <v>36.84</v>
      </c>
      <c r="I587" s="12">
        <v>160.07</v>
      </c>
      <c r="J587" s="12">
        <v>159.5</v>
      </c>
      <c r="K587" s="12" t="s">
        <v>19</v>
      </c>
      <c r="L587" s="12">
        <v>56.66</v>
      </c>
      <c r="M587" s="12">
        <v>37.0</v>
      </c>
      <c r="N587" s="12">
        <v>159.2</v>
      </c>
      <c r="O587" s="12">
        <v>159.27</v>
      </c>
      <c r="P587" s="12" t="s">
        <v>323</v>
      </c>
      <c r="Q587" s="8"/>
      <c r="R587" s="6"/>
      <c r="S587" s="6"/>
      <c r="T587" s="6"/>
      <c r="U587" s="6"/>
      <c r="V587" s="6"/>
    </row>
    <row r="588">
      <c r="A588" s="15">
        <v>46289.72197732639</v>
      </c>
      <c r="B588" s="8" t="str">
        <f t="shared" si="1"/>
        <v>244415</v>
      </c>
      <c r="C588" s="22" t="s">
        <v>186</v>
      </c>
      <c r="D588" s="22" t="s">
        <v>32</v>
      </c>
      <c r="E588" s="43">
        <v>0.1905</v>
      </c>
      <c r="F588" s="12" t="s">
        <v>18</v>
      </c>
      <c r="G588" s="12">
        <v>52.68</v>
      </c>
      <c r="H588" s="12">
        <v>33.62</v>
      </c>
      <c r="I588" s="12">
        <v>138.33</v>
      </c>
      <c r="J588" s="12">
        <v>138.33</v>
      </c>
      <c r="K588" s="12" t="s">
        <v>107</v>
      </c>
      <c r="L588" s="12">
        <v>52.54</v>
      </c>
      <c r="M588" s="12">
        <v>33.45</v>
      </c>
      <c r="N588" s="12">
        <v>137.85</v>
      </c>
      <c r="O588" s="12">
        <v>137.85</v>
      </c>
      <c r="P588" s="8"/>
      <c r="Q588" s="12" t="s">
        <v>90</v>
      </c>
      <c r="R588" s="6"/>
      <c r="S588" s="6"/>
      <c r="T588" s="6"/>
      <c r="U588" s="6"/>
      <c r="V588" s="6"/>
    </row>
    <row r="589">
      <c r="A589" s="15">
        <v>46289.725739305555</v>
      </c>
      <c r="B589" s="8" t="str">
        <f t="shared" si="1"/>
        <v>206728</v>
      </c>
      <c r="C589" s="23" t="s">
        <v>526</v>
      </c>
      <c r="D589" s="23" t="s">
        <v>32</v>
      </c>
      <c r="E589" s="42">
        <v>0.0364</v>
      </c>
      <c r="F589" s="12" t="s">
        <v>18</v>
      </c>
      <c r="G589" s="12">
        <v>50.99</v>
      </c>
      <c r="H589" s="12">
        <v>34.5</v>
      </c>
      <c r="I589" s="12">
        <v>147.21</v>
      </c>
      <c r="J589" s="12">
        <v>147.58</v>
      </c>
      <c r="K589" s="12" t="s">
        <v>107</v>
      </c>
      <c r="L589" s="12">
        <v>50.89</v>
      </c>
      <c r="M589" s="12">
        <v>34.47</v>
      </c>
      <c r="N589" s="12">
        <v>147.2</v>
      </c>
      <c r="O589" s="12">
        <v>147.35</v>
      </c>
      <c r="P589" s="8"/>
      <c r="Q589" s="12" t="s">
        <v>90</v>
      </c>
      <c r="R589" s="6"/>
      <c r="S589" s="6"/>
      <c r="T589" s="6"/>
      <c r="U589" s="6"/>
      <c r="V589" s="6"/>
    </row>
    <row r="590">
      <c r="A590" s="15">
        <v>46289.73381820602</v>
      </c>
      <c r="B590" s="8" t="str">
        <f t="shared" si="1"/>
        <v>218966</v>
      </c>
      <c r="C590" s="22" t="s">
        <v>527</v>
      </c>
      <c r="D590" s="22" t="s">
        <v>32</v>
      </c>
      <c r="E590" s="43">
        <v>0.051</v>
      </c>
      <c r="F590" s="12" t="s">
        <v>18</v>
      </c>
      <c r="G590" s="12">
        <v>52.42</v>
      </c>
      <c r="H590" s="12">
        <v>39.03</v>
      </c>
      <c r="I590" s="12">
        <v>145.82</v>
      </c>
      <c r="J590" s="12">
        <v>146.05</v>
      </c>
      <c r="K590" s="12" t="s">
        <v>107</v>
      </c>
      <c r="L590" s="12" t="s">
        <v>528</v>
      </c>
      <c r="M590" s="12">
        <v>38.89</v>
      </c>
      <c r="N590" s="12">
        <v>145.65</v>
      </c>
      <c r="O590" s="12">
        <v>145.65</v>
      </c>
      <c r="P590" s="8"/>
      <c r="Q590" s="12" t="s">
        <v>90</v>
      </c>
      <c r="R590" s="6"/>
      <c r="S590" s="6"/>
      <c r="T590" s="6"/>
      <c r="U590" s="6"/>
      <c r="V590" s="6"/>
    </row>
    <row r="591">
      <c r="A591" s="15">
        <v>46289.74882232639</v>
      </c>
      <c r="B591" s="8" t="str">
        <f t="shared" si="1"/>
        <v>237234</v>
      </c>
      <c r="C591" s="23" t="s">
        <v>529</v>
      </c>
      <c r="D591" s="23" t="s">
        <v>307</v>
      </c>
      <c r="E591" s="42">
        <v>0.0645</v>
      </c>
      <c r="F591" s="12" t="s">
        <v>18</v>
      </c>
      <c r="G591" s="12">
        <v>50.74</v>
      </c>
      <c r="H591" s="12">
        <v>33.18</v>
      </c>
      <c r="I591" s="12">
        <v>142.44</v>
      </c>
      <c r="J591" s="12">
        <v>142.76</v>
      </c>
      <c r="K591" s="12" t="s">
        <v>107</v>
      </c>
      <c r="L591" s="12">
        <v>50.67</v>
      </c>
      <c r="M591" s="12">
        <v>32.93</v>
      </c>
      <c r="N591" s="12">
        <v>142.09</v>
      </c>
      <c r="O591" s="12">
        <v>141.91</v>
      </c>
      <c r="P591" s="8"/>
      <c r="Q591" s="12" t="s">
        <v>90</v>
      </c>
      <c r="R591" s="6"/>
      <c r="S591" s="6"/>
      <c r="T591" s="6"/>
      <c r="U591" s="6"/>
      <c r="V591" s="6"/>
    </row>
    <row r="592">
      <c r="A592" s="15">
        <v>46289.749575567126</v>
      </c>
      <c r="B592" s="8" t="str">
        <f t="shared" si="1"/>
        <v>241100</v>
      </c>
      <c r="C592" s="22" t="s">
        <v>419</v>
      </c>
      <c r="D592" s="22" t="s">
        <v>307</v>
      </c>
      <c r="E592" s="43">
        <v>0.0625</v>
      </c>
      <c r="F592" s="12" t="s">
        <v>18</v>
      </c>
      <c r="G592" s="12">
        <v>53.8</v>
      </c>
      <c r="H592" s="12">
        <v>42.24</v>
      </c>
      <c r="I592" s="12">
        <v>159.57</v>
      </c>
      <c r="J592" s="12">
        <v>159.54</v>
      </c>
      <c r="K592" s="12" t="s">
        <v>107</v>
      </c>
      <c r="L592" s="12">
        <v>53.72</v>
      </c>
      <c r="M592" s="12">
        <v>42.18</v>
      </c>
      <c r="N592" s="12">
        <v>159.34</v>
      </c>
      <c r="O592" s="12">
        <v>159.34</v>
      </c>
      <c r="P592" s="8"/>
      <c r="Q592" s="12" t="s">
        <v>90</v>
      </c>
      <c r="R592" s="6"/>
      <c r="S592" s="6"/>
      <c r="T592" s="6"/>
      <c r="U592" s="6"/>
      <c r="V592" s="6"/>
    </row>
    <row r="593">
      <c r="A593" s="15">
        <v>46289.75091513889</v>
      </c>
      <c r="B593" s="8" t="str">
        <f t="shared" si="1"/>
        <v>242174</v>
      </c>
      <c r="C593" s="23" t="s">
        <v>530</v>
      </c>
      <c r="D593" s="23" t="s">
        <v>307</v>
      </c>
      <c r="E593" s="42">
        <v>0.1136</v>
      </c>
      <c r="F593" s="12" t="s">
        <v>18</v>
      </c>
      <c r="G593" s="12">
        <v>54.57</v>
      </c>
      <c r="H593" s="12">
        <v>42.09</v>
      </c>
      <c r="I593" s="12">
        <v>162.07</v>
      </c>
      <c r="J593" s="12">
        <v>162.35</v>
      </c>
      <c r="K593" s="12" t="s">
        <v>107</v>
      </c>
      <c r="L593" s="12">
        <v>54.5</v>
      </c>
      <c r="M593" s="12">
        <v>41.88</v>
      </c>
      <c r="N593" s="12">
        <v>161.74</v>
      </c>
      <c r="O593" s="12">
        <v>161.66</v>
      </c>
      <c r="P593" s="8"/>
      <c r="Q593" s="12" t="s">
        <v>90</v>
      </c>
      <c r="R593" s="6"/>
      <c r="S593" s="6"/>
      <c r="T593" s="6"/>
      <c r="U593" s="6"/>
      <c r="V593" s="6"/>
    </row>
    <row r="594">
      <c r="A594" s="15">
        <v>46289.75170471065</v>
      </c>
      <c r="B594" s="8" t="str">
        <f t="shared" si="1"/>
        <v>241446</v>
      </c>
      <c r="C594" s="22" t="s">
        <v>531</v>
      </c>
      <c r="D594" s="22" t="s">
        <v>17</v>
      </c>
      <c r="E594" s="43">
        <v>0.4706</v>
      </c>
      <c r="F594" s="12" t="s">
        <v>18</v>
      </c>
      <c r="G594" s="12">
        <v>52.85</v>
      </c>
      <c r="H594" s="12">
        <v>47.3</v>
      </c>
      <c r="I594" s="12">
        <v>162.02</v>
      </c>
      <c r="J594" s="12">
        <v>162.02</v>
      </c>
      <c r="K594" s="12" t="s">
        <v>107</v>
      </c>
      <c r="L594" s="12">
        <v>52.98</v>
      </c>
      <c r="M594" s="12">
        <v>47.48</v>
      </c>
      <c r="N594" s="12">
        <v>162.48</v>
      </c>
      <c r="O594" s="12">
        <v>162.48</v>
      </c>
      <c r="P594" s="8"/>
      <c r="Q594" s="12" t="s">
        <v>90</v>
      </c>
      <c r="R594" s="6"/>
      <c r="S594" s="6"/>
      <c r="T594" s="6"/>
      <c r="U594" s="6"/>
      <c r="V594" s="6"/>
    </row>
    <row r="595">
      <c r="A595" s="15">
        <v>46289.73940851852</v>
      </c>
      <c r="B595" s="8" t="str">
        <f t="shared" si="1"/>
        <v>208758</v>
      </c>
      <c r="C595" s="23" t="s">
        <v>355</v>
      </c>
      <c r="D595" s="23" t="s">
        <v>17</v>
      </c>
      <c r="E595" s="42">
        <v>0.2</v>
      </c>
      <c r="F595" s="12" t="s">
        <v>18</v>
      </c>
      <c r="G595" s="12">
        <v>52.8</v>
      </c>
      <c r="H595" s="12">
        <v>36.5</v>
      </c>
      <c r="I595" s="12">
        <v>153.22</v>
      </c>
      <c r="J595" s="12">
        <v>152.88</v>
      </c>
      <c r="K595" s="12" t="s">
        <v>107</v>
      </c>
      <c r="L595" s="12">
        <v>52.9</v>
      </c>
      <c r="M595" s="12">
        <v>36.6</v>
      </c>
      <c r="N595" s="12">
        <v>153.22</v>
      </c>
      <c r="O595" s="12">
        <v>153.22</v>
      </c>
      <c r="P595" s="8"/>
      <c r="Q595" s="12" t="s">
        <v>90</v>
      </c>
      <c r="R595" s="6"/>
      <c r="S595" s="6"/>
      <c r="T595" s="6"/>
      <c r="U595" s="6"/>
      <c r="V595" s="6"/>
    </row>
    <row r="596">
      <c r="A596" s="15">
        <v>46289.74285657407</v>
      </c>
      <c r="B596" s="8" t="str">
        <f t="shared" si="1"/>
        <v>245914</v>
      </c>
      <c r="C596" s="22" t="s">
        <v>329</v>
      </c>
      <c r="D596" s="22" t="s">
        <v>17</v>
      </c>
      <c r="E596" s="43">
        <v>0.125</v>
      </c>
      <c r="F596" s="12" t="s">
        <v>18</v>
      </c>
      <c r="G596" s="12">
        <v>51.55</v>
      </c>
      <c r="H596" s="12">
        <v>37.16</v>
      </c>
      <c r="I596" s="12">
        <v>150.21</v>
      </c>
      <c r="J596" s="12">
        <v>150.21</v>
      </c>
      <c r="K596" s="12" t="s">
        <v>107</v>
      </c>
      <c r="L596" s="12">
        <v>51.62</v>
      </c>
      <c r="M596" s="12">
        <v>37.22</v>
      </c>
      <c r="N596" s="12">
        <v>150.45</v>
      </c>
      <c r="O596" s="12">
        <v>150.45</v>
      </c>
      <c r="P596" s="8"/>
      <c r="Q596" s="12" t="s">
        <v>90</v>
      </c>
      <c r="R596" s="6"/>
      <c r="S596" s="6"/>
      <c r="T596" s="6"/>
      <c r="U596" s="6"/>
      <c r="V596" s="6"/>
    </row>
    <row r="597">
      <c r="A597" s="15">
        <v>46289.74438173611</v>
      </c>
      <c r="B597" s="8" t="str">
        <f t="shared" si="1"/>
        <v>241387</v>
      </c>
      <c r="C597" s="23" t="s">
        <v>532</v>
      </c>
      <c r="D597" s="23" t="s">
        <v>17</v>
      </c>
      <c r="E597" s="42">
        <v>0.1538</v>
      </c>
      <c r="F597" s="12" t="s">
        <v>18</v>
      </c>
      <c r="G597" s="12">
        <v>51.31</v>
      </c>
      <c r="H597" s="12">
        <v>36.5</v>
      </c>
      <c r="I597" s="12">
        <v>147.37</v>
      </c>
      <c r="J597" s="12">
        <v>147.04</v>
      </c>
      <c r="K597" s="12" t="s">
        <v>107</v>
      </c>
      <c r="L597" s="12">
        <v>51.4</v>
      </c>
      <c r="M597" s="12">
        <v>36.67</v>
      </c>
      <c r="N597" s="12">
        <v>147.41</v>
      </c>
      <c r="O597" s="12">
        <v>147.53</v>
      </c>
      <c r="P597" s="8"/>
      <c r="Q597" s="12" t="s">
        <v>90</v>
      </c>
      <c r="R597" s="6"/>
      <c r="S597" s="6"/>
      <c r="T597" s="6"/>
      <c r="U597" s="6"/>
      <c r="V597" s="6"/>
    </row>
    <row r="598">
      <c r="A598" s="15">
        <v>46289.74684710648</v>
      </c>
      <c r="B598" s="8" t="str">
        <f t="shared" si="1"/>
        <v>242597</v>
      </c>
      <c r="C598" s="22" t="s">
        <v>475</v>
      </c>
      <c r="D598" s="22" t="s">
        <v>17</v>
      </c>
      <c r="E598" s="43">
        <v>0.1385</v>
      </c>
      <c r="F598" s="12" t="s">
        <v>18</v>
      </c>
      <c r="G598" s="12">
        <v>49.3</v>
      </c>
      <c r="H598" s="12">
        <v>41.7</v>
      </c>
      <c r="I598" s="12">
        <v>149.0</v>
      </c>
      <c r="J598" s="12">
        <v>149.14</v>
      </c>
      <c r="K598" s="12" t="s">
        <v>107</v>
      </c>
      <c r="L598" s="12">
        <v>49.45</v>
      </c>
      <c r="M598" s="12">
        <v>41.76</v>
      </c>
      <c r="N598" s="12">
        <v>149.34</v>
      </c>
      <c r="O598" s="12">
        <v>149.34</v>
      </c>
      <c r="P598" s="8"/>
      <c r="Q598" s="12" t="s">
        <v>90</v>
      </c>
      <c r="R598" s="6"/>
      <c r="S598" s="6"/>
      <c r="T598" s="6"/>
      <c r="U598" s="6"/>
      <c r="V598" s="6"/>
    </row>
    <row r="599">
      <c r="A599" s="15">
        <v>46289.747734965276</v>
      </c>
      <c r="B599" s="8" t="str">
        <f t="shared" si="1"/>
        <v>137971</v>
      </c>
      <c r="C599" s="23" t="s">
        <v>159</v>
      </c>
      <c r="D599" s="23" t="s">
        <v>17</v>
      </c>
      <c r="E599" s="42">
        <v>0.0673</v>
      </c>
      <c r="F599" s="12" t="s">
        <v>18</v>
      </c>
      <c r="G599" s="12">
        <v>51.94</v>
      </c>
      <c r="H599" s="12">
        <v>43.66</v>
      </c>
      <c r="I599" s="12">
        <v>156.14</v>
      </c>
      <c r="J599" s="12">
        <v>156.14</v>
      </c>
      <c r="K599" s="12" t="s">
        <v>107</v>
      </c>
      <c r="L599" s="12">
        <v>52.01</v>
      </c>
      <c r="M599" s="12">
        <v>43.71</v>
      </c>
      <c r="N599" s="12">
        <v>156.35</v>
      </c>
      <c r="O599" s="12">
        <v>156.23</v>
      </c>
      <c r="P599" s="8"/>
      <c r="Q599" s="12" t="s">
        <v>90</v>
      </c>
      <c r="R599" s="6"/>
      <c r="S599" s="6"/>
      <c r="T599" s="6"/>
      <c r="U599" s="6"/>
      <c r="V599" s="6"/>
    </row>
    <row r="600">
      <c r="A600" s="15">
        <v>46289.78002600695</v>
      </c>
      <c r="B600" s="8" t="str">
        <f t="shared" si="1"/>
        <v>215928</v>
      </c>
      <c r="C600" s="10">
        <v>215928.0</v>
      </c>
      <c r="D600" s="9"/>
      <c r="E600" s="9"/>
      <c r="F600" s="12" t="s">
        <v>18</v>
      </c>
      <c r="G600" s="12">
        <v>52.64</v>
      </c>
      <c r="H600" s="12">
        <v>43.37</v>
      </c>
      <c r="I600" s="12">
        <v>156.85</v>
      </c>
      <c r="J600" s="12">
        <v>156.63</v>
      </c>
      <c r="K600" s="12" t="s">
        <v>107</v>
      </c>
      <c r="L600" s="12">
        <v>52.64</v>
      </c>
      <c r="M600" s="12">
        <v>43.37</v>
      </c>
      <c r="N600" s="12">
        <v>156.85</v>
      </c>
      <c r="O600" s="12">
        <v>156.63</v>
      </c>
      <c r="P600" s="12" t="s">
        <v>533</v>
      </c>
      <c r="Q600" s="12" t="s">
        <v>20</v>
      </c>
      <c r="R600" s="6"/>
      <c r="S600" s="6"/>
      <c r="T600" s="6"/>
      <c r="U600" s="6"/>
      <c r="V600" s="6"/>
    </row>
    <row r="601">
      <c r="A601" s="15">
        <v>46289.8694262037</v>
      </c>
      <c r="B601" s="8" t="str">
        <f t="shared" si="1"/>
        <v>218966</v>
      </c>
      <c r="C601" s="10" t="s">
        <v>534</v>
      </c>
      <c r="D601" s="10" t="s">
        <v>32</v>
      </c>
      <c r="E601" s="9"/>
      <c r="F601" s="12" t="s">
        <v>18</v>
      </c>
      <c r="G601" s="12">
        <v>54.22</v>
      </c>
      <c r="H601" s="12">
        <v>40.04</v>
      </c>
      <c r="I601" s="12">
        <v>150.92</v>
      </c>
      <c r="J601" s="12">
        <v>151.04</v>
      </c>
      <c r="K601" s="12" t="s">
        <v>19</v>
      </c>
      <c r="L601" s="12">
        <v>52.14</v>
      </c>
      <c r="M601" s="12">
        <v>38.92</v>
      </c>
      <c r="N601" s="12">
        <v>145.53</v>
      </c>
      <c r="O601" s="12">
        <v>145.48</v>
      </c>
      <c r="P601" s="8"/>
      <c r="Q601" s="12" t="s">
        <v>20</v>
      </c>
      <c r="R601" s="6"/>
      <c r="S601" s="6"/>
      <c r="T601" s="6"/>
      <c r="U601" s="6"/>
      <c r="V601" s="6"/>
    </row>
    <row r="602">
      <c r="A602" s="15">
        <v>46289.86714184028</v>
      </c>
      <c r="B602" s="8" t="str">
        <f t="shared" si="1"/>
        <v>238663</v>
      </c>
      <c r="C602" s="10" t="s">
        <v>535</v>
      </c>
      <c r="D602" s="10" t="s">
        <v>17</v>
      </c>
      <c r="E602" s="9"/>
      <c r="F602" s="12" t="s">
        <v>18</v>
      </c>
      <c r="G602" s="12">
        <v>50.92</v>
      </c>
      <c r="H602" s="12">
        <v>32.11</v>
      </c>
      <c r="I602" s="12">
        <v>138.52</v>
      </c>
      <c r="J602" s="12">
        <v>138.08</v>
      </c>
      <c r="K602" s="12" t="s">
        <v>19</v>
      </c>
      <c r="L602" s="12">
        <v>51.45</v>
      </c>
      <c r="M602" s="12">
        <v>32.98</v>
      </c>
      <c r="N602" s="12">
        <v>140.54</v>
      </c>
      <c r="O602" s="12">
        <v>140.02</v>
      </c>
      <c r="P602" s="8"/>
      <c r="Q602" s="12" t="s">
        <v>20</v>
      </c>
      <c r="R602" s="6"/>
      <c r="S602" s="6"/>
      <c r="T602" s="6"/>
      <c r="U602" s="6"/>
      <c r="V602" s="6"/>
    </row>
    <row r="603">
      <c r="A603" s="15">
        <v>46289.915817685185</v>
      </c>
      <c r="B603" s="8" t="str">
        <f t="shared" si="1"/>
        <v>242597</v>
      </c>
      <c r="C603" s="10" t="s">
        <v>536</v>
      </c>
      <c r="D603" s="10" t="s">
        <v>22</v>
      </c>
      <c r="E603" s="9"/>
      <c r="F603" s="12" t="s">
        <v>18</v>
      </c>
      <c r="G603" s="12">
        <v>50.1</v>
      </c>
      <c r="H603" s="12">
        <v>41.38</v>
      </c>
      <c r="I603" s="12">
        <v>151.1</v>
      </c>
      <c r="J603" s="12">
        <v>151.55</v>
      </c>
      <c r="K603" s="12" t="s">
        <v>19</v>
      </c>
      <c r="L603" s="12">
        <v>49.19</v>
      </c>
      <c r="M603" s="12">
        <v>42.09</v>
      </c>
      <c r="N603" s="12">
        <v>149.16</v>
      </c>
      <c r="O603" s="12">
        <v>149.16</v>
      </c>
      <c r="P603" s="12" t="s">
        <v>22</v>
      </c>
      <c r="Q603" s="12" t="s">
        <v>20</v>
      </c>
      <c r="R603" s="6"/>
      <c r="S603" s="6"/>
      <c r="T603" s="6"/>
      <c r="U603" s="6"/>
      <c r="V603" s="6"/>
    </row>
    <row r="604">
      <c r="A604" s="15">
        <v>46291.0</v>
      </c>
      <c r="B604" s="8" t="str">
        <f t="shared" si="1"/>
        <v>218785</v>
      </c>
      <c r="C604" s="10">
        <v>218785.0</v>
      </c>
      <c r="D604" s="10"/>
      <c r="E604" s="9"/>
      <c r="F604" s="12" t="s">
        <v>18</v>
      </c>
      <c r="G604" s="12">
        <v>48.34</v>
      </c>
      <c r="H604" s="12">
        <v>38.88</v>
      </c>
      <c r="I604" s="12">
        <v>142.72</v>
      </c>
      <c r="J604" s="12">
        <v>142.82</v>
      </c>
      <c r="K604" s="12" t="s">
        <v>19</v>
      </c>
      <c r="L604" s="12">
        <v>48.34</v>
      </c>
      <c r="M604" s="12">
        <v>38.88</v>
      </c>
      <c r="N604" s="12">
        <v>142.72</v>
      </c>
      <c r="O604" s="12">
        <v>142.82</v>
      </c>
      <c r="P604" s="12" t="s">
        <v>533</v>
      </c>
      <c r="Q604" s="12" t="s">
        <v>20</v>
      </c>
      <c r="R604" s="6"/>
      <c r="S604" s="6"/>
      <c r="T604" s="6"/>
      <c r="U604" s="6"/>
      <c r="V604" s="6"/>
    </row>
    <row r="605">
      <c r="A605" s="15">
        <v>46291.0</v>
      </c>
      <c r="B605" s="8" t="str">
        <f t="shared" si="1"/>
        <v>207481</v>
      </c>
      <c r="C605" s="10">
        <v>207481.0</v>
      </c>
      <c r="D605" s="10" t="s">
        <v>17</v>
      </c>
      <c r="E605" s="9"/>
      <c r="F605" s="12" t="s">
        <v>18</v>
      </c>
      <c r="G605" s="12">
        <v>51.82</v>
      </c>
      <c r="H605" s="12">
        <v>43.69</v>
      </c>
      <c r="I605" s="12">
        <v>156.61</v>
      </c>
      <c r="J605" s="12">
        <v>156.07</v>
      </c>
      <c r="K605" s="12" t="s">
        <v>19</v>
      </c>
      <c r="L605" s="12">
        <v>50.55</v>
      </c>
      <c r="M605" s="12">
        <v>42.83</v>
      </c>
      <c r="N605" s="12">
        <v>153.51</v>
      </c>
      <c r="O605" s="12">
        <v>153.51</v>
      </c>
      <c r="P605" s="12" t="s">
        <v>17</v>
      </c>
      <c r="Q605" s="12" t="s">
        <v>20</v>
      </c>
      <c r="R605" s="6"/>
      <c r="S605" s="6"/>
      <c r="T605" s="6"/>
      <c r="U605" s="6"/>
      <c r="V605" s="6"/>
    </row>
    <row r="606">
      <c r="A606" s="15">
        <v>46291.335023252315</v>
      </c>
      <c r="B606" s="8" t="str">
        <f t="shared" si="1"/>
        <v>255334</v>
      </c>
      <c r="C606" s="10" t="s">
        <v>537</v>
      </c>
      <c r="D606" s="10" t="s">
        <v>22</v>
      </c>
      <c r="E606" s="9"/>
      <c r="F606" s="12" t="s">
        <v>18</v>
      </c>
      <c r="G606" s="12">
        <v>52.24</v>
      </c>
      <c r="H606" s="12">
        <v>44.88</v>
      </c>
      <c r="I606" s="12">
        <v>156.19</v>
      </c>
      <c r="J606" s="12">
        <v>156.19</v>
      </c>
      <c r="K606" s="12" t="s">
        <v>19</v>
      </c>
      <c r="L606" s="12">
        <v>52.11</v>
      </c>
      <c r="M606" s="12">
        <v>44.82</v>
      </c>
      <c r="N606" s="12">
        <v>155.75</v>
      </c>
      <c r="O606" s="12">
        <v>155.64</v>
      </c>
      <c r="P606" s="12" t="s">
        <v>22</v>
      </c>
      <c r="Q606" s="12" t="s">
        <v>20</v>
      </c>
      <c r="R606" s="6"/>
      <c r="S606" s="6"/>
      <c r="T606" s="6"/>
      <c r="U606" s="6"/>
      <c r="V606" s="6"/>
    </row>
    <row r="607">
      <c r="A607" s="15">
        <v>46291.0</v>
      </c>
      <c r="B607" s="8" t="str">
        <f t="shared" si="1"/>
        <v>229137</v>
      </c>
      <c r="C607" s="10" t="s">
        <v>538</v>
      </c>
      <c r="D607" s="10" t="s">
        <v>539</v>
      </c>
      <c r="E607" s="9"/>
      <c r="F607" s="12" t="s">
        <v>18</v>
      </c>
      <c r="G607" s="8"/>
      <c r="H607" s="8"/>
      <c r="I607" s="8"/>
      <c r="J607" s="8"/>
      <c r="K607" s="12" t="s">
        <v>19</v>
      </c>
      <c r="L607" s="12">
        <v>54.73</v>
      </c>
      <c r="M607" s="12">
        <v>40.21</v>
      </c>
      <c r="N607" s="12">
        <v>160.9</v>
      </c>
      <c r="O607" s="12">
        <v>160.81</v>
      </c>
      <c r="P607" s="12" t="s">
        <v>506</v>
      </c>
      <c r="Q607" s="12" t="s">
        <v>20</v>
      </c>
      <c r="R607" s="6"/>
      <c r="S607" s="6"/>
      <c r="T607" s="6"/>
      <c r="U607" s="6"/>
      <c r="V607" s="6"/>
    </row>
    <row r="608">
      <c r="A608" s="15">
        <v>46291.0</v>
      </c>
      <c r="B608" s="8" t="str">
        <f t="shared" si="1"/>
        <v>210424</v>
      </c>
      <c r="C608" s="10" t="s">
        <v>540</v>
      </c>
      <c r="D608" s="10" t="s">
        <v>539</v>
      </c>
      <c r="E608" s="9"/>
      <c r="F608" s="12" t="s">
        <v>18</v>
      </c>
      <c r="G608" s="8"/>
      <c r="H608" s="8"/>
      <c r="I608" s="8"/>
      <c r="J608" s="8"/>
      <c r="K608" s="12" t="s">
        <v>19</v>
      </c>
      <c r="L608" s="12">
        <v>48.01</v>
      </c>
      <c r="M608" s="12">
        <v>35.84</v>
      </c>
      <c r="N608" s="12">
        <v>144.18</v>
      </c>
      <c r="O608" s="12">
        <v>143.86</v>
      </c>
      <c r="P608" s="12" t="s">
        <v>506</v>
      </c>
      <c r="Q608" s="12" t="s">
        <v>20</v>
      </c>
      <c r="R608" s="6"/>
      <c r="S608" s="6"/>
      <c r="T608" s="6"/>
      <c r="U608" s="6"/>
      <c r="V608" s="6"/>
    </row>
    <row r="609">
      <c r="A609" s="15">
        <v>46292.379755752314</v>
      </c>
      <c r="B609" s="8" t="str">
        <f t="shared" si="1"/>
        <v>241098</v>
      </c>
      <c r="C609" s="10" t="s">
        <v>541</v>
      </c>
      <c r="D609" s="10" t="s">
        <v>22</v>
      </c>
      <c r="E609" s="9"/>
      <c r="F609" s="12" t="s">
        <v>18</v>
      </c>
      <c r="G609" s="12">
        <v>53.0</v>
      </c>
      <c r="H609" s="12">
        <v>42.02</v>
      </c>
      <c r="I609" s="12">
        <v>156.57</v>
      </c>
      <c r="J609" s="12">
        <v>157.84</v>
      </c>
      <c r="K609" s="12" t="s">
        <v>19</v>
      </c>
      <c r="L609" s="12">
        <v>53.02</v>
      </c>
      <c r="M609" s="12">
        <v>42.0</v>
      </c>
      <c r="N609" s="12">
        <v>156.79</v>
      </c>
      <c r="O609" s="12">
        <v>156.78</v>
      </c>
      <c r="P609" s="12" t="s">
        <v>22</v>
      </c>
      <c r="Q609" s="12" t="s">
        <v>55</v>
      </c>
      <c r="R609" s="6"/>
      <c r="S609" s="6"/>
      <c r="T609" s="6"/>
      <c r="U609" s="6"/>
      <c r="V609" s="6"/>
    </row>
    <row r="610">
      <c r="A610" s="15">
        <v>46292.66867370371</v>
      </c>
      <c r="B610" s="8" t="str">
        <f t="shared" si="1"/>
        <v>227040</v>
      </c>
      <c r="C610" s="10" t="s">
        <v>542</v>
      </c>
      <c r="D610" s="10" t="s">
        <v>22</v>
      </c>
      <c r="E610" s="9"/>
      <c r="F610" s="12" t="s">
        <v>18</v>
      </c>
      <c r="G610" s="12">
        <v>56.23</v>
      </c>
      <c r="H610" s="12">
        <v>40.59</v>
      </c>
      <c r="I610" s="12">
        <v>168.33</v>
      </c>
      <c r="J610" s="12">
        <v>169.0</v>
      </c>
      <c r="K610" s="12" t="s">
        <v>19</v>
      </c>
      <c r="L610" s="12">
        <v>56.19</v>
      </c>
      <c r="M610" s="12">
        <v>40.63</v>
      </c>
      <c r="N610" s="12">
        <v>169.23</v>
      </c>
      <c r="O610" s="12">
        <v>169.55</v>
      </c>
      <c r="P610" s="12" t="s">
        <v>22</v>
      </c>
      <c r="Q610" s="12" t="s">
        <v>543</v>
      </c>
      <c r="R610" s="6"/>
      <c r="S610" s="6"/>
      <c r="T610" s="6"/>
      <c r="U610" s="6"/>
      <c r="V610" s="6"/>
    </row>
    <row r="611">
      <c r="A611" s="15">
        <v>46292.78478991898</v>
      </c>
      <c r="B611" s="8" t="str">
        <f t="shared" si="1"/>
        <v>234768</v>
      </c>
      <c r="C611" s="22" t="s">
        <v>544</v>
      </c>
      <c r="D611" s="22" t="s">
        <v>32</v>
      </c>
      <c r="E611" s="43">
        <v>0.3103</v>
      </c>
      <c r="F611" s="12" t="s">
        <v>18</v>
      </c>
      <c r="G611" s="12">
        <v>54.95</v>
      </c>
      <c r="H611" s="12">
        <v>40.85</v>
      </c>
      <c r="I611" s="12">
        <v>153.13</v>
      </c>
      <c r="J611" s="12">
        <v>152.29</v>
      </c>
      <c r="K611" s="12" t="s">
        <v>107</v>
      </c>
      <c r="L611" s="12">
        <v>54.67</v>
      </c>
      <c r="M611" s="12">
        <v>40.66</v>
      </c>
      <c r="N611" s="12">
        <v>152.61</v>
      </c>
      <c r="O611" s="12">
        <v>152.26</v>
      </c>
      <c r="P611" s="8"/>
      <c r="Q611" s="12" t="s">
        <v>90</v>
      </c>
      <c r="R611" s="6"/>
      <c r="S611" s="6"/>
      <c r="T611" s="6"/>
      <c r="U611" s="6"/>
      <c r="V611" s="6"/>
    </row>
    <row r="612">
      <c r="A612" s="15">
        <v>46292.790154490736</v>
      </c>
      <c r="B612" s="8" t="str">
        <f t="shared" si="1"/>
        <v>241117</v>
      </c>
      <c r="C612" s="23" t="s">
        <v>545</v>
      </c>
      <c r="D612" s="23" t="s">
        <v>32</v>
      </c>
      <c r="E612" s="42">
        <v>0.0968</v>
      </c>
      <c r="F612" s="12" t="s">
        <v>18</v>
      </c>
      <c r="G612" s="12">
        <v>54.56</v>
      </c>
      <c r="H612" s="12">
        <v>36.15</v>
      </c>
      <c r="I612" s="12">
        <v>154.21</v>
      </c>
      <c r="J612" s="12">
        <v>154.48</v>
      </c>
      <c r="K612" s="12" t="s">
        <v>107</v>
      </c>
      <c r="L612" s="12">
        <v>54.33</v>
      </c>
      <c r="M612" s="12">
        <v>35.91</v>
      </c>
      <c r="N612" s="12">
        <v>153.98</v>
      </c>
      <c r="O612" s="12">
        <v>153.79</v>
      </c>
      <c r="P612" s="8"/>
      <c r="Q612" s="12" t="s">
        <v>90</v>
      </c>
      <c r="R612" s="6"/>
      <c r="S612" s="6"/>
      <c r="T612" s="6"/>
      <c r="U612" s="6"/>
      <c r="V612" s="6"/>
    </row>
    <row r="613">
      <c r="A613" s="15">
        <v>46292.790670312505</v>
      </c>
      <c r="B613" s="8" t="str">
        <f t="shared" si="1"/>
        <v>241119</v>
      </c>
      <c r="C613" s="87" t="s">
        <v>484</v>
      </c>
      <c r="D613" s="87" t="s">
        <v>32</v>
      </c>
      <c r="E613" s="88">
        <v>0.1463</v>
      </c>
      <c r="F613" s="12" t="s">
        <v>18</v>
      </c>
      <c r="G613" s="12">
        <v>55.47</v>
      </c>
      <c r="H613" s="12">
        <v>38.85</v>
      </c>
      <c r="I613" s="12">
        <v>162.53</v>
      </c>
      <c r="J613" s="12">
        <v>163.13</v>
      </c>
      <c r="K613" s="12" t="s">
        <v>107</v>
      </c>
      <c r="L613" s="12">
        <v>55.38</v>
      </c>
      <c r="M613" s="12">
        <v>38.78</v>
      </c>
      <c r="N613" s="12">
        <v>162.25</v>
      </c>
      <c r="O613" s="12">
        <v>162.86</v>
      </c>
      <c r="P613" s="8"/>
      <c r="Q613" s="12" t="s">
        <v>90</v>
      </c>
      <c r="R613" s="6"/>
      <c r="S613" s="6"/>
      <c r="T613" s="6"/>
      <c r="U613" s="6"/>
      <c r="V613" s="6"/>
    </row>
    <row r="614">
      <c r="A614" s="15">
        <v>46292.768340462964</v>
      </c>
      <c r="B614" s="8" t="str">
        <f t="shared" si="1"/>
        <v>217079</v>
      </c>
      <c r="C614" s="23" t="s">
        <v>546</v>
      </c>
      <c r="D614" s="23" t="s">
        <v>32</v>
      </c>
      <c r="E614" s="42">
        <v>0.087</v>
      </c>
      <c r="F614" s="12" t="s">
        <v>18</v>
      </c>
      <c r="G614" s="12">
        <v>52.56</v>
      </c>
      <c r="H614" s="12">
        <v>41.68</v>
      </c>
      <c r="I614" s="12">
        <v>155.66</v>
      </c>
      <c r="J614" s="12">
        <v>155.66</v>
      </c>
      <c r="K614" s="12" t="s">
        <v>107</v>
      </c>
      <c r="L614" s="12">
        <v>52.48</v>
      </c>
      <c r="M614" s="12">
        <v>41.62</v>
      </c>
      <c r="N614" s="12">
        <v>155.48</v>
      </c>
      <c r="O614" s="12">
        <v>155.52</v>
      </c>
      <c r="P614" s="8"/>
      <c r="Q614" s="12" t="s">
        <v>90</v>
      </c>
      <c r="R614" s="6"/>
      <c r="S614" s="6"/>
      <c r="T614" s="6"/>
      <c r="U614" s="6"/>
      <c r="V614" s="6"/>
    </row>
    <row r="615">
      <c r="A615" s="15">
        <v>46292.769744942125</v>
      </c>
      <c r="B615" s="8" t="str">
        <f t="shared" si="1"/>
        <v>221174</v>
      </c>
      <c r="C615" s="22" t="s">
        <v>547</v>
      </c>
      <c r="D615" s="22" t="s">
        <v>32</v>
      </c>
      <c r="E615" s="43">
        <v>0.0769</v>
      </c>
      <c r="F615" s="12" t="s">
        <v>18</v>
      </c>
      <c r="G615" s="12">
        <v>51.98</v>
      </c>
      <c r="H615" s="12">
        <v>40.36</v>
      </c>
      <c r="I615" s="12">
        <v>151.87</v>
      </c>
      <c r="J615" s="12">
        <v>151.79</v>
      </c>
      <c r="K615" s="12" t="s">
        <v>107</v>
      </c>
      <c r="L615" s="12">
        <v>51.75</v>
      </c>
      <c r="M615" s="12">
        <v>40.08</v>
      </c>
      <c r="N615" s="12">
        <v>151.35</v>
      </c>
      <c r="O615" s="12">
        <v>151.21</v>
      </c>
      <c r="P615" s="8"/>
      <c r="Q615" s="12" t="s">
        <v>90</v>
      </c>
      <c r="R615" s="6"/>
      <c r="S615" s="6"/>
      <c r="T615" s="6"/>
      <c r="U615" s="6"/>
      <c r="V615" s="6"/>
    </row>
    <row r="616">
      <c r="A616" s="15">
        <v>46292.77563347222</v>
      </c>
      <c r="B616" s="8" t="str">
        <f t="shared" si="1"/>
        <v>243674</v>
      </c>
      <c r="C616" s="23" t="s">
        <v>167</v>
      </c>
      <c r="D616" s="23" t="s">
        <v>32</v>
      </c>
      <c r="E616" s="42">
        <v>0.0889</v>
      </c>
      <c r="F616" s="12" t="s">
        <v>18</v>
      </c>
      <c r="G616" s="12">
        <v>48.76</v>
      </c>
      <c r="H616" s="12">
        <v>40.55</v>
      </c>
      <c r="I616" s="12">
        <v>146.83</v>
      </c>
      <c r="J616" s="12">
        <v>146.51</v>
      </c>
      <c r="K616" s="12" t="s">
        <v>107</v>
      </c>
      <c r="L616" s="12">
        <v>48.68</v>
      </c>
      <c r="M616" s="12">
        <v>40.48</v>
      </c>
      <c r="N616" s="12">
        <v>146.59</v>
      </c>
      <c r="O616" s="12">
        <v>146.27</v>
      </c>
      <c r="P616" s="8"/>
      <c r="Q616" s="12" t="s">
        <v>90</v>
      </c>
      <c r="R616" s="6"/>
      <c r="S616" s="6"/>
      <c r="T616" s="6"/>
      <c r="U616" s="6"/>
      <c r="V616" s="6"/>
    </row>
    <row r="617">
      <c r="A617" s="15">
        <v>46292.77661078704</v>
      </c>
      <c r="B617" s="8" t="str">
        <f t="shared" si="1"/>
        <v>246043</v>
      </c>
      <c r="C617" s="22" t="s">
        <v>548</v>
      </c>
      <c r="D617" s="22" t="s">
        <v>32</v>
      </c>
      <c r="E617" s="43">
        <v>0.0968</v>
      </c>
      <c r="F617" s="12" t="s">
        <v>18</v>
      </c>
      <c r="G617" s="12">
        <v>54.14</v>
      </c>
      <c r="H617" s="12">
        <v>37.06</v>
      </c>
      <c r="I617" s="12">
        <v>155.94</v>
      </c>
      <c r="J617" s="12">
        <v>155.73</v>
      </c>
      <c r="K617" s="12" t="s">
        <v>107</v>
      </c>
      <c r="L617" s="12">
        <v>54.06</v>
      </c>
      <c r="M617" s="12">
        <v>36.91</v>
      </c>
      <c r="N617" s="12">
        <v>155.32</v>
      </c>
      <c r="O617" s="12">
        <v>155.5</v>
      </c>
      <c r="P617" s="8"/>
      <c r="Q617" s="12" t="s">
        <v>90</v>
      </c>
      <c r="R617" s="6"/>
      <c r="S617" s="6"/>
      <c r="T617" s="6"/>
      <c r="U617" s="6"/>
      <c r="V617" s="6"/>
    </row>
    <row r="618">
      <c r="A618" s="15">
        <v>46292.779255625</v>
      </c>
      <c r="B618" s="8" t="str">
        <f t="shared" si="1"/>
        <v>213182</v>
      </c>
      <c r="C618" s="23" t="s">
        <v>549</v>
      </c>
      <c r="D618" s="23" t="s">
        <v>32</v>
      </c>
      <c r="E618" s="42">
        <v>0.1</v>
      </c>
      <c r="F618" s="12" t="s">
        <v>18</v>
      </c>
      <c r="G618" s="12">
        <v>54.81</v>
      </c>
      <c r="H618" s="12">
        <v>40.16</v>
      </c>
      <c r="I618" s="12">
        <v>161.24</v>
      </c>
      <c r="J618" s="12">
        <v>161.01</v>
      </c>
      <c r="K618" s="12" t="s">
        <v>107</v>
      </c>
      <c r="L618" s="12">
        <v>54.49</v>
      </c>
      <c r="M618" s="12">
        <v>40.12</v>
      </c>
      <c r="N618" s="12">
        <v>160.66</v>
      </c>
      <c r="O618" s="12">
        <v>160.97</v>
      </c>
      <c r="P618" s="8"/>
      <c r="Q618" s="12" t="s">
        <v>90</v>
      </c>
      <c r="R618" s="6"/>
      <c r="S618" s="6"/>
      <c r="T618" s="6"/>
      <c r="U618" s="6"/>
      <c r="V618" s="6"/>
    </row>
    <row r="619">
      <c r="A619" s="15">
        <v>46292.78002162037</v>
      </c>
      <c r="B619" s="8" t="str">
        <f t="shared" si="1"/>
        <v>239157</v>
      </c>
      <c r="C619" s="22" t="s">
        <v>550</v>
      </c>
      <c r="D619" s="22" t="s">
        <v>32</v>
      </c>
      <c r="E619" s="43">
        <v>0.027</v>
      </c>
      <c r="F619" s="12" t="s">
        <v>18</v>
      </c>
      <c r="G619" s="12">
        <v>52.82</v>
      </c>
      <c r="H619" s="12">
        <v>36.93</v>
      </c>
      <c r="I619" s="12">
        <v>151.39</v>
      </c>
      <c r="J619" s="12">
        <v>151.39</v>
      </c>
      <c r="K619" s="12" t="s">
        <v>107</v>
      </c>
      <c r="L619" s="12">
        <v>52.62</v>
      </c>
      <c r="M619" s="12">
        <v>36.79</v>
      </c>
      <c r="N619" s="12">
        <v>151.15</v>
      </c>
      <c r="O619" s="12">
        <v>150.54</v>
      </c>
      <c r="P619" s="8"/>
      <c r="Q619" s="12" t="s">
        <v>90</v>
      </c>
      <c r="R619" s="6"/>
      <c r="S619" s="6"/>
      <c r="T619" s="6"/>
      <c r="U619" s="6"/>
      <c r="V619" s="6"/>
    </row>
    <row r="620">
      <c r="A620" s="15">
        <v>46292.7807708912</v>
      </c>
      <c r="B620" s="8" t="str">
        <f t="shared" si="1"/>
        <v>240793</v>
      </c>
      <c r="C620" s="23" t="s">
        <v>551</v>
      </c>
      <c r="D620" s="23" t="s">
        <v>32</v>
      </c>
      <c r="E620" s="42">
        <v>0.0263</v>
      </c>
      <c r="F620" s="12" t="s">
        <v>18</v>
      </c>
      <c r="G620" s="12">
        <v>51.57</v>
      </c>
      <c r="H620" s="12">
        <v>41.01</v>
      </c>
      <c r="I620" s="12">
        <v>155.36</v>
      </c>
      <c r="J620" s="12">
        <v>155.7</v>
      </c>
      <c r="K620" s="12" t="s">
        <v>107</v>
      </c>
      <c r="L620" s="12">
        <v>51.38</v>
      </c>
      <c r="M620" s="12">
        <v>40.99</v>
      </c>
      <c r="N620" s="12">
        <v>154.85</v>
      </c>
      <c r="O620" s="12">
        <v>155.52</v>
      </c>
      <c r="P620" s="8"/>
      <c r="Q620" s="12" t="s">
        <v>90</v>
      </c>
      <c r="R620" s="6"/>
      <c r="S620" s="6"/>
      <c r="T620" s="6"/>
      <c r="U620" s="6"/>
      <c r="V620" s="6"/>
    </row>
    <row r="621">
      <c r="A621" s="15">
        <v>46292.0</v>
      </c>
      <c r="B621" s="8" t="str">
        <f t="shared" si="1"/>
        <v>242145</v>
      </c>
      <c r="C621" s="22" t="s">
        <v>552</v>
      </c>
      <c r="D621" s="22" t="s">
        <v>32</v>
      </c>
      <c r="E621" s="43">
        <v>0.1034</v>
      </c>
      <c r="F621" s="12" t="s">
        <v>18</v>
      </c>
      <c r="G621" s="12">
        <v>54.75</v>
      </c>
      <c r="H621" s="12">
        <v>39.24</v>
      </c>
      <c r="I621" s="12">
        <v>159.68</v>
      </c>
      <c r="J621" s="12">
        <v>160.1</v>
      </c>
      <c r="K621" s="12" t="s">
        <v>107</v>
      </c>
      <c r="L621" s="12">
        <v>54.46</v>
      </c>
      <c r="M621" s="12">
        <v>39.08</v>
      </c>
      <c r="N621" s="12">
        <v>159.46</v>
      </c>
      <c r="O621" s="12">
        <v>159.09</v>
      </c>
      <c r="P621" s="8"/>
      <c r="Q621" s="12" t="s">
        <v>90</v>
      </c>
      <c r="R621" s="6"/>
      <c r="S621" s="6"/>
      <c r="T621" s="6"/>
      <c r="U621" s="6"/>
      <c r="V621" s="6"/>
    </row>
    <row r="622">
      <c r="A622" s="15">
        <v>46292.78272857639</v>
      </c>
      <c r="B622" s="8" t="str">
        <f t="shared" si="1"/>
        <v>131321</v>
      </c>
      <c r="C622" s="23" t="s">
        <v>553</v>
      </c>
      <c r="D622" s="23" t="s">
        <v>32</v>
      </c>
      <c r="E622" s="42">
        <v>0.2</v>
      </c>
      <c r="F622" s="12" t="s">
        <v>18</v>
      </c>
      <c r="G622" s="12">
        <v>50.14</v>
      </c>
      <c r="H622" s="12">
        <v>47.23</v>
      </c>
      <c r="I622" s="12">
        <v>154.47</v>
      </c>
      <c r="J622" s="12">
        <v>154.66</v>
      </c>
      <c r="K622" s="12" t="s">
        <v>107</v>
      </c>
      <c r="L622" s="12">
        <v>50.0</v>
      </c>
      <c r="M622" s="12">
        <v>47.12</v>
      </c>
      <c r="N622" s="12">
        <v>154.01</v>
      </c>
      <c r="O622" s="12">
        <v>154.01</v>
      </c>
      <c r="P622" s="8"/>
      <c r="Q622" s="12" t="s">
        <v>90</v>
      </c>
      <c r="R622" s="6"/>
      <c r="S622" s="6"/>
      <c r="T622" s="6"/>
      <c r="U622" s="6"/>
      <c r="V622" s="6"/>
    </row>
    <row r="623">
      <c r="A623" s="15">
        <v>46292.79210693287</v>
      </c>
      <c r="B623" s="8" t="str">
        <f t="shared" si="1"/>
        <v>210178</v>
      </c>
      <c r="C623" s="22" t="s">
        <v>478</v>
      </c>
      <c r="D623" s="22" t="s">
        <v>32</v>
      </c>
      <c r="E623" s="43">
        <v>0.1667</v>
      </c>
      <c r="F623" s="12" t="s">
        <v>18</v>
      </c>
      <c r="G623" s="12">
        <v>56.63</v>
      </c>
      <c r="H623" s="12">
        <v>37.28</v>
      </c>
      <c r="I623" s="12">
        <v>159.15</v>
      </c>
      <c r="J623" s="12">
        <v>159.19</v>
      </c>
      <c r="K623" s="12" t="s">
        <v>107</v>
      </c>
      <c r="L623" s="12">
        <v>56.54</v>
      </c>
      <c r="M623" s="12">
        <v>37.2</v>
      </c>
      <c r="N623" s="12">
        <v>158.9</v>
      </c>
      <c r="O623" s="12">
        <v>158.9</v>
      </c>
      <c r="P623" s="8"/>
      <c r="Q623" s="12" t="s">
        <v>90</v>
      </c>
      <c r="R623" s="6"/>
      <c r="S623" s="6"/>
      <c r="T623" s="6"/>
      <c r="U623" s="6"/>
      <c r="V623" s="6"/>
    </row>
    <row r="624">
      <c r="A624" s="15">
        <v>46292.793623125</v>
      </c>
      <c r="B624" s="8" t="str">
        <f t="shared" si="1"/>
        <v>241089</v>
      </c>
      <c r="C624" s="23" t="s">
        <v>554</v>
      </c>
      <c r="D624" s="23" t="s">
        <v>32</v>
      </c>
      <c r="E624" s="42">
        <v>0.0789</v>
      </c>
      <c r="F624" s="12" t="s">
        <v>18</v>
      </c>
      <c r="G624" s="12">
        <v>60.19</v>
      </c>
      <c r="H624" s="12">
        <v>48.69</v>
      </c>
      <c r="I624" s="12">
        <v>177.1</v>
      </c>
      <c r="J624" s="12">
        <v>177.49</v>
      </c>
      <c r="K624" s="12" t="s">
        <v>107</v>
      </c>
      <c r="L624" s="12">
        <v>60.12</v>
      </c>
      <c r="M624" s="12">
        <v>48.62</v>
      </c>
      <c r="N624" s="12">
        <v>177.13</v>
      </c>
      <c r="O624" s="12">
        <v>177.3</v>
      </c>
      <c r="P624" s="8"/>
      <c r="Q624" s="12" t="s">
        <v>90</v>
      </c>
      <c r="R624" s="6"/>
      <c r="S624" s="6"/>
      <c r="T624" s="6"/>
      <c r="U624" s="6"/>
      <c r="V624" s="6"/>
    </row>
    <row r="625">
      <c r="A625" s="15">
        <v>46292.79614046296</v>
      </c>
      <c r="B625" s="8" t="str">
        <f t="shared" si="1"/>
        <v>241114</v>
      </c>
      <c r="C625" s="22" t="s">
        <v>555</v>
      </c>
      <c r="D625" s="22" t="s">
        <v>32</v>
      </c>
      <c r="E625" s="43">
        <v>0.3077</v>
      </c>
      <c r="F625" s="12" t="s">
        <v>18</v>
      </c>
      <c r="G625" s="12">
        <v>55.41</v>
      </c>
      <c r="H625" s="12">
        <v>35.34</v>
      </c>
      <c r="I625" s="12">
        <v>149.91</v>
      </c>
      <c r="J625" s="12">
        <v>151.02</v>
      </c>
      <c r="K625" s="12" t="s">
        <v>107</v>
      </c>
      <c r="L625" s="12">
        <v>55.38</v>
      </c>
      <c r="M625" s="12">
        <v>34.68</v>
      </c>
      <c r="N625" s="12">
        <v>149.88</v>
      </c>
      <c r="O625" s="12">
        <v>149.79</v>
      </c>
      <c r="P625" s="8"/>
      <c r="Q625" s="12" t="s">
        <v>90</v>
      </c>
      <c r="R625" s="6"/>
      <c r="S625" s="6"/>
      <c r="T625" s="6"/>
      <c r="U625" s="6"/>
      <c r="V625" s="6"/>
    </row>
    <row r="626">
      <c r="A626" s="15">
        <v>46292.79782652778</v>
      </c>
      <c r="B626" s="8" t="str">
        <f t="shared" si="1"/>
        <v>246864</v>
      </c>
      <c r="C626" s="23" t="s">
        <v>375</v>
      </c>
      <c r="D626" s="23" t="s">
        <v>32</v>
      </c>
      <c r="E626" s="42">
        <v>0.0566</v>
      </c>
      <c r="F626" s="12" t="s">
        <v>18</v>
      </c>
      <c r="G626" s="12">
        <v>51.4</v>
      </c>
      <c r="H626" s="12">
        <v>47.88</v>
      </c>
      <c r="I626" s="12">
        <v>158.0</v>
      </c>
      <c r="J626" s="12">
        <v>157.73</v>
      </c>
      <c r="K626" s="12" t="s">
        <v>107</v>
      </c>
      <c r="L626" s="12">
        <v>51.32</v>
      </c>
      <c r="M626" s="12">
        <v>47.79</v>
      </c>
      <c r="N626" s="12">
        <v>157.74</v>
      </c>
      <c r="O626" s="12">
        <v>157.73</v>
      </c>
      <c r="P626" s="8"/>
      <c r="Q626" s="12" t="s">
        <v>90</v>
      </c>
      <c r="R626" s="6"/>
      <c r="S626" s="6"/>
      <c r="T626" s="6"/>
      <c r="U626" s="6"/>
      <c r="V626" s="6"/>
    </row>
    <row r="627">
      <c r="A627" s="15">
        <v>46292.798639699075</v>
      </c>
      <c r="B627" s="8" t="str">
        <f t="shared" si="1"/>
        <v>247077</v>
      </c>
      <c r="C627" s="22" t="s">
        <v>556</v>
      </c>
      <c r="D627" s="22" t="s">
        <v>32</v>
      </c>
      <c r="E627" s="43">
        <v>0.1579</v>
      </c>
      <c r="F627" s="12" t="s">
        <v>18</v>
      </c>
      <c r="G627" s="12">
        <v>54.66</v>
      </c>
      <c r="H627" s="12">
        <v>45.35</v>
      </c>
      <c r="I627" s="12">
        <v>160.36</v>
      </c>
      <c r="J627" s="12">
        <v>160.69</v>
      </c>
      <c r="K627" s="12" t="s">
        <v>107</v>
      </c>
      <c r="L627" s="12">
        <v>54.5</v>
      </c>
      <c r="M627" s="12">
        <v>45.32</v>
      </c>
      <c r="N627" s="12">
        <v>160.0</v>
      </c>
      <c r="O627" s="12">
        <v>160.5</v>
      </c>
      <c r="P627" s="8"/>
      <c r="Q627" s="12" t="s">
        <v>90</v>
      </c>
      <c r="R627" s="6"/>
      <c r="S627" s="6"/>
      <c r="T627" s="6"/>
      <c r="U627" s="6"/>
      <c r="V627" s="6"/>
    </row>
    <row r="628">
      <c r="A628" s="15">
        <v>46292.79941328704</v>
      </c>
      <c r="B628" s="8" t="str">
        <f t="shared" si="1"/>
        <v>247078</v>
      </c>
      <c r="C628" s="23" t="s">
        <v>455</v>
      </c>
      <c r="D628" s="23" t="s">
        <v>32</v>
      </c>
      <c r="E628" s="42">
        <v>0.0588</v>
      </c>
      <c r="F628" s="12" t="s">
        <v>18</v>
      </c>
      <c r="G628" s="12">
        <v>55.68</v>
      </c>
      <c r="H628" s="12">
        <v>34.78</v>
      </c>
      <c r="I628" s="12">
        <v>150.21</v>
      </c>
      <c r="J628" s="12">
        <v>150.4</v>
      </c>
      <c r="K628" s="12" t="s">
        <v>107</v>
      </c>
      <c r="L628" s="12">
        <v>55.62</v>
      </c>
      <c r="M628" s="12">
        <v>34.72</v>
      </c>
      <c r="N628" s="12">
        <v>150.01</v>
      </c>
      <c r="O628" s="12">
        <v>150.21</v>
      </c>
      <c r="P628" s="8"/>
      <c r="Q628" s="12" t="s">
        <v>90</v>
      </c>
      <c r="R628" s="6"/>
      <c r="S628" s="6"/>
      <c r="T628" s="6"/>
      <c r="U628" s="6"/>
      <c r="V628" s="6"/>
    </row>
    <row r="629">
      <c r="A629" s="15">
        <v>46292.80162931713</v>
      </c>
      <c r="B629" s="8" t="str">
        <f t="shared" si="1"/>
        <v>210178</v>
      </c>
      <c r="C629" s="22" t="s">
        <v>557</v>
      </c>
      <c r="D629" s="22" t="s">
        <v>307</v>
      </c>
      <c r="E629" s="43">
        <v>0.0357</v>
      </c>
      <c r="F629" s="12" t="s">
        <v>18</v>
      </c>
      <c r="G629" s="12">
        <v>56.71</v>
      </c>
      <c r="H629" s="12">
        <v>37.34</v>
      </c>
      <c r="I629" s="12">
        <v>159.79</v>
      </c>
      <c r="J629" s="12">
        <v>159.52</v>
      </c>
      <c r="K629" s="12" t="s">
        <v>107</v>
      </c>
      <c r="L629" s="12">
        <v>56.69</v>
      </c>
      <c r="M629" s="12">
        <v>37.01</v>
      </c>
      <c r="N629" s="12">
        <v>159.32</v>
      </c>
      <c r="O629" s="12">
        <v>158.61</v>
      </c>
      <c r="P629" s="8"/>
      <c r="Q629" s="12" t="s">
        <v>90</v>
      </c>
      <c r="R629" s="6"/>
      <c r="S629" s="6"/>
      <c r="T629" s="6"/>
      <c r="U629" s="6"/>
      <c r="V629" s="6"/>
    </row>
    <row r="630">
      <c r="A630" s="15">
        <v>46292.80220762732</v>
      </c>
      <c r="B630" s="8" t="str">
        <f t="shared" si="1"/>
        <v>234792</v>
      </c>
      <c r="C630" s="23" t="s">
        <v>558</v>
      </c>
      <c r="D630" s="23" t="s">
        <v>17</v>
      </c>
      <c r="E630" s="42">
        <v>0.1176</v>
      </c>
      <c r="F630" s="12" t="s">
        <v>18</v>
      </c>
      <c r="G630" s="12">
        <v>46.97</v>
      </c>
      <c r="H630" s="12">
        <v>41.55</v>
      </c>
      <c r="I630" s="12">
        <v>143.99</v>
      </c>
      <c r="J630" s="12">
        <v>144.2</v>
      </c>
      <c r="K630" s="12" t="s">
        <v>107</v>
      </c>
      <c r="L630" s="12">
        <v>47.08</v>
      </c>
      <c r="M630" s="12">
        <v>41.84</v>
      </c>
      <c r="N630" s="12">
        <v>144.61</v>
      </c>
      <c r="O630" s="12">
        <v>144.19</v>
      </c>
      <c r="P630" s="8"/>
      <c r="Q630" s="12" t="s">
        <v>90</v>
      </c>
      <c r="R630" s="6"/>
      <c r="S630" s="6"/>
      <c r="T630" s="6"/>
      <c r="U630" s="6"/>
      <c r="V630" s="6"/>
    </row>
    <row r="631">
      <c r="A631" s="15">
        <v>46292.80499880787</v>
      </c>
      <c r="B631" s="8" t="str">
        <f t="shared" si="1"/>
        <v>245914</v>
      </c>
      <c r="C631" s="22" t="s">
        <v>280</v>
      </c>
      <c r="D631" s="22" t="s">
        <v>17</v>
      </c>
      <c r="E631" s="43">
        <v>0.2143</v>
      </c>
      <c r="F631" s="12" t="s">
        <v>18</v>
      </c>
      <c r="G631" s="12">
        <v>51.45</v>
      </c>
      <c r="H631" s="12">
        <v>37.2</v>
      </c>
      <c r="I631" s="12">
        <v>150.1</v>
      </c>
      <c r="J631" s="12">
        <v>150.1</v>
      </c>
      <c r="K631" s="12" t="s">
        <v>107</v>
      </c>
      <c r="L631" s="12">
        <v>51.55</v>
      </c>
      <c r="M631" s="12">
        <v>37.32</v>
      </c>
      <c r="N631" s="12">
        <v>150.46</v>
      </c>
      <c r="O631" s="12">
        <v>150.46</v>
      </c>
      <c r="P631" s="8"/>
      <c r="Q631" s="12" t="s">
        <v>90</v>
      </c>
      <c r="R631" s="6"/>
      <c r="S631" s="6"/>
      <c r="T631" s="6"/>
      <c r="U631" s="6"/>
      <c r="V631" s="6"/>
    </row>
    <row r="632">
      <c r="A632" s="15">
        <v>46292.8203197338</v>
      </c>
      <c r="B632" s="8" t="str">
        <f t="shared" si="1"/>
        <v>242221</v>
      </c>
      <c r="C632" s="23" t="s">
        <v>500</v>
      </c>
      <c r="D632" s="23" t="s">
        <v>17</v>
      </c>
      <c r="E632" s="42">
        <v>0.7</v>
      </c>
      <c r="F632" s="12" t="s">
        <v>18</v>
      </c>
      <c r="G632" s="12">
        <v>50.32</v>
      </c>
      <c r="H632" s="12">
        <v>46.62</v>
      </c>
      <c r="I632" s="12">
        <v>155.57</v>
      </c>
      <c r="J632" s="12">
        <v>155.65</v>
      </c>
      <c r="K632" s="12" t="s">
        <v>107</v>
      </c>
      <c r="L632" s="12">
        <v>50.46</v>
      </c>
      <c r="M632" s="12">
        <v>46.72</v>
      </c>
      <c r="N632" s="12">
        <v>155.87</v>
      </c>
      <c r="O632" s="12">
        <v>155.95</v>
      </c>
      <c r="P632" s="8"/>
      <c r="Q632" s="12" t="s">
        <v>90</v>
      </c>
      <c r="R632" s="6"/>
      <c r="S632" s="6"/>
      <c r="T632" s="6"/>
      <c r="U632" s="6"/>
      <c r="V632" s="6"/>
    </row>
    <row r="633">
      <c r="A633" s="15">
        <v>46292.82093288194</v>
      </c>
      <c r="B633" s="8" t="str">
        <f t="shared" si="1"/>
        <v>219825</v>
      </c>
      <c r="C633" s="22" t="s">
        <v>559</v>
      </c>
      <c r="D633" s="22" t="s">
        <v>17</v>
      </c>
      <c r="E633" s="43">
        <v>0.4167</v>
      </c>
      <c r="F633" s="12" t="s">
        <v>18</v>
      </c>
      <c r="G633" s="12">
        <v>55.1</v>
      </c>
      <c r="H633" s="12">
        <v>37.3</v>
      </c>
      <c r="I633" s="12">
        <v>156.11</v>
      </c>
      <c r="J633" s="12">
        <v>156.02</v>
      </c>
      <c r="K633" s="12" t="s">
        <v>107</v>
      </c>
      <c r="L633" s="12">
        <v>55.2</v>
      </c>
      <c r="M633" s="12">
        <v>37.4</v>
      </c>
      <c r="N633" s="12">
        <v>156.45</v>
      </c>
      <c r="O633" s="12">
        <v>156.35</v>
      </c>
      <c r="P633" s="8"/>
      <c r="Q633" s="12" t="s">
        <v>90</v>
      </c>
      <c r="R633" s="6"/>
      <c r="S633" s="6"/>
      <c r="T633" s="6"/>
      <c r="U633" s="6"/>
      <c r="V633" s="6"/>
    </row>
    <row r="634">
      <c r="A634" s="15">
        <v>46292.82238383102</v>
      </c>
      <c r="B634" s="8" t="str">
        <f t="shared" si="1"/>
        <v>137971</v>
      </c>
      <c r="C634" s="23" t="s">
        <v>560</v>
      </c>
      <c r="D634" s="23" t="s">
        <v>17</v>
      </c>
      <c r="E634" s="42">
        <v>0.0532</v>
      </c>
      <c r="F634" s="12" t="s">
        <v>18</v>
      </c>
      <c r="G634" s="12">
        <v>52.64</v>
      </c>
      <c r="H634" s="12">
        <v>44.0</v>
      </c>
      <c r="I634" s="12">
        <v>158.28</v>
      </c>
      <c r="J634" s="12">
        <v>158.21</v>
      </c>
      <c r="K634" s="12" t="s">
        <v>107</v>
      </c>
      <c r="L634" s="12">
        <v>52.77</v>
      </c>
      <c r="M634" s="12">
        <v>44.05</v>
      </c>
      <c r="N634" s="12">
        <v>158.56</v>
      </c>
      <c r="O634" s="12">
        <v>158.34</v>
      </c>
      <c r="P634" s="8"/>
      <c r="Q634" s="12" t="s">
        <v>90</v>
      </c>
      <c r="R634" s="6"/>
      <c r="S634" s="6"/>
      <c r="T634" s="6"/>
      <c r="U634" s="6"/>
      <c r="V634" s="6"/>
    </row>
    <row r="635">
      <c r="A635" s="15">
        <v>46292.92477722222</v>
      </c>
      <c r="B635" s="8" t="str">
        <f t="shared" si="1"/>
        <v>207481</v>
      </c>
      <c r="C635" s="22" t="s">
        <v>561</v>
      </c>
      <c r="D635" s="22" t="s">
        <v>17</v>
      </c>
      <c r="E635" s="43">
        <v>0.25</v>
      </c>
      <c r="F635" s="12" t="s">
        <v>18</v>
      </c>
      <c r="G635" s="12">
        <v>50.64</v>
      </c>
      <c r="H635" s="12">
        <v>42.67</v>
      </c>
      <c r="I635" s="12">
        <v>153.38</v>
      </c>
      <c r="J635" s="12">
        <v>153.38</v>
      </c>
      <c r="K635" s="12" t="s">
        <v>107</v>
      </c>
      <c r="L635" s="12">
        <v>50.76</v>
      </c>
      <c r="M635" s="12">
        <v>42.77</v>
      </c>
      <c r="N635" s="12">
        <v>153.69</v>
      </c>
      <c r="O635" s="12">
        <v>153.69</v>
      </c>
      <c r="P635" s="8"/>
      <c r="Q635" s="12" t="s">
        <v>90</v>
      </c>
      <c r="R635" s="6"/>
      <c r="S635" s="6"/>
      <c r="T635" s="6"/>
      <c r="U635" s="6"/>
      <c r="V635" s="6"/>
    </row>
    <row r="636">
      <c r="A636" s="15">
        <v>46292.0</v>
      </c>
      <c r="B636" s="8" t="str">
        <f t="shared" si="1"/>
        <v>207481</v>
      </c>
      <c r="C636" s="23" t="s">
        <v>562</v>
      </c>
      <c r="D636" s="23" t="s">
        <v>17</v>
      </c>
      <c r="E636" s="42">
        <v>0.6</v>
      </c>
      <c r="F636" s="12" t="s">
        <v>18</v>
      </c>
      <c r="G636" s="89" t="s">
        <v>563</v>
      </c>
      <c r="H636" s="45"/>
      <c r="I636" s="45"/>
      <c r="J636" s="45"/>
      <c r="K636" s="45"/>
      <c r="L636" s="45"/>
      <c r="M636" s="45"/>
      <c r="N636" s="45"/>
      <c r="O636" s="46"/>
      <c r="P636" s="8"/>
      <c r="Q636" s="12" t="s">
        <v>90</v>
      </c>
      <c r="R636" s="6"/>
      <c r="S636" s="6"/>
      <c r="T636" s="6"/>
      <c r="U636" s="6"/>
      <c r="V636" s="6"/>
    </row>
    <row r="637">
      <c r="A637" s="15">
        <v>46292.92619708333</v>
      </c>
      <c r="B637" s="8" t="str">
        <f t="shared" si="1"/>
        <v>222262</v>
      </c>
      <c r="C637" s="22" t="s">
        <v>389</v>
      </c>
      <c r="D637" s="22" t="s">
        <v>17</v>
      </c>
      <c r="E637" s="43">
        <v>0.0909</v>
      </c>
      <c r="F637" s="12" t="s">
        <v>18</v>
      </c>
      <c r="G637" s="12">
        <v>52.66</v>
      </c>
      <c r="H637" s="12">
        <v>44.3</v>
      </c>
      <c r="I637" s="12">
        <v>160.22</v>
      </c>
      <c r="J637" s="12">
        <v>160.41</v>
      </c>
      <c r="K637" s="12" t="s">
        <v>107</v>
      </c>
      <c r="L637" s="12">
        <v>52.75</v>
      </c>
      <c r="M637" s="12">
        <v>44.78</v>
      </c>
      <c r="N637" s="12">
        <v>161.02</v>
      </c>
      <c r="O637" s="12">
        <v>160.56</v>
      </c>
      <c r="P637" s="8"/>
      <c r="Q637" s="12" t="s">
        <v>90</v>
      </c>
      <c r="R637" s="6"/>
      <c r="S637" s="6"/>
      <c r="T637" s="6"/>
      <c r="U637" s="6"/>
      <c r="V637" s="6"/>
    </row>
    <row r="638">
      <c r="A638" s="15">
        <v>46292.92695405093</v>
      </c>
      <c r="B638" s="8" t="str">
        <f t="shared" si="1"/>
        <v>234796</v>
      </c>
      <c r="C638" s="23" t="s">
        <v>564</v>
      </c>
      <c r="D638" s="23" t="s">
        <v>17</v>
      </c>
      <c r="E638" s="42">
        <v>0.3333</v>
      </c>
      <c r="F638" s="12" t="s">
        <v>18</v>
      </c>
      <c r="G638" s="12">
        <v>50.39</v>
      </c>
      <c r="H638" s="12">
        <v>46.76</v>
      </c>
      <c r="I638" s="12">
        <v>158.06</v>
      </c>
      <c r="J638" s="12">
        <v>158.06</v>
      </c>
      <c r="K638" s="12" t="s">
        <v>107</v>
      </c>
      <c r="L638" s="12">
        <v>50.51</v>
      </c>
      <c r="M638" s="12">
        <v>46.89</v>
      </c>
      <c r="N638" s="12">
        <v>158.57</v>
      </c>
      <c r="O638" s="12">
        <v>158.58</v>
      </c>
      <c r="P638" s="8"/>
      <c r="Q638" s="12" t="s">
        <v>90</v>
      </c>
      <c r="R638" s="6"/>
      <c r="S638" s="6"/>
      <c r="T638" s="6"/>
      <c r="U638" s="6"/>
      <c r="V638" s="6"/>
    </row>
    <row r="639">
      <c r="A639" s="8"/>
      <c r="B639" s="8" t="str">
        <f t="shared" si="1"/>
        <v/>
      </c>
      <c r="C639" s="9"/>
      <c r="D639" s="9"/>
      <c r="E639" s="9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6"/>
      <c r="S639" s="6"/>
      <c r="T639" s="6"/>
      <c r="U639" s="6"/>
      <c r="V639" s="6"/>
    </row>
    <row r="640">
      <c r="A640" s="15">
        <v>46294.60761085648</v>
      </c>
      <c r="B640" s="8" t="str">
        <f t="shared" si="1"/>
        <v>241855</v>
      </c>
      <c r="C640" s="90" t="s">
        <v>565</v>
      </c>
      <c r="D640" s="10" t="s">
        <v>506</v>
      </c>
      <c r="E640" s="9"/>
      <c r="F640" s="12" t="s">
        <v>18</v>
      </c>
      <c r="G640" s="12">
        <v>53.24</v>
      </c>
      <c r="H640" s="12">
        <v>38.07</v>
      </c>
      <c r="I640" s="12">
        <v>149.94</v>
      </c>
      <c r="J640" s="12">
        <v>149.94</v>
      </c>
      <c r="K640" s="12" t="s">
        <v>19</v>
      </c>
      <c r="L640" s="12">
        <v>54.85</v>
      </c>
      <c r="M640" s="12">
        <v>40.83</v>
      </c>
      <c r="N640" s="12">
        <v>155.06</v>
      </c>
      <c r="O640" s="12">
        <v>155.06</v>
      </c>
      <c r="P640" s="12" t="s">
        <v>506</v>
      </c>
      <c r="Q640" s="12" t="s">
        <v>20</v>
      </c>
      <c r="R640" s="6"/>
      <c r="S640" s="6"/>
      <c r="T640" s="6"/>
      <c r="U640" s="6"/>
      <c r="V640" s="6"/>
    </row>
    <row r="641">
      <c r="A641" s="15">
        <v>46294.641354618056</v>
      </c>
      <c r="B641" s="8" t="str">
        <f t="shared" si="1"/>
        <v>150584</v>
      </c>
      <c r="C641" s="10" t="s">
        <v>566</v>
      </c>
      <c r="D641" s="10" t="s">
        <v>506</v>
      </c>
      <c r="E641" s="9"/>
      <c r="F641" s="12" t="s">
        <v>18</v>
      </c>
      <c r="G641" s="12">
        <v>55.45</v>
      </c>
      <c r="H641" s="12">
        <v>34.75</v>
      </c>
      <c r="I641" s="12">
        <v>155.63</v>
      </c>
      <c r="J641" s="12">
        <v>155.33</v>
      </c>
      <c r="K641" s="12" t="s">
        <v>19</v>
      </c>
      <c r="L641" s="12">
        <v>57.06</v>
      </c>
      <c r="M641" s="12">
        <v>36.59</v>
      </c>
      <c r="N641" s="12">
        <v>160.24</v>
      </c>
      <c r="O641" s="12">
        <v>160.24</v>
      </c>
      <c r="P641" s="12" t="s">
        <v>506</v>
      </c>
      <c r="Q641" s="12" t="s">
        <v>20</v>
      </c>
      <c r="R641" s="6"/>
      <c r="S641" s="6"/>
      <c r="T641" s="6"/>
      <c r="U641" s="6"/>
      <c r="V641" s="6"/>
    </row>
    <row r="642">
      <c r="A642" s="15">
        <v>46294.64896424768</v>
      </c>
      <c r="B642" s="8" t="str">
        <f t="shared" si="1"/>
        <v>210271</v>
      </c>
      <c r="C642" s="10" t="s">
        <v>567</v>
      </c>
      <c r="D642" s="10" t="s">
        <v>506</v>
      </c>
      <c r="E642" s="9"/>
      <c r="F642" s="12" t="s">
        <v>18</v>
      </c>
      <c r="G642" s="12">
        <v>49.71</v>
      </c>
      <c r="H642" s="12">
        <v>38.79</v>
      </c>
      <c r="I642" s="12">
        <v>144.8</v>
      </c>
      <c r="J642" s="12">
        <v>144.8</v>
      </c>
      <c r="K642" s="12" t="s">
        <v>19</v>
      </c>
      <c r="L642" s="12">
        <v>50.8</v>
      </c>
      <c r="M642" s="12">
        <v>40.22</v>
      </c>
      <c r="N642" s="12">
        <v>148.84</v>
      </c>
      <c r="O642" s="12">
        <v>148.84</v>
      </c>
      <c r="P642" s="12" t="s">
        <v>506</v>
      </c>
      <c r="Q642" s="12" t="s">
        <v>20</v>
      </c>
      <c r="R642" s="6"/>
      <c r="S642" s="6"/>
      <c r="T642" s="6"/>
      <c r="U642" s="6"/>
      <c r="V642" s="6"/>
    </row>
    <row r="643">
      <c r="A643" s="15">
        <v>46294.652773842594</v>
      </c>
      <c r="B643" s="8" t="str">
        <f t="shared" si="1"/>
        <v>237234</v>
      </c>
      <c r="C643" s="10" t="s">
        <v>568</v>
      </c>
      <c r="D643" s="10" t="s">
        <v>506</v>
      </c>
      <c r="E643" s="9"/>
      <c r="F643" s="12" t="s">
        <v>18</v>
      </c>
      <c r="G643" s="12">
        <v>50.58</v>
      </c>
      <c r="H643" s="12">
        <v>32.91</v>
      </c>
      <c r="I643" s="12">
        <v>142.22</v>
      </c>
      <c r="J643" s="12">
        <v>142.56</v>
      </c>
      <c r="K643" s="12" t="s">
        <v>19</v>
      </c>
      <c r="L643" s="12">
        <v>52.16</v>
      </c>
      <c r="M643" s="12">
        <v>35.96</v>
      </c>
      <c r="N643" s="12">
        <v>147.69</v>
      </c>
      <c r="O643" s="12">
        <v>147.69</v>
      </c>
      <c r="P643" s="12" t="s">
        <v>506</v>
      </c>
      <c r="Q643" s="12" t="s">
        <v>20</v>
      </c>
      <c r="R643" s="6"/>
      <c r="S643" s="6"/>
      <c r="T643" s="6"/>
      <c r="U643" s="6"/>
      <c r="V643" s="6"/>
    </row>
    <row r="644">
      <c r="A644" s="15">
        <v>46294.65505199074</v>
      </c>
      <c r="B644" s="8" t="str">
        <f t="shared" si="1"/>
        <v>134746</v>
      </c>
      <c r="C644" s="10" t="s">
        <v>569</v>
      </c>
      <c r="D644" s="10" t="s">
        <v>506</v>
      </c>
      <c r="E644" s="9"/>
      <c r="F644" s="12" t="s">
        <v>18</v>
      </c>
      <c r="G644" s="12">
        <v>54.93</v>
      </c>
      <c r="H644" s="12">
        <v>38.5</v>
      </c>
      <c r="I644" s="12">
        <v>159.11</v>
      </c>
      <c r="J644" s="12">
        <v>158.97</v>
      </c>
      <c r="K644" s="12" t="s">
        <v>19</v>
      </c>
      <c r="L644" s="12">
        <v>56.15</v>
      </c>
      <c r="M644" s="12">
        <v>39.72</v>
      </c>
      <c r="N644" s="12">
        <v>162.89</v>
      </c>
      <c r="O644" s="12">
        <v>162.89</v>
      </c>
      <c r="P644" s="12" t="s">
        <v>506</v>
      </c>
      <c r="Q644" s="12" t="s">
        <v>20</v>
      </c>
      <c r="R644" s="6"/>
      <c r="S644" s="6"/>
      <c r="T644" s="6"/>
      <c r="U644" s="6"/>
      <c r="V644" s="6"/>
    </row>
    <row r="645">
      <c r="A645" s="15">
        <v>46294.66019652778</v>
      </c>
      <c r="B645" s="8" t="str">
        <f t="shared" si="1"/>
        <v>229137</v>
      </c>
      <c r="C645" s="10">
        <v>229137.0</v>
      </c>
      <c r="D645" s="10" t="s">
        <v>506</v>
      </c>
      <c r="E645" s="9"/>
      <c r="F645" s="12" t="s">
        <v>18</v>
      </c>
      <c r="G645" s="12">
        <v>54.8</v>
      </c>
      <c r="H645" s="12">
        <v>40.13</v>
      </c>
      <c r="I645" s="12">
        <v>160.47</v>
      </c>
      <c r="J645" s="12">
        <v>160.47</v>
      </c>
      <c r="K645" s="12" t="s">
        <v>19</v>
      </c>
      <c r="L645" s="12">
        <v>56.26</v>
      </c>
      <c r="M645" s="12">
        <v>41.8</v>
      </c>
      <c r="N645" s="12">
        <v>165.75</v>
      </c>
      <c r="O645" s="12">
        <v>165.75</v>
      </c>
      <c r="P645" s="12" t="s">
        <v>506</v>
      </c>
      <c r="Q645" s="12" t="s">
        <v>20</v>
      </c>
      <c r="R645" s="6"/>
      <c r="S645" s="6"/>
      <c r="T645" s="6"/>
      <c r="U645" s="6"/>
      <c r="V645" s="6"/>
    </row>
    <row r="646">
      <c r="A646" s="15">
        <v>46294.672011180555</v>
      </c>
      <c r="B646" s="8" t="str">
        <f t="shared" si="1"/>
        <v>220577</v>
      </c>
      <c r="C646" s="10" t="s">
        <v>570</v>
      </c>
      <c r="D646" s="10" t="s">
        <v>506</v>
      </c>
      <c r="E646" s="9"/>
      <c r="F646" s="12" t="s">
        <v>18</v>
      </c>
      <c r="G646" s="12">
        <v>53.86</v>
      </c>
      <c r="H646" s="12">
        <v>39.17</v>
      </c>
      <c r="I646" s="12">
        <v>155.99</v>
      </c>
      <c r="J646" s="12">
        <v>155.99</v>
      </c>
      <c r="K646" s="12" t="s">
        <v>19</v>
      </c>
      <c r="L646" s="12">
        <v>55.48</v>
      </c>
      <c r="M646" s="12">
        <v>40.96</v>
      </c>
      <c r="N646" s="12">
        <v>160.71</v>
      </c>
      <c r="O646" s="12">
        <v>160.71</v>
      </c>
      <c r="P646" s="12" t="s">
        <v>506</v>
      </c>
      <c r="Q646" s="12" t="s">
        <v>20</v>
      </c>
      <c r="R646" s="6"/>
      <c r="S646" s="6"/>
      <c r="T646" s="6"/>
      <c r="U646" s="6"/>
      <c r="V646" s="6"/>
    </row>
    <row r="647">
      <c r="A647" s="15">
        <v>46294.6776721412</v>
      </c>
      <c r="B647" s="8" t="str">
        <f t="shared" si="1"/>
        <v>206728</v>
      </c>
      <c r="C647" s="10">
        <v>206728.0</v>
      </c>
      <c r="D647" s="10" t="s">
        <v>506</v>
      </c>
      <c r="E647" s="9"/>
      <c r="F647" s="12" t="s">
        <v>18</v>
      </c>
      <c r="G647" s="12">
        <v>51.09</v>
      </c>
      <c r="H647" s="12">
        <v>34.43</v>
      </c>
      <c r="I647" s="12">
        <v>146.39</v>
      </c>
      <c r="J647" s="12">
        <v>146.39</v>
      </c>
      <c r="K647" s="12" t="s">
        <v>19</v>
      </c>
      <c r="L647" s="12">
        <v>52.11</v>
      </c>
      <c r="M647" s="12">
        <v>36.2</v>
      </c>
      <c r="N647" s="12">
        <v>150.84</v>
      </c>
      <c r="O647" s="12">
        <v>150.84</v>
      </c>
      <c r="P647" s="12" t="s">
        <v>506</v>
      </c>
      <c r="Q647" s="12" t="s">
        <v>20</v>
      </c>
      <c r="R647" s="6"/>
      <c r="S647" s="6"/>
      <c r="T647" s="6"/>
      <c r="U647" s="6"/>
      <c r="V647" s="6"/>
    </row>
    <row r="648">
      <c r="A648" s="8"/>
      <c r="B648" s="8" t="str">
        <f t="shared" si="1"/>
        <v>149080</v>
      </c>
      <c r="C648" s="10" t="s">
        <v>571</v>
      </c>
      <c r="D648" s="10" t="s">
        <v>506</v>
      </c>
      <c r="E648" s="9"/>
      <c r="F648" s="12" t="s">
        <v>18</v>
      </c>
      <c r="G648" s="12">
        <v>50.62</v>
      </c>
      <c r="H648" s="12">
        <v>39.4</v>
      </c>
      <c r="I648" s="12">
        <v>148.88</v>
      </c>
      <c r="J648" s="12">
        <v>148.88</v>
      </c>
      <c r="K648" s="12" t="s">
        <v>19</v>
      </c>
      <c r="L648" s="12">
        <v>51.97</v>
      </c>
      <c r="M648" s="12">
        <v>41.29</v>
      </c>
      <c r="N648" s="12">
        <v>153.69</v>
      </c>
      <c r="O648" s="12">
        <v>153.69</v>
      </c>
      <c r="P648" s="12" t="s">
        <v>506</v>
      </c>
      <c r="Q648" s="12" t="s">
        <v>20</v>
      </c>
      <c r="R648" s="6"/>
      <c r="S648" s="6"/>
      <c r="T648" s="6"/>
      <c r="U648" s="6"/>
      <c r="V648" s="6"/>
    </row>
    <row r="649">
      <c r="A649" s="15">
        <v>46294.764812152775</v>
      </c>
      <c r="B649" s="8" t="str">
        <f t="shared" si="1"/>
        <v>243673</v>
      </c>
      <c r="C649" s="10" t="s">
        <v>289</v>
      </c>
      <c r="D649" s="10" t="s">
        <v>506</v>
      </c>
      <c r="E649" s="9"/>
      <c r="F649" s="12" t="s">
        <v>18</v>
      </c>
      <c r="G649" s="12">
        <v>55.77</v>
      </c>
      <c r="H649" s="12">
        <v>37.49</v>
      </c>
      <c r="I649" s="12">
        <v>158.93</v>
      </c>
      <c r="J649" s="12">
        <v>158.93</v>
      </c>
      <c r="K649" s="12" t="s">
        <v>19</v>
      </c>
      <c r="L649" s="12">
        <v>57.11</v>
      </c>
      <c r="M649" s="12">
        <v>39.11</v>
      </c>
      <c r="N649" s="12">
        <v>163.1</v>
      </c>
      <c r="O649" s="12">
        <v>163.1</v>
      </c>
      <c r="P649" s="12" t="s">
        <v>506</v>
      </c>
      <c r="Q649" s="12" t="s">
        <v>20</v>
      </c>
      <c r="R649" s="6"/>
      <c r="S649" s="6"/>
      <c r="T649" s="6"/>
      <c r="U649" s="6"/>
      <c r="V649" s="6"/>
    </row>
    <row r="650">
      <c r="A650" s="15">
        <v>46294.77654640046</v>
      </c>
      <c r="B650" s="8" t="str">
        <f t="shared" si="1"/>
        <v>150636</v>
      </c>
      <c r="C650" s="10" t="s">
        <v>572</v>
      </c>
      <c r="D650" s="10" t="s">
        <v>506</v>
      </c>
      <c r="E650" s="9"/>
      <c r="F650" s="12" t="s">
        <v>18</v>
      </c>
      <c r="G650" s="12">
        <v>53.58</v>
      </c>
      <c r="H650" s="12">
        <v>36.19</v>
      </c>
      <c r="I650" s="12">
        <v>151.92</v>
      </c>
      <c r="J650" s="12">
        <v>152.05</v>
      </c>
      <c r="K650" s="12" t="s">
        <v>19</v>
      </c>
      <c r="L650" s="12">
        <v>55.34</v>
      </c>
      <c r="M650" s="12">
        <v>38.06</v>
      </c>
      <c r="N650" s="12">
        <v>156.67</v>
      </c>
      <c r="O650" s="12">
        <v>156.67</v>
      </c>
      <c r="P650" s="12" t="s">
        <v>506</v>
      </c>
      <c r="Q650" s="12" t="s">
        <v>20</v>
      </c>
      <c r="R650" s="6"/>
      <c r="S650" s="6"/>
      <c r="T650" s="6"/>
      <c r="U650" s="6"/>
      <c r="V650" s="6"/>
    </row>
    <row r="651">
      <c r="A651" s="15">
        <v>46294.84299924769</v>
      </c>
      <c r="B651" s="8" t="str">
        <f t="shared" si="1"/>
        <v>151701</v>
      </c>
      <c r="C651" s="91">
        <v>151701.0</v>
      </c>
      <c r="D651" s="10" t="s">
        <v>506</v>
      </c>
      <c r="E651" s="92"/>
      <c r="F651" s="12" t="s">
        <v>18</v>
      </c>
      <c r="G651" s="12">
        <v>53.26</v>
      </c>
      <c r="H651" s="12">
        <v>40.04</v>
      </c>
      <c r="I651" s="12">
        <v>156.88</v>
      </c>
      <c r="J651" s="12">
        <v>157.0</v>
      </c>
      <c r="K651" s="12" t="s">
        <v>19</v>
      </c>
      <c r="L651" s="12">
        <v>54.74</v>
      </c>
      <c r="M651" s="12">
        <v>41.28</v>
      </c>
      <c r="N651" s="12">
        <v>161.0</v>
      </c>
      <c r="O651" s="12">
        <v>161.0</v>
      </c>
      <c r="P651" s="12" t="s">
        <v>506</v>
      </c>
      <c r="Q651" s="12" t="s">
        <v>20</v>
      </c>
      <c r="R651" s="6"/>
      <c r="S651" s="6"/>
      <c r="T651" s="6"/>
      <c r="U651" s="6"/>
      <c r="V651" s="6"/>
    </row>
    <row r="652">
      <c r="A652" s="15">
        <v>46294.84521313658</v>
      </c>
      <c r="B652" s="8" t="str">
        <f t="shared" si="1"/>
        <v>225339</v>
      </c>
      <c r="C652" s="93" t="s">
        <v>503</v>
      </c>
      <c r="D652" s="93" t="s">
        <v>32</v>
      </c>
      <c r="E652" s="94">
        <v>0.1667</v>
      </c>
      <c r="F652" s="8"/>
      <c r="G652" s="12">
        <v>56.1</v>
      </c>
      <c r="H652" s="12">
        <v>40.87</v>
      </c>
      <c r="I652" s="12">
        <v>155.22</v>
      </c>
      <c r="J652" s="12">
        <v>155.63</v>
      </c>
      <c r="K652" s="8"/>
      <c r="L652" s="8"/>
      <c r="M652" s="8"/>
      <c r="N652" s="12"/>
      <c r="O652" s="8"/>
      <c r="P652" s="8"/>
      <c r="Q652" s="8"/>
      <c r="R652" s="6"/>
      <c r="S652" s="6"/>
      <c r="T652" s="6"/>
      <c r="U652" s="6"/>
      <c r="V652" s="6"/>
    </row>
    <row r="653">
      <c r="A653" s="15">
        <v>46294.846230034724</v>
      </c>
      <c r="B653" s="8" t="str">
        <f t="shared" si="1"/>
        <v>137971</v>
      </c>
      <c r="C653" s="95" t="s">
        <v>111</v>
      </c>
      <c r="D653" s="95" t="s">
        <v>32</v>
      </c>
      <c r="E653" s="96">
        <v>0.2308</v>
      </c>
      <c r="F653" s="12" t="s">
        <v>18</v>
      </c>
      <c r="G653" s="12">
        <v>52.39</v>
      </c>
      <c r="H653" s="12">
        <v>43.8</v>
      </c>
      <c r="I653" s="12">
        <v>157.0</v>
      </c>
      <c r="J653" s="12">
        <v>157.09</v>
      </c>
      <c r="K653" s="12" t="s">
        <v>107</v>
      </c>
      <c r="L653" s="12">
        <v>52.19</v>
      </c>
      <c r="M653" s="12">
        <v>43.6</v>
      </c>
      <c r="N653" s="12">
        <v>156.38</v>
      </c>
      <c r="O653" s="12">
        <v>156.45</v>
      </c>
      <c r="P653" s="8"/>
      <c r="Q653" s="12" t="s">
        <v>20</v>
      </c>
      <c r="R653" s="6"/>
      <c r="S653" s="6"/>
      <c r="T653" s="6"/>
      <c r="U653" s="6"/>
      <c r="V653" s="6"/>
    </row>
    <row r="654">
      <c r="A654" s="15">
        <v>46294.84909131944</v>
      </c>
      <c r="B654" s="8" t="str">
        <f t="shared" si="1"/>
        <v>207370</v>
      </c>
      <c r="C654" s="97" t="s">
        <v>573</v>
      </c>
      <c r="D654" s="97" t="s">
        <v>32</v>
      </c>
      <c r="E654" s="98">
        <v>0.12</v>
      </c>
      <c r="F654" s="12" t="s">
        <v>18</v>
      </c>
      <c r="G654" s="12">
        <v>51.85</v>
      </c>
      <c r="H654" s="12">
        <v>43.38</v>
      </c>
      <c r="I654" s="12">
        <v>157.45</v>
      </c>
      <c r="J654" s="12">
        <v>158.55</v>
      </c>
      <c r="K654" s="12" t="s">
        <v>107</v>
      </c>
      <c r="L654" s="12">
        <v>51.64</v>
      </c>
      <c r="M654" s="12">
        <v>43.18</v>
      </c>
      <c r="N654" s="12">
        <v>156.65</v>
      </c>
      <c r="O654" s="12">
        <v>157.17</v>
      </c>
      <c r="P654" s="8"/>
      <c r="Q654" s="12" t="s">
        <v>20</v>
      </c>
      <c r="R654" s="6"/>
      <c r="S654" s="6"/>
      <c r="T654" s="6"/>
      <c r="U654" s="6"/>
      <c r="V654" s="6"/>
    </row>
    <row r="655">
      <c r="A655" s="15">
        <v>46294.85040927083</v>
      </c>
      <c r="B655" s="8" t="str">
        <f t="shared" si="1"/>
        <v>241100</v>
      </c>
      <c r="C655" s="95" t="s">
        <v>574</v>
      </c>
      <c r="D655" s="95" t="s">
        <v>32</v>
      </c>
      <c r="E655" s="96">
        <v>0.0588</v>
      </c>
      <c r="F655" s="12" t="s">
        <v>18</v>
      </c>
      <c r="G655" s="12">
        <v>54.07</v>
      </c>
      <c r="H655" s="12">
        <v>42.34</v>
      </c>
      <c r="I655" s="12">
        <v>160.07</v>
      </c>
      <c r="J655" s="12">
        <v>160.34</v>
      </c>
      <c r="K655" s="12" t="s">
        <v>107</v>
      </c>
      <c r="L655" s="12">
        <v>53.9</v>
      </c>
      <c r="M655" s="12">
        <v>42.14</v>
      </c>
      <c r="N655" s="12">
        <v>159.5</v>
      </c>
      <c r="O655" s="12">
        <v>159.65</v>
      </c>
      <c r="P655" s="8"/>
      <c r="Q655" s="12" t="s">
        <v>20</v>
      </c>
      <c r="R655" s="6"/>
      <c r="S655" s="6"/>
      <c r="T655" s="6"/>
      <c r="U655" s="6"/>
      <c r="V655" s="6"/>
    </row>
    <row r="656">
      <c r="A656" s="15">
        <v>46294.86662561343</v>
      </c>
      <c r="B656" s="8" t="str">
        <f t="shared" si="1"/>
        <v>221172</v>
      </c>
      <c r="C656" s="97" t="s">
        <v>575</v>
      </c>
      <c r="D656" s="97" t="s">
        <v>382</v>
      </c>
      <c r="E656" s="98">
        <v>0.0544</v>
      </c>
      <c r="F656" s="12" t="s">
        <v>18</v>
      </c>
      <c r="G656" s="12">
        <v>52.65</v>
      </c>
      <c r="H656" s="12">
        <v>38.04</v>
      </c>
      <c r="I656" s="12">
        <v>151.73</v>
      </c>
      <c r="J656" s="12">
        <v>151.7</v>
      </c>
      <c r="K656" s="12" t="s">
        <v>107</v>
      </c>
      <c r="L656" s="12">
        <v>52.54</v>
      </c>
      <c r="M656" s="12">
        <v>37.95</v>
      </c>
      <c r="N656" s="12">
        <v>151.42</v>
      </c>
      <c r="O656" s="12">
        <v>151.34</v>
      </c>
      <c r="P656" s="8"/>
      <c r="Q656" s="12" t="s">
        <v>20</v>
      </c>
      <c r="R656" s="6"/>
      <c r="S656" s="6"/>
      <c r="T656" s="6"/>
      <c r="U656" s="6"/>
      <c r="V656" s="6"/>
    </row>
    <row r="657">
      <c r="A657" s="15">
        <v>46294.0</v>
      </c>
      <c r="B657" s="8" t="str">
        <f t="shared" si="1"/>
        <v>207671</v>
      </c>
      <c r="C657" s="95" t="s">
        <v>486</v>
      </c>
      <c r="D657" s="95" t="s">
        <v>382</v>
      </c>
      <c r="E657" s="96">
        <v>0.0882</v>
      </c>
      <c r="F657" s="12" t="s">
        <v>18</v>
      </c>
      <c r="G657" s="12">
        <v>52.15</v>
      </c>
      <c r="H657" s="12">
        <v>44.31</v>
      </c>
      <c r="I657" s="12">
        <v>157.63</v>
      </c>
      <c r="J657" s="12">
        <v>157.63</v>
      </c>
      <c r="K657" s="12" t="s">
        <v>107</v>
      </c>
      <c r="L657" s="12">
        <v>52.04</v>
      </c>
      <c r="M657" s="12">
        <v>44.21</v>
      </c>
      <c r="N657" s="12">
        <v>157.32</v>
      </c>
      <c r="O657" s="12">
        <v>156.83</v>
      </c>
      <c r="P657" s="8"/>
      <c r="Q657" s="12" t="s">
        <v>20</v>
      </c>
      <c r="R657" s="6"/>
      <c r="S657" s="6"/>
      <c r="T657" s="6"/>
      <c r="U657" s="6"/>
      <c r="V657" s="6"/>
    </row>
    <row r="658">
      <c r="A658" s="15">
        <v>46294.0</v>
      </c>
      <c r="B658" s="8" t="str">
        <f t="shared" si="1"/>
        <v>241100</v>
      </c>
      <c r="C658" s="97" t="s">
        <v>576</v>
      </c>
      <c r="D658" s="97" t="s">
        <v>382</v>
      </c>
      <c r="E658" s="98">
        <v>0.1481</v>
      </c>
      <c r="F658" s="12" t="s">
        <v>18</v>
      </c>
      <c r="G658" s="12">
        <v>53.68</v>
      </c>
      <c r="H658" s="12">
        <v>42.35</v>
      </c>
      <c r="I658" s="12">
        <v>160.02</v>
      </c>
      <c r="J658" s="12">
        <v>160.5</v>
      </c>
      <c r="K658" s="12" t="s">
        <v>107</v>
      </c>
      <c r="L658" s="12">
        <v>53.58</v>
      </c>
      <c r="M658" s="12">
        <v>42.25</v>
      </c>
      <c r="N658" s="12">
        <v>159.61</v>
      </c>
      <c r="O658" s="12">
        <v>159.69</v>
      </c>
      <c r="P658" s="8"/>
      <c r="Q658" s="12" t="s">
        <v>20</v>
      </c>
      <c r="R658" s="6"/>
      <c r="S658" s="6"/>
      <c r="T658" s="6"/>
      <c r="U658" s="6"/>
      <c r="V658" s="6"/>
    </row>
    <row r="659">
      <c r="A659" s="15">
        <v>46294.0</v>
      </c>
      <c r="B659" s="8" t="str">
        <f t="shared" si="1"/>
        <v>225336</v>
      </c>
      <c r="C659" s="93" t="s">
        <v>441</v>
      </c>
      <c r="D659" s="93" t="s">
        <v>17</v>
      </c>
      <c r="E659" s="94">
        <v>0.3467</v>
      </c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6"/>
      <c r="S659" s="6"/>
      <c r="T659" s="6"/>
      <c r="U659" s="6"/>
      <c r="V659" s="6"/>
    </row>
    <row r="660">
      <c r="A660" s="15">
        <v>46294.0</v>
      </c>
      <c r="B660" s="8" t="str">
        <f t="shared" si="1"/>
        <v>243276</v>
      </c>
      <c r="C660" s="97" t="s">
        <v>577</v>
      </c>
      <c r="D660" s="97" t="s">
        <v>17</v>
      </c>
      <c r="E660" s="98">
        <v>0.2581</v>
      </c>
      <c r="F660" s="12" t="s">
        <v>18</v>
      </c>
      <c r="G660" s="12">
        <v>55.2</v>
      </c>
      <c r="H660" s="12">
        <v>42.13</v>
      </c>
      <c r="I660" s="12">
        <v>162.47</v>
      </c>
      <c r="J660" s="12">
        <v>162.63</v>
      </c>
      <c r="K660" s="12" t="s">
        <v>107</v>
      </c>
      <c r="L660" s="99">
        <v>55.39</v>
      </c>
      <c r="M660" s="12">
        <v>42.45</v>
      </c>
      <c r="N660" s="12">
        <v>163.32</v>
      </c>
      <c r="O660" s="12">
        <v>163.07</v>
      </c>
      <c r="P660" s="8"/>
      <c r="Q660" s="12" t="s">
        <v>20</v>
      </c>
      <c r="R660" s="6"/>
      <c r="S660" s="6"/>
      <c r="T660" s="6"/>
      <c r="U660" s="6"/>
      <c r="V660" s="6"/>
    </row>
    <row r="661">
      <c r="A661" s="15">
        <v>46294.0</v>
      </c>
      <c r="B661" s="8" t="str">
        <f t="shared" si="1"/>
        <v>246230</v>
      </c>
      <c r="C661" s="95" t="s">
        <v>578</v>
      </c>
      <c r="D661" s="95" t="s">
        <v>17</v>
      </c>
      <c r="E661" s="96">
        <v>0.1273</v>
      </c>
      <c r="F661" s="12" t="s">
        <v>18</v>
      </c>
      <c r="G661" s="12">
        <v>51.33</v>
      </c>
      <c r="H661" s="12">
        <v>39.15</v>
      </c>
      <c r="I661" s="12">
        <v>151.07</v>
      </c>
      <c r="J661" s="12">
        <v>151.16</v>
      </c>
      <c r="K661" s="12" t="s">
        <v>107</v>
      </c>
      <c r="L661" s="12">
        <v>51.53</v>
      </c>
      <c r="M661" s="12">
        <v>39.35</v>
      </c>
      <c r="N661" s="12">
        <v>151.73</v>
      </c>
      <c r="O661" s="12">
        <v>151.93</v>
      </c>
      <c r="P661" s="8"/>
      <c r="Q661" s="12" t="s">
        <v>20</v>
      </c>
      <c r="R661" s="6"/>
      <c r="S661" s="6"/>
      <c r="T661" s="6"/>
      <c r="U661" s="6"/>
      <c r="V661" s="6"/>
    </row>
    <row r="662">
      <c r="A662" s="15">
        <v>46294.0</v>
      </c>
      <c r="B662" s="8" t="str">
        <f t="shared" si="1"/>
        <v>239999</v>
      </c>
      <c r="C662" s="100" t="s">
        <v>426</v>
      </c>
      <c r="D662" s="100" t="s">
        <v>17</v>
      </c>
      <c r="E662" s="101">
        <v>0.3</v>
      </c>
      <c r="F662" s="12" t="s">
        <v>35</v>
      </c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6"/>
      <c r="S662" s="6"/>
      <c r="T662" s="6"/>
      <c r="U662" s="6"/>
      <c r="V662" s="6"/>
    </row>
    <row r="663">
      <c r="A663" s="15">
        <v>46294.0</v>
      </c>
      <c r="B663" s="8" t="str">
        <f t="shared" si="1"/>
        <v>137971</v>
      </c>
      <c r="C663" s="95" t="s">
        <v>579</v>
      </c>
      <c r="D663" s="95" t="s">
        <v>17</v>
      </c>
      <c r="E663" s="96">
        <v>0.0698</v>
      </c>
      <c r="F663" s="12" t="s">
        <v>18</v>
      </c>
      <c r="G663" s="12">
        <v>52.83</v>
      </c>
      <c r="H663" s="12">
        <v>43.9</v>
      </c>
      <c r="I663" s="12">
        <v>158.52</v>
      </c>
      <c r="J663" s="12">
        <v>158.18</v>
      </c>
      <c r="K663" s="12" t="s">
        <v>107</v>
      </c>
      <c r="L663" s="12">
        <v>53.1</v>
      </c>
      <c r="M663" s="12">
        <v>44.1</v>
      </c>
      <c r="N663" s="12">
        <v>159.33</v>
      </c>
      <c r="O663" s="12">
        <v>158.85</v>
      </c>
      <c r="P663" s="8"/>
      <c r="Q663" s="12" t="s">
        <v>20</v>
      </c>
      <c r="R663" s="6"/>
      <c r="S663" s="6"/>
      <c r="T663" s="6"/>
      <c r="U663" s="6"/>
      <c r="V663" s="6"/>
    </row>
    <row r="664">
      <c r="A664" s="15">
        <v>46294.0</v>
      </c>
      <c r="B664" s="8" t="str">
        <f t="shared" si="1"/>
        <v>241099</v>
      </c>
      <c r="C664" s="97" t="s">
        <v>580</v>
      </c>
      <c r="D664" s="97" t="s">
        <v>17</v>
      </c>
      <c r="E664" s="98">
        <v>0.375</v>
      </c>
      <c r="F664" s="12" t="s">
        <v>18</v>
      </c>
      <c r="G664" s="12">
        <v>53.7</v>
      </c>
      <c r="H664" s="12">
        <v>42.33</v>
      </c>
      <c r="I664" s="12">
        <v>159.83</v>
      </c>
      <c r="J664" s="12">
        <v>159.9</v>
      </c>
      <c r="K664" s="12" t="s">
        <v>107</v>
      </c>
      <c r="L664" s="12">
        <v>53.9</v>
      </c>
      <c r="M664" s="12">
        <v>42.56</v>
      </c>
      <c r="N664" s="12">
        <v>160.58</v>
      </c>
      <c r="O664" s="12">
        <v>160.78</v>
      </c>
      <c r="P664" s="8"/>
      <c r="Q664" s="12" t="s">
        <v>20</v>
      </c>
      <c r="R664" s="6"/>
      <c r="S664" s="6"/>
      <c r="T664" s="6"/>
      <c r="U664" s="6"/>
      <c r="V664" s="6"/>
    </row>
    <row r="665">
      <c r="A665" s="15">
        <v>46294.0</v>
      </c>
      <c r="B665" s="8" t="str">
        <f t="shared" si="1"/>
        <v>242813</v>
      </c>
      <c r="C665" s="95" t="s">
        <v>581</v>
      </c>
      <c r="D665" s="95" t="s">
        <v>17</v>
      </c>
      <c r="E665" s="96">
        <v>0.1176</v>
      </c>
      <c r="F665" s="12" t="s">
        <v>18</v>
      </c>
      <c r="G665" s="12">
        <v>45.07</v>
      </c>
      <c r="H665" s="12">
        <v>36.2</v>
      </c>
      <c r="I665" s="12">
        <v>131.66</v>
      </c>
      <c r="J665" s="12">
        <v>131.61</v>
      </c>
      <c r="K665" s="12" t="s">
        <v>107</v>
      </c>
      <c r="L665" s="12">
        <v>45.31</v>
      </c>
      <c r="M665" s="12">
        <v>36.4</v>
      </c>
      <c r="N665" s="12">
        <v>132.31</v>
      </c>
      <c r="O665" s="12">
        <v>132.38</v>
      </c>
      <c r="P665" s="8"/>
      <c r="Q665" s="12" t="s">
        <v>20</v>
      </c>
      <c r="R665" s="6"/>
      <c r="S665" s="6"/>
      <c r="T665" s="6"/>
      <c r="U665" s="6"/>
      <c r="V665" s="6"/>
    </row>
    <row r="666">
      <c r="A666" s="15">
        <v>46294.0</v>
      </c>
      <c r="B666" s="8" t="str">
        <f t="shared" si="1"/>
        <v>239999</v>
      </c>
      <c r="C666" s="100" t="s">
        <v>582</v>
      </c>
      <c r="D666" s="100" t="s">
        <v>323</v>
      </c>
      <c r="E666" s="101">
        <v>0.0909</v>
      </c>
      <c r="F666" s="12" t="s">
        <v>35</v>
      </c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6"/>
      <c r="S666" s="6"/>
      <c r="T666" s="6"/>
      <c r="U666" s="6"/>
      <c r="V666" s="6"/>
    </row>
    <row r="667">
      <c r="A667" s="15">
        <v>46296.0</v>
      </c>
      <c r="B667" s="8" t="str">
        <f t="shared" si="1"/>
        <v>243276</v>
      </c>
      <c r="C667" s="97" t="s">
        <v>577</v>
      </c>
      <c r="D667" s="97" t="s">
        <v>17</v>
      </c>
      <c r="E667" s="98">
        <v>0.2581</v>
      </c>
      <c r="F667" s="12" t="s">
        <v>18</v>
      </c>
      <c r="G667" s="102">
        <v>55.39</v>
      </c>
      <c r="H667" s="12">
        <v>42.45</v>
      </c>
      <c r="I667" s="12">
        <v>163.32</v>
      </c>
      <c r="J667" s="12">
        <v>163.07</v>
      </c>
      <c r="K667" s="12" t="s">
        <v>19</v>
      </c>
      <c r="L667" s="12">
        <v>55.68</v>
      </c>
      <c r="M667" s="12">
        <v>42.45</v>
      </c>
      <c r="N667" s="12">
        <v>164.06</v>
      </c>
      <c r="O667" s="12">
        <v>163.91</v>
      </c>
      <c r="P667" s="8"/>
      <c r="Q667" s="12" t="s">
        <v>90</v>
      </c>
      <c r="R667" s="6"/>
      <c r="S667" s="6"/>
      <c r="T667" s="6"/>
      <c r="U667" s="6"/>
      <c r="V667" s="6"/>
    </row>
    <row r="668">
      <c r="A668" s="15">
        <v>46296.77200201389</v>
      </c>
      <c r="B668" s="8" t="str">
        <f t="shared" si="1"/>
        <v>246819</v>
      </c>
      <c r="C668" s="23" t="s">
        <v>583</v>
      </c>
      <c r="D668" s="23" t="s">
        <v>17</v>
      </c>
      <c r="E668" s="42">
        <v>0.25</v>
      </c>
      <c r="F668" s="12" t="s">
        <v>18</v>
      </c>
      <c r="G668" s="12">
        <v>48.17</v>
      </c>
      <c r="H668" s="12">
        <v>36.61</v>
      </c>
      <c r="I668" s="12">
        <v>142.03</v>
      </c>
      <c r="J668" s="12">
        <v>142.03</v>
      </c>
      <c r="K668" s="12" t="s">
        <v>107</v>
      </c>
      <c r="L668" s="12">
        <v>48.6</v>
      </c>
      <c r="M668" s="12">
        <v>36.82</v>
      </c>
      <c r="N668" s="12">
        <v>142.98</v>
      </c>
      <c r="O668" s="12">
        <v>142.98</v>
      </c>
      <c r="P668" s="8"/>
      <c r="Q668" s="12" t="s">
        <v>20</v>
      </c>
      <c r="R668" s="6"/>
      <c r="S668" s="6"/>
      <c r="T668" s="6"/>
      <c r="U668" s="6"/>
      <c r="V668" s="6"/>
    </row>
    <row r="669">
      <c r="A669" s="15">
        <v>46296.77407024306</v>
      </c>
      <c r="B669" s="8" t="str">
        <f t="shared" si="1"/>
        <v>241117</v>
      </c>
      <c r="C669" s="22" t="s">
        <v>584</v>
      </c>
      <c r="D669" s="22" t="s">
        <v>32</v>
      </c>
      <c r="E669" s="43">
        <v>0.2222</v>
      </c>
      <c r="F669" s="12" t="s">
        <v>18</v>
      </c>
      <c r="G669" s="12">
        <v>54.54</v>
      </c>
      <c r="H669" s="12">
        <v>36.07</v>
      </c>
      <c r="I669" s="12">
        <v>154.62</v>
      </c>
      <c r="J669" s="12">
        <v>154.62</v>
      </c>
      <c r="K669" s="12" t="s">
        <v>107</v>
      </c>
      <c r="L669" s="12">
        <v>54.34</v>
      </c>
      <c r="M669" s="12">
        <v>35.8</v>
      </c>
      <c r="N669" s="12">
        <v>153.56</v>
      </c>
      <c r="O669" s="12">
        <v>153.57</v>
      </c>
      <c r="P669" s="8"/>
      <c r="Q669" s="12" t="s">
        <v>20</v>
      </c>
      <c r="R669" s="6"/>
      <c r="S669" s="6"/>
      <c r="T669" s="6"/>
      <c r="U669" s="6"/>
      <c r="V669" s="6"/>
    </row>
    <row r="670">
      <c r="A670" s="15">
        <v>46296.77675726852</v>
      </c>
      <c r="B670" s="8" t="str">
        <f t="shared" si="1"/>
        <v>241119</v>
      </c>
      <c r="C670" s="23" t="s">
        <v>585</v>
      </c>
      <c r="D670" s="23" t="s">
        <v>32</v>
      </c>
      <c r="E670" s="42">
        <v>0.0976</v>
      </c>
      <c r="F670" s="12" t="s">
        <v>18</v>
      </c>
      <c r="G670" s="12">
        <v>56.04</v>
      </c>
      <c r="H670" s="12">
        <v>38.84</v>
      </c>
      <c r="I670" s="12">
        <v>164.21</v>
      </c>
      <c r="J670" s="12">
        <v>164.45</v>
      </c>
      <c r="K670" s="12" t="s">
        <v>107</v>
      </c>
      <c r="L670" s="12">
        <v>55.79</v>
      </c>
      <c r="M670" s="12">
        <v>38.64</v>
      </c>
      <c r="N670" s="12">
        <v>162.54</v>
      </c>
      <c r="O670" s="12">
        <v>162.16</v>
      </c>
      <c r="P670" s="8"/>
      <c r="Q670" s="12" t="s">
        <v>20</v>
      </c>
      <c r="R670" s="6"/>
      <c r="S670" s="6"/>
      <c r="T670" s="6"/>
      <c r="U670" s="6"/>
      <c r="V670" s="6"/>
    </row>
    <row r="671">
      <c r="A671" s="15">
        <v>46296.0</v>
      </c>
      <c r="B671" s="8" t="str">
        <f t="shared" si="1"/>
        <v>241075</v>
      </c>
      <c r="C671" s="22" t="s">
        <v>586</v>
      </c>
      <c r="D671" s="22" t="s">
        <v>382</v>
      </c>
      <c r="E671" s="43">
        <v>0.1538</v>
      </c>
      <c r="F671" s="12" t="s">
        <v>18</v>
      </c>
      <c r="G671" s="103">
        <v>58.21</v>
      </c>
      <c r="H671" s="12">
        <v>42.57</v>
      </c>
      <c r="I671" s="12">
        <v>171.95</v>
      </c>
      <c r="J671" s="12">
        <v>171.73</v>
      </c>
      <c r="K671" s="12" t="s">
        <v>107</v>
      </c>
      <c r="L671" s="103">
        <v>58.0</v>
      </c>
      <c r="M671" s="12">
        <v>42.37</v>
      </c>
      <c r="N671" s="12">
        <v>171.27</v>
      </c>
      <c r="O671" s="12">
        <v>170.95</v>
      </c>
      <c r="P671" s="8"/>
      <c r="Q671" s="12" t="s">
        <v>20</v>
      </c>
      <c r="R671" s="6"/>
      <c r="S671" s="6"/>
      <c r="T671" s="6"/>
      <c r="U671" s="6"/>
      <c r="V671" s="6"/>
    </row>
    <row r="672">
      <c r="A672" s="15">
        <v>46296.0</v>
      </c>
      <c r="B672" s="8" t="str">
        <f t="shared" si="1"/>
        <v>240000</v>
      </c>
      <c r="C672" s="55" t="s">
        <v>354</v>
      </c>
      <c r="D672" s="55" t="s">
        <v>124</v>
      </c>
      <c r="E672" s="104">
        <v>0.4</v>
      </c>
      <c r="F672" s="12" t="s">
        <v>35</v>
      </c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6"/>
      <c r="S672" s="6"/>
      <c r="T672" s="6"/>
      <c r="U672" s="6"/>
      <c r="V672" s="6"/>
    </row>
    <row r="673">
      <c r="A673" s="15">
        <v>46296.0</v>
      </c>
      <c r="B673" s="8" t="str">
        <f t="shared" si="1"/>
        <v>245914</v>
      </c>
      <c r="C673" s="22" t="s">
        <v>329</v>
      </c>
      <c r="D673" s="22" t="s">
        <v>124</v>
      </c>
      <c r="E673" s="43">
        <v>0.0952</v>
      </c>
      <c r="F673" s="12" t="s">
        <v>18</v>
      </c>
      <c r="G673" s="12">
        <v>51.62</v>
      </c>
      <c r="H673" s="12">
        <v>37.22</v>
      </c>
      <c r="I673" s="12">
        <v>150.45</v>
      </c>
      <c r="J673" s="12">
        <v>150.39</v>
      </c>
      <c r="K673" s="12" t="s">
        <v>107</v>
      </c>
      <c r="L673" s="12">
        <v>51.51</v>
      </c>
      <c r="M673" s="12">
        <v>37.12</v>
      </c>
      <c r="N673" s="12">
        <v>150.12</v>
      </c>
      <c r="O673" s="12">
        <v>149.77</v>
      </c>
      <c r="P673" s="8"/>
      <c r="Q673" s="12" t="s">
        <v>20</v>
      </c>
      <c r="R673" s="6"/>
      <c r="S673" s="6"/>
      <c r="T673" s="6"/>
      <c r="U673" s="6"/>
      <c r="V673" s="6"/>
    </row>
    <row r="674">
      <c r="A674" s="15">
        <v>46296.0</v>
      </c>
      <c r="B674" s="8" t="str">
        <f t="shared" si="1"/>
        <v>211318</v>
      </c>
      <c r="C674" s="23" t="s">
        <v>587</v>
      </c>
      <c r="D674" s="23" t="s">
        <v>124</v>
      </c>
      <c r="E674" s="42">
        <v>0.0545</v>
      </c>
      <c r="F674" s="12" t="s">
        <v>18</v>
      </c>
      <c r="G674" s="12">
        <v>49.1</v>
      </c>
      <c r="H674" s="12">
        <v>41.23</v>
      </c>
      <c r="I674" s="12">
        <v>146.0</v>
      </c>
      <c r="J674" s="12">
        <v>146.0</v>
      </c>
      <c r="K674" s="12" t="s">
        <v>107</v>
      </c>
      <c r="L674" s="12">
        <v>48.96</v>
      </c>
      <c r="M674" s="12">
        <v>41.13</v>
      </c>
      <c r="N674" s="12">
        <v>145.56</v>
      </c>
      <c r="O674" s="12">
        <v>145.35</v>
      </c>
      <c r="P674" s="8"/>
      <c r="Q674" s="12" t="s">
        <v>20</v>
      </c>
      <c r="R674" s="6"/>
      <c r="S674" s="6"/>
      <c r="T674" s="6"/>
      <c r="U674" s="6"/>
      <c r="V674" s="6"/>
    </row>
    <row r="675">
      <c r="A675" s="15">
        <v>46296.783105625</v>
      </c>
      <c r="B675" s="8" t="str">
        <f t="shared" si="1"/>
        <v>137971</v>
      </c>
      <c r="C675" s="23" t="s">
        <v>159</v>
      </c>
      <c r="D675" s="23" t="s">
        <v>588</v>
      </c>
      <c r="E675" s="42">
        <v>0.1333</v>
      </c>
      <c r="F675" s="12" t="s">
        <v>18</v>
      </c>
      <c r="G675" s="12">
        <v>52.01</v>
      </c>
      <c r="H675" s="12">
        <v>43.71</v>
      </c>
      <c r="I675" s="12">
        <v>156.35</v>
      </c>
      <c r="J675" s="12">
        <v>156.23</v>
      </c>
      <c r="K675" s="12" t="s">
        <v>107</v>
      </c>
      <c r="L675" s="12">
        <v>51.91</v>
      </c>
      <c r="M675" s="12">
        <v>43.62</v>
      </c>
      <c r="N675" s="12">
        <v>156.01</v>
      </c>
      <c r="O675" s="12">
        <v>155.62</v>
      </c>
      <c r="P675" s="8"/>
      <c r="Q675" s="12" t="s">
        <v>20</v>
      </c>
      <c r="R675" s="6"/>
      <c r="S675" s="6"/>
      <c r="T675" s="6"/>
      <c r="U675" s="6"/>
      <c r="V675" s="6"/>
    </row>
    <row r="676">
      <c r="A676" s="15">
        <v>46296.78433821759</v>
      </c>
      <c r="B676" s="8" t="str">
        <f t="shared" si="1"/>
        <v>220577</v>
      </c>
      <c r="C676" s="22" t="s">
        <v>570</v>
      </c>
      <c r="D676" s="22" t="s">
        <v>588</v>
      </c>
      <c r="E676" s="43">
        <v>0.1316</v>
      </c>
      <c r="F676" s="12" t="s">
        <v>18</v>
      </c>
      <c r="G676" s="12">
        <v>54.04</v>
      </c>
      <c r="H676" s="12">
        <v>39.01</v>
      </c>
      <c r="I676" s="12">
        <v>155.93</v>
      </c>
      <c r="J676" s="12">
        <v>155.62</v>
      </c>
      <c r="K676" s="12" t="s">
        <v>107</v>
      </c>
      <c r="L676" s="12">
        <v>53.9</v>
      </c>
      <c r="M676" s="12">
        <v>38.89</v>
      </c>
      <c r="N676" s="12">
        <v>155.53</v>
      </c>
      <c r="O676" s="12">
        <v>155.08</v>
      </c>
      <c r="P676" s="8"/>
      <c r="Q676" s="12" t="s">
        <v>20</v>
      </c>
      <c r="R676" s="6"/>
      <c r="S676" s="6"/>
      <c r="T676" s="6"/>
      <c r="U676" s="6"/>
      <c r="V676" s="6"/>
    </row>
    <row r="677">
      <c r="A677" s="15">
        <v>46296.785538703705</v>
      </c>
      <c r="B677" s="8" t="str">
        <f t="shared" si="1"/>
        <v>238757</v>
      </c>
      <c r="C677" s="23" t="s">
        <v>496</v>
      </c>
      <c r="D677" s="23" t="s">
        <v>588</v>
      </c>
      <c r="E677" s="42">
        <v>0.1111</v>
      </c>
      <c r="F677" s="12" t="s">
        <v>18</v>
      </c>
      <c r="G677" s="12">
        <v>54.22</v>
      </c>
      <c r="H677" s="12">
        <v>39.12</v>
      </c>
      <c r="I677" s="12">
        <v>155.88</v>
      </c>
      <c r="J677" s="12">
        <v>155.93</v>
      </c>
      <c r="K677" s="12" t="s">
        <v>107</v>
      </c>
      <c r="L677" s="12">
        <v>54.12</v>
      </c>
      <c r="M677" s="12">
        <v>38.9</v>
      </c>
      <c r="N677" s="12">
        <v>155.36</v>
      </c>
      <c r="O677" s="12">
        <v>155.35</v>
      </c>
      <c r="P677" s="8"/>
      <c r="Q677" s="12" t="s">
        <v>20</v>
      </c>
      <c r="R677" s="6"/>
      <c r="S677" s="6"/>
      <c r="T677" s="6"/>
      <c r="U677" s="6"/>
      <c r="V677" s="6"/>
    </row>
    <row r="678">
      <c r="A678" s="15">
        <v>46296.78706667824</v>
      </c>
      <c r="B678" s="8" t="str">
        <f t="shared" si="1"/>
        <v>219826</v>
      </c>
      <c r="C678" s="22" t="s">
        <v>589</v>
      </c>
      <c r="D678" s="22" t="s">
        <v>588</v>
      </c>
      <c r="E678" s="43">
        <v>0.05</v>
      </c>
      <c r="F678" s="12" t="s">
        <v>18</v>
      </c>
      <c r="G678" s="12">
        <v>53.79</v>
      </c>
      <c r="H678" s="12">
        <v>41.6</v>
      </c>
      <c r="I678" s="12">
        <v>159.35</v>
      </c>
      <c r="J678" s="12">
        <v>159.45</v>
      </c>
      <c r="K678" s="12" t="s">
        <v>107</v>
      </c>
      <c r="L678" s="12">
        <v>53.68</v>
      </c>
      <c r="M678" s="12">
        <v>41.5</v>
      </c>
      <c r="N678" s="12">
        <v>158.81</v>
      </c>
      <c r="O678" s="12">
        <v>158.88</v>
      </c>
      <c r="P678" s="8"/>
      <c r="Q678" s="12" t="s">
        <v>20</v>
      </c>
      <c r="R678" s="6"/>
      <c r="S678" s="6"/>
      <c r="T678" s="6"/>
      <c r="U678" s="6"/>
      <c r="V678" s="6"/>
    </row>
    <row r="679">
      <c r="A679" s="15">
        <v>46296.78811334491</v>
      </c>
      <c r="B679" s="8" t="str">
        <f t="shared" si="1"/>
        <v>221176</v>
      </c>
      <c r="C679" s="23" t="s">
        <v>590</v>
      </c>
      <c r="D679" s="23" t="s">
        <v>588</v>
      </c>
      <c r="E679" s="42">
        <v>0.0375</v>
      </c>
      <c r="F679" s="12" t="s">
        <v>18</v>
      </c>
      <c r="G679" s="12">
        <v>51.7</v>
      </c>
      <c r="H679" s="12">
        <v>41.41</v>
      </c>
      <c r="I679" s="12">
        <v>156.62</v>
      </c>
      <c r="J679" s="12">
        <v>156.54</v>
      </c>
      <c r="K679" s="12" t="s">
        <v>107</v>
      </c>
      <c r="L679" s="12">
        <v>51.6</v>
      </c>
      <c r="M679" s="12">
        <v>41.31</v>
      </c>
      <c r="N679" s="12">
        <v>156.3</v>
      </c>
      <c r="O679" s="12">
        <v>156.3</v>
      </c>
      <c r="P679" s="8"/>
      <c r="Q679" s="12" t="s">
        <v>20</v>
      </c>
      <c r="R679" s="6"/>
      <c r="S679" s="6"/>
      <c r="T679" s="6"/>
      <c r="U679" s="6"/>
      <c r="V679" s="6"/>
    </row>
    <row r="680">
      <c r="A680" s="15">
        <v>46296.78127791667</v>
      </c>
      <c r="B680" s="8" t="str">
        <f t="shared" si="1"/>
        <v>241085</v>
      </c>
      <c r="C680" s="105" t="s">
        <v>521</v>
      </c>
      <c r="D680" s="105" t="s">
        <v>17</v>
      </c>
      <c r="E680" s="106">
        <v>0.4286</v>
      </c>
      <c r="F680" s="12" t="s">
        <v>18</v>
      </c>
      <c r="G680" s="12">
        <v>53.73</v>
      </c>
      <c r="H680" s="12">
        <v>42.45</v>
      </c>
      <c r="I680" s="12">
        <v>160.13</v>
      </c>
      <c r="J680" s="12">
        <v>160.13</v>
      </c>
      <c r="K680" s="12" t="s">
        <v>107</v>
      </c>
      <c r="L680" s="12">
        <v>54.05</v>
      </c>
      <c r="M680" s="12">
        <v>42.75</v>
      </c>
      <c r="N680" s="12">
        <v>161.21</v>
      </c>
      <c r="O680" s="12">
        <v>161.11</v>
      </c>
      <c r="P680" s="8"/>
      <c r="Q680" s="12" t="s">
        <v>20</v>
      </c>
      <c r="R680" s="6"/>
      <c r="S680" s="6"/>
      <c r="T680" s="6"/>
      <c r="U680" s="6"/>
      <c r="V680" s="6"/>
    </row>
    <row r="681">
      <c r="A681" s="15">
        <v>46296.0</v>
      </c>
      <c r="B681" s="8" t="str">
        <f t="shared" si="1"/>
        <v>218966</v>
      </c>
      <c r="C681" s="107" t="s">
        <v>534</v>
      </c>
      <c r="D681" s="107" t="s">
        <v>17</v>
      </c>
      <c r="E681" s="108">
        <v>0.1481</v>
      </c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8"/>
      <c r="Q681" s="8"/>
      <c r="R681" s="6"/>
      <c r="S681" s="6"/>
      <c r="T681" s="6"/>
      <c r="U681" s="6"/>
      <c r="V681" s="6"/>
    </row>
    <row r="682">
      <c r="A682" s="15">
        <v>46296.0</v>
      </c>
      <c r="B682" s="8" t="str">
        <f t="shared" si="1"/>
        <v>243673</v>
      </c>
      <c r="C682" s="107" t="s">
        <v>289</v>
      </c>
      <c r="D682" s="107" t="s">
        <v>402</v>
      </c>
      <c r="E682" s="108">
        <v>0.2308</v>
      </c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8"/>
      <c r="Q682" s="8"/>
      <c r="R682" s="6"/>
      <c r="S682" s="6"/>
      <c r="T682" s="6"/>
      <c r="U682" s="6"/>
      <c r="V682" s="6"/>
    </row>
    <row r="683">
      <c r="A683" s="15">
        <v>46296.0</v>
      </c>
      <c r="B683" s="8" t="str">
        <f t="shared" si="1"/>
        <v>215405</v>
      </c>
      <c r="C683" s="107" t="s">
        <v>591</v>
      </c>
      <c r="D683" s="107" t="s">
        <v>402</v>
      </c>
      <c r="E683" s="108">
        <v>0.1818</v>
      </c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8"/>
      <c r="Q683" s="8"/>
      <c r="R683" s="6"/>
      <c r="S683" s="6"/>
      <c r="T683" s="6"/>
      <c r="U683" s="6"/>
      <c r="V683" s="6"/>
    </row>
    <row r="684">
      <c r="A684" s="15">
        <v>46298.560765069444</v>
      </c>
      <c r="B684" s="8" t="str">
        <f t="shared" si="1"/>
        <v>241085</v>
      </c>
      <c r="C684" s="105" t="s">
        <v>521</v>
      </c>
      <c r="D684" s="10" t="s">
        <v>17</v>
      </c>
      <c r="E684" s="9"/>
      <c r="F684" s="12" t="s">
        <v>18</v>
      </c>
      <c r="G684" s="12">
        <v>54.05</v>
      </c>
      <c r="H684" s="12">
        <v>42.75</v>
      </c>
      <c r="I684" s="12">
        <v>161.21</v>
      </c>
      <c r="J684" s="12">
        <v>161.11</v>
      </c>
      <c r="K684" s="12" t="s">
        <v>19</v>
      </c>
      <c r="L684" s="12">
        <v>60.07</v>
      </c>
      <c r="M684" s="12">
        <v>49.99</v>
      </c>
      <c r="N684" s="12">
        <v>181.38</v>
      </c>
      <c r="O684" s="12">
        <v>181.33</v>
      </c>
      <c r="P684" s="12" t="s">
        <v>17</v>
      </c>
      <c r="Q684" s="12" t="s">
        <v>543</v>
      </c>
      <c r="R684" s="6"/>
      <c r="S684" s="6"/>
      <c r="T684" s="6"/>
      <c r="U684" s="6"/>
      <c r="V684" s="6"/>
    </row>
    <row r="685">
      <c r="A685" s="15">
        <v>46298.664334016205</v>
      </c>
      <c r="B685" s="8" t="str">
        <f t="shared" si="1"/>
        <v>245914</v>
      </c>
      <c r="C685" s="10" t="s">
        <v>329</v>
      </c>
      <c r="D685" s="9"/>
      <c r="E685" s="9"/>
      <c r="F685" s="12" t="s">
        <v>18</v>
      </c>
      <c r="G685" s="12">
        <v>51.51</v>
      </c>
      <c r="H685" s="12">
        <v>37.12</v>
      </c>
      <c r="I685" s="12">
        <v>150.12</v>
      </c>
      <c r="J685" s="12">
        <v>149.77</v>
      </c>
      <c r="K685" s="12" t="s">
        <v>19</v>
      </c>
      <c r="L685" s="12">
        <v>51.57</v>
      </c>
      <c r="M685" s="12">
        <v>37.44</v>
      </c>
      <c r="N685" s="12">
        <v>150.92</v>
      </c>
      <c r="O685" s="12">
        <v>150.99</v>
      </c>
      <c r="P685" s="12" t="s">
        <v>17</v>
      </c>
      <c r="Q685" s="12" t="s">
        <v>20</v>
      </c>
      <c r="R685" s="6"/>
      <c r="S685" s="6"/>
      <c r="T685" s="6"/>
      <c r="U685" s="6"/>
      <c r="V685" s="6"/>
    </row>
    <row r="686">
      <c r="A686" s="15">
        <v>46300.47868289352</v>
      </c>
      <c r="B686" s="8" t="str">
        <f t="shared" si="1"/>
        <v>218967</v>
      </c>
      <c r="C686" s="10" t="s">
        <v>592</v>
      </c>
      <c r="D686" s="9"/>
      <c r="E686" s="9"/>
      <c r="F686" s="12" t="s">
        <v>18</v>
      </c>
      <c r="G686" s="12">
        <v>54.33</v>
      </c>
      <c r="H686" s="12">
        <v>49.88</v>
      </c>
      <c r="I686" s="12">
        <v>165.82</v>
      </c>
      <c r="J686" s="12">
        <v>165.82</v>
      </c>
      <c r="K686" s="12" t="s">
        <v>19</v>
      </c>
      <c r="L686" s="12">
        <v>50.16</v>
      </c>
      <c r="M686" s="12">
        <v>38.25</v>
      </c>
      <c r="N686" s="12">
        <v>141.25</v>
      </c>
      <c r="O686" s="12">
        <v>140.62</v>
      </c>
      <c r="P686" s="12" t="s">
        <v>22</v>
      </c>
      <c r="Q686" s="12" t="s">
        <v>20</v>
      </c>
      <c r="R686" s="6"/>
      <c r="S686" s="6"/>
      <c r="T686" s="6"/>
      <c r="U686" s="6"/>
      <c r="V686" s="6"/>
    </row>
    <row r="687">
      <c r="A687" s="15">
        <v>46300.64125836805</v>
      </c>
      <c r="B687" s="8" t="str">
        <f t="shared" si="1"/>
        <v>243673</v>
      </c>
      <c r="C687" s="22" t="s">
        <v>289</v>
      </c>
      <c r="D687" s="22" t="s">
        <v>32</v>
      </c>
      <c r="E687" s="43">
        <v>0.381</v>
      </c>
      <c r="F687" s="12" t="s">
        <v>18</v>
      </c>
      <c r="G687" s="12">
        <v>57.11</v>
      </c>
      <c r="H687" s="12">
        <v>39.11</v>
      </c>
      <c r="I687" s="12">
        <v>163.1</v>
      </c>
      <c r="J687" s="12">
        <v>163.1</v>
      </c>
      <c r="K687" s="12" t="s">
        <v>107</v>
      </c>
      <c r="L687" s="12">
        <v>56.94</v>
      </c>
      <c r="M687" s="12">
        <v>38.95</v>
      </c>
      <c r="N687" s="12">
        <v>162.55</v>
      </c>
      <c r="O687" s="12">
        <v>162.55</v>
      </c>
      <c r="P687" s="8"/>
      <c r="Q687" s="8"/>
      <c r="R687" s="6"/>
      <c r="S687" s="6"/>
      <c r="T687" s="6"/>
      <c r="U687" s="6"/>
      <c r="V687" s="6"/>
    </row>
    <row r="688">
      <c r="A688" s="15">
        <v>46300.0</v>
      </c>
      <c r="B688" s="8" t="str">
        <f t="shared" si="1"/>
        <v>225339</v>
      </c>
      <c r="C688" s="107" t="s">
        <v>503</v>
      </c>
      <c r="D688" s="107" t="s">
        <v>32</v>
      </c>
      <c r="E688" s="108">
        <v>0.1818</v>
      </c>
      <c r="F688" s="110" t="s">
        <v>18</v>
      </c>
      <c r="G688" s="110"/>
      <c r="H688" s="109"/>
      <c r="I688" s="109"/>
      <c r="J688" s="109"/>
      <c r="K688" s="12" t="s">
        <v>107</v>
      </c>
      <c r="L688" s="109"/>
      <c r="M688" s="109"/>
      <c r="N688" s="109"/>
      <c r="O688" s="109"/>
      <c r="P688" s="8"/>
      <c r="Q688" s="12" t="s">
        <v>90</v>
      </c>
      <c r="R688" s="6"/>
      <c r="S688" s="6"/>
      <c r="T688" s="6"/>
      <c r="U688" s="6"/>
      <c r="V688" s="6"/>
    </row>
    <row r="689">
      <c r="A689" s="15">
        <v>46300.0</v>
      </c>
      <c r="B689" s="8" t="str">
        <f t="shared" si="1"/>
        <v>243674</v>
      </c>
      <c r="C689" s="22" t="s">
        <v>167</v>
      </c>
      <c r="D689" s="22" t="s">
        <v>32</v>
      </c>
      <c r="E689" s="43">
        <v>0.0635</v>
      </c>
      <c r="F689" s="12" t="s">
        <v>18</v>
      </c>
      <c r="G689" s="12">
        <v>48.68</v>
      </c>
      <c r="H689" s="12">
        <v>40.48</v>
      </c>
      <c r="I689" s="12">
        <v>146.59</v>
      </c>
      <c r="J689" s="12">
        <v>146.27</v>
      </c>
      <c r="K689" s="12" t="s">
        <v>107</v>
      </c>
      <c r="L689" s="12">
        <v>48.58</v>
      </c>
      <c r="M689" s="12">
        <v>40.38</v>
      </c>
      <c r="N689" s="12">
        <v>146.26</v>
      </c>
      <c r="O689" s="12">
        <v>145.94</v>
      </c>
      <c r="P689" s="8"/>
      <c r="Q689" s="12" t="s">
        <v>90</v>
      </c>
      <c r="R689" s="6"/>
      <c r="S689" s="6"/>
      <c r="T689" s="6"/>
      <c r="U689" s="6"/>
      <c r="V689" s="6"/>
    </row>
    <row r="690">
      <c r="A690" s="15">
        <v>46300.64507621528</v>
      </c>
      <c r="B690" s="8" t="str">
        <f t="shared" si="1"/>
        <v>221174</v>
      </c>
      <c r="C690" s="23" t="s">
        <v>593</v>
      </c>
      <c r="D690" s="23" t="s">
        <v>32</v>
      </c>
      <c r="E690" s="42">
        <v>0.0532</v>
      </c>
      <c r="F690" s="12" t="s">
        <v>18</v>
      </c>
      <c r="G690" s="12">
        <v>52.01</v>
      </c>
      <c r="H690" s="12">
        <v>40.2</v>
      </c>
      <c r="I690" s="12">
        <v>152.5</v>
      </c>
      <c r="J690" s="12">
        <v>152.44</v>
      </c>
      <c r="K690" s="12" t="s">
        <v>107</v>
      </c>
      <c r="L690" s="12">
        <v>51.98</v>
      </c>
      <c r="M690" s="12">
        <v>40.16</v>
      </c>
      <c r="N690" s="12">
        <v>152.48</v>
      </c>
      <c r="O690" s="12">
        <v>152.43</v>
      </c>
      <c r="P690" s="8"/>
      <c r="Q690" s="12" t="s">
        <v>90</v>
      </c>
      <c r="R690" s="6"/>
      <c r="S690" s="6"/>
      <c r="T690" s="6"/>
      <c r="U690" s="6"/>
      <c r="V690" s="6"/>
    </row>
    <row r="691">
      <c r="A691" s="15">
        <v>46300.64617466435</v>
      </c>
      <c r="B691" s="8" t="str">
        <f t="shared" si="1"/>
        <v>221172</v>
      </c>
      <c r="C691" s="22" t="s">
        <v>594</v>
      </c>
      <c r="D691" s="22" t="s">
        <v>32</v>
      </c>
      <c r="E691" s="43">
        <v>0.04</v>
      </c>
      <c r="F691" s="12" t="s">
        <v>18</v>
      </c>
      <c r="G691" s="12">
        <v>52.51</v>
      </c>
      <c r="H691" s="12">
        <v>37.93</v>
      </c>
      <c r="I691" s="12">
        <v>151.14</v>
      </c>
      <c r="J691" s="12">
        <v>151.07</v>
      </c>
      <c r="K691" s="12" t="s">
        <v>107</v>
      </c>
      <c r="L691" s="12">
        <v>52.46</v>
      </c>
      <c r="M691" s="12">
        <v>37.82</v>
      </c>
      <c r="N691" s="12">
        <v>150.98</v>
      </c>
      <c r="O691" s="12">
        <v>150.67</v>
      </c>
      <c r="P691" s="8"/>
      <c r="Q691" s="12" t="s">
        <v>90</v>
      </c>
      <c r="R691" s="6"/>
      <c r="S691" s="6"/>
      <c r="T691" s="6"/>
      <c r="U691" s="6"/>
      <c r="V691" s="6"/>
    </row>
    <row r="692">
      <c r="A692" s="15">
        <v>46300.64685024305</v>
      </c>
      <c r="B692" s="8" t="str">
        <f t="shared" si="1"/>
        <v>219826</v>
      </c>
      <c r="C692" s="23" t="s">
        <v>595</v>
      </c>
      <c r="D692" s="23" t="s">
        <v>382</v>
      </c>
      <c r="E692" s="42">
        <v>0.042</v>
      </c>
      <c r="F692" s="12" t="s">
        <v>18</v>
      </c>
      <c r="G692" s="12">
        <v>53.9</v>
      </c>
      <c r="H692" s="12">
        <v>41.8</v>
      </c>
      <c r="I692" s="12">
        <v>159.52</v>
      </c>
      <c r="J692" s="12">
        <v>159.61</v>
      </c>
      <c r="K692" s="12" t="s">
        <v>107</v>
      </c>
      <c r="L692" s="12">
        <v>53.85</v>
      </c>
      <c r="M692" s="12">
        <v>41.75</v>
      </c>
      <c r="N692" s="12">
        <v>159.32</v>
      </c>
      <c r="O692" s="12">
        <v>159.32</v>
      </c>
      <c r="P692" s="8"/>
      <c r="Q692" s="12" t="s">
        <v>90</v>
      </c>
      <c r="R692" s="6"/>
      <c r="S692" s="6"/>
      <c r="T692" s="6"/>
      <c r="U692" s="6"/>
      <c r="V692" s="6"/>
    </row>
    <row r="693">
      <c r="A693" s="15">
        <v>46300.0</v>
      </c>
      <c r="B693" s="8" t="str">
        <f t="shared" si="1"/>
        <v>240000</v>
      </c>
      <c r="C693" s="107" t="s">
        <v>354</v>
      </c>
      <c r="D693" s="107" t="s">
        <v>124</v>
      </c>
      <c r="E693" s="108">
        <v>0.3158</v>
      </c>
      <c r="F693" s="110" t="s">
        <v>18</v>
      </c>
      <c r="G693" s="109"/>
      <c r="H693" s="109"/>
      <c r="I693" s="109"/>
      <c r="J693" s="109"/>
      <c r="K693" s="12" t="s">
        <v>107</v>
      </c>
      <c r="L693" s="109"/>
      <c r="M693" s="109"/>
      <c r="N693" s="109"/>
      <c r="O693" s="109"/>
      <c r="P693" s="8"/>
      <c r="Q693" s="12" t="s">
        <v>90</v>
      </c>
      <c r="R693" s="6"/>
      <c r="S693" s="6"/>
      <c r="T693" s="6"/>
      <c r="U693" s="6"/>
      <c r="V693" s="6"/>
    </row>
    <row r="694">
      <c r="A694" s="15">
        <v>46300.0</v>
      </c>
      <c r="B694" s="8" t="str">
        <f t="shared" si="1"/>
        <v>242138</v>
      </c>
      <c r="C694" s="23" t="s">
        <v>361</v>
      </c>
      <c r="D694" s="23" t="s">
        <v>124</v>
      </c>
      <c r="E694" s="42">
        <v>0.1</v>
      </c>
      <c r="F694" s="12" t="s">
        <v>18</v>
      </c>
      <c r="G694" s="12">
        <v>51.64</v>
      </c>
      <c r="H694" s="12">
        <v>39.0</v>
      </c>
      <c r="I694" s="12">
        <v>150.09</v>
      </c>
      <c r="J694" s="12">
        <v>150.09</v>
      </c>
      <c r="K694" s="12" t="s">
        <v>107</v>
      </c>
      <c r="L694" s="12">
        <v>51.55</v>
      </c>
      <c r="M694" s="12">
        <v>38.84</v>
      </c>
      <c r="N694" s="12">
        <v>149.95</v>
      </c>
      <c r="O694" s="12">
        <v>149.8</v>
      </c>
      <c r="P694" s="8"/>
      <c r="Q694" s="12" t="s">
        <v>90</v>
      </c>
      <c r="R694" s="6"/>
      <c r="S694" s="6"/>
      <c r="T694" s="6"/>
      <c r="U694" s="6"/>
      <c r="V694" s="6"/>
    </row>
    <row r="695">
      <c r="A695" s="15">
        <v>46300.6608393287</v>
      </c>
      <c r="B695" s="8" t="str">
        <f t="shared" si="1"/>
        <v>245915</v>
      </c>
      <c r="C695" s="22" t="s">
        <v>298</v>
      </c>
      <c r="D695" s="22" t="s">
        <v>124</v>
      </c>
      <c r="E695" s="43">
        <v>0.0457</v>
      </c>
      <c r="F695" s="12" t="s">
        <v>18</v>
      </c>
      <c r="G695" s="12">
        <v>53.42</v>
      </c>
      <c r="H695" s="12">
        <v>42.61</v>
      </c>
      <c r="I695" s="12">
        <v>159.24</v>
      </c>
      <c r="J695" s="12">
        <v>159.07</v>
      </c>
      <c r="K695" s="12" t="s">
        <v>107</v>
      </c>
      <c r="L695" s="12">
        <v>53.36</v>
      </c>
      <c r="M695" s="12">
        <v>42.56</v>
      </c>
      <c r="N695" s="12">
        <v>159.07</v>
      </c>
      <c r="O695" s="12">
        <v>158.86</v>
      </c>
      <c r="P695" s="8"/>
      <c r="Q695" s="12" t="s">
        <v>90</v>
      </c>
      <c r="R695" s="6"/>
      <c r="S695" s="6"/>
      <c r="T695" s="6"/>
      <c r="U695" s="6"/>
      <c r="V695" s="6"/>
    </row>
    <row r="696">
      <c r="A696" s="15">
        <v>46300.66217282407</v>
      </c>
      <c r="B696" s="8" t="str">
        <f t="shared" si="1"/>
        <v>221176</v>
      </c>
      <c r="C696" s="23" t="s">
        <v>596</v>
      </c>
      <c r="D696" s="23" t="s">
        <v>124</v>
      </c>
      <c r="E696" s="42">
        <v>0.0388</v>
      </c>
      <c r="F696" s="12" t="s">
        <v>18</v>
      </c>
      <c r="G696" s="12">
        <v>51.78</v>
      </c>
      <c r="H696" s="12">
        <v>41.39</v>
      </c>
      <c r="I696" s="12">
        <v>156.77</v>
      </c>
      <c r="J696" s="12">
        <v>156.79</v>
      </c>
      <c r="K696" s="12" t="s">
        <v>107</v>
      </c>
      <c r="L696" s="12">
        <v>51.68</v>
      </c>
      <c r="M696" s="12">
        <v>41.35</v>
      </c>
      <c r="N696" s="12">
        <v>156.55</v>
      </c>
      <c r="O696" s="12">
        <v>156.82</v>
      </c>
      <c r="P696" s="8"/>
      <c r="Q696" s="12" t="s">
        <v>90</v>
      </c>
      <c r="R696" s="6"/>
      <c r="S696" s="6"/>
      <c r="T696" s="6"/>
      <c r="U696" s="6"/>
      <c r="V696" s="6"/>
    </row>
    <row r="697">
      <c r="A697" s="15">
        <v>46300.0</v>
      </c>
      <c r="B697" s="8" t="str">
        <f t="shared" si="1"/>
        <v>244245</v>
      </c>
      <c r="C697" s="111" t="s">
        <v>597</v>
      </c>
      <c r="D697" s="111" t="s">
        <v>392</v>
      </c>
      <c r="E697" s="112">
        <v>0.0825</v>
      </c>
      <c r="F697" s="113" t="s">
        <v>18</v>
      </c>
      <c r="G697" s="114"/>
      <c r="H697" s="114"/>
      <c r="I697" s="114"/>
      <c r="J697" s="114"/>
      <c r="K697" s="12" t="s">
        <v>107</v>
      </c>
      <c r="L697" s="114"/>
      <c r="M697" s="114"/>
      <c r="N697" s="114"/>
      <c r="O697" s="114"/>
      <c r="P697" s="8"/>
      <c r="Q697" s="12" t="s">
        <v>90</v>
      </c>
      <c r="R697" s="6"/>
      <c r="S697" s="6"/>
      <c r="T697" s="6"/>
      <c r="U697" s="6"/>
      <c r="V697" s="6"/>
    </row>
    <row r="698">
      <c r="A698" s="15">
        <v>46300.66379040509</v>
      </c>
      <c r="B698" s="8" t="str">
        <f t="shared" si="1"/>
        <v>238759</v>
      </c>
      <c r="C698" s="23" t="s">
        <v>598</v>
      </c>
      <c r="D698" s="23" t="s">
        <v>588</v>
      </c>
      <c r="E698" s="42">
        <v>0.1212</v>
      </c>
      <c r="F698" s="12" t="s">
        <v>18</v>
      </c>
      <c r="G698" s="12">
        <v>53.56</v>
      </c>
      <c r="H698" s="12">
        <v>42.75</v>
      </c>
      <c r="I698" s="12">
        <v>158.94</v>
      </c>
      <c r="J698" s="12">
        <v>160.5</v>
      </c>
      <c r="K698" s="12" t="s">
        <v>107</v>
      </c>
      <c r="L698" s="12">
        <v>53.5</v>
      </c>
      <c r="M698" s="12">
        <v>42.7</v>
      </c>
      <c r="N698" s="12">
        <v>158.75</v>
      </c>
      <c r="O698" s="12">
        <v>158.75</v>
      </c>
      <c r="P698" s="8"/>
      <c r="Q698" s="12" t="s">
        <v>90</v>
      </c>
      <c r="R698" s="6"/>
      <c r="S698" s="6"/>
      <c r="T698" s="6"/>
      <c r="U698" s="6"/>
      <c r="V698" s="6"/>
    </row>
    <row r="699">
      <c r="A699" s="15">
        <v>46300.0</v>
      </c>
      <c r="B699" s="8" t="str">
        <f t="shared" si="1"/>
        <v>223230</v>
      </c>
      <c r="C699" s="111" t="s">
        <v>599</v>
      </c>
      <c r="D699" s="111" t="s">
        <v>396</v>
      </c>
      <c r="E699" s="112">
        <v>0.0526</v>
      </c>
      <c r="F699" s="113" t="s">
        <v>18</v>
      </c>
      <c r="G699" s="114"/>
      <c r="H699" s="114"/>
      <c r="I699" s="114"/>
      <c r="J699" s="114"/>
      <c r="K699" s="12" t="s">
        <v>107</v>
      </c>
      <c r="L699" s="114"/>
      <c r="M699" s="114"/>
      <c r="N699" s="114"/>
      <c r="O699" s="114"/>
      <c r="P699" s="8"/>
      <c r="Q699" s="12" t="s">
        <v>90</v>
      </c>
      <c r="R699" s="6"/>
      <c r="S699" s="6"/>
      <c r="T699" s="6"/>
      <c r="U699" s="6"/>
      <c r="V699" s="6"/>
    </row>
    <row r="700">
      <c r="A700" s="15">
        <v>46300.0</v>
      </c>
      <c r="B700" s="8" t="str">
        <f t="shared" si="1"/>
        <v>234793</v>
      </c>
      <c r="C700" s="115" t="s">
        <v>252</v>
      </c>
      <c r="D700" s="115" t="s">
        <v>17</v>
      </c>
      <c r="E700" s="116">
        <v>0.7</v>
      </c>
      <c r="F700" s="12" t="s">
        <v>18</v>
      </c>
      <c r="G700" s="12">
        <v>48.76</v>
      </c>
      <c r="H700" s="12">
        <v>44.58</v>
      </c>
      <c r="I700" s="12">
        <v>152.49</v>
      </c>
      <c r="J700" s="12">
        <v>152.49</v>
      </c>
      <c r="K700" s="12" t="s">
        <v>107</v>
      </c>
      <c r="L700" s="12">
        <v>50.78</v>
      </c>
      <c r="M700" s="12">
        <v>47.16</v>
      </c>
      <c r="N700" s="12">
        <v>160.02</v>
      </c>
      <c r="O700" s="12">
        <v>160.02</v>
      </c>
      <c r="P700" s="8"/>
      <c r="Q700" s="12" t="s">
        <v>90</v>
      </c>
      <c r="R700" s="6"/>
      <c r="S700" s="6"/>
      <c r="T700" s="6"/>
      <c r="U700" s="6"/>
      <c r="V700" s="6"/>
    </row>
    <row r="701">
      <c r="A701" s="15">
        <v>46300.0</v>
      </c>
      <c r="B701" s="8" t="str">
        <f t="shared" si="1"/>
        <v>234807</v>
      </c>
      <c r="C701" s="22" t="s">
        <v>447</v>
      </c>
      <c r="D701" s="22" t="s">
        <v>17</v>
      </c>
      <c r="E701" s="43">
        <v>1.0</v>
      </c>
      <c r="F701" s="12" t="s">
        <v>18</v>
      </c>
      <c r="G701" s="12">
        <v>50.35</v>
      </c>
      <c r="H701" s="12">
        <v>46.54</v>
      </c>
      <c r="I701" s="12">
        <v>158.02</v>
      </c>
      <c r="J701" s="12">
        <v>158.22</v>
      </c>
      <c r="K701" s="12" t="s">
        <v>107</v>
      </c>
      <c r="L701" s="12">
        <v>50.46</v>
      </c>
      <c r="M701" s="12">
        <v>46.57</v>
      </c>
      <c r="N701" s="12">
        <v>158.13</v>
      </c>
      <c r="O701" s="12">
        <v>158.43</v>
      </c>
      <c r="P701" s="8"/>
      <c r="Q701" s="12" t="s">
        <v>90</v>
      </c>
      <c r="R701" s="6"/>
      <c r="S701" s="6"/>
      <c r="T701" s="6"/>
      <c r="U701" s="6"/>
      <c r="V701" s="6"/>
    </row>
    <row r="702">
      <c r="A702" s="15">
        <v>46300.0</v>
      </c>
      <c r="B702" s="8" t="str">
        <f t="shared" si="1"/>
        <v>241446</v>
      </c>
      <c r="C702" s="23" t="s">
        <v>531</v>
      </c>
      <c r="D702" s="23" t="s">
        <v>17</v>
      </c>
      <c r="E702" s="42">
        <v>0.4545</v>
      </c>
      <c r="F702" s="12" t="s">
        <v>18</v>
      </c>
      <c r="G702" s="12">
        <v>52.98</v>
      </c>
      <c r="H702" s="12">
        <v>47.48</v>
      </c>
      <c r="I702" s="12">
        <v>162.48</v>
      </c>
      <c r="J702" s="12">
        <v>162.48</v>
      </c>
      <c r="K702" s="12" t="s">
        <v>107</v>
      </c>
      <c r="L702" s="12">
        <v>53.11</v>
      </c>
      <c r="M702" s="12">
        <v>47.6</v>
      </c>
      <c r="N702" s="12">
        <v>162.9</v>
      </c>
      <c r="O702" s="12">
        <v>162.9</v>
      </c>
      <c r="P702" s="8"/>
      <c r="Q702" s="12" t="s">
        <v>90</v>
      </c>
      <c r="R702" s="6"/>
      <c r="S702" s="6"/>
      <c r="T702" s="6"/>
      <c r="U702" s="6"/>
      <c r="V702" s="6"/>
    </row>
    <row r="703">
      <c r="A703" s="15">
        <v>46300.0</v>
      </c>
      <c r="B703" s="8" t="str">
        <f t="shared" si="1"/>
        <v>240000</v>
      </c>
      <c r="C703" s="117" t="s">
        <v>363</v>
      </c>
      <c r="D703" s="117" t="s">
        <v>17</v>
      </c>
      <c r="E703" s="118">
        <v>0.25</v>
      </c>
      <c r="F703" s="119" t="s">
        <v>18</v>
      </c>
      <c r="G703" s="120"/>
      <c r="H703" s="120"/>
      <c r="I703" s="120"/>
      <c r="J703" s="120"/>
      <c r="K703" s="12" t="s">
        <v>107</v>
      </c>
      <c r="L703" s="120"/>
      <c r="M703" s="120"/>
      <c r="N703" s="120"/>
      <c r="O703" s="120"/>
      <c r="P703" s="8"/>
      <c r="Q703" s="12" t="s">
        <v>90</v>
      </c>
      <c r="R703" s="6"/>
      <c r="S703" s="6"/>
      <c r="T703" s="6"/>
      <c r="U703" s="6"/>
      <c r="V703" s="6"/>
    </row>
    <row r="704">
      <c r="A704" s="15">
        <v>46300.0</v>
      </c>
      <c r="B704" s="8" t="str">
        <f t="shared" si="1"/>
        <v>218966</v>
      </c>
      <c r="C704" s="117" t="s">
        <v>534</v>
      </c>
      <c r="D704" s="117" t="s">
        <v>17</v>
      </c>
      <c r="E704" s="118">
        <v>0.3019</v>
      </c>
      <c r="F704" s="119" t="s">
        <v>18</v>
      </c>
      <c r="G704" s="120"/>
      <c r="H704" s="120"/>
      <c r="I704" s="120"/>
      <c r="J704" s="120"/>
      <c r="K704" s="12" t="s">
        <v>107</v>
      </c>
      <c r="L704" s="120"/>
      <c r="M704" s="120"/>
      <c r="N704" s="120"/>
      <c r="O704" s="120"/>
      <c r="P704" s="8"/>
      <c r="Q704" s="12" t="s">
        <v>90</v>
      </c>
      <c r="R704" s="6"/>
      <c r="S704" s="6"/>
      <c r="T704" s="6"/>
      <c r="U704" s="6"/>
      <c r="V704" s="6"/>
    </row>
    <row r="705">
      <c r="A705" s="15">
        <v>46300.0</v>
      </c>
      <c r="B705" s="8" t="str">
        <f t="shared" si="1"/>
        <v>245914</v>
      </c>
      <c r="C705" s="22" t="s">
        <v>329</v>
      </c>
      <c r="D705" s="22" t="s">
        <v>17</v>
      </c>
      <c r="E705" s="43">
        <v>0.1553</v>
      </c>
      <c r="F705" s="12" t="s">
        <v>18</v>
      </c>
      <c r="G705" s="12">
        <v>51.57</v>
      </c>
      <c r="H705" s="12">
        <v>37.26</v>
      </c>
      <c r="I705" s="12">
        <v>150.92</v>
      </c>
      <c r="J705" s="12">
        <v>150.99</v>
      </c>
      <c r="K705" s="12" t="s">
        <v>107</v>
      </c>
      <c r="L705" s="12">
        <v>51.7</v>
      </c>
      <c r="M705" s="12">
        <v>37.44</v>
      </c>
      <c r="N705" s="12">
        <v>151.14</v>
      </c>
      <c r="O705" s="12">
        <v>151.14</v>
      </c>
      <c r="P705" s="8"/>
      <c r="Q705" s="12" t="s">
        <v>90</v>
      </c>
      <c r="R705" s="6"/>
      <c r="S705" s="6"/>
      <c r="T705" s="6"/>
      <c r="U705" s="6"/>
      <c r="V705" s="6"/>
    </row>
    <row r="706">
      <c r="A706" s="15">
        <v>46300.657330057875</v>
      </c>
      <c r="B706" s="8" t="str">
        <f t="shared" si="1"/>
        <v>238757</v>
      </c>
      <c r="C706" s="23" t="s">
        <v>496</v>
      </c>
      <c r="D706" s="23" t="s">
        <v>17</v>
      </c>
      <c r="E706" s="42">
        <v>0.1429</v>
      </c>
      <c r="F706" s="12" t="s">
        <v>18</v>
      </c>
      <c r="G706" s="12">
        <v>54.04</v>
      </c>
      <c r="H706" s="12">
        <v>38.9</v>
      </c>
      <c r="I706" s="12">
        <v>155.36</v>
      </c>
      <c r="J706" s="12">
        <v>155.36</v>
      </c>
      <c r="K706" s="12" t="s">
        <v>107</v>
      </c>
      <c r="L706" s="12">
        <v>54.12</v>
      </c>
      <c r="M706" s="12">
        <v>38.95</v>
      </c>
      <c r="N706" s="12">
        <v>155.44</v>
      </c>
      <c r="O706" s="12">
        <v>155.49</v>
      </c>
      <c r="P706" s="8"/>
      <c r="Q706" s="12" t="s">
        <v>90</v>
      </c>
      <c r="R706" s="6"/>
      <c r="S706" s="6"/>
      <c r="T706" s="6"/>
      <c r="U706" s="6"/>
      <c r="V706" s="6"/>
    </row>
    <row r="707">
      <c r="A707" s="15">
        <v>46300.658089143515</v>
      </c>
      <c r="B707" s="8" t="str">
        <f t="shared" si="1"/>
        <v>245914</v>
      </c>
      <c r="C707" s="22" t="s">
        <v>280</v>
      </c>
      <c r="D707" s="22" t="s">
        <v>17</v>
      </c>
      <c r="E707" s="43">
        <v>0.0492</v>
      </c>
      <c r="F707" s="12" t="s">
        <v>18</v>
      </c>
      <c r="G707" s="12">
        <v>51.55</v>
      </c>
      <c r="H707" s="12">
        <v>37.32</v>
      </c>
      <c r="I707" s="12">
        <v>150.46</v>
      </c>
      <c r="J707" s="12">
        <v>150.46</v>
      </c>
      <c r="K707" s="12" t="s">
        <v>107</v>
      </c>
      <c r="L707" s="12">
        <v>51.63</v>
      </c>
      <c r="M707" s="12">
        <v>37.4</v>
      </c>
      <c r="N707" s="12">
        <v>150.71</v>
      </c>
      <c r="O707" s="12">
        <v>150.71</v>
      </c>
      <c r="P707" s="8"/>
      <c r="Q707" s="12" t="s">
        <v>90</v>
      </c>
      <c r="R707" s="6"/>
      <c r="S707" s="6"/>
      <c r="T707" s="6"/>
      <c r="U707" s="6"/>
      <c r="V707" s="6"/>
    </row>
    <row r="708">
      <c r="A708" s="15">
        <v>46300.0</v>
      </c>
      <c r="B708" s="8" t="str">
        <f t="shared" si="1"/>
        <v>218967</v>
      </c>
      <c r="C708" s="107" t="s">
        <v>592</v>
      </c>
      <c r="D708" s="107" t="s">
        <v>402</v>
      </c>
      <c r="E708" s="108">
        <v>0.5714</v>
      </c>
      <c r="F708" s="121" t="s">
        <v>18</v>
      </c>
      <c r="G708" s="122"/>
      <c r="H708" s="122"/>
      <c r="I708" s="122"/>
      <c r="J708" s="122"/>
      <c r="K708" s="122"/>
      <c r="L708" s="122"/>
      <c r="M708" s="122"/>
      <c r="N708" s="122"/>
      <c r="O708" s="122"/>
      <c r="P708" s="8"/>
      <c r="Q708" s="8"/>
      <c r="R708" s="6"/>
      <c r="S708" s="6"/>
      <c r="T708" s="6"/>
      <c r="U708" s="6"/>
      <c r="V708" s="6"/>
    </row>
    <row r="709">
      <c r="A709" s="15">
        <v>46300.73886652778</v>
      </c>
      <c r="B709" s="8" t="str">
        <f t="shared" si="1"/>
        <v>234793</v>
      </c>
      <c r="C709" s="123" t="s">
        <v>600</v>
      </c>
      <c r="D709" s="22" t="s">
        <v>17</v>
      </c>
      <c r="E709" s="116">
        <v>0.7</v>
      </c>
      <c r="F709" s="12" t="s">
        <v>18</v>
      </c>
      <c r="G709" s="12">
        <v>48.76</v>
      </c>
      <c r="H709" s="12">
        <v>44.58</v>
      </c>
      <c r="I709" s="12">
        <v>152.49</v>
      </c>
      <c r="J709" s="12">
        <v>152.49</v>
      </c>
      <c r="K709" s="12" t="s">
        <v>19</v>
      </c>
      <c r="L709" s="12">
        <v>50.78</v>
      </c>
      <c r="M709" s="12">
        <v>47.16</v>
      </c>
      <c r="N709" s="12">
        <v>160.02</v>
      </c>
      <c r="O709" s="12">
        <v>160.02</v>
      </c>
      <c r="P709" s="8"/>
      <c r="Q709" s="12" t="s">
        <v>90</v>
      </c>
      <c r="R709" s="6"/>
      <c r="S709" s="6"/>
      <c r="T709" s="6"/>
      <c r="U709" s="6"/>
      <c r="V709" s="6"/>
    </row>
    <row r="710">
      <c r="A710" s="15">
        <v>46300.89528864583</v>
      </c>
      <c r="B710" s="8" t="str">
        <f t="shared" si="1"/>
        <v>215405</v>
      </c>
      <c r="C710" s="10" t="s">
        <v>591</v>
      </c>
      <c r="D710" s="10" t="s">
        <v>32</v>
      </c>
      <c r="E710" s="9"/>
      <c r="F710" s="12" t="s">
        <v>18</v>
      </c>
      <c r="G710" s="12">
        <v>54.85</v>
      </c>
      <c r="H710" s="12">
        <v>40.83</v>
      </c>
      <c r="I710" s="12">
        <v>155.06</v>
      </c>
      <c r="J710" s="12">
        <v>155.06</v>
      </c>
      <c r="K710" s="12" t="s">
        <v>19</v>
      </c>
      <c r="L710" s="12">
        <v>53.4</v>
      </c>
      <c r="M710" s="12">
        <v>38.68</v>
      </c>
      <c r="N710" s="12">
        <v>149.35</v>
      </c>
      <c r="O710" s="12">
        <v>149.34</v>
      </c>
      <c r="P710" s="8"/>
      <c r="Q710" s="12" t="s">
        <v>90</v>
      </c>
      <c r="R710" s="6"/>
      <c r="S710" s="6"/>
      <c r="T710" s="6"/>
      <c r="U710" s="6"/>
      <c r="V710" s="6"/>
    </row>
    <row r="711">
      <c r="A711" s="15">
        <v>46300.90625083333</v>
      </c>
      <c r="B711" s="8" t="str">
        <f t="shared" si="1"/>
        <v>213182</v>
      </c>
      <c r="C711" s="22" t="s">
        <v>601</v>
      </c>
      <c r="D711" s="22" t="s">
        <v>32</v>
      </c>
      <c r="E711" s="43">
        <v>0.1053</v>
      </c>
      <c r="F711" s="12" t="s">
        <v>18</v>
      </c>
      <c r="G711" s="12">
        <v>55.04</v>
      </c>
      <c r="H711" s="12">
        <v>40.19</v>
      </c>
      <c r="I711" s="12">
        <v>161.28</v>
      </c>
      <c r="J711" s="12">
        <v>162.38</v>
      </c>
      <c r="K711" s="12" t="s">
        <v>107</v>
      </c>
      <c r="L711" s="12">
        <v>55.0</v>
      </c>
      <c r="M711" s="12">
        <v>39.7</v>
      </c>
      <c r="N711" s="12">
        <v>161.06</v>
      </c>
      <c r="O711" s="12">
        <v>160.61</v>
      </c>
      <c r="P711" s="8"/>
      <c r="Q711" s="12" t="s">
        <v>90</v>
      </c>
      <c r="R711" s="6"/>
      <c r="S711" s="6"/>
      <c r="T711" s="6"/>
      <c r="U711" s="6"/>
      <c r="V711" s="6"/>
    </row>
    <row r="712">
      <c r="A712" s="15">
        <v>46300.90777496528</v>
      </c>
      <c r="B712" s="8" t="str">
        <f t="shared" si="1"/>
        <v>221172</v>
      </c>
      <c r="C712" s="23" t="s">
        <v>575</v>
      </c>
      <c r="D712" s="23" t="s">
        <v>32</v>
      </c>
      <c r="E712" s="42">
        <v>0.0548</v>
      </c>
      <c r="F712" s="12" t="s">
        <v>18</v>
      </c>
      <c r="G712" s="12">
        <v>52.6</v>
      </c>
      <c r="H712" s="12">
        <v>37.95</v>
      </c>
      <c r="I712" s="12">
        <v>151.42</v>
      </c>
      <c r="J712" s="12">
        <v>151.34</v>
      </c>
      <c r="K712" s="12" t="s">
        <v>107</v>
      </c>
      <c r="L712" s="12">
        <v>52.54</v>
      </c>
      <c r="M712" s="12">
        <v>37.89</v>
      </c>
      <c r="N712" s="12">
        <v>151.29</v>
      </c>
      <c r="O712" s="12">
        <v>151.29</v>
      </c>
      <c r="P712" s="8"/>
      <c r="Q712" s="12" t="s">
        <v>90</v>
      </c>
      <c r="R712" s="6"/>
      <c r="S712" s="6"/>
      <c r="T712" s="6"/>
      <c r="U712" s="6"/>
      <c r="V712" s="6"/>
    </row>
    <row r="713">
      <c r="A713" s="15">
        <v>46300.908664930554</v>
      </c>
      <c r="B713" s="8" t="str">
        <f t="shared" si="1"/>
        <v>236092</v>
      </c>
      <c r="C713" s="22" t="s">
        <v>602</v>
      </c>
      <c r="D713" s="22" t="s">
        <v>32</v>
      </c>
      <c r="E713" s="43">
        <v>0.0784</v>
      </c>
      <c r="F713" s="12" t="s">
        <v>18</v>
      </c>
      <c r="G713" s="12">
        <v>50.41</v>
      </c>
      <c r="H713" s="12">
        <v>42.9</v>
      </c>
      <c r="I713" s="12">
        <v>151.92</v>
      </c>
      <c r="J713" s="12">
        <v>151.92</v>
      </c>
      <c r="K713" s="12" t="s">
        <v>107</v>
      </c>
      <c r="L713" s="12">
        <v>50.35</v>
      </c>
      <c r="M713" s="12">
        <v>42.82</v>
      </c>
      <c r="N713" s="12">
        <v>151.72</v>
      </c>
      <c r="O713" s="12">
        <v>151.72</v>
      </c>
      <c r="P713" s="8"/>
      <c r="Q713" s="12" t="s">
        <v>90</v>
      </c>
      <c r="R713" s="6"/>
      <c r="S713" s="6"/>
      <c r="T713" s="6"/>
      <c r="U713" s="6"/>
      <c r="V713" s="6"/>
    </row>
    <row r="714">
      <c r="A714" s="15">
        <v>46300.0</v>
      </c>
      <c r="B714" s="8" t="str">
        <f t="shared" si="1"/>
        <v>238534</v>
      </c>
      <c r="C714" s="124" t="s">
        <v>603</v>
      </c>
      <c r="D714" s="124" t="s">
        <v>32</v>
      </c>
      <c r="E714" s="125">
        <v>0.1053</v>
      </c>
      <c r="F714" s="12" t="s">
        <v>18</v>
      </c>
      <c r="G714" s="126"/>
      <c r="H714" s="126"/>
      <c r="I714" s="126"/>
      <c r="J714" s="126"/>
      <c r="K714" s="12" t="s">
        <v>107</v>
      </c>
      <c r="L714" s="126"/>
      <c r="M714" s="126"/>
      <c r="N714" s="126"/>
      <c r="O714" s="126"/>
      <c r="P714" s="127"/>
      <c r="Q714" s="12" t="s">
        <v>90</v>
      </c>
      <c r="R714" s="128"/>
      <c r="S714" s="128"/>
      <c r="T714" s="128"/>
      <c r="U714" s="128"/>
      <c r="V714" s="128"/>
    </row>
    <row r="715">
      <c r="A715" s="15">
        <v>46300.90988121528</v>
      </c>
      <c r="B715" s="8" t="str">
        <f t="shared" si="1"/>
        <v>238761</v>
      </c>
      <c r="C715" s="23" t="s">
        <v>604</v>
      </c>
      <c r="D715" s="23" t="s">
        <v>32</v>
      </c>
      <c r="E715" s="42">
        <v>0.1429</v>
      </c>
      <c r="F715" s="12" t="s">
        <v>18</v>
      </c>
      <c r="G715" s="12">
        <v>55.48</v>
      </c>
      <c r="H715" s="12">
        <v>39.93</v>
      </c>
      <c r="I715" s="12">
        <v>160.46</v>
      </c>
      <c r="J715" s="12">
        <v>160.61</v>
      </c>
      <c r="K715" s="12" t="s">
        <v>107</v>
      </c>
      <c r="L715" s="12">
        <v>55.39</v>
      </c>
      <c r="M715" s="12">
        <v>39.68</v>
      </c>
      <c r="N715" s="12">
        <v>160.34</v>
      </c>
      <c r="O715" s="12">
        <v>159.97</v>
      </c>
      <c r="P715" s="8"/>
      <c r="Q715" s="12" t="s">
        <v>90</v>
      </c>
      <c r="R715" s="6"/>
      <c r="S715" s="6"/>
      <c r="T715" s="6"/>
      <c r="U715" s="6"/>
      <c r="V715" s="6"/>
    </row>
    <row r="716">
      <c r="A716" s="15">
        <v>46300.910807002314</v>
      </c>
      <c r="B716" s="8" t="str">
        <f t="shared" si="1"/>
        <v>241085</v>
      </c>
      <c r="C716" s="22" t="s">
        <v>605</v>
      </c>
      <c r="D716" s="22" t="s">
        <v>32</v>
      </c>
      <c r="E716" s="43">
        <v>0.3333</v>
      </c>
      <c r="F716" s="12" t="s">
        <v>18</v>
      </c>
      <c r="G716" s="12">
        <v>60.44</v>
      </c>
      <c r="H716" s="12">
        <v>50.7</v>
      </c>
      <c r="I716" s="12">
        <v>182.75</v>
      </c>
      <c r="J716" s="12">
        <v>182.67</v>
      </c>
      <c r="K716" s="12" t="s">
        <v>107</v>
      </c>
      <c r="L716" s="12">
        <v>60.05</v>
      </c>
      <c r="M716" s="12">
        <v>50.42</v>
      </c>
      <c r="N716" s="12">
        <v>182.13</v>
      </c>
      <c r="O716" s="12">
        <v>182.23</v>
      </c>
      <c r="P716" s="8"/>
      <c r="Q716" s="12" t="s">
        <v>90</v>
      </c>
      <c r="R716" s="6"/>
      <c r="S716" s="6"/>
      <c r="T716" s="6"/>
      <c r="U716" s="6"/>
      <c r="V716" s="6"/>
    </row>
    <row r="717">
      <c r="A717" s="15">
        <v>46300.91165915509</v>
      </c>
      <c r="B717" s="8" t="str">
        <f t="shared" si="1"/>
        <v>247078</v>
      </c>
      <c r="C717" s="22" t="s">
        <v>455</v>
      </c>
      <c r="D717" s="22" t="s">
        <v>32</v>
      </c>
      <c r="E717" s="43">
        <v>0.1667</v>
      </c>
      <c r="F717" s="12" t="s">
        <v>18</v>
      </c>
      <c r="G717" s="12">
        <v>55.62</v>
      </c>
      <c r="H717" s="12">
        <v>34.72</v>
      </c>
      <c r="I717" s="12">
        <v>150.01</v>
      </c>
      <c r="J717" s="12">
        <v>150.01</v>
      </c>
      <c r="K717" s="12" t="s">
        <v>107</v>
      </c>
      <c r="L717" s="12">
        <v>55.48</v>
      </c>
      <c r="M717" s="12">
        <v>34.62</v>
      </c>
      <c r="N717" s="12">
        <v>149.63</v>
      </c>
      <c r="O717" s="12">
        <v>149.83</v>
      </c>
      <c r="P717" s="8"/>
      <c r="Q717" s="12" t="s">
        <v>90</v>
      </c>
      <c r="R717" s="6"/>
      <c r="S717" s="6"/>
      <c r="T717" s="6"/>
      <c r="U717" s="6"/>
      <c r="V717" s="6"/>
    </row>
    <row r="718">
      <c r="A718" s="15">
        <v>46300.912966250005</v>
      </c>
      <c r="B718" s="8" t="str">
        <f t="shared" si="1"/>
        <v>238524</v>
      </c>
      <c r="C718" s="23" t="s">
        <v>606</v>
      </c>
      <c r="D718" s="23" t="s">
        <v>17</v>
      </c>
      <c r="E718" s="42">
        <v>0.5</v>
      </c>
      <c r="F718" s="12" t="s">
        <v>18</v>
      </c>
      <c r="G718" s="12">
        <v>51.63</v>
      </c>
      <c r="H718" s="12">
        <v>35.6</v>
      </c>
      <c r="I718" s="12">
        <v>146.28</v>
      </c>
      <c r="J718" s="12">
        <v>145.83</v>
      </c>
      <c r="K718" s="12" t="s">
        <v>107</v>
      </c>
      <c r="L718" s="12">
        <v>51.79</v>
      </c>
      <c r="M718" s="12">
        <v>35.87</v>
      </c>
      <c r="N718" s="12">
        <v>146.22</v>
      </c>
      <c r="O718" s="12">
        <v>146.44</v>
      </c>
      <c r="P718" s="8"/>
      <c r="Q718" s="12" t="s">
        <v>90</v>
      </c>
      <c r="R718" s="6"/>
      <c r="S718" s="6"/>
      <c r="T718" s="6"/>
      <c r="U718" s="6"/>
      <c r="V718" s="6"/>
    </row>
    <row r="719">
      <c r="A719" s="15">
        <v>46300.913829490746</v>
      </c>
      <c r="B719" s="8" t="str">
        <f t="shared" si="1"/>
        <v>240551</v>
      </c>
      <c r="C719" s="23" t="s">
        <v>607</v>
      </c>
      <c r="D719" s="23" t="s">
        <v>17</v>
      </c>
      <c r="E719" s="42">
        <v>0.25</v>
      </c>
      <c r="F719" s="12" t="s">
        <v>18</v>
      </c>
      <c r="G719" s="12">
        <v>54.44</v>
      </c>
      <c r="H719" s="12">
        <v>39.68</v>
      </c>
      <c r="I719" s="12">
        <v>156.83</v>
      </c>
      <c r="J719" s="12">
        <v>157.36</v>
      </c>
      <c r="K719" s="12" t="s">
        <v>107</v>
      </c>
      <c r="L719" s="12">
        <v>54.6</v>
      </c>
      <c r="M719" s="12">
        <v>39.8</v>
      </c>
      <c r="N719" s="12">
        <v>157.27</v>
      </c>
      <c r="O719" s="12">
        <v>157.27</v>
      </c>
      <c r="P719" s="8"/>
      <c r="Q719" s="12" t="s">
        <v>90</v>
      </c>
      <c r="R719" s="6"/>
      <c r="S719" s="6"/>
      <c r="T719" s="6"/>
      <c r="U719" s="6"/>
      <c r="V719" s="6"/>
    </row>
    <row r="720">
      <c r="A720" s="15">
        <v>46300.91466928241</v>
      </c>
      <c r="B720" s="8" t="str">
        <f t="shared" si="1"/>
        <v>242221</v>
      </c>
      <c r="C720" s="23" t="s">
        <v>500</v>
      </c>
      <c r="D720" s="23" t="s">
        <v>17</v>
      </c>
      <c r="E720" s="42">
        <v>0.5</v>
      </c>
      <c r="F720" s="12" t="s">
        <v>18</v>
      </c>
      <c r="G720" s="12">
        <v>50.46</v>
      </c>
      <c r="H720" s="12">
        <v>46.72</v>
      </c>
      <c r="I720" s="12">
        <v>155.87</v>
      </c>
      <c r="J720" s="12">
        <v>155.95</v>
      </c>
      <c r="K720" s="12" t="s">
        <v>107</v>
      </c>
      <c r="L720" s="12">
        <v>50.71</v>
      </c>
      <c r="M720" s="12">
        <v>46.9</v>
      </c>
      <c r="N720" s="12">
        <v>156.57</v>
      </c>
      <c r="O720" s="12">
        <v>156.66</v>
      </c>
      <c r="P720" s="8"/>
      <c r="Q720" s="12" t="s">
        <v>90</v>
      </c>
      <c r="R720" s="6"/>
      <c r="S720" s="6"/>
      <c r="T720" s="6"/>
      <c r="U720" s="6"/>
      <c r="V720" s="6"/>
    </row>
    <row r="721">
      <c r="A721" s="15">
        <v>46300.0</v>
      </c>
      <c r="B721" s="8" t="str">
        <f t="shared" si="1"/>
        <v>239021</v>
      </c>
      <c r="C721" s="107" t="s">
        <v>608</v>
      </c>
      <c r="D721" s="107" t="s">
        <v>402</v>
      </c>
      <c r="E721" s="108">
        <v>0.0263</v>
      </c>
      <c r="F721" s="12" t="s">
        <v>18</v>
      </c>
      <c r="G721" s="122"/>
      <c r="H721" s="122"/>
      <c r="I721" s="122"/>
      <c r="J721" s="122"/>
      <c r="K721" s="12" t="s">
        <v>107</v>
      </c>
      <c r="L721" s="122"/>
      <c r="M721" s="122"/>
      <c r="N721" s="122"/>
      <c r="O721" s="122"/>
      <c r="P721" s="8"/>
      <c r="Q721" s="12" t="s">
        <v>90</v>
      </c>
      <c r="R721" s="6"/>
      <c r="S721" s="6"/>
      <c r="T721" s="6"/>
      <c r="U721" s="6"/>
      <c r="V721" s="6"/>
    </row>
    <row r="722">
      <c r="A722" s="15">
        <v>46301.532262430555</v>
      </c>
      <c r="B722" s="8" t="str">
        <f t="shared" si="1"/>
        <v>238524</v>
      </c>
      <c r="C722" s="10" t="s">
        <v>606</v>
      </c>
      <c r="D722" s="9"/>
      <c r="E722" s="9"/>
      <c r="F722" s="12" t="s">
        <v>18</v>
      </c>
      <c r="G722" s="12">
        <v>51.79</v>
      </c>
      <c r="H722" s="12">
        <v>35.87</v>
      </c>
      <c r="I722" s="12">
        <v>146.22</v>
      </c>
      <c r="J722" s="12">
        <v>146.44</v>
      </c>
      <c r="K722" s="12" t="s">
        <v>19</v>
      </c>
      <c r="L722" s="12">
        <v>52.93</v>
      </c>
      <c r="M722" s="12">
        <v>42.22</v>
      </c>
      <c r="N722" s="12">
        <v>157.42</v>
      </c>
      <c r="O722" s="12">
        <v>157.29</v>
      </c>
      <c r="P722" s="12" t="s">
        <v>143</v>
      </c>
      <c r="Q722" s="12" t="s">
        <v>20</v>
      </c>
      <c r="R722" s="6"/>
      <c r="S722" s="6"/>
      <c r="T722" s="6"/>
      <c r="U722" s="6"/>
      <c r="V722" s="6"/>
    </row>
    <row r="723">
      <c r="A723" s="15">
        <v>46301.575254282405</v>
      </c>
      <c r="B723" s="8" t="str">
        <f t="shared" si="1"/>
        <v>216744</v>
      </c>
      <c r="C723" s="10" t="s">
        <v>609</v>
      </c>
      <c r="D723" s="9"/>
      <c r="E723" s="9"/>
      <c r="F723" s="12" t="s">
        <v>18</v>
      </c>
      <c r="G723" s="12">
        <v>51.7</v>
      </c>
      <c r="H723" s="12">
        <v>36.3</v>
      </c>
      <c r="I723" s="12">
        <v>150.28</v>
      </c>
      <c r="J723" s="12">
        <v>150.28</v>
      </c>
      <c r="K723" s="12" t="s">
        <v>19</v>
      </c>
      <c r="L723" s="12">
        <v>52.35</v>
      </c>
      <c r="M723" s="12">
        <v>36.55</v>
      </c>
      <c r="N723" s="12">
        <v>151.22</v>
      </c>
      <c r="O723" s="12">
        <v>151.17</v>
      </c>
      <c r="P723" s="12" t="s">
        <v>17</v>
      </c>
      <c r="Q723" s="12" t="s">
        <v>20</v>
      </c>
      <c r="R723" s="6"/>
      <c r="S723" s="6"/>
      <c r="T723" s="6"/>
      <c r="U723" s="6"/>
      <c r="V723" s="6"/>
    </row>
    <row r="724">
      <c r="A724" s="15">
        <v>46301.59429451389</v>
      </c>
      <c r="B724" s="8" t="str">
        <f t="shared" si="1"/>
        <v>239999</v>
      </c>
      <c r="C724" s="10" t="s">
        <v>426</v>
      </c>
      <c r="D724" s="9"/>
      <c r="E724" s="9"/>
      <c r="F724" s="12" t="s">
        <v>35</v>
      </c>
      <c r="G724" s="12">
        <v>56.51</v>
      </c>
      <c r="H724" s="12">
        <v>44.64</v>
      </c>
      <c r="I724" s="12">
        <v>168.91</v>
      </c>
      <c r="J724" s="12">
        <v>168.91</v>
      </c>
      <c r="K724" s="12" t="s">
        <v>19</v>
      </c>
      <c r="L724" s="12">
        <v>57.0</v>
      </c>
      <c r="M724" s="12">
        <v>44.78</v>
      </c>
      <c r="N724" s="12">
        <v>170.03</v>
      </c>
      <c r="O724" s="12">
        <v>170.03</v>
      </c>
      <c r="P724" s="12" t="s">
        <v>17</v>
      </c>
      <c r="Q724" s="12" t="s">
        <v>20</v>
      </c>
      <c r="R724" s="6"/>
      <c r="S724" s="6"/>
      <c r="T724" s="6"/>
      <c r="U724" s="6"/>
      <c r="V724" s="6"/>
    </row>
    <row r="725">
      <c r="A725" s="15">
        <v>46301.67830619213</v>
      </c>
      <c r="B725" s="8" t="str">
        <f t="shared" si="1"/>
        <v>149080</v>
      </c>
      <c r="C725" s="10" t="s">
        <v>610</v>
      </c>
      <c r="D725" s="9"/>
      <c r="E725" s="9"/>
      <c r="F725" s="12" t="s">
        <v>18</v>
      </c>
      <c r="G725" s="12">
        <v>51.04</v>
      </c>
      <c r="H725" s="12">
        <v>39.81</v>
      </c>
      <c r="I725" s="12">
        <v>150.09</v>
      </c>
      <c r="J725" s="12">
        <v>149.87</v>
      </c>
      <c r="K725" s="12" t="s">
        <v>107</v>
      </c>
      <c r="L725" s="12">
        <v>51.04</v>
      </c>
      <c r="M725" s="12">
        <v>39.9</v>
      </c>
      <c r="N725" s="12">
        <v>150.26</v>
      </c>
      <c r="O725" s="12">
        <v>150.31</v>
      </c>
      <c r="P725" s="8"/>
      <c r="Q725" s="12" t="s">
        <v>543</v>
      </c>
      <c r="R725" s="6"/>
      <c r="S725" s="6"/>
      <c r="T725" s="6"/>
      <c r="U725" s="6"/>
      <c r="V725" s="6"/>
    </row>
    <row r="726">
      <c r="A726" s="15">
        <v>46301.683428344906</v>
      </c>
      <c r="B726" s="8" t="str">
        <f t="shared" si="1"/>
        <v>201103</v>
      </c>
      <c r="C726" s="10" t="s">
        <v>611</v>
      </c>
      <c r="D726" s="9"/>
      <c r="E726" s="9"/>
      <c r="F726" s="12" t="s">
        <v>18</v>
      </c>
      <c r="G726" s="12">
        <v>51.89</v>
      </c>
      <c r="H726" s="12">
        <v>40.45</v>
      </c>
      <c r="I726" s="12">
        <v>154.07</v>
      </c>
      <c r="J726" s="12">
        <v>154.26</v>
      </c>
      <c r="K726" s="12" t="s">
        <v>107</v>
      </c>
      <c r="L726" s="12">
        <v>51.9</v>
      </c>
      <c r="M726" s="12">
        <v>40.5</v>
      </c>
      <c r="N726" s="12">
        <v>154.18</v>
      </c>
      <c r="O726" s="12">
        <v>154.44</v>
      </c>
      <c r="P726" s="8"/>
      <c r="Q726" s="12" t="s">
        <v>543</v>
      </c>
      <c r="R726" s="6"/>
      <c r="S726" s="6"/>
      <c r="T726" s="6"/>
      <c r="U726" s="6"/>
      <c r="V726" s="6"/>
    </row>
    <row r="727">
      <c r="A727" s="15">
        <v>46301.720963368054</v>
      </c>
      <c r="B727" s="8" t="str">
        <f t="shared" si="1"/>
        <v>227040</v>
      </c>
      <c r="C727" s="10" t="s">
        <v>612</v>
      </c>
      <c r="D727" s="9"/>
      <c r="E727" s="9"/>
      <c r="F727" s="12" t="s">
        <v>18</v>
      </c>
      <c r="G727" s="12">
        <v>56.19</v>
      </c>
      <c r="H727" s="12">
        <v>40.61</v>
      </c>
      <c r="I727" s="12">
        <v>169.29</v>
      </c>
      <c r="J727" s="12">
        <v>169.18</v>
      </c>
      <c r="K727" s="12" t="s">
        <v>107</v>
      </c>
      <c r="L727" s="12">
        <v>56.19</v>
      </c>
      <c r="M727" s="12">
        <v>40.71</v>
      </c>
      <c r="N727" s="12">
        <v>169.45</v>
      </c>
      <c r="O727" s="12">
        <v>169.28</v>
      </c>
      <c r="P727" s="8"/>
      <c r="Q727" s="12" t="s">
        <v>543</v>
      </c>
      <c r="R727" s="6"/>
      <c r="S727" s="6"/>
      <c r="T727" s="6"/>
      <c r="U727" s="6"/>
      <c r="V727" s="6"/>
    </row>
    <row r="728">
      <c r="A728" s="15">
        <v>46302.0</v>
      </c>
      <c r="B728" s="8" t="str">
        <f t="shared" si="1"/>
        <v>220577</v>
      </c>
      <c r="C728" s="10" t="s">
        <v>613</v>
      </c>
      <c r="D728" s="9"/>
      <c r="E728" s="9"/>
      <c r="F728" s="12" t="s">
        <v>18</v>
      </c>
      <c r="G728" s="12">
        <v>52.62</v>
      </c>
      <c r="H728" s="12">
        <v>36.79</v>
      </c>
      <c r="I728" s="12">
        <v>151.15</v>
      </c>
      <c r="J728" s="12">
        <v>150.54</v>
      </c>
      <c r="K728" s="12" t="s">
        <v>107</v>
      </c>
      <c r="L728" s="12">
        <v>52.63</v>
      </c>
      <c r="M728" s="12">
        <v>36.95</v>
      </c>
      <c r="N728" s="12">
        <v>151.42</v>
      </c>
      <c r="O728" s="12">
        <v>150.8</v>
      </c>
      <c r="P728" s="8"/>
      <c r="Q728" s="12" t="s">
        <v>543</v>
      </c>
      <c r="R728" s="6"/>
      <c r="S728" s="6"/>
      <c r="T728" s="6"/>
      <c r="U728" s="6"/>
      <c r="V728" s="6"/>
    </row>
    <row r="729">
      <c r="A729" s="15">
        <v>46302.77803120371</v>
      </c>
      <c r="B729" s="8" t="str">
        <f t="shared" si="1"/>
        <v>234765</v>
      </c>
      <c r="C729" s="23" t="s">
        <v>614</v>
      </c>
      <c r="D729" s="23" t="s">
        <v>32</v>
      </c>
      <c r="E729" s="42">
        <v>0.1333</v>
      </c>
      <c r="F729" s="12" t="s">
        <v>18</v>
      </c>
      <c r="G729" s="12">
        <v>55.49</v>
      </c>
      <c r="H729" s="12">
        <v>40.14</v>
      </c>
      <c r="I729" s="12">
        <v>162.15</v>
      </c>
      <c r="J729" s="12">
        <v>162.23</v>
      </c>
      <c r="K729" s="12" t="s">
        <v>107</v>
      </c>
      <c r="L729" s="12">
        <v>55.19</v>
      </c>
      <c r="M729" s="12">
        <v>40.09</v>
      </c>
      <c r="N729" s="12">
        <v>161.64</v>
      </c>
      <c r="O729" s="12">
        <v>162.15</v>
      </c>
      <c r="P729" s="8"/>
      <c r="Q729" s="12" t="s">
        <v>90</v>
      </c>
      <c r="R729" s="6"/>
      <c r="S729" s="6"/>
      <c r="T729" s="6"/>
      <c r="U729" s="6"/>
      <c r="V729" s="6"/>
    </row>
    <row r="730">
      <c r="A730" s="15">
        <v>46302.0</v>
      </c>
      <c r="B730" s="8" t="str">
        <f t="shared" si="1"/>
        <v>253884</v>
      </c>
      <c r="C730" s="22" t="s">
        <v>615</v>
      </c>
      <c r="D730" s="22" t="s">
        <v>32</v>
      </c>
      <c r="E730" s="43">
        <v>0.1111</v>
      </c>
      <c r="F730" s="12" t="s">
        <v>18</v>
      </c>
      <c r="G730" s="12">
        <v>54.25</v>
      </c>
      <c r="H730" s="12">
        <v>35.79</v>
      </c>
      <c r="I730" s="12">
        <v>156.93</v>
      </c>
      <c r="J730" s="12">
        <v>156.97</v>
      </c>
      <c r="K730" s="12" t="s">
        <v>107</v>
      </c>
      <c r="L730" s="12">
        <v>54.19</v>
      </c>
      <c r="M730" s="12">
        <v>35.23</v>
      </c>
      <c r="N730" s="12">
        <v>156.68</v>
      </c>
      <c r="O730" s="12">
        <v>155.84</v>
      </c>
      <c r="P730" s="8"/>
      <c r="Q730" s="12" t="s">
        <v>90</v>
      </c>
      <c r="R730" s="6"/>
      <c r="S730" s="6"/>
      <c r="T730" s="6"/>
      <c r="U730" s="6"/>
      <c r="V730" s="6"/>
    </row>
    <row r="731">
      <c r="A731" s="15">
        <v>46302.780956365736</v>
      </c>
      <c r="B731" s="8" t="str">
        <f t="shared" si="1"/>
        <v>221163</v>
      </c>
      <c r="C731" s="23" t="s">
        <v>616</v>
      </c>
      <c r="D731" s="23" t="s">
        <v>32</v>
      </c>
      <c r="E731" s="42">
        <v>0.0789</v>
      </c>
      <c r="F731" s="12" t="s">
        <v>18</v>
      </c>
      <c r="G731" s="12">
        <v>51.78</v>
      </c>
      <c r="H731" s="12">
        <v>39.17</v>
      </c>
      <c r="I731" s="12">
        <v>155.06</v>
      </c>
      <c r="J731" s="12">
        <v>155.25</v>
      </c>
      <c r="K731" s="12" t="s">
        <v>107</v>
      </c>
      <c r="L731" s="12">
        <v>51.75</v>
      </c>
      <c r="M731" s="12">
        <v>39.1</v>
      </c>
      <c r="N731" s="12">
        <v>154.96</v>
      </c>
      <c r="O731" s="12">
        <v>155.19</v>
      </c>
      <c r="P731" s="8"/>
      <c r="Q731" s="12" t="s">
        <v>90</v>
      </c>
      <c r="R731" s="6"/>
      <c r="S731" s="6"/>
      <c r="T731" s="6"/>
      <c r="U731" s="6"/>
      <c r="V731" s="6"/>
    </row>
    <row r="732">
      <c r="A732" s="15">
        <v>46302.78296730324</v>
      </c>
      <c r="B732" s="8" t="str">
        <f t="shared" si="1"/>
        <v>221172</v>
      </c>
      <c r="C732" s="22" t="s">
        <v>575</v>
      </c>
      <c r="D732" s="22" t="s">
        <v>32</v>
      </c>
      <c r="E732" s="43">
        <v>0.048</v>
      </c>
      <c r="F732" s="12" t="s">
        <v>18</v>
      </c>
      <c r="G732" s="12">
        <v>52.54</v>
      </c>
      <c r="H732" s="12">
        <v>37.89</v>
      </c>
      <c r="I732" s="12">
        <v>151.29</v>
      </c>
      <c r="J732" s="12">
        <v>151.29</v>
      </c>
      <c r="K732" s="12" t="s">
        <v>107</v>
      </c>
      <c r="L732" s="12">
        <v>52.48</v>
      </c>
      <c r="M732" s="12">
        <v>37.81</v>
      </c>
      <c r="N732" s="12">
        <v>151.05</v>
      </c>
      <c r="O732" s="12">
        <v>150.96</v>
      </c>
      <c r="P732" s="8"/>
      <c r="Q732" s="12" t="s">
        <v>90</v>
      </c>
      <c r="R732" s="6"/>
      <c r="S732" s="6"/>
      <c r="T732" s="6"/>
      <c r="U732" s="6"/>
      <c r="V732" s="6"/>
    </row>
    <row r="733">
      <c r="A733" s="15">
        <v>46302.0</v>
      </c>
      <c r="B733" s="8" t="str">
        <f t="shared" si="1"/>
        <v>240000</v>
      </c>
      <c r="C733" s="129" t="s">
        <v>387</v>
      </c>
      <c r="D733" s="129" t="s">
        <v>307</v>
      </c>
      <c r="E733" s="130">
        <v>0.1579</v>
      </c>
      <c r="F733" s="12" t="s">
        <v>18</v>
      </c>
      <c r="G733" s="89" t="s">
        <v>617</v>
      </c>
      <c r="H733" s="45"/>
      <c r="I733" s="45"/>
      <c r="J733" s="45"/>
      <c r="K733" s="45"/>
      <c r="L733" s="45"/>
      <c r="M733" s="45"/>
      <c r="N733" s="45"/>
      <c r="O733" s="46"/>
      <c r="P733" s="8"/>
      <c r="Q733" s="12" t="s">
        <v>90</v>
      </c>
      <c r="R733" s="6"/>
      <c r="S733" s="6"/>
      <c r="T733" s="6"/>
      <c r="U733" s="6"/>
      <c r="V733" s="6"/>
    </row>
    <row r="734">
      <c r="A734" s="15">
        <v>46302.0</v>
      </c>
      <c r="B734" s="8" t="str">
        <f t="shared" si="1"/>
        <v>246819</v>
      </c>
      <c r="C734" s="22" t="s">
        <v>583</v>
      </c>
      <c r="D734" s="22" t="s">
        <v>307</v>
      </c>
      <c r="E734" s="43">
        <v>0.1364</v>
      </c>
      <c r="F734" s="12" t="s">
        <v>18</v>
      </c>
      <c r="G734" s="12">
        <v>48.6</v>
      </c>
      <c r="H734" s="12">
        <v>36.96</v>
      </c>
      <c r="I734" s="12">
        <v>142.98</v>
      </c>
      <c r="J734" s="12">
        <v>142.66</v>
      </c>
      <c r="K734" s="12" t="s">
        <v>107</v>
      </c>
      <c r="L734" s="12">
        <v>47.84</v>
      </c>
      <c r="M734" s="12">
        <v>36.82</v>
      </c>
      <c r="N734" s="12">
        <v>141.67</v>
      </c>
      <c r="O734" s="12">
        <v>142.42</v>
      </c>
      <c r="P734" s="8"/>
      <c r="Q734" s="12" t="s">
        <v>90</v>
      </c>
      <c r="R734" s="6"/>
      <c r="S734" s="6"/>
      <c r="T734" s="6"/>
      <c r="U734" s="6"/>
      <c r="V734" s="6"/>
    </row>
    <row r="735">
      <c r="A735" s="15">
        <v>46302.0</v>
      </c>
      <c r="B735" s="8" t="str">
        <f t="shared" si="1"/>
        <v>218966</v>
      </c>
      <c r="C735" s="129" t="s">
        <v>618</v>
      </c>
      <c r="D735" s="129" t="s">
        <v>307</v>
      </c>
      <c r="E735" s="130">
        <v>0.0862</v>
      </c>
      <c r="F735" s="12" t="s">
        <v>18</v>
      </c>
      <c r="G735" s="89" t="s">
        <v>617</v>
      </c>
      <c r="H735" s="45"/>
      <c r="I735" s="45"/>
      <c r="J735" s="45"/>
      <c r="K735" s="45"/>
      <c r="L735" s="45"/>
      <c r="M735" s="45"/>
      <c r="N735" s="45"/>
      <c r="O735" s="46"/>
      <c r="P735" s="8"/>
      <c r="Q735" s="12" t="s">
        <v>90</v>
      </c>
      <c r="R735" s="6"/>
      <c r="S735" s="6"/>
      <c r="T735" s="6"/>
      <c r="U735" s="6"/>
      <c r="V735" s="6"/>
    </row>
    <row r="736">
      <c r="A736" s="15">
        <v>46302.78517186343</v>
      </c>
      <c r="B736" s="8" t="str">
        <f t="shared" si="1"/>
        <v>236092</v>
      </c>
      <c r="C736" s="22" t="s">
        <v>602</v>
      </c>
      <c r="D736" s="22" t="s">
        <v>382</v>
      </c>
      <c r="E736" s="43">
        <v>0.0462</v>
      </c>
      <c r="F736" s="12" t="s">
        <v>18</v>
      </c>
      <c r="G736" s="12">
        <v>50.35</v>
      </c>
      <c r="H736" s="12">
        <v>42.82</v>
      </c>
      <c r="I736" s="12">
        <v>151.72</v>
      </c>
      <c r="J736" s="12">
        <v>151.72</v>
      </c>
      <c r="K736" s="12" t="s">
        <v>107</v>
      </c>
      <c r="L736" s="12">
        <v>50.3</v>
      </c>
      <c r="M736" s="12">
        <v>42.78</v>
      </c>
      <c r="N736" s="12">
        <v>151.58</v>
      </c>
      <c r="O736" s="12">
        <v>151.58</v>
      </c>
      <c r="P736" s="8"/>
      <c r="Q736" s="12" t="s">
        <v>90</v>
      </c>
      <c r="R736" s="6"/>
      <c r="S736" s="6"/>
      <c r="T736" s="6"/>
      <c r="U736" s="6"/>
      <c r="V736" s="6"/>
    </row>
    <row r="737">
      <c r="A737" s="15">
        <v>46302.80427359954</v>
      </c>
      <c r="B737" s="8" t="str">
        <f t="shared" si="1"/>
        <v>242697</v>
      </c>
      <c r="C737" s="23" t="s">
        <v>619</v>
      </c>
      <c r="D737" s="23" t="s">
        <v>382</v>
      </c>
      <c r="E737" s="42">
        <v>0.25</v>
      </c>
      <c r="F737" s="12" t="s">
        <v>18</v>
      </c>
      <c r="G737" s="12">
        <v>60.47</v>
      </c>
      <c r="H737" s="12">
        <v>49.31</v>
      </c>
      <c r="I737" s="12">
        <v>178.36</v>
      </c>
      <c r="J737" s="12">
        <v>178.39</v>
      </c>
      <c r="K737" s="12" t="s">
        <v>107</v>
      </c>
      <c r="L737" s="12">
        <v>59.49</v>
      </c>
      <c r="M737" s="12">
        <v>48.81</v>
      </c>
      <c r="N737" s="12">
        <v>177.36</v>
      </c>
      <c r="O737" s="12">
        <v>176.58</v>
      </c>
      <c r="P737" s="8"/>
      <c r="Q737" s="12" t="s">
        <v>90</v>
      </c>
      <c r="R737" s="6"/>
      <c r="S737" s="6"/>
      <c r="T737" s="6"/>
      <c r="U737" s="6"/>
      <c r="V737" s="6"/>
    </row>
    <row r="738">
      <c r="A738" s="15">
        <v>46302.805165046295</v>
      </c>
      <c r="B738" s="8" t="str">
        <f t="shared" si="1"/>
        <v>241119</v>
      </c>
      <c r="C738" s="22" t="s">
        <v>585</v>
      </c>
      <c r="D738" s="22" t="s">
        <v>17</v>
      </c>
      <c r="E738" s="43">
        <v>0.1176</v>
      </c>
      <c r="F738" s="12" t="s">
        <v>18</v>
      </c>
      <c r="G738" s="12">
        <v>55.7</v>
      </c>
      <c r="H738" s="12">
        <v>38.64</v>
      </c>
      <c r="I738" s="12">
        <v>162.54</v>
      </c>
      <c r="J738" s="12">
        <v>162.16</v>
      </c>
      <c r="K738" s="12" t="s">
        <v>107</v>
      </c>
      <c r="L738" s="12">
        <v>55.79</v>
      </c>
      <c r="M738" s="12">
        <v>38.71</v>
      </c>
      <c r="N738" s="12">
        <v>162.67</v>
      </c>
      <c r="O738" s="35">
        <v>162.35</v>
      </c>
      <c r="P738" s="8"/>
      <c r="Q738" s="12" t="s">
        <v>90</v>
      </c>
      <c r="R738" s="6"/>
      <c r="S738" s="6"/>
      <c r="T738" s="6"/>
      <c r="U738" s="6"/>
      <c r="V738" s="6"/>
    </row>
    <row r="739">
      <c r="A739" s="15">
        <v>46302.80616432871</v>
      </c>
      <c r="B739" s="8" t="str">
        <f t="shared" si="1"/>
        <v>242596</v>
      </c>
      <c r="C739" s="23" t="s">
        <v>620</v>
      </c>
      <c r="D739" s="23" t="s">
        <v>17</v>
      </c>
      <c r="E739" s="42">
        <v>0.0789</v>
      </c>
      <c r="F739" s="12" t="s">
        <v>18</v>
      </c>
      <c r="G739" s="12">
        <v>48.9</v>
      </c>
      <c r="H739" s="12">
        <v>41.48</v>
      </c>
      <c r="I739" s="12">
        <v>147.97</v>
      </c>
      <c r="J739" s="12">
        <v>147.97</v>
      </c>
      <c r="K739" s="12" t="s">
        <v>107</v>
      </c>
      <c r="L739" s="12">
        <v>48.98</v>
      </c>
      <c r="M739" s="12">
        <v>41.55</v>
      </c>
      <c r="N739" s="12">
        <v>148.21</v>
      </c>
      <c r="O739" s="12">
        <v>148.21</v>
      </c>
      <c r="P739" s="8"/>
      <c r="Q739" s="12" t="s">
        <v>90</v>
      </c>
      <c r="R739" s="6"/>
      <c r="S739" s="6"/>
      <c r="T739" s="6"/>
      <c r="U739" s="6"/>
      <c r="V739" s="6"/>
    </row>
    <row r="740">
      <c r="A740" s="15">
        <v>46302.80706435185</v>
      </c>
      <c r="B740" s="8" t="str">
        <f t="shared" si="1"/>
        <v>149598</v>
      </c>
      <c r="C740" s="22" t="s">
        <v>621</v>
      </c>
      <c r="D740" s="22" t="s">
        <v>17</v>
      </c>
      <c r="E740" s="43">
        <v>0.0549</v>
      </c>
      <c r="F740" s="12" t="s">
        <v>18</v>
      </c>
      <c r="G740" s="12">
        <v>52.46</v>
      </c>
      <c r="H740" s="12">
        <v>40.45</v>
      </c>
      <c r="I740" s="12">
        <v>153.66</v>
      </c>
      <c r="J740" s="12">
        <v>153.76</v>
      </c>
      <c r="K740" s="12" t="s">
        <v>107</v>
      </c>
      <c r="L740" s="12">
        <v>52.52</v>
      </c>
      <c r="M740" s="12">
        <v>40.67</v>
      </c>
      <c r="N740" s="12">
        <v>153.87</v>
      </c>
      <c r="O740" s="12">
        <v>153.7</v>
      </c>
      <c r="P740" s="8"/>
      <c r="Q740" s="12" t="s">
        <v>90</v>
      </c>
      <c r="R740" s="6"/>
      <c r="S740" s="6"/>
      <c r="T740" s="6"/>
      <c r="U740" s="6"/>
      <c r="V740" s="6"/>
    </row>
    <row r="741">
      <c r="A741" s="15">
        <v>46302.807771990745</v>
      </c>
      <c r="B741" s="8" t="str">
        <f t="shared" si="1"/>
        <v>241387</v>
      </c>
      <c r="C741" s="23" t="s">
        <v>622</v>
      </c>
      <c r="D741" s="23" t="s">
        <v>17</v>
      </c>
      <c r="E741" s="42">
        <v>0.037</v>
      </c>
      <c r="F741" s="12" t="s">
        <v>18</v>
      </c>
      <c r="G741" s="12">
        <v>51.34</v>
      </c>
      <c r="H741" s="12">
        <v>36.47</v>
      </c>
      <c r="I741" s="12">
        <v>147.35</v>
      </c>
      <c r="J741" s="12">
        <v>147.08</v>
      </c>
      <c r="K741" s="12" t="s">
        <v>107</v>
      </c>
      <c r="L741" s="12">
        <v>51.38</v>
      </c>
      <c r="M741" s="12">
        <v>36.68</v>
      </c>
      <c r="N741" s="12">
        <v>147.38</v>
      </c>
      <c r="O741" s="12">
        <v>147.53</v>
      </c>
      <c r="P741" s="8"/>
      <c r="Q741" s="12" t="s">
        <v>90</v>
      </c>
      <c r="R741" s="6"/>
      <c r="S741" s="6"/>
      <c r="T741" s="6"/>
      <c r="U741" s="6"/>
      <c r="V741" s="6"/>
    </row>
    <row r="742">
      <c r="A742" s="15">
        <v>46302.80850881945</v>
      </c>
      <c r="B742" s="8" t="str">
        <f t="shared" si="1"/>
        <v>238757</v>
      </c>
      <c r="C742" s="131" t="s">
        <v>623</v>
      </c>
      <c r="D742" s="132" t="s">
        <v>17</v>
      </c>
      <c r="E742" s="9"/>
      <c r="F742" s="12" t="s">
        <v>18</v>
      </c>
      <c r="G742" s="12">
        <v>54.32</v>
      </c>
      <c r="H742" s="12">
        <v>38.75</v>
      </c>
      <c r="I742" s="12">
        <v>155.71</v>
      </c>
      <c r="J742" s="12">
        <v>155.71</v>
      </c>
      <c r="K742" s="12" t="s">
        <v>107</v>
      </c>
      <c r="L742" s="12">
        <v>54.4</v>
      </c>
      <c r="M742" s="12">
        <v>38.8</v>
      </c>
      <c r="N742" s="12">
        <v>155.92</v>
      </c>
      <c r="O742" s="12">
        <v>155.92</v>
      </c>
      <c r="P742" s="8"/>
      <c r="Q742" s="12" t="s">
        <v>90</v>
      </c>
      <c r="R742" s="6"/>
      <c r="S742" s="6"/>
      <c r="T742" s="6"/>
      <c r="U742" s="6"/>
      <c r="V742" s="6"/>
    </row>
    <row r="743">
      <c r="A743" s="15">
        <v>46302.809874224535</v>
      </c>
      <c r="B743" s="8" t="str">
        <f t="shared" si="1"/>
        <v>151705</v>
      </c>
      <c r="C743" s="131" t="s">
        <v>624</v>
      </c>
      <c r="D743" s="132" t="s">
        <v>17</v>
      </c>
      <c r="E743" s="9"/>
      <c r="F743" s="12" t="s">
        <v>18</v>
      </c>
      <c r="G743" s="12">
        <v>50.48</v>
      </c>
      <c r="H743" s="12">
        <v>43.12</v>
      </c>
      <c r="I743" s="12">
        <v>152.86</v>
      </c>
      <c r="J743" s="12">
        <v>152.86</v>
      </c>
      <c r="K743" s="12" t="s">
        <v>107</v>
      </c>
      <c r="L743" s="12">
        <v>50.57</v>
      </c>
      <c r="M743" s="12">
        <v>43.34</v>
      </c>
      <c r="N743" s="12">
        <v>153.52</v>
      </c>
      <c r="O743" s="12">
        <v>153.52</v>
      </c>
      <c r="P743" s="8"/>
      <c r="Q743" s="12" t="s">
        <v>90</v>
      </c>
      <c r="R743" s="6"/>
      <c r="S743" s="6"/>
      <c r="T743" s="6"/>
      <c r="U743" s="6"/>
      <c r="V743" s="6"/>
    </row>
    <row r="744">
      <c r="A744" s="15">
        <v>46302.812418182875</v>
      </c>
      <c r="B744" s="8" t="str">
        <f t="shared" si="1"/>
        <v>234798</v>
      </c>
      <c r="C744" s="131" t="s">
        <v>625</v>
      </c>
      <c r="D744" s="132" t="s">
        <v>32</v>
      </c>
      <c r="E744" s="9"/>
      <c r="F744" s="12" t="s">
        <v>18</v>
      </c>
      <c r="G744" s="12">
        <v>52.08</v>
      </c>
      <c r="H744" s="12">
        <v>44.26</v>
      </c>
      <c r="I744" s="12">
        <v>156.26</v>
      </c>
      <c r="J744" s="12">
        <v>155.91</v>
      </c>
      <c r="K744" s="12" t="s">
        <v>107</v>
      </c>
      <c r="L744" s="12">
        <v>51.34</v>
      </c>
      <c r="M744" s="12">
        <v>44.05</v>
      </c>
      <c r="N744" s="12">
        <v>154.73</v>
      </c>
      <c r="O744" s="12">
        <v>154.37</v>
      </c>
      <c r="P744" s="8"/>
      <c r="Q744" s="12" t="s">
        <v>90</v>
      </c>
      <c r="R744" s="6"/>
      <c r="S744" s="6"/>
      <c r="T744" s="6"/>
      <c r="U744" s="6"/>
      <c r="V744" s="6"/>
    </row>
    <row r="745">
      <c r="A745" s="15">
        <v>46302.81368795139</v>
      </c>
      <c r="B745" s="8" t="str">
        <f t="shared" si="1"/>
        <v>237932</v>
      </c>
      <c r="C745" s="131" t="s">
        <v>626</v>
      </c>
      <c r="D745" s="132" t="s">
        <v>32</v>
      </c>
      <c r="E745" s="9"/>
      <c r="F745" s="12" t="s">
        <v>18</v>
      </c>
      <c r="G745" s="12">
        <v>47.17</v>
      </c>
      <c r="H745" s="12">
        <v>43.56</v>
      </c>
      <c r="I745" s="12">
        <v>145.41</v>
      </c>
      <c r="J745" s="12">
        <v>146.16</v>
      </c>
      <c r="K745" s="12" t="s">
        <v>107</v>
      </c>
      <c r="L745" s="12">
        <v>46.75</v>
      </c>
      <c r="M745" s="12">
        <v>43.44</v>
      </c>
      <c r="N745" s="12">
        <v>145.38</v>
      </c>
      <c r="O745" s="12">
        <v>145.2</v>
      </c>
      <c r="P745" s="8"/>
      <c r="Q745" s="12" t="s">
        <v>90</v>
      </c>
      <c r="R745" s="6"/>
      <c r="S745" s="6"/>
      <c r="T745" s="6"/>
      <c r="U745" s="6"/>
      <c r="V745" s="6"/>
    </row>
    <row r="746">
      <c r="A746" s="15">
        <v>46302.82917752315</v>
      </c>
      <c r="B746" s="8" t="str">
        <f t="shared" si="1"/>
        <v>240554</v>
      </c>
      <c r="C746" s="10" t="s">
        <v>627</v>
      </c>
      <c r="D746" s="10" t="s">
        <v>628</v>
      </c>
      <c r="E746" s="9"/>
      <c r="F746" s="12" t="s">
        <v>18</v>
      </c>
      <c r="G746" s="12">
        <v>52.36</v>
      </c>
      <c r="H746" s="12">
        <v>40.59</v>
      </c>
      <c r="I746" s="12">
        <v>154.89</v>
      </c>
      <c r="J746" s="12">
        <v>154.89</v>
      </c>
      <c r="K746" s="12" t="s">
        <v>19</v>
      </c>
      <c r="L746" s="12">
        <v>52.36</v>
      </c>
      <c r="M746" s="12">
        <v>41.05</v>
      </c>
      <c r="N746" s="12">
        <v>155.63</v>
      </c>
      <c r="O746" s="12">
        <v>155.63</v>
      </c>
      <c r="P746" s="8"/>
      <c r="Q746" s="12" t="s">
        <v>90</v>
      </c>
      <c r="R746" s="6"/>
      <c r="S746" s="6"/>
      <c r="T746" s="6"/>
      <c r="U746" s="6"/>
      <c r="V746" s="6"/>
    </row>
    <row r="747">
      <c r="A747" s="15">
        <v>46302.0</v>
      </c>
      <c r="B747" s="8" t="str">
        <f t="shared" si="1"/>
        <v>246852</v>
      </c>
      <c r="C747" s="10" t="s">
        <v>629</v>
      </c>
      <c r="D747" s="10" t="s">
        <v>628</v>
      </c>
      <c r="E747" s="9"/>
      <c r="F747" s="12" t="s">
        <v>18</v>
      </c>
      <c r="G747" s="8"/>
      <c r="H747" s="8"/>
      <c r="I747" s="8"/>
      <c r="J747" s="8"/>
      <c r="K747" s="12" t="s">
        <v>19</v>
      </c>
      <c r="L747" s="12">
        <v>50.15</v>
      </c>
      <c r="M747" s="12">
        <v>43.39</v>
      </c>
      <c r="N747" s="12">
        <v>148.99</v>
      </c>
      <c r="O747" s="12">
        <v>149.24</v>
      </c>
      <c r="P747" s="8"/>
      <c r="Q747" s="12" t="s">
        <v>90</v>
      </c>
      <c r="R747" s="6"/>
      <c r="S747" s="6"/>
      <c r="T747" s="6"/>
      <c r="U747" s="6"/>
      <c r="V747" s="6"/>
    </row>
    <row r="748">
      <c r="A748" s="15">
        <v>46302.0</v>
      </c>
      <c r="B748" s="8" t="str">
        <f t="shared" si="1"/>
        <v>207370</v>
      </c>
      <c r="C748" s="10" t="s">
        <v>573</v>
      </c>
      <c r="D748" s="10" t="s">
        <v>628</v>
      </c>
      <c r="E748" s="9"/>
      <c r="F748" s="12" t="s">
        <v>18</v>
      </c>
      <c r="G748" s="12">
        <v>51.64</v>
      </c>
      <c r="H748" s="12">
        <v>43.18</v>
      </c>
      <c r="I748" s="12">
        <v>156.65</v>
      </c>
      <c r="J748" s="12">
        <v>157.17</v>
      </c>
      <c r="K748" s="12" t="s">
        <v>19</v>
      </c>
      <c r="L748" s="12">
        <v>51.9</v>
      </c>
      <c r="M748" s="12">
        <v>43.2</v>
      </c>
      <c r="N748" s="12">
        <v>157.15</v>
      </c>
      <c r="O748" s="12">
        <v>157.15</v>
      </c>
      <c r="P748" s="8"/>
      <c r="Q748" s="12" t="s">
        <v>90</v>
      </c>
      <c r="R748" s="6"/>
      <c r="S748" s="6"/>
      <c r="T748" s="6"/>
      <c r="U748" s="6"/>
      <c r="V748" s="6"/>
    </row>
    <row r="749">
      <c r="A749" s="15">
        <v>46302.0</v>
      </c>
      <c r="B749" s="8" t="str">
        <f t="shared" si="1"/>
        <v>241183</v>
      </c>
      <c r="C749" s="10" t="s">
        <v>630</v>
      </c>
      <c r="D749" s="10" t="s">
        <v>628</v>
      </c>
      <c r="E749" s="9"/>
      <c r="F749" s="12" t="s">
        <v>18</v>
      </c>
      <c r="G749" s="12">
        <v>49.88</v>
      </c>
      <c r="H749" s="12">
        <v>38.9</v>
      </c>
      <c r="I749" s="8"/>
      <c r="J749" s="8"/>
      <c r="K749" s="12" t="s">
        <v>19</v>
      </c>
      <c r="L749" s="12">
        <v>49.94</v>
      </c>
      <c r="M749" s="12">
        <v>39.12</v>
      </c>
      <c r="N749" s="12">
        <v>148.36</v>
      </c>
      <c r="O749" s="12">
        <v>147.87</v>
      </c>
      <c r="P749" s="8"/>
      <c r="Q749" s="12" t="s">
        <v>90</v>
      </c>
      <c r="R749" s="6"/>
      <c r="S749" s="6"/>
      <c r="T749" s="6"/>
      <c r="U749" s="6"/>
      <c r="V749" s="6"/>
    </row>
    <row r="750">
      <c r="A750" s="15">
        <v>46303.8333846412</v>
      </c>
      <c r="B750" s="8" t="str">
        <f t="shared" si="1"/>
        <v>241805</v>
      </c>
      <c r="C750" s="39" t="s">
        <v>631</v>
      </c>
      <c r="D750" s="39" t="s">
        <v>32</v>
      </c>
      <c r="E750" s="40">
        <v>0.4286</v>
      </c>
      <c r="F750" s="12" t="s">
        <v>18</v>
      </c>
      <c r="G750" s="12">
        <v>57.95</v>
      </c>
      <c r="H750" s="12">
        <v>48.72</v>
      </c>
      <c r="I750" s="12">
        <v>175.65</v>
      </c>
      <c r="J750" s="12">
        <v>175.72</v>
      </c>
      <c r="K750" s="12" t="s">
        <v>19</v>
      </c>
      <c r="L750" s="12">
        <v>57.42</v>
      </c>
      <c r="M750" s="12">
        <v>48.63</v>
      </c>
      <c r="N750" s="12">
        <v>174.71</v>
      </c>
      <c r="O750" s="12">
        <v>174.71</v>
      </c>
      <c r="P750" s="8"/>
      <c r="Q750" s="12" t="s">
        <v>90</v>
      </c>
      <c r="R750" s="6"/>
      <c r="S750" s="6"/>
      <c r="T750" s="6"/>
      <c r="U750" s="6"/>
      <c r="V750" s="6"/>
    </row>
    <row r="751">
      <c r="A751" s="15">
        <v>46303.836582442134</v>
      </c>
      <c r="B751" s="8" t="str">
        <f t="shared" si="1"/>
        <v>241120</v>
      </c>
      <c r="C751" s="39" t="s">
        <v>632</v>
      </c>
      <c r="D751" s="39" t="s">
        <v>32</v>
      </c>
      <c r="E751" s="40">
        <v>0.3077</v>
      </c>
      <c r="F751" s="12" t="s">
        <v>18</v>
      </c>
      <c r="G751" s="12">
        <v>56.5</v>
      </c>
      <c r="H751" s="12">
        <v>39.29</v>
      </c>
      <c r="I751" s="12">
        <v>163.74</v>
      </c>
      <c r="J751" s="12">
        <v>164.38</v>
      </c>
      <c r="K751" s="12" t="s">
        <v>19</v>
      </c>
      <c r="L751" s="12">
        <v>55.95</v>
      </c>
      <c r="M751" s="12">
        <v>39.02</v>
      </c>
      <c r="N751" s="12">
        <v>163.74</v>
      </c>
      <c r="O751" s="12">
        <v>162.96</v>
      </c>
      <c r="P751" s="8"/>
      <c r="Q751" s="12" t="s">
        <v>90</v>
      </c>
      <c r="R751" s="6"/>
      <c r="S751" s="6"/>
      <c r="T751" s="6"/>
      <c r="U751" s="6"/>
      <c r="V751" s="6"/>
    </row>
    <row r="752">
      <c r="A752" s="15">
        <v>46303.0</v>
      </c>
      <c r="B752" s="8" t="str">
        <f t="shared" si="1"/>
        <v>234768</v>
      </c>
      <c r="C752" s="129" t="s">
        <v>544</v>
      </c>
      <c r="D752" s="129" t="s">
        <v>32</v>
      </c>
      <c r="E752" s="130">
        <v>0.25</v>
      </c>
      <c r="F752" s="133" t="s">
        <v>18</v>
      </c>
      <c r="G752" s="134"/>
      <c r="H752" s="134"/>
      <c r="I752" s="134"/>
      <c r="J752" s="134"/>
      <c r="K752" s="133" t="s">
        <v>19</v>
      </c>
      <c r="L752" s="134"/>
      <c r="M752" s="134"/>
      <c r="N752" s="134"/>
      <c r="O752" s="134"/>
      <c r="P752" s="8"/>
      <c r="Q752" s="12" t="s">
        <v>90</v>
      </c>
      <c r="R752" s="6"/>
      <c r="S752" s="6"/>
      <c r="T752" s="6"/>
      <c r="U752" s="6"/>
      <c r="V752" s="6"/>
    </row>
    <row r="753">
      <c r="A753" s="15">
        <v>46303.0</v>
      </c>
      <c r="B753" s="8" t="str">
        <f t="shared" si="1"/>
        <v>215405</v>
      </c>
      <c r="C753" s="39" t="s">
        <v>591</v>
      </c>
      <c r="D753" s="39" t="s">
        <v>32</v>
      </c>
      <c r="E753" s="40">
        <v>0.2083</v>
      </c>
      <c r="F753" s="12" t="s">
        <v>18</v>
      </c>
      <c r="G753" s="12">
        <v>53.43</v>
      </c>
      <c r="H753" s="12">
        <v>38.78</v>
      </c>
      <c r="I753" s="12">
        <v>149.51</v>
      </c>
      <c r="J753" s="12">
        <v>149.51</v>
      </c>
      <c r="K753" s="12" t="s">
        <v>19</v>
      </c>
      <c r="L753" s="12">
        <v>53.21</v>
      </c>
      <c r="M753" s="12">
        <v>38.58</v>
      </c>
      <c r="N753" s="12">
        <v>148.85</v>
      </c>
      <c r="O753" s="12">
        <v>148.85</v>
      </c>
      <c r="P753" s="8"/>
      <c r="Q753" s="12" t="s">
        <v>90</v>
      </c>
      <c r="R753" s="6"/>
      <c r="S753" s="6"/>
      <c r="T753" s="6"/>
      <c r="U753" s="6"/>
      <c r="V753" s="6"/>
    </row>
    <row r="754">
      <c r="A754" s="15">
        <v>46303.0</v>
      </c>
      <c r="B754" s="8" t="str">
        <f t="shared" si="1"/>
        <v>241078</v>
      </c>
      <c r="C754" s="39" t="s">
        <v>633</v>
      </c>
      <c r="D754" s="39" t="s">
        <v>32</v>
      </c>
      <c r="E754" s="40">
        <v>0.2</v>
      </c>
      <c r="F754" s="12" t="s">
        <v>18</v>
      </c>
      <c r="G754" s="12">
        <v>59.95</v>
      </c>
      <c r="H754" s="12">
        <v>52.29</v>
      </c>
      <c r="I754" s="12">
        <v>182.4</v>
      </c>
      <c r="J754" s="12">
        <v>182.65</v>
      </c>
      <c r="K754" s="12" t="s">
        <v>19</v>
      </c>
      <c r="L754" s="12">
        <v>59.42</v>
      </c>
      <c r="M754" s="12">
        <v>52.17</v>
      </c>
      <c r="N754" s="12">
        <v>181.52</v>
      </c>
      <c r="O754" s="12">
        <v>181.52</v>
      </c>
      <c r="P754" s="8"/>
      <c r="Q754" s="12" t="s">
        <v>90</v>
      </c>
      <c r="R754" s="6"/>
      <c r="S754" s="6"/>
      <c r="T754" s="6"/>
      <c r="U754" s="6"/>
      <c r="V754" s="6"/>
    </row>
    <row r="755">
      <c r="A755" s="15">
        <v>46303.0</v>
      </c>
      <c r="B755" s="8" t="str">
        <f t="shared" si="1"/>
        <v>241089</v>
      </c>
      <c r="C755" s="129" t="s">
        <v>634</v>
      </c>
      <c r="D755" s="129" t="s">
        <v>17</v>
      </c>
      <c r="E755" s="130">
        <v>0.5455</v>
      </c>
      <c r="F755" s="135" t="s">
        <v>18</v>
      </c>
      <c r="G755" s="136"/>
      <c r="H755" s="136"/>
      <c r="I755" s="136"/>
      <c r="J755" s="136"/>
      <c r="K755" s="12" t="s">
        <v>19</v>
      </c>
      <c r="L755" s="134"/>
      <c r="M755" s="134"/>
      <c r="N755" s="134"/>
      <c r="O755" s="134"/>
      <c r="P755" s="8"/>
      <c r="Q755" s="12" t="s">
        <v>90</v>
      </c>
      <c r="R755" s="6"/>
      <c r="S755" s="6"/>
      <c r="T755" s="6"/>
      <c r="U755" s="6"/>
      <c r="V755" s="6"/>
    </row>
    <row r="756">
      <c r="A756" s="15">
        <v>46303.0</v>
      </c>
      <c r="B756" s="8" t="str">
        <f t="shared" si="1"/>
        <v>241129</v>
      </c>
      <c r="C756" s="39" t="s">
        <v>635</v>
      </c>
      <c r="D756" s="39" t="s">
        <v>17</v>
      </c>
      <c r="E756" s="40">
        <v>0.5</v>
      </c>
      <c r="F756" s="12" t="s">
        <v>18</v>
      </c>
      <c r="G756" s="12">
        <v>53.45</v>
      </c>
      <c r="H756" s="12">
        <v>45.23</v>
      </c>
      <c r="I756" s="12">
        <v>166.43</v>
      </c>
      <c r="J756" s="12">
        <v>166.86</v>
      </c>
      <c r="K756" s="12" t="s">
        <v>19</v>
      </c>
      <c r="L756" s="12">
        <v>53.91</v>
      </c>
      <c r="M756" s="12">
        <v>46.64</v>
      </c>
      <c r="N756" s="12">
        <v>169.31</v>
      </c>
      <c r="O756" s="12">
        <v>168.7</v>
      </c>
      <c r="P756" s="8"/>
      <c r="Q756" s="12" t="s">
        <v>90</v>
      </c>
      <c r="R756" s="6"/>
      <c r="S756" s="6"/>
      <c r="T756" s="6"/>
      <c r="U756" s="6"/>
      <c r="V756" s="6"/>
    </row>
    <row r="757">
      <c r="A757" s="15">
        <v>46303.0</v>
      </c>
      <c r="B757" s="8" t="str">
        <f t="shared" si="1"/>
        <v>242221</v>
      </c>
      <c r="C757" s="39" t="s">
        <v>500</v>
      </c>
      <c r="D757" s="39" t="s">
        <v>17</v>
      </c>
      <c r="E757" s="40">
        <v>0.4</v>
      </c>
      <c r="F757" s="12" t="s">
        <v>18</v>
      </c>
      <c r="G757" s="12">
        <v>50.71</v>
      </c>
      <c r="H757" s="12">
        <v>46.9</v>
      </c>
      <c r="I757" s="12">
        <v>156.57</v>
      </c>
      <c r="J757" s="12">
        <v>156.66</v>
      </c>
      <c r="K757" s="12" t="s">
        <v>19</v>
      </c>
      <c r="L757" s="12">
        <v>51.1</v>
      </c>
      <c r="M757" s="12">
        <v>46.98</v>
      </c>
      <c r="N757" s="12">
        <v>157.33</v>
      </c>
      <c r="O757" s="12">
        <v>157.42</v>
      </c>
      <c r="P757" s="8"/>
      <c r="Q757" s="12" t="s">
        <v>90</v>
      </c>
      <c r="R757" s="6"/>
      <c r="S757" s="6"/>
      <c r="T757" s="6"/>
      <c r="U757" s="6"/>
      <c r="V757" s="6"/>
    </row>
    <row r="758">
      <c r="A758" s="15">
        <v>46303.0</v>
      </c>
      <c r="B758" s="8" t="str">
        <f t="shared" si="1"/>
        <v>234793</v>
      </c>
      <c r="C758" s="129" t="s">
        <v>252</v>
      </c>
      <c r="D758" s="129" t="s">
        <v>17</v>
      </c>
      <c r="E758" s="130">
        <v>0.3571</v>
      </c>
      <c r="F758" s="133" t="s">
        <v>18</v>
      </c>
      <c r="G758" s="134"/>
      <c r="H758" s="134"/>
      <c r="I758" s="134"/>
      <c r="J758" s="134"/>
      <c r="K758" s="133" t="s">
        <v>19</v>
      </c>
      <c r="L758" s="134"/>
      <c r="M758" s="134"/>
      <c r="N758" s="134"/>
      <c r="O758" s="134"/>
      <c r="P758" s="8"/>
      <c r="Q758" s="12" t="s">
        <v>90</v>
      </c>
      <c r="R758" s="6"/>
      <c r="S758" s="6"/>
      <c r="T758" s="6"/>
      <c r="U758" s="6"/>
      <c r="V758" s="6"/>
    </row>
    <row r="759">
      <c r="A759" s="15">
        <v>46303.0</v>
      </c>
      <c r="B759" s="8" t="str">
        <f t="shared" si="1"/>
        <v>240553</v>
      </c>
      <c r="C759" s="39" t="s">
        <v>636</v>
      </c>
      <c r="D759" s="39" t="s">
        <v>17</v>
      </c>
      <c r="E759" s="40">
        <v>0.3</v>
      </c>
      <c r="F759" s="12" t="s">
        <v>18</v>
      </c>
      <c r="G759" s="12">
        <v>50.3</v>
      </c>
      <c r="H759" s="12">
        <v>41.51</v>
      </c>
      <c r="I759" s="12">
        <v>150.27</v>
      </c>
      <c r="J759" s="12">
        <v>150.36</v>
      </c>
      <c r="K759" s="12" t="s">
        <v>19</v>
      </c>
      <c r="L759" s="12">
        <v>50.52</v>
      </c>
      <c r="M759" s="12">
        <v>41.84</v>
      </c>
      <c r="N759" s="12">
        <v>151.16</v>
      </c>
      <c r="O759" s="12">
        <v>151.16</v>
      </c>
      <c r="P759" s="8"/>
      <c r="Q759" s="12" t="s">
        <v>90</v>
      </c>
      <c r="R759" s="6"/>
      <c r="S759" s="6"/>
      <c r="T759" s="6"/>
      <c r="U759" s="6"/>
      <c r="V759" s="6"/>
    </row>
    <row r="760">
      <c r="A760" s="15">
        <v>46303.0</v>
      </c>
      <c r="B760" s="8" t="str">
        <f t="shared" si="1"/>
        <v>241855</v>
      </c>
      <c r="C760" s="39" t="s">
        <v>637</v>
      </c>
      <c r="D760" s="39" t="s">
        <v>17</v>
      </c>
      <c r="E760" s="40">
        <v>0.3</v>
      </c>
      <c r="F760" s="12" t="s">
        <v>18</v>
      </c>
      <c r="G760" s="12">
        <v>50.61</v>
      </c>
      <c r="H760" s="12">
        <v>40.03</v>
      </c>
      <c r="I760" s="12">
        <v>152.54</v>
      </c>
      <c r="J760" s="12">
        <v>152.54</v>
      </c>
      <c r="K760" s="12" t="s">
        <v>19</v>
      </c>
      <c r="L760" s="12">
        <v>50.74</v>
      </c>
      <c r="M760" s="12">
        <v>39.98</v>
      </c>
      <c r="N760" s="12">
        <v>152.65</v>
      </c>
      <c r="O760" s="12">
        <v>153.08</v>
      </c>
      <c r="P760" s="8"/>
      <c r="Q760" s="12" t="s">
        <v>90</v>
      </c>
      <c r="R760" s="6"/>
      <c r="S760" s="6"/>
      <c r="T760" s="6"/>
      <c r="U760" s="6"/>
      <c r="V760" s="6"/>
    </row>
    <row r="761">
      <c r="A761" s="15">
        <v>46304.49766559028</v>
      </c>
      <c r="B761" s="8" t="str">
        <f t="shared" si="1"/>
        <v>240000</v>
      </c>
      <c r="C761" s="10" t="s">
        <v>387</v>
      </c>
      <c r="D761" s="9"/>
      <c r="E761" s="9"/>
      <c r="F761" s="12" t="s">
        <v>35</v>
      </c>
      <c r="G761" s="12">
        <v>56.53</v>
      </c>
      <c r="H761" s="12">
        <v>45.05</v>
      </c>
      <c r="I761" s="12">
        <v>169.76</v>
      </c>
      <c r="J761" s="12">
        <v>169.76</v>
      </c>
      <c r="K761" s="12" t="s">
        <v>19</v>
      </c>
      <c r="L761" s="12">
        <v>56.79</v>
      </c>
      <c r="M761" s="12">
        <v>45.29</v>
      </c>
      <c r="N761" s="12">
        <v>170.63</v>
      </c>
      <c r="O761" s="12">
        <v>170.63</v>
      </c>
      <c r="P761" s="12" t="s">
        <v>17</v>
      </c>
      <c r="Q761" s="12" t="s">
        <v>20</v>
      </c>
      <c r="R761" s="6"/>
      <c r="S761" s="6"/>
      <c r="T761" s="6"/>
      <c r="U761" s="6"/>
      <c r="V761" s="6"/>
    </row>
    <row r="762">
      <c r="A762" s="15">
        <v>46304.71860703704</v>
      </c>
      <c r="B762" s="8" t="str">
        <f t="shared" si="1"/>
        <v>240552</v>
      </c>
      <c r="C762" s="10" t="s">
        <v>638</v>
      </c>
      <c r="D762" s="10" t="s">
        <v>17</v>
      </c>
      <c r="E762" s="9"/>
      <c r="F762" s="12" t="s">
        <v>18</v>
      </c>
      <c r="G762" s="12">
        <v>52.58</v>
      </c>
      <c r="H762" s="12">
        <v>38.81</v>
      </c>
      <c r="I762" s="12">
        <v>153.8</v>
      </c>
      <c r="J762" s="12">
        <v>154.63</v>
      </c>
      <c r="K762" s="12" t="s">
        <v>19</v>
      </c>
      <c r="L762" s="12">
        <v>53.04</v>
      </c>
      <c r="M762" s="12">
        <v>39.13</v>
      </c>
      <c r="N762" s="12">
        <v>154.99</v>
      </c>
      <c r="O762" s="12">
        <v>155.25</v>
      </c>
      <c r="P762" s="12" t="s">
        <v>17</v>
      </c>
      <c r="Q762" s="12" t="s">
        <v>543</v>
      </c>
      <c r="R762" s="6"/>
      <c r="S762" s="6"/>
      <c r="T762" s="6"/>
      <c r="U762" s="6"/>
      <c r="V762" s="6"/>
    </row>
    <row r="763">
      <c r="A763" s="15">
        <v>46304.870157488425</v>
      </c>
      <c r="B763" s="8" t="str">
        <f t="shared" si="1"/>
        <v>239999</v>
      </c>
      <c r="C763" s="10" t="s">
        <v>315</v>
      </c>
      <c r="D763" s="10" t="s">
        <v>17</v>
      </c>
      <c r="E763" s="9"/>
      <c r="F763" s="12" t="s">
        <v>35</v>
      </c>
      <c r="G763" s="12">
        <v>56.37</v>
      </c>
      <c r="H763" s="12">
        <v>45.12</v>
      </c>
      <c r="I763" s="12">
        <v>169.2</v>
      </c>
      <c r="J763" s="12">
        <v>169.2</v>
      </c>
      <c r="K763" s="12" t="s">
        <v>107</v>
      </c>
      <c r="L763" s="12">
        <v>56.55</v>
      </c>
      <c r="M763" s="12">
        <v>45.28</v>
      </c>
      <c r="N763" s="12">
        <v>169.79</v>
      </c>
      <c r="O763" s="12">
        <v>169.72</v>
      </c>
      <c r="P763" s="12" t="s">
        <v>17</v>
      </c>
      <c r="Q763" s="12" t="s">
        <v>543</v>
      </c>
      <c r="R763" s="6"/>
      <c r="S763" s="6"/>
      <c r="T763" s="6"/>
      <c r="U763" s="6"/>
      <c r="V763" s="6"/>
    </row>
    <row r="764">
      <c r="A764" s="15">
        <v>46305.312898958335</v>
      </c>
      <c r="B764" s="8" t="str">
        <f t="shared" si="1"/>
        <v>240000</v>
      </c>
      <c r="C764" s="10">
        <v>240000.0</v>
      </c>
      <c r="D764" s="9"/>
      <c r="E764" s="9"/>
      <c r="F764" s="12" t="s">
        <v>35</v>
      </c>
      <c r="G764" s="12">
        <v>56.53</v>
      </c>
      <c r="H764" s="12">
        <v>45.05</v>
      </c>
      <c r="I764" s="12">
        <v>169.76</v>
      </c>
      <c r="J764" s="12">
        <v>169.76</v>
      </c>
      <c r="K764" s="12" t="s">
        <v>19</v>
      </c>
      <c r="L764" s="12">
        <v>57.29</v>
      </c>
      <c r="M764" s="12">
        <v>44.8</v>
      </c>
      <c r="N764" s="12">
        <v>170.62</v>
      </c>
      <c r="O764" s="12">
        <v>170.62</v>
      </c>
      <c r="P764" s="8"/>
      <c r="Q764" s="12" t="s">
        <v>20</v>
      </c>
      <c r="R764" s="6"/>
      <c r="S764" s="6"/>
      <c r="T764" s="6"/>
      <c r="U764" s="6"/>
      <c r="V764" s="6"/>
    </row>
    <row r="765">
      <c r="A765" s="15">
        <v>46305.33540324074</v>
      </c>
      <c r="B765" s="8" t="str">
        <f t="shared" si="1"/>
        <v>240000</v>
      </c>
      <c r="C765" s="10" t="s">
        <v>353</v>
      </c>
      <c r="D765" s="9"/>
      <c r="E765" s="9"/>
      <c r="F765" s="12" t="s">
        <v>35</v>
      </c>
      <c r="G765" s="12">
        <v>56.68</v>
      </c>
      <c r="H765" s="12">
        <v>44.71</v>
      </c>
      <c r="I765" s="12">
        <v>169.5</v>
      </c>
      <c r="J765" s="12">
        <v>169.5</v>
      </c>
      <c r="K765" s="12" t="s">
        <v>19</v>
      </c>
      <c r="L765" s="12">
        <v>56.8</v>
      </c>
      <c r="M765" s="12">
        <v>44.98</v>
      </c>
      <c r="N765" s="12">
        <v>170.26</v>
      </c>
      <c r="O765" s="12">
        <v>170.26</v>
      </c>
      <c r="P765" s="8"/>
      <c r="Q765" s="12" t="s">
        <v>20</v>
      </c>
      <c r="R765" s="6"/>
      <c r="S765" s="6"/>
      <c r="T765" s="6"/>
      <c r="U765" s="6"/>
      <c r="V765" s="6"/>
    </row>
    <row r="766">
      <c r="A766" s="15">
        <v>46305.48056552083</v>
      </c>
      <c r="B766" s="8" t="str">
        <f t="shared" si="1"/>
        <v>241115</v>
      </c>
      <c r="C766" s="10" t="s">
        <v>639</v>
      </c>
      <c r="D766" s="10" t="s">
        <v>22</v>
      </c>
      <c r="E766" s="9"/>
      <c r="F766" s="12" t="s">
        <v>18</v>
      </c>
      <c r="G766" s="12">
        <v>54.77</v>
      </c>
      <c r="H766" s="12">
        <v>36.33</v>
      </c>
      <c r="I766" s="12">
        <v>154.95</v>
      </c>
      <c r="J766" s="12">
        <v>154.95</v>
      </c>
      <c r="K766" s="12" t="s">
        <v>19</v>
      </c>
      <c r="L766" s="12">
        <v>55.3</v>
      </c>
      <c r="M766" s="12">
        <v>34.53</v>
      </c>
      <c r="N766" s="12">
        <v>149.41</v>
      </c>
      <c r="O766" s="12">
        <v>149.52</v>
      </c>
      <c r="P766" s="8"/>
      <c r="Q766" s="12" t="s">
        <v>20</v>
      </c>
      <c r="R766" s="6"/>
      <c r="S766" s="6"/>
      <c r="T766" s="6"/>
      <c r="U766" s="6"/>
      <c r="V766" s="6"/>
    </row>
    <row r="767">
      <c r="A767" s="15">
        <v>46305.508994247684</v>
      </c>
      <c r="B767" s="8" t="str">
        <f t="shared" si="1"/>
        <v>238757</v>
      </c>
      <c r="C767" s="10" t="s">
        <v>496</v>
      </c>
      <c r="D767" s="9"/>
      <c r="E767" s="9"/>
      <c r="F767" s="12" t="s">
        <v>18</v>
      </c>
      <c r="G767" s="12">
        <v>54.12</v>
      </c>
      <c r="H767" s="12">
        <v>38.95</v>
      </c>
      <c r="I767" s="12">
        <v>155.44</v>
      </c>
      <c r="J767" s="12">
        <v>155.44</v>
      </c>
      <c r="K767" s="12" t="s">
        <v>19</v>
      </c>
      <c r="L767" s="12">
        <v>54.3</v>
      </c>
      <c r="M767" s="12">
        <v>39.31</v>
      </c>
      <c r="N767" s="12">
        <v>156.46</v>
      </c>
      <c r="O767" s="12">
        <v>156.68</v>
      </c>
      <c r="P767" s="8"/>
      <c r="Q767" s="12" t="s">
        <v>20</v>
      </c>
      <c r="R767" s="6"/>
      <c r="S767" s="6"/>
      <c r="T767" s="6"/>
      <c r="U767" s="6"/>
      <c r="V767" s="6"/>
    </row>
    <row r="768">
      <c r="A768" s="15">
        <v>46305.51578069445</v>
      </c>
      <c r="B768" s="8" t="str">
        <f t="shared" si="1"/>
        <v>216742</v>
      </c>
      <c r="C768" s="10" t="s">
        <v>640</v>
      </c>
      <c r="D768" s="10" t="s">
        <v>17</v>
      </c>
      <c r="E768" s="9"/>
      <c r="F768" s="12" t="s">
        <v>18</v>
      </c>
      <c r="G768" s="12">
        <v>52.1</v>
      </c>
      <c r="H768" s="12">
        <v>36.1</v>
      </c>
      <c r="I768" s="12">
        <v>150.96</v>
      </c>
      <c r="J768" s="12">
        <v>150.63</v>
      </c>
      <c r="K768" s="12" t="s">
        <v>19</v>
      </c>
      <c r="L768" s="12">
        <v>52.4</v>
      </c>
      <c r="M768" s="12">
        <v>36.45</v>
      </c>
      <c r="N768" s="12">
        <v>152.05</v>
      </c>
      <c r="O768" s="12">
        <v>150.27</v>
      </c>
      <c r="P768" s="8"/>
      <c r="Q768" s="12" t="s">
        <v>20</v>
      </c>
      <c r="R768" s="6"/>
      <c r="S768" s="6"/>
      <c r="T768" s="6"/>
      <c r="U768" s="6"/>
      <c r="V768" s="6"/>
    </row>
    <row r="769">
      <c r="A769" s="15">
        <v>46305.55789349537</v>
      </c>
      <c r="B769" s="8" t="str">
        <f t="shared" si="1"/>
        <v>255278</v>
      </c>
      <c r="C769" s="10" t="s">
        <v>641</v>
      </c>
      <c r="D769" s="10" t="s">
        <v>17</v>
      </c>
      <c r="E769" s="9"/>
      <c r="F769" s="12" t="s">
        <v>18</v>
      </c>
      <c r="G769" s="12">
        <v>50.55</v>
      </c>
      <c r="H769" s="12">
        <v>39.91</v>
      </c>
      <c r="I769" s="12">
        <v>152.4</v>
      </c>
      <c r="J769" s="12">
        <v>152.5</v>
      </c>
      <c r="K769" s="12" t="s">
        <v>19</v>
      </c>
      <c r="L769" s="12">
        <v>50.9</v>
      </c>
      <c r="M769" s="12">
        <v>40.16</v>
      </c>
      <c r="N769" s="12">
        <v>153.35</v>
      </c>
      <c r="O769" s="12">
        <v>153.62</v>
      </c>
      <c r="P769" s="8"/>
      <c r="Q769" s="12" t="s">
        <v>20</v>
      </c>
      <c r="R769" s="6"/>
      <c r="S769" s="6"/>
      <c r="T769" s="6"/>
      <c r="U769" s="6"/>
      <c r="V769" s="6"/>
    </row>
    <row r="770">
      <c r="A770" s="15">
        <v>46305.570559988424</v>
      </c>
      <c r="B770" s="8" t="str">
        <f t="shared" si="1"/>
        <v>234792</v>
      </c>
      <c r="C770" s="10" t="s">
        <v>642</v>
      </c>
      <c r="D770" s="10" t="s">
        <v>22</v>
      </c>
      <c r="E770" s="9"/>
      <c r="F770" s="12" t="s">
        <v>18</v>
      </c>
      <c r="G770" s="12">
        <v>47.76</v>
      </c>
      <c r="H770" s="12">
        <v>42.76</v>
      </c>
      <c r="I770" s="12">
        <v>147.19</v>
      </c>
      <c r="J770" s="12">
        <v>151.0</v>
      </c>
      <c r="K770" s="12" t="s">
        <v>19</v>
      </c>
      <c r="L770" s="12">
        <v>48.12</v>
      </c>
      <c r="M770" s="12">
        <v>41.16</v>
      </c>
      <c r="N770" s="12">
        <v>144.54</v>
      </c>
      <c r="O770" s="12">
        <v>144.74</v>
      </c>
      <c r="P770" s="8"/>
      <c r="Q770" s="12" t="s">
        <v>20</v>
      </c>
      <c r="R770" s="6"/>
      <c r="S770" s="6"/>
      <c r="T770" s="6"/>
      <c r="U770" s="6"/>
      <c r="V770" s="6"/>
    </row>
    <row r="771">
      <c r="A771" s="15">
        <v>46305.570559988424</v>
      </c>
      <c r="B771" s="8" t="str">
        <f t="shared" si="1"/>
        <v>241120</v>
      </c>
      <c r="C771" s="10" t="s">
        <v>632</v>
      </c>
      <c r="D771" s="10" t="s">
        <v>22</v>
      </c>
      <c r="E771" s="9"/>
      <c r="F771" s="12" t="s">
        <v>18</v>
      </c>
      <c r="G771" s="12">
        <v>56.5</v>
      </c>
      <c r="H771" s="12">
        <v>39.29</v>
      </c>
      <c r="I771" s="12">
        <v>163.74</v>
      </c>
      <c r="J771" s="12">
        <v>164.38</v>
      </c>
      <c r="K771" s="12" t="s">
        <v>19</v>
      </c>
      <c r="L771" s="12">
        <v>55.9</v>
      </c>
      <c r="M771" s="12">
        <v>39.29</v>
      </c>
      <c r="N771" s="12">
        <v>163.34</v>
      </c>
      <c r="O771" s="12">
        <v>163.34</v>
      </c>
      <c r="P771" s="12" t="s">
        <v>22</v>
      </c>
      <c r="Q771" s="12" t="s">
        <v>543</v>
      </c>
      <c r="R771" s="6"/>
      <c r="S771" s="6"/>
      <c r="T771" s="6"/>
      <c r="U771" s="6"/>
      <c r="V771" s="6"/>
    </row>
    <row r="772">
      <c r="A772" s="15">
        <v>46307.68352302084</v>
      </c>
      <c r="B772" s="8" t="str">
        <f t="shared" si="1"/>
        <v>247077</v>
      </c>
      <c r="C772" s="137" t="s">
        <v>643</v>
      </c>
      <c r="D772" s="137" t="s">
        <v>32</v>
      </c>
      <c r="E772" s="138">
        <v>0.2857</v>
      </c>
      <c r="F772" s="12" t="s">
        <v>18</v>
      </c>
      <c r="G772" s="12">
        <v>55.23</v>
      </c>
      <c r="H772" s="12">
        <v>45.62</v>
      </c>
      <c r="I772" s="12">
        <v>160.49</v>
      </c>
      <c r="J772" s="12">
        <v>160.88</v>
      </c>
      <c r="K772" s="12" t="s">
        <v>107</v>
      </c>
      <c r="L772" s="12">
        <v>54.48</v>
      </c>
      <c r="M772" s="12">
        <v>44.53</v>
      </c>
      <c r="N772" s="12">
        <v>159.14</v>
      </c>
      <c r="O772" s="12">
        <v>159.11</v>
      </c>
      <c r="P772" s="8"/>
      <c r="Q772" s="8"/>
      <c r="R772" s="6"/>
      <c r="S772" s="6"/>
      <c r="T772" s="6"/>
      <c r="U772" s="6"/>
      <c r="V772" s="6"/>
    </row>
    <row r="773">
      <c r="A773" s="15">
        <v>46307.68724835648</v>
      </c>
      <c r="B773" s="8" t="str">
        <f t="shared" si="1"/>
        <v>241115</v>
      </c>
      <c r="C773" s="137" t="s">
        <v>644</v>
      </c>
      <c r="D773" s="137" t="s">
        <v>32</v>
      </c>
      <c r="E773" s="138">
        <v>0.2727</v>
      </c>
      <c r="F773" s="12" t="s">
        <v>18</v>
      </c>
      <c r="G773" s="12">
        <v>56.14</v>
      </c>
      <c r="H773" s="12">
        <v>35.22</v>
      </c>
      <c r="I773" s="12">
        <v>149.77</v>
      </c>
      <c r="J773" s="12">
        <v>152.44</v>
      </c>
      <c r="K773" s="12" t="s">
        <v>107</v>
      </c>
      <c r="L773" s="12">
        <v>55.1</v>
      </c>
      <c r="M773" s="12">
        <v>35.1</v>
      </c>
      <c r="N773" s="12">
        <v>149.57</v>
      </c>
      <c r="O773" s="12">
        <v>149.63</v>
      </c>
      <c r="P773" s="8"/>
      <c r="Q773" s="8"/>
      <c r="R773" s="6"/>
      <c r="S773" s="6"/>
      <c r="T773" s="6"/>
      <c r="U773" s="6"/>
      <c r="V773" s="6"/>
    </row>
    <row r="774">
      <c r="A774" s="15">
        <v>46307.69942962963</v>
      </c>
      <c r="B774" s="8" t="str">
        <f t="shared" si="1"/>
        <v>239839</v>
      </c>
      <c r="C774" s="137" t="s">
        <v>645</v>
      </c>
      <c r="D774" s="137" t="s">
        <v>32</v>
      </c>
      <c r="E774" s="138">
        <v>0.2308</v>
      </c>
      <c r="F774" s="12" t="s">
        <v>18</v>
      </c>
      <c r="G774" s="12">
        <v>54.39</v>
      </c>
      <c r="H774" s="12">
        <v>35.14</v>
      </c>
      <c r="I774" s="12">
        <v>153.53</v>
      </c>
      <c r="J774" s="12">
        <v>153.6</v>
      </c>
      <c r="K774" s="12" t="s">
        <v>107</v>
      </c>
      <c r="L774" s="12">
        <v>54.2</v>
      </c>
      <c r="M774" s="12">
        <v>34.95</v>
      </c>
      <c r="N774" s="12">
        <v>153.01</v>
      </c>
      <c r="O774" s="12">
        <v>153.01</v>
      </c>
      <c r="P774" s="8"/>
      <c r="Q774" s="8"/>
      <c r="R774" s="6"/>
      <c r="S774" s="6"/>
      <c r="T774" s="6"/>
      <c r="U774" s="6"/>
      <c r="V774" s="6"/>
    </row>
    <row r="775">
      <c r="A775" s="15">
        <v>46307.700411550926</v>
      </c>
      <c r="B775" s="8" t="str">
        <f t="shared" si="1"/>
        <v>247065</v>
      </c>
      <c r="C775" s="137" t="s">
        <v>646</v>
      </c>
      <c r="D775" s="137" t="s">
        <v>32</v>
      </c>
      <c r="E775" s="138">
        <v>0.1818</v>
      </c>
      <c r="F775" s="12" t="s">
        <v>18</v>
      </c>
      <c r="G775" s="12">
        <v>55.22</v>
      </c>
      <c r="H775" s="12">
        <v>36.5</v>
      </c>
      <c r="I775" s="12">
        <v>155.08</v>
      </c>
      <c r="J775" s="12">
        <v>155.39</v>
      </c>
      <c r="K775" s="12" t="s">
        <v>107</v>
      </c>
      <c r="L775" s="12">
        <v>55.06</v>
      </c>
      <c r="M775" s="12">
        <v>36.43</v>
      </c>
      <c r="N775" s="12">
        <v>155.07</v>
      </c>
      <c r="O775" s="12">
        <v>155.07</v>
      </c>
      <c r="P775" s="8"/>
      <c r="Q775" s="8"/>
      <c r="R775" s="6"/>
      <c r="S775" s="6"/>
      <c r="T775" s="6"/>
      <c r="U775" s="6"/>
      <c r="V775" s="6"/>
    </row>
    <row r="776">
      <c r="A776" s="15">
        <v>46307.70143509259</v>
      </c>
      <c r="B776" s="8" t="str">
        <f t="shared" si="1"/>
        <v>241095</v>
      </c>
      <c r="C776" s="137" t="s">
        <v>647</v>
      </c>
      <c r="D776" s="137" t="s">
        <v>32</v>
      </c>
      <c r="E776" s="138">
        <v>0.1333</v>
      </c>
      <c r="F776" s="12" t="s">
        <v>18</v>
      </c>
      <c r="G776" s="12">
        <v>51.25</v>
      </c>
      <c r="H776" s="12">
        <v>43.62</v>
      </c>
      <c r="I776" s="12">
        <v>155.6</v>
      </c>
      <c r="J776" s="12">
        <v>155.6</v>
      </c>
      <c r="K776" s="12" t="s">
        <v>107</v>
      </c>
      <c r="L776" s="12">
        <v>51.17</v>
      </c>
      <c r="M776" s="12">
        <v>43.54</v>
      </c>
      <c r="N776" s="12">
        <v>155.31</v>
      </c>
      <c r="O776" s="12">
        <v>155.31</v>
      </c>
      <c r="P776" s="8"/>
      <c r="Q776" s="8"/>
      <c r="R776" s="6"/>
      <c r="S776" s="6"/>
      <c r="T776" s="6"/>
      <c r="U776" s="6"/>
      <c r="V776" s="6"/>
    </row>
    <row r="777">
      <c r="A777" s="15">
        <v>46307.70255923611</v>
      </c>
      <c r="B777" s="8" t="str">
        <f t="shared" si="1"/>
        <v>254395</v>
      </c>
      <c r="C777" s="137" t="s">
        <v>648</v>
      </c>
      <c r="D777" s="137" t="s">
        <v>32</v>
      </c>
      <c r="E777" s="138">
        <v>0.125</v>
      </c>
      <c r="F777" s="12" t="s">
        <v>18</v>
      </c>
      <c r="G777" s="12">
        <v>53.51</v>
      </c>
      <c r="H777" s="12">
        <v>41.29</v>
      </c>
      <c r="I777" s="12">
        <v>155.11</v>
      </c>
      <c r="J777" s="12">
        <v>155.29</v>
      </c>
      <c r="K777" s="12" t="s">
        <v>107</v>
      </c>
      <c r="L777" s="12">
        <v>53.36</v>
      </c>
      <c r="M777" s="12">
        <v>41.13</v>
      </c>
      <c r="N777" s="12">
        <v>154.87</v>
      </c>
      <c r="O777" s="12">
        <v>155.07</v>
      </c>
      <c r="P777" s="8"/>
      <c r="Q777" s="8"/>
      <c r="R777" s="6"/>
      <c r="S777" s="6"/>
      <c r="T777" s="6"/>
      <c r="U777" s="6"/>
      <c r="V777" s="6"/>
    </row>
    <row r="778">
      <c r="A778" s="15">
        <v>46307.7060715625</v>
      </c>
      <c r="B778" s="8" t="str">
        <f t="shared" si="1"/>
        <v>237934</v>
      </c>
      <c r="C778" s="137" t="s">
        <v>649</v>
      </c>
      <c r="D778" s="137" t="s">
        <v>32</v>
      </c>
      <c r="E778" s="138">
        <v>0.1143</v>
      </c>
      <c r="F778" s="12" t="s">
        <v>18</v>
      </c>
      <c r="G778" s="12">
        <v>50.74</v>
      </c>
      <c r="H778" s="12">
        <v>46.56</v>
      </c>
      <c r="I778" s="12">
        <v>157.1</v>
      </c>
      <c r="J778" s="12">
        <v>158.1</v>
      </c>
      <c r="K778" s="12" t="s">
        <v>107</v>
      </c>
      <c r="L778" s="12">
        <v>49.76</v>
      </c>
      <c r="M778" s="12">
        <v>46.54</v>
      </c>
      <c r="N778" s="12">
        <v>156.89</v>
      </c>
      <c r="O778" s="12">
        <v>156.23</v>
      </c>
      <c r="P778" s="8"/>
      <c r="Q778" s="8"/>
      <c r="R778" s="6"/>
      <c r="S778" s="6"/>
      <c r="T778" s="6"/>
      <c r="U778" s="6"/>
      <c r="V778" s="6"/>
    </row>
    <row r="779">
      <c r="A779" s="15">
        <v>46307.713896064815</v>
      </c>
      <c r="B779" s="8" t="str">
        <f t="shared" si="1"/>
        <v>241117</v>
      </c>
      <c r="C779" s="137" t="s">
        <v>650</v>
      </c>
      <c r="D779" s="137" t="s">
        <v>32</v>
      </c>
      <c r="E779" s="138">
        <v>0.1</v>
      </c>
      <c r="F779" s="12" t="s">
        <v>18</v>
      </c>
      <c r="G779" s="12">
        <v>54.65</v>
      </c>
      <c r="H779" s="12">
        <v>36.61</v>
      </c>
      <c r="I779" s="12">
        <v>154.76</v>
      </c>
      <c r="J779" s="12">
        <v>154.96</v>
      </c>
      <c r="K779" s="12" t="s">
        <v>107</v>
      </c>
      <c r="L779" s="12">
        <v>54.63</v>
      </c>
      <c r="M779" s="12">
        <v>36.04</v>
      </c>
      <c r="N779" s="12">
        <v>154.49</v>
      </c>
      <c r="O779" s="12">
        <v>153.89</v>
      </c>
      <c r="P779" s="8"/>
      <c r="Q779" s="8"/>
      <c r="R779" s="6"/>
      <c r="S779" s="6"/>
      <c r="T779" s="6"/>
      <c r="U779" s="6"/>
      <c r="V779" s="6"/>
    </row>
    <row r="780">
      <c r="A780" s="15">
        <v>46307.80435756945</v>
      </c>
      <c r="B780" s="8" t="str">
        <f t="shared" si="1"/>
        <v>241106</v>
      </c>
      <c r="C780" s="137" t="s">
        <v>651</v>
      </c>
      <c r="D780" s="137" t="s">
        <v>32</v>
      </c>
      <c r="E780" s="138">
        <v>0.0833</v>
      </c>
      <c r="F780" s="12" t="s">
        <v>18</v>
      </c>
      <c r="G780" s="12">
        <v>57.56</v>
      </c>
      <c r="H780" s="12">
        <v>42.09</v>
      </c>
      <c r="I780" s="12">
        <v>168.25</v>
      </c>
      <c r="J780" s="12">
        <v>168.39</v>
      </c>
      <c r="K780" s="12" t="s">
        <v>107</v>
      </c>
      <c r="L780" s="12">
        <v>57.39</v>
      </c>
      <c r="M780" s="12">
        <v>42.08</v>
      </c>
      <c r="N780" s="12">
        <v>167.61</v>
      </c>
      <c r="O780" s="12">
        <v>168.12</v>
      </c>
      <c r="P780" s="8"/>
      <c r="Q780" s="8"/>
      <c r="R780" s="6"/>
      <c r="S780" s="6"/>
      <c r="T780" s="6"/>
      <c r="U780" s="6"/>
      <c r="V780" s="6"/>
    </row>
    <row r="781">
      <c r="A781" s="15">
        <v>46307.83794618056</v>
      </c>
      <c r="B781" s="8" t="str">
        <f t="shared" si="1"/>
        <v>241089</v>
      </c>
      <c r="C781" s="137" t="s">
        <v>652</v>
      </c>
      <c r="D781" s="137" t="s">
        <v>32</v>
      </c>
      <c r="E781" s="138">
        <v>0.0816</v>
      </c>
      <c r="F781" s="12" t="s">
        <v>18</v>
      </c>
      <c r="G781" s="12">
        <v>60.41</v>
      </c>
      <c r="H781" s="12">
        <v>48.6</v>
      </c>
      <c r="I781" s="12">
        <v>177.35</v>
      </c>
      <c r="J781" s="12">
        <v>177.62</v>
      </c>
      <c r="K781" s="12" t="s">
        <v>107</v>
      </c>
      <c r="L781" s="12">
        <v>60.35</v>
      </c>
      <c r="M781" s="12">
        <v>48.56</v>
      </c>
      <c r="N781" s="12">
        <v>177.36</v>
      </c>
      <c r="O781" s="12">
        <v>177.47</v>
      </c>
      <c r="P781" s="8"/>
      <c r="Q781" s="8"/>
      <c r="R781" s="6"/>
      <c r="S781" s="6"/>
      <c r="T781" s="6"/>
      <c r="U781" s="6"/>
      <c r="V781" s="6"/>
    </row>
    <row r="782">
      <c r="A782" s="15">
        <v>46307.84656611111</v>
      </c>
      <c r="B782" s="8" t="str">
        <f t="shared" si="1"/>
        <v>245912</v>
      </c>
      <c r="C782" s="137" t="s">
        <v>338</v>
      </c>
      <c r="D782" s="137" t="s">
        <v>32</v>
      </c>
      <c r="E782" s="138">
        <v>0.0633</v>
      </c>
      <c r="F782" s="12" t="s">
        <v>18</v>
      </c>
      <c r="G782" s="12">
        <v>52.48</v>
      </c>
      <c r="H782" s="12">
        <v>42.5</v>
      </c>
      <c r="I782" s="12">
        <v>153.75</v>
      </c>
      <c r="J782" s="12">
        <v>154.53</v>
      </c>
      <c r="K782" s="12" t="s">
        <v>107</v>
      </c>
      <c r="L782" s="12">
        <v>52.42</v>
      </c>
      <c r="M782" s="12">
        <v>42.21</v>
      </c>
      <c r="N782" s="12">
        <v>153.32</v>
      </c>
      <c r="O782" s="12">
        <v>154.44</v>
      </c>
      <c r="P782" s="8"/>
      <c r="Q782" s="8"/>
      <c r="R782" s="6"/>
      <c r="S782" s="6"/>
      <c r="T782" s="6"/>
      <c r="U782" s="6"/>
      <c r="V782" s="6"/>
    </row>
    <row r="783">
      <c r="A783" s="15">
        <v>46307.848218009254</v>
      </c>
      <c r="B783" s="8" t="str">
        <f t="shared" si="1"/>
        <v>241188</v>
      </c>
      <c r="C783" s="137" t="s">
        <v>653</v>
      </c>
      <c r="D783" s="137" t="s">
        <v>32</v>
      </c>
      <c r="E783" s="138">
        <v>0.0556</v>
      </c>
      <c r="F783" s="12" t="s">
        <v>18</v>
      </c>
      <c r="G783" s="12">
        <v>50.13</v>
      </c>
      <c r="H783" s="12">
        <v>39.41</v>
      </c>
      <c r="I783" s="12">
        <v>149.5</v>
      </c>
      <c r="J783" s="12">
        <v>149.47</v>
      </c>
      <c r="K783" s="12" t="s">
        <v>107</v>
      </c>
      <c r="L783" s="12">
        <v>50.08</v>
      </c>
      <c r="M783" s="12">
        <v>39.36</v>
      </c>
      <c r="N783" s="12">
        <v>149.35</v>
      </c>
      <c r="O783" s="12">
        <v>149.3</v>
      </c>
      <c r="P783" s="8"/>
      <c r="Q783" s="8"/>
      <c r="R783" s="6"/>
      <c r="S783" s="6"/>
      <c r="T783" s="6"/>
      <c r="U783" s="6"/>
      <c r="V783" s="6"/>
    </row>
    <row r="784">
      <c r="A784" s="15">
        <v>46307.85364574074</v>
      </c>
      <c r="B784" s="8" t="str">
        <f t="shared" si="1"/>
        <v>201557</v>
      </c>
      <c r="C784" s="137" t="s">
        <v>654</v>
      </c>
      <c r="D784" s="137" t="s">
        <v>32</v>
      </c>
      <c r="E784" s="138">
        <v>0.049</v>
      </c>
      <c r="F784" s="12" t="s">
        <v>18</v>
      </c>
      <c r="G784" s="12">
        <v>52.23</v>
      </c>
      <c r="H784" s="12">
        <v>34.96</v>
      </c>
      <c r="I784" s="12">
        <v>147.91</v>
      </c>
      <c r="J784" s="12">
        <v>148.52</v>
      </c>
      <c r="K784" s="12" t="s">
        <v>107</v>
      </c>
      <c r="L784" s="12">
        <v>52.06</v>
      </c>
      <c r="M784" s="12">
        <v>34.84</v>
      </c>
      <c r="N784" s="12">
        <v>147.58</v>
      </c>
      <c r="O784" s="12">
        <v>148.25</v>
      </c>
      <c r="P784" s="8"/>
      <c r="Q784" s="8"/>
      <c r="R784" s="6"/>
      <c r="S784" s="6"/>
      <c r="T784" s="6"/>
      <c r="U784" s="6"/>
      <c r="V784" s="6"/>
    </row>
    <row r="785">
      <c r="A785" s="15">
        <v>46307.85492449074</v>
      </c>
      <c r="B785" s="8" t="str">
        <f t="shared" si="1"/>
        <v>219829</v>
      </c>
      <c r="C785" s="137" t="s">
        <v>655</v>
      </c>
      <c r="D785" s="137" t="s">
        <v>382</v>
      </c>
      <c r="E785" s="138">
        <v>0.0645</v>
      </c>
      <c r="F785" s="12" t="s">
        <v>18</v>
      </c>
      <c r="G785" s="12">
        <v>54.7</v>
      </c>
      <c r="H785" s="12">
        <v>42.49</v>
      </c>
      <c r="I785" s="12">
        <v>162.61</v>
      </c>
      <c r="J785" s="12">
        <v>162.85</v>
      </c>
      <c r="K785" s="12" t="s">
        <v>107</v>
      </c>
      <c r="L785" s="12">
        <v>54.63</v>
      </c>
      <c r="M785" s="12">
        <v>42.17</v>
      </c>
      <c r="N785" s="12">
        <v>162.36</v>
      </c>
      <c r="O785" s="12">
        <v>162.05</v>
      </c>
      <c r="P785" s="8"/>
      <c r="Q785" s="8"/>
      <c r="R785" s="6"/>
      <c r="S785" s="6"/>
      <c r="T785" s="6"/>
      <c r="U785" s="6"/>
      <c r="V785" s="6"/>
    </row>
    <row r="786">
      <c r="A786" s="15">
        <v>46307.856251770834</v>
      </c>
      <c r="B786" s="8" t="str">
        <f t="shared" si="1"/>
        <v>211293</v>
      </c>
      <c r="C786" s="137" t="s">
        <v>656</v>
      </c>
      <c r="D786" s="137" t="s">
        <v>382</v>
      </c>
      <c r="E786" s="138">
        <v>0.0423</v>
      </c>
      <c r="F786" s="12" t="s">
        <v>18</v>
      </c>
      <c r="G786" s="12">
        <v>56.45</v>
      </c>
      <c r="H786" s="12">
        <v>43.34</v>
      </c>
      <c r="I786" s="12">
        <v>165.72</v>
      </c>
      <c r="J786" s="12">
        <v>165.46</v>
      </c>
      <c r="K786" s="12" t="s">
        <v>107</v>
      </c>
      <c r="L786" s="12">
        <v>56.38</v>
      </c>
      <c r="M786" s="12">
        <v>43.28</v>
      </c>
      <c r="N786" s="12">
        <v>165.46</v>
      </c>
      <c r="O786" s="12">
        <v>165.48</v>
      </c>
      <c r="P786" s="8"/>
      <c r="Q786" s="8"/>
      <c r="R786" s="6"/>
      <c r="S786" s="6"/>
      <c r="T786" s="6"/>
      <c r="U786" s="6"/>
      <c r="V786" s="6"/>
    </row>
    <row r="787">
      <c r="A787" s="15">
        <v>46307.85737143518</v>
      </c>
      <c r="B787" s="8" t="str">
        <f t="shared" si="1"/>
        <v>245116</v>
      </c>
      <c r="C787" s="137" t="s">
        <v>657</v>
      </c>
      <c r="D787" s="137" t="s">
        <v>124</v>
      </c>
      <c r="E787" s="138">
        <v>0.3077</v>
      </c>
      <c r="F787" s="12" t="s">
        <v>18</v>
      </c>
      <c r="G787" s="12">
        <v>51.76</v>
      </c>
      <c r="H787" s="12">
        <v>33.92</v>
      </c>
      <c r="I787" s="12">
        <v>143.84</v>
      </c>
      <c r="J787" s="12">
        <v>143.95</v>
      </c>
      <c r="K787" s="12" t="s">
        <v>107</v>
      </c>
      <c r="L787" s="12">
        <v>51.64</v>
      </c>
      <c r="M787" s="12">
        <v>33.9</v>
      </c>
      <c r="N787" s="12">
        <v>143.84</v>
      </c>
      <c r="O787" s="12">
        <v>143.78</v>
      </c>
      <c r="P787" s="8"/>
      <c r="Q787" s="8"/>
      <c r="R787" s="6"/>
      <c r="S787" s="6"/>
      <c r="T787" s="6"/>
      <c r="U787" s="6"/>
      <c r="V787" s="6"/>
    </row>
    <row r="788">
      <c r="A788" s="15">
        <v>46307.86459622685</v>
      </c>
      <c r="B788" s="8" t="str">
        <f t="shared" si="1"/>
        <v>242275</v>
      </c>
      <c r="C788" s="137" t="s">
        <v>658</v>
      </c>
      <c r="D788" s="137" t="s">
        <v>124</v>
      </c>
      <c r="E788" s="138">
        <v>0.0732</v>
      </c>
      <c r="F788" s="12" t="s">
        <v>18</v>
      </c>
      <c r="G788" s="12">
        <v>50.06</v>
      </c>
      <c r="H788" s="12">
        <v>43.16</v>
      </c>
      <c r="I788" s="12">
        <v>152.04</v>
      </c>
      <c r="J788" s="12">
        <v>152.27</v>
      </c>
      <c r="K788" s="8"/>
      <c r="L788" s="12">
        <v>49.96</v>
      </c>
      <c r="M788" s="12">
        <v>42.87</v>
      </c>
      <c r="N788" s="12">
        <v>151.79</v>
      </c>
      <c r="O788" s="12">
        <v>151.77</v>
      </c>
      <c r="P788" s="8"/>
      <c r="Q788" s="8"/>
      <c r="R788" s="6"/>
      <c r="S788" s="6"/>
      <c r="T788" s="6"/>
      <c r="U788" s="6"/>
      <c r="V788" s="6"/>
    </row>
    <row r="789">
      <c r="A789" s="15">
        <v>46307.863556122684</v>
      </c>
      <c r="B789" s="8" t="str">
        <f t="shared" si="1"/>
        <v>247069</v>
      </c>
      <c r="C789" s="137" t="s">
        <v>659</v>
      </c>
      <c r="D789" s="137" t="s">
        <v>439</v>
      </c>
      <c r="E789" s="138">
        <v>0.1429</v>
      </c>
      <c r="F789" s="12" t="s">
        <v>18</v>
      </c>
      <c r="G789" s="12">
        <v>60.26</v>
      </c>
      <c r="H789" s="12">
        <v>48.92</v>
      </c>
      <c r="I789" s="12">
        <v>177.5</v>
      </c>
      <c r="J789" s="12">
        <v>177.59</v>
      </c>
      <c r="K789" s="8"/>
      <c r="L789" s="12">
        <v>60.2</v>
      </c>
      <c r="M789" s="12">
        <v>48.85</v>
      </c>
      <c r="N789" s="12">
        <v>177.43</v>
      </c>
      <c r="O789" s="12">
        <v>177.51</v>
      </c>
      <c r="P789" s="8"/>
      <c r="Q789" s="8"/>
      <c r="R789" s="6"/>
      <c r="S789" s="6"/>
      <c r="T789" s="6"/>
      <c r="U789" s="6"/>
      <c r="V789" s="6"/>
    </row>
    <row r="790">
      <c r="A790" s="15">
        <v>46307.86225445602</v>
      </c>
      <c r="B790" s="8" t="str">
        <f t="shared" si="1"/>
        <v>241098</v>
      </c>
      <c r="C790" s="137" t="s">
        <v>660</v>
      </c>
      <c r="D790" s="137" t="s">
        <v>439</v>
      </c>
      <c r="E790" s="138">
        <v>0.12</v>
      </c>
      <c r="F790" s="12" t="s">
        <v>18</v>
      </c>
      <c r="G790" s="12">
        <v>53.7</v>
      </c>
      <c r="H790" s="12">
        <v>41.87</v>
      </c>
      <c r="I790" s="12">
        <v>156.38</v>
      </c>
      <c r="J790" s="12">
        <v>157.08</v>
      </c>
      <c r="K790" s="8"/>
      <c r="L790" s="12">
        <v>53.58</v>
      </c>
      <c r="M790" s="12">
        <v>41.49</v>
      </c>
      <c r="N790" s="12">
        <v>156.33</v>
      </c>
      <c r="O790" s="12">
        <v>156.22</v>
      </c>
      <c r="P790" s="8"/>
      <c r="Q790" s="8"/>
      <c r="R790" s="6"/>
      <c r="S790" s="6"/>
      <c r="T790" s="6"/>
      <c r="U790" s="6"/>
      <c r="V790" s="6"/>
    </row>
    <row r="791">
      <c r="A791" s="15">
        <v>46306.99826501157</v>
      </c>
      <c r="B791" s="8" t="str">
        <f t="shared" si="1"/>
        <v>234792</v>
      </c>
      <c r="C791" s="10">
        <v>234792.0</v>
      </c>
      <c r="D791" s="9"/>
      <c r="E791" s="9"/>
      <c r="F791" s="12" t="s">
        <v>35</v>
      </c>
      <c r="G791" s="12">
        <v>48.44</v>
      </c>
      <c r="H791" s="12">
        <v>41.89</v>
      </c>
      <c r="I791" s="12">
        <v>147.03</v>
      </c>
      <c r="J791" s="12">
        <v>147.03</v>
      </c>
      <c r="K791" s="8"/>
      <c r="L791" s="12">
        <v>48.75</v>
      </c>
      <c r="M791" s="12">
        <v>41.72</v>
      </c>
      <c r="N791" s="12">
        <v>147.1</v>
      </c>
      <c r="O791" s="12">
        <v>146.97</v>
      </c>
      <c r="P791" s="12" t="s">
        <v>32</v>
      </c>
      <c r="Q791" s="12" t="s">
        <v>55</v>
      </c>
      <c r="R791" s="6"/>
      <c r="S791" s="6"/>
      <c r="T791" s="6"/>
      <c r="U791" s="6"/>
      <c r="V791" s="6"/>
    </row>
    <row r="792">
      <c r="A792" s="8"/>
      <c r="B792" s="8" t="str">
        <f t="shared" si="1"/>
        <v>148480</v>
      </c>
      <c r="C792" s="10" t="s">
        <v>661</v>
      </c>
      <c r="D792" s="10" t="s">
        <v>662</v>
      </c>
      <c r="E792" s="9"/>
      <c r="F792" s="12" t="s">
        <v>18</v>
      </c>
      <c r="G792" s="139" t="s">
        <v>663</v>
      </c>
      <c r="H792" s="45"/>
      <c r="I792" s="45"/>
      <c r="J792" s="45"/>
      <c r="K792" s="45"/>
      <c r="L792" s="45"/>
      <c r="M792" s="45"/>
      <c r="N792" s="45"/>
      <c r="O792" s="45"/>
      <c r="P792" s="46"/>
      <c r="Q792" s="8"/>
      <c r="R792" s="6"/>
      <c r="S792" s="6"/>
      <c r="T792" s="6"/>
      <c r="U792" s="6"/>
      <c r="V792" s="6"/>
    </row>
    <row r="793">
      <c r="A793" s="15">
        <v>46308.108156585644</v>
      </c>
      <c r="B793" s="8" t="str">
        <f t="shared" si="1"/>
        <v>207671</v>
      </c>
      <c r="C793" s="10">
        <v>207671.0</v>
      </c>
      <c r="D793" s="10" t="s">
        <v>17</v>
      </c>
      <c r="E793" s="9"/>
      <c r="F793" s="12" t="s">
        <v>18</v>
      </c>
      <c r="G793" s="12">
        <v>51.36</v>
      </c>
      <c r="H793" s="12">
        <v>42.9</v>
      </c>
      <c r="I793" s="12">
        <v>154.19</v>
      </c>
      <c r="J793" s="12">
        <v>154.19</v>
      </c>
      <c r="K793" s="12" t="s">
        <v>19</v>
      </c>
      <c r="L793" s="12">
        <v>51.56</v>
      </c>
      <c r="M793" s="12">
        <v>43.62</v>
      </c>
      <c r="N793" s="12">
        <v>155.75</v>
      </c>
      <c r="O793" s="12">
        <v>155.75</v>
      </c>
      <c r="P793" s="12" t="s">
        <v>17</v>
      </c>
      <c r="Q793" s="12" t="s">
        <v>55</v>
      </c>
      <c r="R793" s="6"/>
      <c r="S793" s="6"/>
      <c r="T793" s="6"/>
      <c r="U793" s="6"/>
      <c r="V793" s="6"/>
    </row>
    <row r="794">
      <c r="A794" s="15">
        <v>46308.0</v>
      </c>
      <c r="B794" s="8" t="str">
        <f t="shared" si="1"/>
        <v>151701</v>
      </c>
      <c r="C794" s="10">
        <v>151701.0</v>
      </c>
      <c r="D794" s="10" t="s">
        <v>120</v>
      </c>
      <c r="E794" s="9"/>
      <c r="F794" s="12" t="s">
        <v>18</v>
      </c>
      <c r="G794" s="12">
        <v>54.74</v>
      </c>
      <c r="H794" s="12">
        <v>41.28</v>
      </c>
      <c r="I794" s="12">
        <v>161.0</v>
      </c>
      <c r="J794" s="12">
        <v>161.0</v>
      </c>
      <c r="K794" s="12" t="s">
        <v>19</v>
      </c>
      <c r="L794" s="12">
        <v>53.2</v>
      </c>
      <c r="M794" s="12">
        <v>39.81</v>
      </c>
      <c r="N794" s="12">
        <v>156.72</v>
      </c>
      <c r="O794" s="12">
        <v>156.29</v>
      </c>
      <c r="P794" s="12" t="s">
        <v>120</v>
      </c>
      <c r="Q794" s="12" t="s">
        <v>42</v>
      </c>
      <c r="R794" s="6"/>
      <c r="S794" s="6"/>
      <c r="T794" s="6"/>
      <c r="U794" s="6"/>
      <c r="V794" s="6"/>
    </row>
    <row r="795">
      <c r="A795" s="15">
        <v>46308.42339420139</v>
      </c>
      <c r="B795" s="8" t="str">
        <f t="shared" si="1"/>
        <v>245912</v>
      </c>
      <c r="C795" s="10" t="s">
        <v>338</v>
      </c>
      <c r="D795" s="10" t="s">
        <v>17</v>
      </c>
      <c r="E795" s="9"/>
      <c r="F795" s="12" t="s">
        <v>18</v>
      </c>
      <c r="G795" s="12">
        <v>52.22</v>
      </c>
      <c r="H795" s="12">
        <v>42.84</v>
      </c>
      <c r="I795" s="12">
        <v>154.12</v>
      </c>
      <c r="J795" s="12">
        <v>154.29</v>
      </c>
      <c r="K795" s="12" t="s">
        <v>19</v>
      </c>
      <c r="L795" s="12">
        <v>52.42</v>
      </c>
      <c r="M795" s="12">
        <v>42.21</v>
      </c>
      <c r="N795" s="12">
        <v>153.32</v>
      </c>
      <c r="O795" s="12">
        <v>154.44</v>
      </c>
      <c r="P795" s="12" t="s">
        <v>17</v>
      </c>
      <c r="Q795" s="12" t="s">
        <v>42</v>
      </c>
      <c r="R795" s="6"/>
      <c r="S795" s="6"/>
      <c r="T795" s="6"/>
      <c r="U795" s="6"/>
      <c r="V795" s="6"/>
    </row>
    <row r="796">
      <c r="A796" s="15">
        <v>46308.42672527778</v>
      </c>
      <c r="B796" s="8" t="str">
        <f t="shared" si="1"/>
        <v>234791</v>
      </c>
      <c r="C796" s="10" t="s">
        <v>664</v>
      </c>
      <c r="D796" s="10" t="s">
        <v>17</v>
      </c>
      <c r="E796" s="9"/>
      <c r="F796" s="12" t="s">
        <v>18</v>
      </c>
      <c r="G796" s="12">
        <v>50.12</v>
      </c>
      <c r="H796" s="12">
        <v>50.22</v>
      </c>
      <c r="I796" s="12">
        <v>150.27</v>
      </c>
      <c r="J796" s="12">
        <v>150.47</v>
      </c>
      <c r="K796" s="12" t="s">
        <v>19</v>
      </c>
      <c r="L796" s="12">
        <v>51.76</v>
      </c>
      <c r="M796" s="12">
        <v>43.67</v>
      </c>
      <c r="N796" s="12">
        <v>154.7</v>
      </c>
      <c r="O796" s="12">
        <v>154.65</v>
      </c>
      <c r="P796" s="12" t="s">
        <v>17</v>
      </c>
      <c r="Q796" s="12" t="s">
        <v>42</v>
      </c>
      <c r="R796" s="6"/>
      <c r="S796" s="6"/>
      <c r="T796" s="6"/>
      <c r="U796" s="6"/>
      <c r="V796" s="6"/>
    </row>
    <row r="797">
      <c r="A797" s="15">
        <v>46308.506030081015</v>
      </c>
      <c r="B797" s="8" t="str">
        <f t="shared" si="1"/>
        <v>207671</v>
      </c>
      <c r="C797" s="10" t="s">
        <v>665</v>
      </c>
      <c r="D797" s="10" t="s">
        <v>17</v>
      </c>
      <c r="E797" s="9"/>
      <c r="F797" s="12" t="s">
        <v>18</v>
      </c>
      <c r="G797" s="12">
        <v>50.5</v>
      </c>
      <c r="H797" s="12">
        <v>43.08</v>
      </c>
      <c r="I797" s="12">
        <v>153.64</v>
      </c>
      <c r="J797" s="12">
        <v>153.64</v>
      </c>
      <c r="K797" s="12" t="s">
        <v>19</v>
      </c>
      <c r="L797" s="12">
        <v>51.63</v>
      </c>
      <c r="M797" s="12">
        <v>43.7</v>
      </c>
      <c r="N797" s="12">
        <v>156.12</v>
      </c>
      <c r="O797" s="12">
        <v>155.72</v>
      </c>
      <c r="P797" s="12" t="s">
        <v>17</v>
      </c>
      <c r="Q797" s="12" t="s">
        <v>42</v>
      </c>
      <c r="R797" s="6"/>
      <c r="S797" s="6"/>
      <c r="T797" s="6"/>
      <c r="U797" s="6"/>
      <c r="V797" s="6"/>
    </row>
    <row r="798">
      <c r="A798" s="15">
        <v>46308.50743509259</v>
      </c>
      <c r="B798" s="8" t="str">
        <f t="shared" si="1"/>
        <v>234510</v>
      </c>
      <c r="C798" s="10" t="s">
        <v>666</v>
      </c>
      <c r="D798" s="10" t="s">
        <v>17</v>
      </c>
      <c r="E798" s="9"/>
      <c r="F798" s="12" t="s">
        <v>18</v>
      </c>
      <c r="G798" s="12">
        <v>52.11</v>
      </c>
      <c r="H798" s="12">
        <v>42.46</v>
      </c>
      <c r="I798" s="12">
        <v>157.33</v>
      </c>
      <c r="J798" s="12">
        <v>157.29</v>
      </c>
      <c r="K798" s="12" t="s">
        <v>19</v>
      </c>
      <c r="L798" s="12">
        <v>52.32</v>
      </c>
      <c r="M798" s="12">
        <v>42.94</v>
      </c>
      <c r="N798" s="12">
        <v>158.37</v>
      </c>
      <c r="O798" s="12">
        <v>158.44</v>
      </c>
      <c r="P798" s="12" t="s">
        <v>77</v>
      </c>
      <c r="Q798" s="12" t="s">
        <v>42</v>
      </c>
      <c r="R798" s="6"/>
      <c r="S798" s="6"/>
      <c r="T798" s="6"/>
      <c r="U798" s="6"/>
      <c r="V798" s="6"/>
    </row>
    <row r="799">
      <c r="A799" s="15">
        <v>46308.698973900464</v>
      </c>
      <c r="B799" s="8" t="str">
        <f t="shared" si="1"/>
        <v>241833</v>
      </c>
      <c r="C799" s="10" t="s">
        <v>667</v>
      </c>
      <c r="D799" s="10" t="s">
        <v>22</v>
      </c>
      <c r="E799" s="9"/>
      <c r="F799" s="12" t="s">
        <v>18</v>
      </c>
      <c r="G799" s="12">
        <v>48.97</v>
      </c>
      <c r="H799" s="12">
        <v>42.97</v>
      </c>
      <c r="I799" s="12">
        <v>149.29</v>
      </c>
      <c r="J799" s="12">
        <v>149.96</v>
      </c>
      <c r="K799" s="12" t="s">
        <v>19</v>
      </c>
      <c r="L799" s="12">
        <v>49.33</v>
      </c>
      <c r="M799" s="12">
        <v>43.03</v>
      </c>
      <c r="N799" s="12">
        <v>149.61</v>
      </c>
      <c r="O799" s="12">
        <v>149.87</v>
      </c>
      <c r="P799" s="12" t="s">
        <v>22</v>
      </c>
      <c r="Q799" s="12" t="s">
        <v>543</v>
      </c>
      <c r="R799" s="6"/>
      <c r="S799" s="6"/>
      <c r="T799" s="6"/>
      <c r="U799" s="6"/>
      <c r="V799" s="6"/>
    </row>
    <row r="800">
      <c r="A800" s="15">
        <v>46308.76000068287</v>
      </c>
      <c r="B800" s="8" t="str">
        <f t="shared" si="1"/>
        <v>208951</v>
      </c>
      <c r="C800" s="10" t="s">
        <v>668</v>
      </c>
      <c r="D800" s="10" t="s">
        <v>17</v>
      </c>
      <c r="E800" s="9"/>
      <c r="F800" s="12" t="s">
        <v>18</v>
      </c>
      <c r="G800" s="12">
        <v>50.48</v>
      </c>
      <c r="H800" s="12">
        <v>42.96</v>
      </c>
      <c r="I800" s="12">
        <v>153.69</v>
      </c>
      <c r="J800" s="12">
        <v>153.22</v>
      </c>
      <c r="K800" s="12" t="s">
        <v>19</v>
      </c>
      <c r="L800" s="12">
        <v>51.04</v>
      </c>
      <c r="M800" s="12">
        <v>43.7</v>
      </c>
      <c r="N800" s="12">
        <v>155.27</v>
      </c>
      <c r="O800" s="12">
        <v>154.77</v>
      </c>
      <c r="P800" s="12" t="s">
        <v>17</v>
      </c>
      <c r="Q800" s="12" t="s">
        <v>543</v>
      </c>
      <c r="R800" s="6"/>
      <c r="S800" s="6"/>
      <c r="T800" s="6"/>
      <c r="U800" s="6"/>
      <c r="V800" s="6"/>
    </row>
    <row r="801">
      <c r="A801" s="15">
        <v>46309.0</v>
      </c>
      <c r="B801" s="8" t="str">
        <f t="shared" si="1"/>
        <v>215926</v>
      </c>
      <c r="C801" s="10" t="s">
        <v>669</v>
      </c>
      <c r="D801" s="10" t="s">
        <v>17</v>
      </c>
      <c r="E801" s="9"/>
      <c r="F801" s="12" t="s">
        <v>18</v>
      </c>
      <c r="G801" s="12">
        <v>47.28</v>
      </c>
      <c r="H801" s="12">
        <v>38.88</v>
      </c>
      <c r="I801" s="12">
        <v>140.92</v>
      </c>
      <c r="J801" s="12">
        <v>140.88</v>
      </c>
      <c r="K801" s="12" t="s">
        <v>19</v>
      </c>
      <c r="L801" s="12">
        <v>47.57</v>
      </c>
      <c r="M801" s="12">
        <v>39.14</v>
      </c>
      <c r="N801" s="12">
        <v>141.49</v>
      </c>
      <c r="O801" s="12">
        <v>141.73</v>
      </c>
      <c r="P801" s="12" t="s">
        <v>17</v>
      </c>
      <c r="Q801" s="12" t="s">
        <v>543</v>
      </c>
      <c r="R801" s="6"/>
      <c r="S801" s="6"/>
      <c r="T801" s="6"/>
      <c r="U801" s="6"/>
      <c r="V801" s="6"/>
    </row>
    <row r="802">
      <c r="A802" s="15">
        <v>46309.0</v>
      </c>
      <c r="B802" s="8" t="str">
        <f t="shared" si="1"/>
        <v>234765</v>
      </c>
      <c r="C802" s="10" t="s">
        <v>614</v>
      </c>
      <c r="D802" s="10" t="s">
        <v>32</v>
      </c>
      <c r="E802" s="9"/>
      <c r="F802" s="12" t="s">
        <v>18</v>
      </c>
      <c r="G802" s="12">
        <v>55.19</v>
      </c>
      <c r="H802" s="12">
        <v>40.09</v>
      </c>
      <c r="I802" s="12">
        <v>161.64</v>
      </c>
      <c r="J802" s="12">
        <v>162.15</v>
      </c>
      <c r="K802" s="12" t="s">
        <v>19</v>
      </c>
      <c r="L802" s="12">
        <v>53.01</v>
      </c>
      <c r="M802" s="12">
        <v>38.23</v>
      </c>
      <c r="N802" s="12">
        <v>154.78</v>
      </c>
      <c r="O802" s="12">
        <v>154.19</v>
      </c>
      <c r="P802" s="12" t="s">
        <v>32</v>
      </c>
      <c r="Q802" s="12" t="s">
        <v>543</v>
      </c>
      <c r="R802" s="6"/>
      <c r="S802" s="6"/>
      <c r="T802" s="6"/>
      <c r="U802" s="6"/>
      <c r="V802" s="6"/>
    </row>
    <row r="803">
      <c r="A803" s="15">
        <v>46309.0</v>
      </c>
      <c r="B803" s="8" t="str">
        <f t="shared" si="1"/>
        <v>207481</v>
      </c>
      <c r="C803" s="10">
        <v>207481.0</v>
      </c>
      <c r="D803" s="10" t="s">
        <v>17</v>
      </c>
      <c r="E803" s="9"/>
      <c r="F803" s="12" t="s">
        <v>18</v>
      </c>
      <c r="G803" s="12">
        <v>50.55</v>
      </c>
      <c r="H803" s="12">
        <v>42.83</v>
      </c>
      <c r="I803" s="12">
        <v>153.51</v>
      </c>
      <c r="J803" s="12">
        <v>153.51</v>
      </c>
      <c r="K803" s="12" t="s">
        <v>19</v>
      </c>
      <c r="L803" s="12">
        <v>51.35</v>
      </c>
      <c r="M803" s="12">
        <v>43.5</v>
      </c>
      <c r="N803" s="12">
        <v>155.49</v>
      </c>
      <c r="O803" s="12">
        <v>155.02</v>
      </c>
      <c r="P803" s="12" t="s">
        <v>17</v>
      </c>
      <c r="Q803" s="12" t="s">
        <v>214</v>
      </c>
      <c r="R803" s="6"/>
      <c r="S803" s="6"/>
      <c r="T803" s="6"/>
      <c r="U803" s="6"/>
      <c r="V803" s="6"/>
    </row>
    <row r="804">
      <c r="A804" s="15">
        <v>46309.0</v>
      </c>
      <c r="B804" s="8" t="str">
        <f t="shared" si="1"/>
        <v>234791</v>
      </c>
      <c r="C804" s="38" t="s">
        <v>670</v>
      </c>
      <c r="D804" s="23" t="s">
        <v>17</v>
      </c>
      <c r="E804" s="42">
        <v>0.358</v>
      </c>
      <c r="F804" s="12" t="s">
        <v>18</v>
      </c>
      <c r="G804" s="12">
        <v>51.72</v>
      </c>
      <c r="H804" s="12">
        <v>43.67</v>
      </c>
      <c r="I804" s="12">
        <v>154.7</v>
      </c>
      <c r="J804" s="12">
        <v>154.65</v>
      </c>
      <c r="K804" s="12" t="s">
        <v>107</v>
      </c>
      <c r="L804" s="12">
        <v>51.76</v>
      </c>
      <c r="M804" s="12">
        <v>43.72</v>
      </c>
      <c r="N804" s="12">
        <v>154.8</v>
      </c>
      <c r="O804" s="12">
        <v>154.71</v>
      </c>
      <c r="P804" s="8"/>
      <c r="Q804" s="12" t="s">
        <v>90</v>
      </c>
      <c r="R804" s="6"/>
      <c r="S804" s="6"/>
      <c r="T804" s="6"/>
      <c r="U804" s="6"/>
      <c r="V804" s="6"/>
    </row>
    <row r="805">
      <c r="A805" s="15">
        <v>46309.65363512731</v>
      </c>
      <c r="B805" s="8" t="str">
        <f t="shared" si="1"/>
        <v>207671</v>
      </c>
      <c r="C805" s="140" t="s">
        <v>486</v>
      </c>
      <c r="D805" s="137" t="s">
        <v>32</v>
      </c>
      <c r="E805" s="138">
        <v>0.0482</v>
      </c>
      <c r="F805" s="12" t="s">
        <v>18</v>
      </c>
      <c r="G805" s="12">
        <v>52.04</v>
      </c>
      <c r="H805" s="12">
        <v>44.21</v>
      </c>
      <c r="I805" s="12">
        <v>157.32</v>
      </c>
      <c r="J805" s="12">
        <v>156.83</v>
      </c>
      <c r="K805" s="12" t="s">
        <v>107</v>
      </c>
      <c r="L805" s="12">
        <v>51.65</v>
      </c>
      <c r="M805" s="12">
        <v>43.7</v>
      </c>
      <c r="N805" s="12">
        <v>155.89</v>
      </c>
      <c r="O805" s="12">
        <v>155.89</v>
      </c>
      <c r="P805" s="8"/>
      <c r="Q805" s="12" t="s">
        <v>90</v>
      </c>
      <c r="R805" s="6"/>
      <c r="S805" s="6"/>
      <c r="T805" s="6"/>
      <c r="U805" s="6"/>
      <c r="V805" s="6"/>
    </row>
    <row r="806">
      <c r="A806" s="15">
        <v>46309.657074710645</v>
      </c>
      <c r="B806" s="8" t="str">
        <f t="shared" si="1"/>
        <v>238761</v>
      </c>
      <c r="C806" s="140" t="s">
        <v>671</v>
      </c>
      <c r="D806" s="137" t="s">
        <v>17</v>
      </c>
      <c r="E806" s="138">
        <v>0.3636</v>
      </c>
      <c r="F806" s="12" t="s">
        <v>18</v>
      </c>
      <c r="G806" s="12">
        <v>54.25</v>
      </c>
      <c r="H806" s="12">
        <v>38.92</v>
      </c>
      <c r="I806" s="12">
        <v>157.42</v>
      </c>
      <c r="J806" s="12">
        <v>157.3</v>
      </c>
      <c r="K806" s="12" t="s">
        <v>107</v>
      </c>
      <c r="L806" s="12">
        <v>54.35</v>
      </c>
      <c r="M806" s="12">
        <v>38.99</v>
      </c>
      <c r="N806" s="12">
        <v>157.69</v>
      </c>
      <c r="O806" s="12">
        <v>157.69</v>
      </c>
      <c r="P806" s="8"/>
      <c r="Q806" s="12" t="s">
        <v>90</v>
      </c>
      <c r="R806" s="6"/>
      <c r="S806" s="6"/>
      <c r="T806" s="6"/>
      <c r="U806" s="6"/>
      <c r="V806" s="6"/>
    </row>
    <row r="807">
      <c r="A807" s="15">
        <v>46309.65850635417</v>
      </c>
      <c r="B807" s="8" t="str">
        <f t="shared" si="1"/>
        <v>242174</v>
      </c>
      <c r="C807" s="140" t="s">
        <v>672</v>
      </c>
      <c r="D807" s="137" t="s">
        <v>588</v>
      </c>
      <c r="E807" s="138">
        <v>0.068</v>
      </c>
      <c r="F807" s="12" t="s">
        <v>18</v>
      </c>
      <c r="G807" s="12">
        <v>54.59</v>
      </c>
      <c r="H807" s="12">
        <v>42.29</v>
      </c>
      <c r="I807" s="12">
        <v>162.12</v>
      </c>
      <c r="J807" s="12">
        <v>162.36</v>
      </c>
      <c r="K807" s="12" t="s">
        <v>107</v>
      </c>
      <c r="L807" s="12">
        <v>54.49</v>
      </c>
      <c r="M807" s="12">
        <v>41.92</v>
      </c>
      <c r="N807" s="12">
        <v>161.67</v>
      </c>
      <c r="O807" s="12">
        <v>161.51</v>
      </c>
      <c r="P807" s="8"/>
      <c r="Q807" s="12" t="s">
        <v>90</v>
      </c>
      <c r="R807" s="6"/>
      <c r="S807" s="6"/>
      <c r="T807" s="6"/>
      <c r="U807" s="6"/>
      <c r="V807" s="6"/>
    </row>
    <row r="808">
      <c r="A808" s="15">
        <v>46309.66054513889</v>
      </c>
      <c r="B808" s="8" t="str">
        <f t="shared" si="1"/>
        <v>223230</v>
      </c>
      <c r="C808" s="140" t="s">
        <v>599</v>
      </c>
      <c r="D808" s="137" t="s">
        <v>588</v>
      </c>
      <c r="E808" s="138">
        <v>0.0556</v>
      </c>
      <c r="F808" s="12" t="s">
        <v>18</v>
      </c>
      <c r="G808" s="12">
        <v>48.1</v>
      </c>
      <c r="H808" s="12">
        <v>41.8</v>
      </c>
      <c r="I808" s="12">
        <v>144.97</v>
      </c>
      <c r="J808" s="12">
        <v>144.97</v>
      </c>
      <c r="K808" s="12" t="s">
        <v>107</v>
      </c>
      <c r="L808" s="12">
        <v>48.05</v>
      </c>
      <c r="M808" s="12">
        <v>41.75</v>
      </c>
      <c r="N808" s="12">
        <v>144.82</v>
      </c>
      <c r="O808" s="12">
        <v>144.82</v>
      </c>
      <c r="P808" s="8"/>
      <c r="Q808" s="12" t="s">
        <v>90</v>
      </c>
      <c r="R808" s="6"/>
      <c r="S808" s="6"/>
      <c r="T808" s="6"/>
      <c r="U808" s="6"/>
      <c r="V808" s="6"/>
    </row>
    <row r="809">
      <c r="A809" s="15">
        <v>46309.66166334491</v>
      </c>
      <c r="B809" s="8" t="str">
        <f t="shared" si="1"/>
        <v>241075</v>
      </c>
      <c r="C809" s="140" t="s">
        <v>673</v>
      </c>
      <c r="D809" s="137" t="s">
        <v>32</v>
      </c>
      <c r="E809" s="138">
        <v>0.1944</v>
      </c>
      <c r="F809" s="12" t="s">
        <v>18</v>
      </c>
      <c r="G809" s="12">
        <v>58.31</v>
      </c>
      <c r="H809" s="12">
        <v>42.58</v>
      </c>
      <c r="I809" s="12">
        <v>172.6</v>
      </c>
      <c r="J809" s="12">
        <v>172.34</v>
      </c>
      <c r="K809" s="12" t="s">
        <v>107</v>
      </c>
      <c r="L809" s="12">
        <v>58.23</v>
      </c>
      <c r="M809" s="12">
        <v>42.44</v>
      </c>
      <c r="N809" s="141">
        <v>171.82</v>
      </c>
      <c r="O809" s="12">
        <v>171.72</v>
      </c>
      <c r="P809" s="8"/>
      <c r="Q809" s="12" t="s">
        <v>90</v>
      </c>
      <c r="R809" s="6"/>
      <c r="S809" s="6"/>
      <c r="T809" s="6"/>
      <c r="U809" s="6"/>
      <c r="V809" s="6"/>
    </row>
    <row r="810">
      <c r="A810" s="15">
        <v>46309.66310769676</v>
      </c>
      <c r="B810" s="8" t="str">
        <f t="shared" si="1"/>
        <v>137971</v>
      </c>
      <c r="C810" s="140" t="s">
        <v>326</v>
      </c>
      <c r="D810" s="137" t="s">
        <v>32</v>
      </c>
      <c r="E810" s="138">
        <v>0.0594</v>
      </c>
      <c r="F810" s="12" t="s">
        <v>18</v>
      </c>
      <c r="G810" s="12">
        <v>52.95</v>
      </c>
      <c r="H810" s="12">
        <v>44.04</v>
      </c>
      <c r="I810" s="12">
        <v>158.59</v>
      </c>
      <c r="J810" s="12">
        <v>158.37</v>
      </c>
      <c r="K810" s="12" t="s">
        <v>107</v>
      </c>
      <c r="L810" s="12">
        <v>52.8</v>
      </c>
      <c r="M810" s="12">
        <v>43.7</v>
      </c>
      <c r="N810" s="12">
        <v>158.15</v>
      </c>
      <c r="O810" s="12">
        <v>157.7</v>
      </c>
      <c r="P810" s="8"/>
      <c r="Q810" s="12" t="s">
        <v>90</v>
      </c>
      <c r="R810" s="6"/>
      <c r="S810" s="6"/>
      <c r="T810" s="6"/>
      <c r="U810" s="6"/>
      <c r="V810" s="6"/>
    </row>
    <row r="811">
      <c r="A811" s="15">
        <v>46309.66453789352</v>
      </c>
      <c r="B811" s="8" t="str">
        <f t="shared" si="1"/>
        <v>210442</v>
      </c>
      <c r="C811" s="140" t="s">
        <v>674</v>
      </c>
      <c r="D811" s="137" t="s">
        <v>17</v>
      </c>
      <c r="E811" s="138">
        <v>0.0303</v>
      </c>
      <c r="F811" s="12" t="s">
        <v>18</v>
      </c>
      <c r="G811" s="12">
        <v>54.74</v>
      </c>
      <c r="H811" s="12">
        <v>45.49</v>
      </c>
      <c r="I811" s="12">
        <v>164.69</v>
      </c>
      <c r="J811" s="12">
        <v>164.88</v>
      </c>
      <c r="K811" s="12" t="s">
        <v>107</v>
      </c>
      <c r="L811" s="12">
        <v>54.81</v>
      </c>
      <c r="M811" s="12">
        <v>45.49</v>
      </c>
      <c r="N811" s="12">
        <v>164.72</v>
      </c>
      <c r="O811" s="12">
        <v>164.73</v>
      </c>
      <c r="P811" s="8"/>
      <c r="Q811" s="12" t="s">
        <v>90</v>
      </c>
      <c r="R811" s="6"/>
      <c r="S811" s="6"/>
      <c r="T811" s="6"/>
      <c r="U811" s="6"/>
      <c r="V811" s="6"/>
    </row>
    <row r="812">
      <c r="A812" s="15">
        <v>46309.67087070602</v>
      </c>
      <c r="B812" s="8" t="str">
        <f t="shared" si="1"/>
        <v>236103</v>
      </c>
      <c r="C812" s="140" t="s">
        <v>675</v>
      </c>
      <c r="D812" s="137" t="s">
        <v>17</v>
      </c>
      <c r="E812" s="138">
        <v>0.0714</v>
      </c>
      <c r="F812" s="12" t="s">
        <v>18</v>
      </c>
      <c r="G812" s="12">
        <v>49.75</v>
      </c>
      <c r="H812" s="12">
        <v>37.51</v>
      </c>
      <c r="I812" s="12">
        <v>146.66</v>
      </c>
      <c r="J812" s="12">
        <v>146.33</v>
      </c>
      <c r="K812" s="12" t="s">
        <v>107</v>
      </c>
      <c r="L812" s="12">
        <v>49.82</v>
      </c>
      <c r="M812" s="12">
        <v>37.58</v>
      </c>
      <c r="N812" s="12">
        <v>146.86</v>
      </c>
      <c r="O812" s="12">
        <v>146.86</v>
      </c>
      <c r="P812" s="8"/>
      <c r="Q812" s="12" t="s">
        <v>90</v>
      </c>
      <c r="R812" s="6"/>
      <c r="S812" s="6"/>
      <c r="T812" s="6"/>
      <c r="U812" s="6"/>
      <c r="V812" s="6"/>
    </row>
    <row r="813">
      <c r="A813" s="15">
        <v>46309.672609409725</v>
      </c>
      <c r="B813" s="8" t="str">
        <f t="shared" si="1"/>
        <v>237932</v>
      </c>
      <c r="C813" s="140" t="s">
        <v>321</v>
      </c>
      <c r="D813" s="137" t="s">
        <v>17</v>
      </c>
      <c r="E813" s="138">
        <v>0.0938</v>
      </c>
      <c r="F813" s="12" t="s">
        <v>18</v>
      </c>
      <c r="G813" s="12">
        <v>47.4</v>
      </c>
      <c r="H813" s="12">
        <v>43.95</v>
      </c>
      <c r="I813" s="12">
        <v>147.63</v>
      </c>
      <c r="J813" s="12">
        <v>147.29</v>
      </c>
      <c r="K813" s="12" t="s">
        <v>107</v>
      </c>
      <c r="L813" s="12">
        <v>47.46</v>
      </c>
      <c r="M813" s="12">
        <v>44.0</v>
      </c>
      <c r="N813" s="12">
        <v>147.79</v>
      </c>
      <c r="O813" s="12">
        <v>147.49</v>
      </c>
      <c r="P813" s="8"/>
      <c r="Q813" s="12" t="s">
        <v>90</v>
      </c>
      <c r="R813" s="6"/>
      <c r="S813" s="6"/>
      <c r="T813" s="6"/>
      <c r="U813" s="6"/>
      <c r="V813" s="6"/>
    </row>
    <row r="814">
      <c r="A814" s="15">
        <v>46309.67358292824</v>
      </c>
      <c r="B814" s="8" t="str">
        <f t="shared" si="1"/>
        <v>240000</v>
      </c>
      <c r="C814" s="140" t="s">
        <v>676</v>
      </c>
      <c r="D814" s="137" t="s">
        <v>17</v>
      </c>
      <c r="E814" s="138">
        <v>0.3</v>
      </c>
      <c r="F814" s="12" t="s">
        <v>18</v>
      </c>
      <c r="G814" s="12">
        <v>56.24</v>
      </c>
      <c r="H814" s="12">
        <v>45.34</v>
      </c>
      <c r="I814" s="12">
        <v>169.22</v>
      </c>
      <c r="J814" s="12">
        <v>169.22</v>
      </c>
      <c r="K814" s="12" t="s">
        <v>107</v>
      </c>
      <c r="L814" s="12">
        <v>56.35</v>
      </c>
      <c r="M814" s="12">
        <v>45.44</v>
      </c>
      <c r="N814" s="12">
        <v>169.61</v>
      </c>
      <c r="O814" s="12">
        <v>169.61</v>
      </c>
      <c r="P814" s="8"/>
      <c r="Q814" s="12" t="s">
        <v>90</v>
      </c>
      <c r="R814" s="6"/>
      <c r="S814" s="6"/>
      <c r="T814" s="6"/>
      <c r="U814" s="6"/>
      <c r="V814" s="6"/>
    </row>
    <row r="815">
      <c r="A815" s="15">
        <v>46309.67481347222</v>
      </c>
      <c r="B815" s="8" t="str">
        <f t="shared" si="1"/>
        <v>241113</v>
      </c>
      <c r="C815" s="140" t="s">
        <v>677</v>
      </c>
      <c r="D815" s="137" t="s">
        <v>32</v>
      </c>
      <c r="E815" s="138">
        <v>0.075</v>
      </c>
      <c r="F815" s="12" t="s">
        <v>18</v>
      </c>
      <c r="G815" s="12">
        <v>54.33</v>
      </c>
      <c r="H815" s="12">
        <v>37.75</v>
      </c>
      <c r="I815" s="12">
        <v>151.76</v>
      </c>
      <c r="J815" s="12">
        <v>152.06</v>
      </c>
      <c r="K815" s="12" t="s">
        <v>107</v>
      </c>
      <c r="L815" s="12">
        <v>54.17</v>
      </c>
      <c r="M815" s="12">
        <v>37.71</v>
      </c>
      <c r="N815" s="12">
        <v>151.63</v>
      </c>
      <c r="O815" s="12">
        <v>151.53</v>
      </c>
      <c r="P815" s="8"/>
      <c r="Q815" s="12" t="s">
        <v>90</v>
      </c>
      <c r="R815" s="6"/>
      <c r="S815" s="6"/>
      <c r="T815" s="6"/>
      <c r="U815" s="6"/>
      <c r="V815" s="6"/>
    </row>
    <row r="816">
      <c r="A816" s="15">
        <v>46309.0</v>
      </c>
      <c r="B816" s="8" t="str">
        <f t="shared" si="1"/>
        <v>242598</v>
      </c>
      <c r="C816" s="140" t="s">
        <v>678</v>
      </c>
      <c r="D816" s="137" t="s">
        <v>17</v>
      </c>
      <c r="E816" s="138">
        <v>0.0462</v>
      </c>
      <c r="F816" s="12" t="s">
        <v>18</v>
      </c>
      <c r="G816" s="12">
        <v>48.97</v>
      </c>
      <c r="H816" s="12">
        <v>39.67</v>
      </c>
      <c r="I816" s="12">
        <v>147.32</v>
      </c>
      <c r="J816" s="12">
        <v>147.32</v>
      </c>
      <c r="K816" s="12" t="s">
        <v>107</v>
      </c>
      <c r="L816" s="12">
        <v>49.03</v>
      </c>
      <c r="M816" s="12">
        <v>39.71</v>
      </c>
      <c r="N816" s="12">
        <v>147.46</v>
      </c>
      <c r="O816" s="12">
        <v>147.46</v>
      </c>
      <c r="P816" s="8"/>
      <c r="Q816" s="12" t="s">
        <v>90</v>
      </c>
      <c r="R816" s="6"/>
      <c r="S816" s="6"/>
      <c r="T816" s="6"/>
      <c r="U816" s="6"/>
      <c r="V816" s="6"/>
    </row>
    <row r="817">
      <c r="A817" s="15">
        <v>46309.0</v>
      </c>
      <c r="B817" s="8" t="str">
        <f t="shared" si="1"/>
        <v>243151</v>
      </c>
      <c r="C817" s="140" t="s">
        <v>679</v>
      </c>
      <c r="D817" s="137" t="s">
        <v>32</v>
      </c>
      <c r="E817" s="138">
        <v>0.0469</v>
      </c>
      <c r="F817" s="12" t="s">
        <v>18</v>
      </c>
      <c r="G817" s="12">
        <v>52.83</v>
      </c>
      <c r="H817" s="12">
        <v>44.08</v>
      </c>
      <c r="I817" s="12">
        <v>158.34</v>
      </c>
      <c r="J817" s="12">
        <v>158.11</v>
      </c>
      <c r="K817" s="12" t="s">
        <v>107</v>
      </c>
      <c r="L817" s="12">
        <v>52.75</v>
      </c>
      <c r="M817" s="12">
        <v>43.73</v>
      </c>
      <c r="N817" s="12">
        <v>158.06</v>
      </c>
      <c r="O817" s="12">
        <v>157.44</v>
      </c>
      <c r="P817" s="8"/>
      <c r="Q817" s="12" t="s">
        <v>90</v>
      </c>
      <c r="R817" s="6"/>
      <c r="S817" s="6"/>
      <c r="T817" s="6"/>
      <c r="U817" s="6"/>
      <c r="V817" s="6"/>
    </row>
    <row r="818">
      <c r="A818" s="15">
        <v>46309.0</v>
      </c>
      <c r="B818" s="8" t="str">
        <f t="shared" si="1"/>
        <v>247078</v>
      </c>
      <c r="C818" s="140" t="s">
        <v>680</v>
      </c>
      <c r="D818" s="137" t="s">
        <v>32</v>
      </c>
      <c r="E818" s="138">
        <v>0.1538</v>
      </c>
      <c r="F818" s="12" t="s">
        <v>18</v>
      </c>
      <c r="G818" s="12">
        <v>55.52</v>
      </c>
      <c r="H818" s="12">
        <v>34.9</v>
      </c>
      <c r="I818" s="12">
        <v>149.93</v>
      </c>
      <c r="J818" s="12">
        <v>150.02</v>
      </c>
      <c r="K818" s="12" t="s">
        <v>107</v>
      </c>
      <c r="L818" s="12">
        <v>55.45</v>
      </c>
      <c r="M818" s="12">
        <v>34.64</v>
      </c>
      <c r="N818" s="12">
        <v>149.71</v>
      </c>
      <c r="O818" s="12">
        <v>149.47</v>
      </c>
      <c r="P818" s="8"/>
      <c r="Q818" s="12" t="s">
        <v>90</v>
      </c>
      <c r="R818" s="6"/>
      <c r="S818" s="6"/>
      <c r="T818" s="6"/>
      <c r="U818" s="6"/>
      <c r="V818" s="6"/>
    </row>
    <row r="819">
      <c r="A819" s="15">
        <v>46309.0</v>
      </c>
      <c r="B819" s="8" t="str">
        <f t="shared" si="1"/>
        <v>209756</v>
      </c>
      <c r="C819" s="140" t="s">
        <v>519</v>
      </c>
      <c r="D819" s="137" t="s">
        <v>32</v>
      </c>
      <c r="E819" s="138">
        <v>0.0395</v>
      </c>
      <c r="F819" s="12" t="s">
        <v>18</v>
      </c>
      <c r="G819" s="12">
        <v>53.6</v>
      </c>
      <c r="H819" s="12">
        <v>39.3</v>
      </c>
      <c r="I819" s="12">
        <v>155.58</v>
      </c>
      <c r="J819" s="12">
        <v>155.19</v>
      </c>
      <c r="K819" s="12" t="s">
        <v>107</v>
      </c>
      <c r="L819" s="12">
        <v>53.5</v>
      </c>
      <c r="M819" s="12">
        <v>39.2</v>
      </c>
      <c r="N819" s="12">
        <v>155.4</v>
      </c>
      <c r="O819" s="12">
        <v>155.03</v>
      </c>
      <c r="P819" s="8"/>
      <c r="Q819" s="12" t="s">
        <v>90</v>
      </c>
      <c r="R819" s="6"/>
      <c r="S819" s="6"/>
      <c r="T819" s="6"/>
      <c r="U819" s="6"/>
      <c r="V819" s="6"/>
    </row>
    <row r="820">
      <c r="A820" s="15">
        <v>46309.0</v>
      </c>
      <c r="B820" s="8" t="str">
        <f t="shared" si="1"/>
        <v>211293</v>
      </c>
      <c r="C820" s="140" t="s">
        <v>681</v>
      </c>
      <c r="D820" s="137" t="s">
        <v>32</v>
      </c>
      <c r="E820" s="138">
        <v>0.0315</v>
      </c>
      <c r="F820" s="12" t="s">
        <v>18</v>
      </c>
      <c r="G820" s="12">
        <v>56.5</v>
      </c>
      <c r="H820" s="12">
        <v>43.49</v>
      </c>
      <c r="I820" s="12">
        <v>165.89</v>
      </c>
      <c r="J820" s="12">
        <v>165.8</v>
      </c>
      <c r="K820" s="12" t="s">
        <v>107</v>
      </c>
      <c r="L820" s="12">
        <v>56.38</v>
      </c>
      <c r="M820" s="12">
        <v>43.43</v>
      </c>
      <c r="N820" s="12">
        <v>165.47</v>
      </c>
      <c r="O820" s="12">
        <v>165.5</v>
      </c>
      <c r="P820" s="8"/>
      <c r="Q820" s="12" t="s">
        <v>90</v>
      </c>
      <c r="R820" s="6"/>
      <c r="S820" s="6"/>
      <c r="T820" s="6"/>
      <c r="U820" s="6"/>
      <c r="V820" s="6"/>
    </row>
    <row r="821">
      <c r="A821" s="15">
        <v>46309.0</v>
      </c>
      <c r="B821" s="8" t="str">
        <f t="shared" si="1"/>
        <v>219829</v>
      </c>
      <c r="C821" s="140" t="s">
        <v>682</v>
      </c>
      <c r="D821" s="137" t="s">
        <v>17</v>
      </c>
      <c r="E821" s="138">
        <v>0.0317</v>
      </c>
      <c r="F821" s="12" t="s">
        <v>18</v>
      </c>
      <c r="G821" s="12">
        <v>54.47</v>
      </c>
      <c r="H821" s="12">
        <v>41.81</v>
      </c>
      <c r="I821" s="12">
        <v>161.85</v>
      </c>
      <c r="J821" s="12">
        <v>161.94</v>
      </c>
      <c r="K821" s="12" t="s">
        <v>107</v>
      </c>
      <c r="L821" s="12">
        <v>54.48</v>
      </c>
      <c r="M821" s="12">
        <v>42.16</v>
      </c>
      <c r="N821" s="12">
        <v>162.11</v>
      </c>
      <c r="O821" s="12">
        <v>161.77</v>
      </c>
      <c r="P821" s="8"/>
      <c r="Q821" s="12" t="s">
        <v>90</v>
      </c>
      <c r="R821" s="6"/>
      <c r="S821" s="6"/>
      <c r="T821" s="6"/>
      <c r="U821" s="6"/>
      <c r="V821" s="6"/>
    </row>
    <row r="822">
      <c r="A822" s="15">
        <v>46309.0</v>
      </c>
      <c r="B822" s="8" t="str">
        <f t="shared" si="1"/>
        <v>240551</v>
      </c>
      <c r="C822" s="140" t="s">
        <v>607</v>
      </c>
      <c r="D822" s="137" t="s">
        <v>17</v>
      </c>
      <c r="E822" s="138">
        <v>0.1429</v>
      </c>
      <c r="F822" s="12" t="s">
        <v>18</v>
      </c>
      <c r="G822" s="12">
        <v>54.6</v>
      </c>
      <c r="H822" s="12">
        <v>39.8</v>
      </c>
      <c r="I822" s="12">
        <v>157.27</v>
      </c>
      <c r="J822" s="12">
        <v>157.27</v>
      </c>
      <c r="K822" s="12" t="s">
        <v>107</v>
      </c>
      <c r="L822" s="12">
        <v>54.73</v>
      </c>
      <c r="M822" s="12">
        <v>39.94</v>
      </c>
      <c r="N822" s="12">
        <v>157.71</v>
      </c>
      <c r="O822" s="12">
        <v>157.71</v>
      </c>
      <c r="P822" s="8"/>
      <c r="Q822" s="12" t="s">
        <v>90</v>
      </c>
      <c r="R822" s="6"/>
      <c r="S822" s="6"/>
      <c r="T822" s="6"/>
      <c r="U822" s="6"/>
      <c r="V822" s="6"/>
    </row>
    <row r="823">
      <c r="A823" s="15">
        <v>46309.0</v>
      </c>
      <c r="B823" s="8" t="str">
        <f t="shared" si="1"/>
        <v>241089</v>
      </c>
      <c r="C823" s="140" t="s">
        <v>683</v>
      </c>
      <c r="D823" s="137" t="s">
        <v>32</v>
      </c>
      <c r="E823" s="138">
        <v>0.038</v>
      </c>
      <c r="F823" s="12" t="s">
        <v>18</v>
      </c>
      <c r="G823" s="12">
        <v>60.37</v>
      </c>
      <c r="H823" s="12">
        <v>48.99</v>
      </c>
      <c r="I823" s="12">
        <v>177.5</v>
      </c>
      <c r="J823" s="12">
        <v>177.5</v>
      </c>
      <c r="K823" s="12" t="s">
        <v>107</v>
      </c>
      <c r="L823" s="12">
        <v>60.21</v>
      </c>
      <c r="M823" s="12">
        <v>48.38</v>
      </c>
      <c r="N823" s="12">
        <v>177.06</v>
      </c>
      <c r="O823" s="12">
        <v>176.41</v>
      </c>
      <c r="P823" s="8"/>
      <c r="Q823" s="12" t="s">
        <v>90</v>
      </c>
      <c r="R823" s="6"/>
      <c r="S823" s="6"/>
      <c r="T823" s="6"/>
      <c r="U823" s="6"/>
      <c r="V823" s="6"/>
    </row>
    <row r="824">
      <c r="A824" s="15">
        <v>46309.0</v>
      </c>
      <c r="B824" s="8" t="str">
        <f t="shared" si="1"/>
        <v>241114</v>
      </c>
      <c r="C824" s="142" t="s">
        <v>684</v>
      </c>
      <c r="D824" s="137" t="s">
        <v>32</v>
      </c>
      <c r="E824" s="138">
        <v>0.4615</v>
      </c>
      <c r="F824" s="12" t="s">
        <v>18</v>
      </c>
      <c r="G824" s="12">
        <v>56.6</v>
      </c>
      <c r="H824" s="12">
        <v>34.92</v>
      </c>
      <c r="I824" s="12">
        <v>151.12</v>
      </c>
      <c r="J824" s="12">
        <v>150.04</v>
      </c>
      <c r="K824" s="12" t="s">
        <v>107</v>
      </c>
      <c r="L824" s="12">
        <v>55.21</v>
      </c>
      <c r="M824" s="12">
        <v>34.74</v>
      </c>
      <c r="N824" s="12">
        <v>148.77</v>
      </c>
      <c r="O824" s="12">
        <v>148.77</v>
      </c>
      <c r="P824" s="8"/>
      <c r="Q824" s="12" t="s">
        <v>90</v>
      </c>
      <c r="R824" s="6"/>
      <c r="S824" s="6"/>
      <c r="T824" s="6"/>
      <c r="U824" s="6"/>
      <c r="V824" s="6"/>
    </row>
    <row r="825">
      <c r="A825" s="15">
        <v>46309.0</v>
      </c>
      <c r="B825" s="8" t="str">
        <f t="shared" si="1"/>
        <v>241117</v>
      </c>
      <c r="C825" s="140" t="s">
        <v>685</v>
      </c>
      <c r="D825" s="137" t="s">
        <v>32</v>
      </c>
      <c r="E825" s="138">
        <v>0.1034</v>
      </c>
      <c r="F825" s="12" t="s">
        <v>18</v>
      </c>
      <c r="G825" s="12">
        <v>54.7</v>
      </c>
      <c r="H825" s="12">
        <v>36.3</v>
      </c>
      <c r="I825" s="12">
        <v>154.46</v>
      </c>
      <c r="J825" s="12">
        <v>154.3</v>
      </c>
      <c r="K825" s="12" t="s">
        <v>107</v>
      </c>
      <c r="L825" s="12">
        <v>54.35</v>
      </c>
      <c r="M825" s="12">
        <v>35.92</v>
      </c>
      <c r="N825" s="12">
        <v>153.61</v>
      </c>
      <c r="O825" s="12">
        <v>153.45</v>
      </c>
      <c r="P825" s="8"/>
      <c r="Q825" s="12" t="s">
        <v>90</v>
      </c>
      <c r="R825" s="6"/>
      <c r="S825" s="6"/>
      <c r="T825" s="6"/>
      <c r="U825" s="6"/>
      <c r="V825" s="6"/>
    </row>
    <row r="826">
      <c r="A826" s="15">
        <v>46309.0</v>
      </c>
      <c r="B826" s="8" t="str">
        <f t="shared" si="1"/>
        <v>244418</v>
      </c>
      <c r="C826" s="10" t="s">
        <v>686</v>
      </c>
      <c r="D826" s="10" t="s">
        <v>77</v>
      </c>
      <c r="E826" s="9"/>
      <c r="F826" s="12" t="s">
        <v>18</v>
      </c>
      <c r="G826" s="12">
        <v>52.38</v>
      </c>
      <c r="H826" s="12">
        <v>40.0</v>
      </c>
      <c r="I826" s="8"/>
      <c r="J826" s="8"/>
      <c r="K826" s="12" t="s">
        <v>19</v>
      </c>
      <c r="L826" s="12">
        <v>52.56</v>
      </c>
      <c r="M826" s="12">
        <v>40.25</v>
      </c>
      <c r="N826" s="8"/>
      <c r="O826" s="8"/>
      <c r="P826" s="8"/>
      <c r="Q826" s="12" t="s">
        <v>687</v>
      </c>
      <c r="R826" s="6"/>
      <c r="S826" s="6"/>
      <c r="T826" s="6"/>
      <c r="U826" s="6"/>
      <c r="V826" s="6"/>
    </row>
    <row r="827">
      <c r="A827" s="15">
        <v>46309.0</v>
      </c>
      <c r="B827" s="8" t="str">
        <f t="shared" si="1"/>
        <v>242697</v>
      </c>
      <c r="C827" s="10" t="s">
        <v>688</v>
      </c>
      <c r="D827" s="10" t="s">
        <v>77</v>
      </c>
      <c r="E827" s="9"/>
      <c r="F827" s="12" t="s">
        <v>18</v>
      </c>
      <c r="G827" s="12">
        <v>55.72</v>
      </c>
      <c r="H827" s="12">
        <v>49.68</v>
      </c>
      <c r="I827" s="8"/>
      <c r="J827" s="8"/>
      <c r="K827" s="12" t="s">
        <v>19</v>
      </c>
      <c r="L827" s="12">
        <v>48.59</v>
      </c>
      <c r="M827" s="12">
        <v>48.59</v>
      </c>
      <c r="N827" s="12">
        <v>176.84</v>
      </c>
      <c r="O827" s="12">
        <v>176.84</v>
      </c>
      <c r="P827" s="8"/>
      <c r="Q827" s="12" t="s">
        <v>687</v>
      </c>
      <c r="R827" s="6"/>
      <c r="S827" s="6"/>
      <c r="T827" s="6"/>
      <c r="U827" s="6"/>
      <c r="V827" s="6"/>
    </row>
    <row r="828">
      <c r="A828" s="15">
        <v>46310.58880964121</v>
      </c>
      <c r="B828" s="8" t="str">
        <f t="shared" si="1"/>
        <v>227040</v>
      </c>
      <c r="C828" s="10" t="s">
        <v>689</v>
      </c>
      <c r="D828" s="10" t="s">
        <v>17</v>
      </c>
      <c r="E828" s="9"/>
      <c r="F828" s="12" t="s">
        <v>18</v>
      </c>
      <c r="G828" s="12">
        <v>55.86</v>
      </c>
      <c r="H828" s="12">
        <v>40.4</v>
      </c>
      <c r="I828" s="12">
        <v>167.1</v>
      </c>
      <c r="J828" s="12">
        <v>167.43</v>
      </c>
      <c r="K828" s="12" t="s">
        <v>19</v>
      </c>
      <c r="L828" s="12">
        <v>56.2</v>
      </c>
      <c r="M828" s="12">
        <v>40.73</v>
      </c>
      <c r="N828" s="12">
        <v>169.02</v>
      </c>
      <c r="O828" s="12">
        <v>169.15</v>
      </c>
      <c r="P828" s="10" t="s">
        <v>17</v>
      </c>
      <c r="Q828" s="12" t="s">
        <v>543</v>
      </c>
      <c r="R828" s="6"/>
      <c r="S828" s="6"/>
      <c r="T828" s="6"/>
      <c r="U828" s="6"/>
      <c r="V828" s="6"/>
    </row>
    <row r="829">
      <c r="A829" s="15">
        <v>46310.58177928241</v>
      </c>
      <c r="B829" s="8" t="str">
        <f t="shared" si="1"/>
        <v>238755</v>
      </c>
      <c r="C829" s="10" t="s">
        <v>690</v>
      </c>
      <c r="D829" s="10" t="s">
        <v>17</v>
      </c>
      <c r="E829" s="9"/>
      <c r="F829" s="12" t="s">
        <v>18</v>
      </c>
      <c r="G829" s="12">
        <v>52.6</v>
      </c>
      <c r="H829" s="12">
        <v>41.6</v>
      </c>
      <c r="I829" s="12">
        <v>156.33</v>
      </c>
      <c r="J829" s="12">
        <v>156.93</v>
      </c>
      <c r="K829" s="12" t="s">
        <v>107</v>
      </c>
      <c r="L829" s="12">
        <v>52.72</v>
      </c>
      <c r="M829" s="12">
        <v>41.8</v>
      </c>
      <c r="N829" s="12">
        <v>156.74</v>
      </c>
      <c r="O829" s="12">
        <v>156.86</v>
      </c>
      <c r="P829" s="10" t="s">
        <v>17</v>
      </c>
      <c r="Q829" s="12" t="s">
        <v>543</v>
      </c>
      <c r="R829" s="6"/>
      <c r="S829" s="6"/>
      <c r="T829" s="6"/>
      <c r="U829" s="6"/>
      <c r="V829" s="6"/>
    </row>
    <row r="830">
      <c r="A830" s="15">
        <v>46310.90246091435</v>
      </c>
      <c r="B830" s="8" t="str">
        <f t="shared" si="1"/>
        <v>237234</v>
      </c>
      <c r="C830" s="10" t="s">
        <v>691</v>
      </c>
      <c r="D830" s="10" t="s">
        <v>692</v>
      </c>
      <c r="E830" s="9"/>
      <c r="F830" s="12" t="s">
        <v>18</v>
      </c>
      <c r="G830" s="12">
        <v>50.65</v>
      </c>
      <c r="H830" s="12">
        <v>33.07</v>
      </c>
      <c r="I830" s="141">
        <v>142.68</v>
      </c>
      <c r="J830" s="12">
        <v>142.49</v>
      </c>
      <c r="K830" s="12" t="s">
        <v>19</v>
      </c>
      <c r="L830" s="12">
        <v>50.72</v>
      </c>
      <c r="M830" s="12">
        <v>33.58</v>
      </c>
      <c r="N830" s="12">
        <v>143.3</v>
      </c>
      <c r="O830" s="12">
        <v>143.21</v>
      </c>
      <c r="P830" s="12" t="s">
        <v>693</v>
      </c>
      <c r="Q830" s="12" t="s">
        <v>687</v>
      </c>
      <c r="R830" s="6"/>
      <c r="S830" s="6"/>
      <c r="T830" s="6"/>
      <c r="U830" s="6"/>
      <c r="V830" s="6"/>
    </row>
    <row r="831">
      <c r="A831" s="15">
        <v>46311.37634325231</v>
      </c>
      <c r="B831" s="8" t="str">
        <f t="shared" si="1"/>
        <v>255273</v>
      </c>
      <c r="C831" s="10" t="s">
        <v>694</v>
      </c>
      <c r="D831" s="10" t="s">
        <v>695</v>
      </c>
      <c r="E831" s="9"/>
      <c r="F831" s="12" t="s">
        <v>18</v>
      </c>
      <c r="G831" s="12">
        <v>53.4</v>
      </c>
      <c r="H831" s="12">
        <v>42.69</v>
      </c>
      <c r="I831" s="12">
        <v>163.19</v>
      </c>
      <c r="J831" s="12">
        <v>162.7</v>
      </c>
      <c r="K831" s="12" t="s">
        <v>19</v>
      </c>
      <c r="L831" s="12">
        <v>53.24</v>
      </c>
      <c r="M831" s="12">
        <v>42.57</v>
      </c>
      <c r="N831" s="12">
        <v>161.84</v>
      </c>
      <c r="O831" s="12">
        <v>162.11</v>
      </c>
      <c r="P831" s="10" t="s">
        <v>695</v>
      </c>
      <c r="Q831" s="12" t="s">
        <v>543</v>
      </c>
      <c r="R831" s="6"/>
      <c r="S831" s="6"/>
      <c r="T831" s="6"/>
      <c r="U831" s="6"/>
      <c r="V831" s="6"/>
    </row>
    <row r="832">
      <c r="A832" s="15">
        <v>46311.39013190972</v>
      </c>
      <c r="B832" s="8" t="str">
        <f t="shared" si="1"/>
        <v>137935</v>
      </c>
      <c r="C832" s="10" t="s">
        <v>696</v>
      </c>
      <c r="D832" s="10" t="s">
        <v>695</v>
      </c>
      <c r="E832" s="9"/>
      <c r="F832" s="12" t="s">
        <v>18</v>
      </c>
      <c r="G832" s="12">
        <v>53.19</v>
      </c>
      <c r="H832" s="12">
        <v>38.5</v>
      </c>
      <c r="I832" s="12">
        <v>147.91</v>
      </c>
      <c r="J832" s="12">
        <v>148.92</v>
      </c>
      <c r="K832" s="12" t="s">
        <v>19</v>
      </c>
      <c r="L832" s="12">
        <v>53.45</v>
      </c>
      <c r="M832" s="12">
        <v>38.4</v>
      </c>
      <c r="N832" s="12">
        <v>148.98</v>
      </c>
      <c r="O832" s="12">
        <v>148.98</v>
      </c>
      <c r="P832" s="10" t="s">
        <v>695</v>
      </c>
      <c r="Q832" s="12" t="s">
        <v>543</v>
      </c>
      <c r="R832" s="6"/>
      <c r="S832" s="6"/>
      <c r="T832" s="6"/>
      <c r="U832" s="6"/>
      <c r="V832" s="6"/>
    </row>
    <row r="833">
      <c r="A833" s="15">
        <v>46311.56814989583</v>
      </c>
      <c r="B833" s="8" t="str">
        <f t="shared" si="1"/>
        <v>201232</v>
      </c>
      <c r="C833" s="10" t="s">
        <v>697</v>
      </c>
      <c r="D833" s="10" t="s">
        <v>17</v>
      </c>
      <c r="E833" s="9"/>
      <c r="F833" s="12" t="s">
        <v>18</v>
      </c>
      <c r="G833" s="12">
        <v>53.71</v>
      </c>
      <c r="H833" s="12">
        <v>35.64</v>
      </c>
      <c r="I833" s="12">
        <v>151.38</v>
      </c>
      <c r="J833" s="12">
        <v>151.13</v>
      </c>
      <c r="K833" s="12" t="s">
        <v>19</v>
      </c>
      <c r="L833" s="12">
        <v>54.52</v>
      </c>
      <c r="M833" s="12">
        <v>36.62</v>
      </c>
      <c r="N833" s="12">
        <v>153.27</v>
      </c>
      <c r="O833" s="12">
        <v>153.46</v>
      </c>
      <c r="P833" s="12" t="s">
        <v>17</v>
      </c>
      <c r="Q833" s="12" t="s">
        <v>543</v>
      </c>
      <c r="R833" s="6"/>
      <c r="S833" s="6"/>
      <c r="T833" s="6"/>
      <c r="U833" s="6"/>
      <c r="V833" s="6"/>
    </row>
    <row r="834">
      <c r="A834" s="15">
        <v>46311.70603027778</v>
      </c>
      <c r="B834" s="8" t="str">
        <f t="shared" si="1"/>
        <v>242175</v>
      </c>
      <c r="C834" s="10" t="s">
        <v>698</v>
      </c>
      <c r="D834" s="10" t="s">
        <v>506</v>
      </c>
      <c r="E834" s="9"/>
      <c r="F834" s="12" t="s">
        <v>18</v>
      </c>
      <c r="G834" s="12">
        <v>53.73</v>
      </c>
      <c r="H834" s="12">
        <v>40.09</v>
      </c>
      <c r="I834" s="12">
        <v>159.5</v>
      </c>
      <c r="J834" s="12">
        <v>159.5</v>
      </c>
      <c r="K834" s="12" t="s">
        <v>19</v>
      </c>
      <c r="L834" s="12">
        <v>53.82</v>
      </c>
      <c r="M834" s="12">
        <v>40.29</v>
      </c>
      <c r="N834" s="12">
        <v>159.93</v>
      </c>
      <c r="O834" s="12">
        <v>159.4</v>
      </c>
      <c r="P834" s="12" t="s">
        <v>506</v>
      </c>
      <c r="Q834" s="12" t="s">
        <v>20</v>
      </c>
      <c r="R834" s="6"/>
      <c r="S834" s="6"/>
      <c r="T834" s="6"/>
      <c r="U834" s="6"/>
      <c r="V834" s="6"/>
    </row>
    <row r="835">
      <c r="A835" s="15">
        <v>46311.70835858796</v>
      </c>
      <c r="B835" s="8" t="str">
        <f t="shared" si="1"/>
        <v>241271</v>
      </c>
      <c r="C835" s="10" t="s">
        <v>699</v>
      </c>
      <c r="D835" s="10" t="s">
        <v>506</v>
      </c>
      <c r="E835" s="9"/>
      <c r="F835" s="12" t="s">
        <v>18</v>
      </c>
      <c r="G835" s="12">
        <v>55.84</v>
      </c>
      <c r="H835" s="12">
        <v>44.19</v>
      </c>
      <c r="I835" s="12">
        <v>167.94</v>
      </c>
      <c r="J835" s="12">
        <v>167.73</v>
      </c>
      <c r="K835" s="12" t="s">
        <v>19</v>
      </c>
      <c r="L835" s="12">
        <v>56.05</v>
      </c>
      <c r="M835" s="12">
        <v>44.4</v>
      </c>
      <c r="N835" s="12">
        <v>168.55</v>
      </c>
      <c r="O835" s="12">
        <v>167.98</v>
      </c>
      <c r="P835" s="12" t="s">
        <v>506</v>
      </c>
      <c r="Q835" s="12" t="s">
        <v>20</v>
      </c>
      <c r="R835" s="6"/>
      <c r="S835" s="6"/>
      <c r="T835" s="6"/>
      <c r="U835" s="6"/>
      <c r="V835" s="6"/>
    </row>
    <row r="836">
      <c r="A836" s="15">
        <v>46311.70993144676</v>
      </c>
      <c r="B836" s="8" t="str">
        <f t="shared" si="1"/>
        <v>241269</v>
      </c>
      <c r="C836" s="10">
        <v>241269.0</v>
      </c>
      <c r="D836" s="10" t="s">
        <v>506</v>
      </c>
      <c r="E836" s="9"/>
      <c r="F836" s="12" t="s">
        <v>18</v>
      </c>
      <c r="G836" s="12">
        <v>55.41</v>
      </c>
      <c r="H836" s="12">
        <v>48.49</v>
      </c>
      <c r="I836" s="12">
        <v>170.79</v>
      </c>
      <c r="J836" s="12">
        <v>170.79</v>
      </c>
      <c r="K836" s="12" t="s">
        <v>19</v>
      </c>
      <c r="L836" s="12">
        <v>55.61</v>
      </c>
      <c r="M836" s="12">
        <v>48.69</v>
      </c>
      <c r="N836" s="12">
        <v>171.29</v>
      </c>
      <c r="O836" s="12">
        <v>171.61</v>
      </c>
      <c r="P836" s="12" t="s">
        <v>506</v>
      </c>
      <c r="Q836" s="12" t="s">
        <v>20</v>
      </c>
      <c r="R836" s="6"/>
      <c r="S836" s="6"/>
      <c r="T836" s="6"/>
      <c r="U836" s="6"/>
      <c r="V836" s="6"/>
    </row>
    <row r="837">
      <c r="A837" s="15">
        <v>46311.71615060185</v>
      </c>
      <c r="B837" s="8" t="str">
        <f t="shared" si="1"/>
        <v>240554</v>
      </c>
      <c r="C837" s="10" t="s">
        <v>627</v>
      </c>
      <c r="D837" s="10" t="s">
        <v>17</v>
      </c>
      <c r="E837" s="9"/>
      <c r="F837" s="12" t="s">
        <v>18</v>
      </c>
      <c r="G837" s="12">
        <v>52.36</v>
      </c>
      <c r="H837" s="12">
        <v>41.05</v>
      </c>
      <c r="I837" s="12">
        <v>155.63</v>
      </c>
      <c r="J837" s="12">
        <v>155.63</v>
      </c>
      <c r="K837" s="12" t="s">
        <v>19</v>
      </c>
      <c r="L837" s="12">
        <v>52.79</v>
      </c>
      <c r="M837" s="12">
        <v>41.04</v>
      </c>
      <c r="N837" s="12">
        <v>156.55</v>
      </c>
      <c r="O837" s="12">
        <v>156.55</v>
      </c>
      <c r="P837" s="12" t="s">
        <v>17</v>
      </c>
      <c r="Q837" s="12" t="s">
        <v>20</v>
      </c>
      <c r="R837" s="6"/>
      <c r="S837" s="6"/>
      <c r="T837" s="6"/>
      <c r="U837" s="6"/>
      <c r="V837" s="6"/>
    </row>
    <row r="838">
      <c r="A838" s="15">
        <v>46311.71772826389</v>
      </c>
      <c r="B838" s="8" t="str">
        <f t="shared" si="1"/>
        <v>150609</v>
      </c>
      <c r="C838" s="10">
        <v>150609.0</v>
      </c>
      <c r="D838" s="10" t="s">
        <v>506</v>
      </c>
      <c r="E838" s="9"/>
      <c r="F838" s="12" t="s">
        <v>18</v>
      </c>
      <c r="G838" s="12">
        <v>49.32</v>
      </c>
      <c r="H838" s="12">
        <v>33.18</v>
      </c>
      <c r="I838" s="12">
        <v>134.79</v>
      </c>
      <c r="J838" s="12">
        <v>134.8</v>
      </c>
      <c r="K838" s="12" t="s">
        <v>19</v>
      </c>
      <c r="L838" s="12">
        <v>48.76</v>
      </c>
      <c r="M838" s="12">
        <v>34.1</v>
      </c>
      <c r="N838" s="12">
        <v>135.15</v>
      </c>
      <c r="O838" s="12">
        <v>134.62</v>
      </c>
      <c r="P838" s="12" t="s">
        <v>506</v>
      </c>
      <c r="Q838" s="12" t="s">
        <v>20</v>
      </c>
      <c r="R838" s="6"/>
      <c r="S838" s="6"/>
      <c r="T838" s="6"/>
      <c r="U838" s="6"/>
      <c r="V838" s="6"/>
    </row>
    <row r="839">
      <c r="A839" s="15">
        <v>46311.71998357639</v>
      </c>
      <c r="B839" s="8" t="str">
        <f t="shared" si="1"/>
        <v>151705</v>
      </c>
      <c r="C839" s="10" t="s">
        <v>700</v>
      </c>
      <c r="D839" s="10" t="s">
        <v>17</v>
      </c>
      <c r="E839" s="9"/>
      <c r="F839" s="12" t="s">
        <v>18</v>
      </c>
      <c r="G839" s="12">
        <v>50.64</v>
      </c>
      <c r="H839" s="12">
        <v>42.62</v>
      </c>
      <c r="I839" s="12">
        <v>153.24</v>
      </c>
      <c r="J839" s="12">
        <v>153.21</v>
      </c>
      <c r="K839" s="12" t="s">
        <v>19</v>
      </c>
      <c r="L839" s="12">
        <v>50.66</v>
      </c>
      <c r="M839" s="12">
        <v>42.91</v>
      </c>
      <c r="N839" s="12">
        <v>153.53</v>
      </c>
      <c r="O839" s="12">
        <v>153.3</v>
      </c>
      <c r="P839" s="12" t="s">
        <v>17</v>
      </c>
      <c r="Q839" s="12" t="s">
        <v>20</v>
      </c>
      <c r="R839" s="6"/>
      <c r="S839" s="6"/>
      <c r="T839" s="6"/>
      <c r="U839" s="6"/>
      <c r="V839" s="6"/>
    </row>
    <row r="840">
      <c r="A840" s="15">
        <v>46311.746003252316</v>
      </c>
      <c r="B840" s="8" t="str">
        <f t="shared" si="1"/>
        <v>236092</v>
      </c>
      <c r="C840" s="10" t="s">
        <v>602</v>
      </c>
      <c r="D840" s="10" t="s">
        <v>32</v>
      </c>
      <c r="E840" s="9"/>
      <c r="F840" s="12" t="s">
        <v>18</v>
      </c>
      <c r="G840" s="12">
        <v>50.3</v>
      </c>
      <c r="H840" s="12">
        <v>42.78</v>
      </c>
      <c r="I840" s="12">
        <v>151.58</v>
      </c>
      <c r="J840" s="12">
        <v>151.58</v>
      </c>
      <c r="K840" s="12" t="s">
        <v>19</v>
      </c>
      <c r="L840" s="12">
        <v>49.41</v>
      </c>
      <c r="M840" s="12">
        <v>41.7</v>
      </c>
      <c r="N840" s="12">
        <v>148.9</v>
      </c>
      <c r="O840" s="12">
        <v>148.59</v>
      </c>
      <c r="P840" s="12" t="s">
        <v>32</v>
      </c>
      <c r="Q840" s="12" t="s">
        <v>20</v>
      </c>
      <c r="R840" s="6"/>
      <c r="S840" s="6"/>
      <c r="T840" s="6"/>
      <c r="U840" s="6"/>
      <c r="V840" s="6"/>
    </row>
    <row r="841">
      <c r="A841" s="15">
        <v>46311.7501094676</v>
      </c>
      <c r="B841" s="8" t="str">
        <f t="shared" si="1"/>
        <v>238761</v>
      </c>
      <c r="C841" s="10" t="s">
        <v>671</v>
      </c>
      <c r="D841" s="10" t="s">
        <v>506</v>
      </c>
      <c r="E841" s="9"/>
      <c r="F841" s="12" t="s">
        <v>18</v>
      </c>
      <c r="G841" s="12">
        <v>54.34</v>
      </c>
      <c r="H841" s="12">
        <v>38.99</v>
      </c>
      <c r="I841" s="12">
        <v>157.69</v>
      </c>
      <c r="J841" s="12">
        <v>157.69</v>
      </c>
      <c r="K841" s="12" t="s">
        <v>19</v>
      </c>
      <c r="L841" s="12">
        <v>55.07</v>
      </c>
      <c r="M841" s="12">
        <v>39.2</v>
      </c>
      <c r="N841" s="12">
        <v>159.14</v>
      </c>
      <c r="O841" s="12">
        <v>158.9</v>
      </c>
      <c r="P841" s="12" t="s">
        <v>506</v>
      </c>
      <c r="Q841" s="12" t="s">
        <v>20</v>
      </c>
      <c r="R841" s="6"/>
      <c r="S841" s="6"/>
      <c r="T841" s="6"/>
      <c r="U841" s="6"/>
      <c r="V841" s="6"/>
    </row>
    <row r="842">
      <c r="A842" s="15">
        <v>46311.8351550463</v>
      </c>
      <c r="B842" s="8" t="str">
        <f t="shared" si="1"/>
        <v>241855</v>
      </c>
      <c r="C842" s="10" t="s">
        <v>701</v>
      </c>
      <c r="D842" s="10" t="s">
        <v>17</v>
      </c>
      <c r="E842" s="9"/>
      <c r="F842" s="12" t="s">
        <v>18</v>
      </c>
      <c r="G842" s="12">
        <v>50.55</v>
      </c>
      <c r="H842" s="12">
        <v>39.99</v>
      </c>
      <c r="I842" s="12">
        <v>152.53</v>
      </c>
      <c r="J842" s="12">
        <v>153.46</v>
      </c>
      <c r="K842" s="12" t="s">
        <v>19</v>
      </c>
      <c r="L842" s="12">
        <v>50.79</v>
      </c>
      <c r="M842" s="12">
        <v>40.1</v>
      </c>
      <c r="N842" s="12">
        <v>153.07</v>
      </c>
      <c r="O842" s="12">
        <v>153.23</v>
      </c>
      <c r="P842" s="12" t="s">
        <v>17</v>
      </c>
      <c r="Q842" s="12" t="s">
        <v>20</v>
      </c>
      <c r="R842" s="6"/>
      <c r="S842" s="6"/>
      <c r="T842" s="6"/>
      <c r="U842" s="6"/>
      <c r="V842" s="6"/>
    </row>
    <row r="843">
      <c r="A843" s="15">
        <v>46311.838159872685</v>
      </c>
      <c r="B843" s="8" t="str">
        <f t="shared" si="1"/>
        <v>240000</v>
      </c>
      <c r="C843" s="10" t="s">
        <v>702</v>
      </c>
      <c r="D843" s="10" t="s">
        <v>17</v>
      </c>
      <c r="E843" s="9"/>
      <c r="F843" s="12" t="s">
        <v>35</v>
      </c>
      <c r="G843" s="12">
        <v>56.54</v>
      </c>
      <c r="H843" s="12">
        <v>44.53</v>
      </c>
      <c r="I843" s="12">
        <v>168.92</v>
      </c>
      <c r="J843" s="12">
        <v>168.92</v>
      </c>
      <c r="K843" s="12" t="s">
        <v>19</v>
      </c>
      <c r="L843" s="12">
        <v>57.09</v>
      </c>
      <c r="M843" s="12">
        <v>44.79</v>
      </c>
      <c r="N843" s="12">
        <v>170.35</v>
      </c>
      <c r="O843" s="12">
        <v>170.35</v>
      </c>
      <c r="P843" s="12" t="s">
        <v>17</v>
      </c>
      <c r="Q843" s="12" t="s">
        <v>20</v>
      </c>
      <c r="R843" s="6"/>
      <c r="S843" s="6"/>
      <c r="T843" s="6"/>
      <c r="U843" s="6"/>
      <c r="V843" s="6"/>
    </row>
    <row r="844">
      <c r="A844" s="15">
        <v>46311.898148611115</v>
      </c>
      <c r="B844" s="8" t="str">
        <f t="shared" si="1"/>
        <v>242597</v>
      </c>
      <c r="C844" s="10" t="s">
        <v>703</v>
      </c>
      <c r="D844" s="10" t="s">
        <v>17</v>
      </c>
      <c r="E844" s="9"/>
      <c r="F844" s="12" t="s">
        <v>18</v>
      </c>
      <c r="G844" s="12">
        <v>49.01</v>
      </c>
      <c r="H844" s="12">
        <v>41.54</v>
      </c>
      <c r="I844" s="12">
        <v>148.18</v>
      </c>
      <c r="J844" s="12">
        <v>148.18</v>
      </c>
      <c r="K844" s="12" t="s">
        <v>19</v>
      </c>
      <c r="L844" s="12">
        <v>49.39</v>
      </c>
      <c r="M844" s="12">
        <v>41.9</v>
      </c>
      <c r="N844" s="12">
        <v>149.43</v>
      </c>
      <c r="O844" s="12">
        <v>149.54</v>
      </c>
      <c r="P844" s="12" t="s">
        <v>17</v>
      </c>
      <c r="Q844" s="12" t="s">
        <v>20</v>
      </c>
      <c r="R844" s="6"/>
      <c r="S844" s="6"/>
      <c r="T844" s="6"/>
      <c r="U844" s="6"/>
      <c r="V844" s="6"/>
    </row>
    <row r="845">
      <c r="A845" s="15">
        <v>46312.56714694445</v>
      </c>
      <c r="B845" s="8" t="str">
        <f t="shared" si="1"/>
        <v>241839</v>
      </c>
      <c r="C845" s="10">
        <v>241839.0</v>
      </c>
      <c r="D845" s="10" t="s">
        <v>17</v>
      </c>
      <c r="E845" s="9"/>
      <c r="F845" s="12" t="s">
        <v>18</v>
      </c>
      <c r="G845" s="12">
        <v>49.69</v>
      </c>
      <c r="H845" s="12">
        <v>41.51</v>
      </c>
      <c r="I845" s="12">
        <v>149.84</v>
      </c>
      <c r="J845" s="12">
        <v>149.91</v>
      </c>
      <c r="K845" s="12" t="s">
        <v>19</v>
      </c>
      <c r="L845" s="12">
        <v>50.38</v>
      </c>
      <c r="M845" s="12">
        <v>41.86</v>
      </c>
      <c r="N845" s="12">
        <v>151.58</v>
      </c>
      <c r="O845" s="12">
        <v>151.58</v>
      </c>
      <c r="P845" s="12" t="s">
        <v>17</v>
      </c>
      <c r="Q845" s="12" t="s">
        <v>543</v>
      </c>
      <c r="R845" s="6"/>
      <c r="S845" s="6"/>
      <c r="T845" s="6"/>
      <c r="U845" s="6"/>
      <c r="V845" s="6"/>
    </row>
    <row r="846">
      <c r="A846" s="15">
        <v>46312.0</v>
      </c>
      <c r="B846" s="8" t="str">
        <f t="shared" si="1"/>
        <v>245914</v>
      </c>
      <c r="C846" s="22" t="s">
        <v>329</v>
      </c>
      <c r="D846" s="10" t="s">
        <v>32</v>
      </c>
      <c r="E846" s="9"/>
      <c r="F846" s="12" t="s">
        <v>18</v>
      </c>
      <c r="G846" s="12">
        <v>51.7</v>
      </c>
      <c r="H846" s="12">
        <v>37.44</v>
      </c>
      <c r="I846" s="12">
        <v>151.14</v>
      </c>
      <c r="J846" s="12">
        <v>151.14</v>
      </c>
      <c r="K846" s="12" t="s">
        <v>107</v>
      </c>
      <c r="L846" s="12">
        <v>51.64</v>
      </c>
      <c r="M846" s="12">
        <v>37.38</v>
      </c>
      <c r="N846" s="12">
        <v>150.93</v>
      </c>
      <c r="O846" s="12">
        <v>150.93</v>
      </c>
      <c r="P846" s="12" t="s">
        <v>32</v>
      </c>
      <c r="Q846" s="12" t="s">
        <v>90</v>
      </c>
      <c r="R846" s="6"/>
      <c r="S846" s="6"/>
      <c r="T846" s="6"/>
      <c r="U846" s="6"/>
      <c r="V846" s="6"/>
    </row>
    <row r="847">
      <c r="A847" s="15">
        <v>46312.868877870365</v>
      </c>
      <c r="B847" s="8" t="str">
        <f t="shared" si="1"/>
        <v>242174</v>
      </c>
      <c r="C847" s="105" t="s">
        <v>672</v>
      </c>
      <c r="D847" s="105" t="s">
        <v>32</v>
      </c>
      <c r="E847" s="106">
        <v>0.1111</v>
      </c>
      <c r="F847" s="12" t="s">
        <v>18</v>
      </c>
      <c r="G847" s="12">
        <v>54.49</v>
      </c>
      <c r="H847" s="12">
        <v>41.92</v>
      </c>
      <c r="I847" s="12">
        <v>161.67</v>
      </c>
      <c r="J847" s="12">
        <v>161.67</v>
      </c>
      <c r="K847" s="12" t="s">
        <v>107</v>
      </c>
      <c r="L847" s="12">
        <v>54.2</v>
      </c>
      <c r="M847" s="12">
        <v>41.72</v>
      </c>
      <c r="N847" s="12">
        <v>160.83</v>
      </c>
      <c r="O847" s="12">
        <v>160.67</v>
      </c>
      <c r="P847" s="8"/>
      <c r="Q847" s="12" t="s">
        <v>20</v>
      </c>
      <c r="R847" s="6"/>
      <c r="S847" s="6"/>
      <c r="T847" s="6"/>
      <c r="U847" s="6"/>
      <c r="V847" s="6"/>
    </row>
    <row r="848">
      <c r="A848" s="15">
        <v>46312.86995042824</v>
      </c>
      <c r="B848" s="8" t="str">
        <f t="shared" si="1"/>
        <v>238583</v>
      </c>
      <c r="C848" s="105" t="s">
        <v>704</v>
      </c>
      <c r="D848" s="105" t="s">
        <v>32</v>
      </c>
      <c r="E848" s="106">
        <v>0.1</v>
      </c>
      <c r="F848" s="12" t="s">
        <v>18</v>
      </c>
      <c r="G848" s="12">
        <v>51.61</v>
      </c>
      <c r="H848" s="12">
        <v>37.22</v>
      </c>
      <c r="I848" s="12">
        <v>150.27</v>
      </c>
      <c r="J848" s="12">
        <v>150.62</v>
      </c>
      <c r="K848" s="12" t="s">
        <v>107</v>
      </c>
      <c r="L848" s="12">
        <v>51.4</v>
      </c>
      <c r="M848" s="12">
        <v>37.03</v>
      </c>
      <c r="N848" s="12">
        <v>149.64</v>
      </c>
      <c r="O848" s="12">
        <v>149.99</v>
      </c>
      <c r="P848" s="8"/>
      <c r="Q848" s="12" t="s">
        <v>20</v>
      </c>
      <c r="R848" s="6"/>
      <c r="S848" s="6"/>
      <c r="T848" s="6"/>
      <c r="U848" s="6"/>
      <c r="V848" s="6"/>
    </row>
    <row r="849">
      <c r="A849" s="15">
        <v>46312.871022499996</v>
      </c>
      <c r="B849" s="8" t="str">
        <f t="shared" si="1"/>
        <v>238663</v>
      </c>
      <c r="C849" s="105" t="s">
        <v>705</v>
      </c>
      <c r="D849" s="105" t="s">
        <v>32</v>
      </c>
      <c r="E849" s="106">
        <v>0.2</v>
      </c>
      <c r="F849" s="12" t="s">
        <v>18</v>
      </c>
      <c r="G849" s="12">
        <v>51.76</v>
      </c>
      <c r="H849" s="12">
        <v>32.64</v>
      </c>
      <c r="I849" s="12">
        <v>141.01</v>
      </c>
      <c r="J849" s="12">
        <v>141.01</v>
      </c>
      <c r="K849" s="12" t="s">
        <v>107</v>
      </c>
      <c r="L849" s="12">
        <v>51.46</v>
      </c>
      <c r="M849" s="12">
        <v>32.44</v>
      </c>
      <c r="N849" s="12">
        <v>140.2</v>
      </c>
      <c r="O849" s="12">
        <v>139.57</v>
      </c>
      <c r="P849" s="8"/>
      <c r="Q849" s="12" t="s">
        <v>20</v>
      </c>
      <c r="R849" s="6"/>
      <c r="S849" s="6"/>
      <c r="T849" s="6"/>
      <c r="U849" s="6"/>
      <c r="V849" s="6"/>
    </row>
    <row r="850">
      <c r="A850" s="15">
        <v>46312.87238822917</v>
      </c>
      <c r="B850" s="8" t="str">
        <f t="shared" si="1"/>
        <v>207551</v>
      </c>
      <c r="C850" s="105" t="s">
        <v>706</v>
      </c>
      <c r="D850" s="105" t="s">
        <v>439</v>
      </c>
      <c r="E850" s="106">
        <v>0.1</v>
      </c>
      <c r="F850" s="12" t="s">
        <v>18</v>
      </c>
      <c r="G850" s="12">
        <v>56.63</v>
      </c>
      <c r="H850" s="12">
        <v>37.01</v>
      </c>
      <c r="I850" s="12">
        <v>159.69</v>
      </c>
      <c r="J850" s="12">
        <v>159.38</v>
      </c>
      <c r="K850" s="12" t="s">
        <v>107</v>
      </c>
      <c r="L850" s="12">
        <v>56.53</v>
      </c>
      <c r="M850" s="12">
        <v>36.9</v>
      </c>
      <c r="N850" s="12">
        <v>158.97</v>
      </c>
      <c r="O850" s="12">
        <v>158.18</v>
      </c>
      <c r="P850" s="8"/>
      <c r="Q850" s="12" t="s">
        <v>20</v>
      </c>
      <c r="R850" s="6"/>
      <c r="S850" s="6"/>
      <c r="T850" s="6"/>
      <c r="U850" s="6"/>
      <c r="V850" s="6"/>
    </row>
    <row r="851">
      <c r="A851" s="8"/>
      <c r="B851" s="8" t="str">
        <f t="shared" si="1"/>
        <v>241097</v>
      </c>
      <c r="C851" s="105" t="s">
        <v>707</v>
      </c>
      <c r="D851" s="105" t="s">
        <v>588</v>
      </c>
      <c r="E851" s="106">
        <v>0.0732</v>
      </c>
      <c r="F851" s="12" t="s">
        <v>18</v>
      </c>
      <c r="G851" s="12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6"/>
      <c r="S851" s="6"/>
      <c r="T851" s="6"/>
      <c r="U851" s="6"/>
      <c r="V851" s="6"/>
    </row>
    <row r="852">
      <c r="A852" s="15">
        <v>46312.89303851852</v>
      </c>
      <c r="B852" s="8" t="str">
        <f t="shared" si="1"/>
        <v>224444</v>
      </c>
      <c r="C852" s="105" t="s">
        <v>708</v>
      </c>
      <c r="D852" s="105" t="s">
        <v>588</v>
      </c>
      <c r="E852" s="106">
        <v>0.069</v>
      </c>
      <c r="F852" s="12" t="s">
        <v>18</v>
      </c>
      <c r="G852" s="12">
        <v>56.55</v>
      </c>
      <c r="H852" s="12">
        <v>42.21</v>
      </c>
      <c r="I852" s="12">
        <v>166.58</v>
      </c>
      <c r="J852" s="12">
        <v>168.46</v>
      </c>
      <c r="K852" s="12" t="s">
        <v>107</v>
      </c>
      <c r="L852" s="12">
        <v>56.45</v>
      </c>
      <c r="M852" s="12">
        <v>42.11</v>
      </c>
      <c r="N852" s="12">
        <v>166.26</v>
      </c>
      <c r="O852" s="12">
        <v>168.08</v>
      </c>
      <c r="P852" s="8"/>
      <c r="Q852" s="12" t="s">
        <v>20</v>
      </c>
      <c r="R852" s="6"/>
      <c r="S852" s="6"/>
      <c r="T852" s="6"/>
      <c r="U852" s="6"/>
      <c r="V852" s="6"/>
    </row>
    <row r="853">
      <c r="A853" s="15">
        <v>46312.89410922454</v>
      </c>
      <c r="B853" s="8" t="str">
        <f t="shared" si="1"/>
        <v>234765</v>
      </c>
      <c r="C853" s="105" t="s">
        <v>614</v>
      </c>
      <c r="D853" s="105" t="s">
        <v>17</v>
      </c>
      <c r="E853" s="106">
        <v>0.5</v>
      </c>
      <c r="F853" s="12" t="s">
        <v>18</v>
      </c>
      <c r="G853" s="12">
        <v>52.71</v>
      </c>
      <c r="H853" s="12">
        <v>38.23</v>
      </c>
      <c r="I853" s="12">
        <v>154.78</v>
      </c>
      <c r="J853" s="12">
        <v>154.19</v>
      </c>
      <c r="K853" s="12" t="s">
        <v>107</v>
      </c>
      <c r="L853" s="12">
        <v>53.51</v>
      </c>
      <c r="M853" s="12">
        <v>38.83</v>
      </c>
      <c r="N853" s="12">
        <v>157.16</v>
      </c>
      <c r="O853" s="12">
        <v>156.59</v>
      </c>
      <c r="P853" s="8"/>
      <c r="Q853" s="12" t="s">
        <v>20</v>
      </c>
      <c r="R853" s="6"/>
      <c r="S853" s="6"/>
      <c r="T853" s="6"/>
      <c r="U853" s="6"/>
      <c r="V853" s="6"/>
    </row>
    <row r="854">
      <c r="A854" s="8"/>
      <c r="B854" s="8" t="str">
        <f t="shared" si="1"/>
        <v>234792</v>
      </c>
      <c r="C854" s="105" t="s">
        <v>642</v>
      </c>
      <c r="D854" s="105" t="s">
        <v>17</v>
      </c>
      <c r="E854" s="106">
        <v>0.4286</v>
      </c>
      <c r="F854" s="12" t="s">
        <v>18</v>
      </c>
      <c r="G854" s="8"/>
      <c r="H854" s="8"/>
      <c r="I854" s="8"/>
      <c r="J854" s="8"/>
      <c r="K854" s="12"/>
      <c r="L854" s="8"/>
      <c r="M854" s="8"/>
      <c r="N854" s="8"/>
      <c r="O854" s="8"/>
      <c r="P854" s="8"/>
      <c r="Q854" s="8"/>
      <c r="R854" s="6"/>
      <c r="S854" s="6"/>
      <c r="T854" s="6"/>
      <c r="U854" s="6"/>
      <c r="V854" s="6"/>
    </row>
    <row r="855">
      <c r="A855" s="15">
        <v>46312.89620148148</v>
      </c>
      <c r="B855" s="8" t="str">
        <f t="shared" si="1"/>
        <v>238761</v>
      </c>
      <c r="C855" s="105">
        <v>238761.0</v>
      </c>
      <c r="D855" s="105" t="s">
        <v>32</v>
      </c>
      <c r="E855" s="106">
        <v>0.5</v>
      </c>
      <c r="F855" s="12" t="s">
        <v>18</v>
      </c>
      <c r="G855" s="12">
        <v>54.42</v>
      </c>
      <c r="H855" s="12">
        <v>38.81</v>
      </c>
      <c r="I855" s="12">
        <v>157.77</v>
      </c>
      <c r="J855" s="12">
        <v>157.77</v>
      </c>
      <c r="K855" s="12" t="s">
        <v>107</v>
      </c>
      <c r="L855" s="12">
        <v>54.23</v>
      </c>
      <c r="M855" s="12">
        <v>38.69</v>
      </c>
      <c r="N855" s="12">
        <v>157.21</v>
      </c>
      <c r="O855" s="12">
        <v>157.23</v>
      </c>
      <c r="P855" s="8"/>
      <c r="Q855" s="12" t="s">
        <v>20</v>
      </c>
      <c r="R855" s="6"/>
      <c r="S855" s="6"/>
      <c r="T855" s="6"/>
      <c r="U855" s="6"/>
      <c r="V855" s="6"/>
    </row>
    <row r="856">
      <c r="A856" s="8"/>
      <c r="B856" s="8" t="str">
        <f t="shared" si="1"/>
        <v>240000</v>
      </c>
      <c r="C856" s="105" t="s">
        <v>702</v>
      </c>
      <c r="D856" s="105" t="s">
        <v>17</v>
      </c>
      <c r="E856" s="106">
        <v>0.3</v>
      </c>
      <c r="F856" s="12" t="s">
        <v>18</v>
      </c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6"/>
      <c r="S856" s="6"/>
      <c r="T856" s="6"/>
      <c r="U856" s="6"/>
      <c r="V856" s="6"/>
    </row>
    <row r="857">
      <c r="A857" s="15">
        <v>46312.90295793982</v>
      </c>
      <c r="B857" s="8" t="str">
        <f t="shared" si="1"/>
        <v>241387</v>
      </c>
      <c r="C857" s="105" t="s">
        <v>622</v>
      </c>
      <c r="D857" s="105" t="s">
        <v>17</v>
      </c>
      <c r="E857" s="106">
        <v>0.1304</v>
      </c>
      <c r="F857" s="12" t="s">
        <v>18</v>
      </c>
      <c r="G857" s="12">
        <v>51.38</v>
      </c>
      <c r="H857" s="12">
        <v>36.68</v>
      </c>
      <c r="I857" s="12">
        <v>147.38</v>
      </c>
      <c r="J857" s="12">
        <v>147.53</v>
      </c>
      <c r="K857" s="12" t="s">
        <v>107</v>
      </c>
      <c r="L857" s="12">
        <v>51.8</v>
      </c>
      <c r="M857" s="12">
        <v>37.05</v>
      </c>
      <c r="N857" s="12">
        <v>148.66</v>
      </c>
      <c r="O857" s="12">
        <v>149.15</v>
      </c>
      <c r="P857" s="8"/>
      <c r="Q857" s="12" t="s">
        <v>20</v>
      </c>
      <c r="R857" s="6"/>
      <c r="S857" s="6"/>
      <c r="T857" s="6"/>
      <c r="U857" s="6"/>
      <c r="V857" s="6"/>
    </row>
    <row r="858">
      <c r="A858" s="15">
        <v>46312.906396238424</v>
      </c>
      <c r="B858" s="8" t="str">
        <f t="shared" si="1"/>
        <v>242598</v>
      </c>
      <c r="C858" s="105" t="s">
        <v>709</v>
      </c>
      <c r="D858" s="105" t="s">
        <v>17</v>
      </c>
      <c r="E858" s="106">
        <v>0.15</v>
      </c>
      <c r="F858" s="12" t="s">
        <v>18</v>
      </c>
      <c r="G858" s="12">
        <v>48.97</v>
      </c>
      <c r="H858" s="12">
        <v>39.67</v>
      </c>
      <c r="I858" s="12">
        <v>147.32</v>
      </c>
      <c r="J858" s="12">
        <v>147.32</v>
      </c>
      <c r="K858" s="12" t="s">
        <v>107</v>
      </c>
      <c r="L858" s="12">
        <v>49.21</v>
      </c>
      <c r="M858" s="12">
        <v>39.97</v>
      </c>
      <c r="N858" s="12">
        <v>148.18</v>
      </c>
      <c r="O858" s="12">
        <v>148.56</v>
      </c>
      <c r="P858" s="8"/>
      <c r="Q858" s="12" t="s">
        <v>20</v>
      </c>
      <c r="R858" s="6"/>
      <c r="S858" s="6"/>
      <c r="T858" s="6"/>
      <c r="U858" s="6"/>
      <c r="V858" s="6"/>
    </row>
    <row r="859">
      <c r="A859" s="143">
        <v>46312.756198055555</v>
      </c>
      <c r="B859" s="8" t="str">
        <f t="shared" si="1"/>
        <v>234800</v>
      </c>
      <c r="C859" s="144" t="s">
        <v>710</v>
      </c>
      <c r="D859" s="144" t="s">
        <v>17</v>
      </c>
      <c r="E859" s="145"/>
      <c r="F859" s="60" t="s">
        <v>18</v>
      </c>
      <c r="G859" s="60">
        <v>48.28</v>
      </c>
      <c r="H859" s="60">
        <v>41.93</v>
      </c>
      <c r="I859" s="60">
        <v>146.75</v>
      </c>
      <c r="J859" s="60">
        <v>146.75</v>
      </c>
      <c r="K859" s="60" t="s">
        <v>19</v>
      </c>
      <c r="L859" s="60">
        <v>47.58</v>
      </c>
      <c r="M859" s="60">
        <v>41.38</v>
      </c>
      <c r="N859" s="60">
        <v>144.64</v>
      </c>
      <c r="O859" s="60">
        <v>144.69</v>
      </c>
      <c r="P859" s="60" t="s">
        <v>17</v>
      </c>
      <c r="Q859" s="60" t="s">
        <v>20</v>
      </c>
      <c r="R859" s="61"/>
      <c r="S859" s="61"/>
      <c r="T859" s="61"/>
      <c r="U859" s="61"/>
      <c r="V859" s="61"/>
    </row>
    <row r="860">
      <c r="A860" s="15">
        <v>46312.76099760417</v>
      </c>
      <c r="B860" s="8" t="str">
        <f t="shared" si="1"/>
        <v>CT0295</v>
      </c>
      <c r="C860" s="10" t="s">
        <v>711</v>
      </c>
      <c r="D860" s="10" t="s">
        <v>17</v>
      </c>
      <c r="E860" s="9"/>
      <c r="F860" s="12" t="s">
        <v>18</v>
      </c>
      <c r="G860" s="12">
        <v>52.39</v>
      </c>
      <c r="H860" s="12">
        <v>40.15</v>
      </c>
      <c r="I860" s="12">
        <v>153.17</v>
      </c>
      <c r="J860" s="12">
        <v>153.44</v>
      </c>
      <c r="K860" s="12" t="s">
        <v>19</v>
      </c>
      <c r="L860" s="12">
        <v>55.58</v>
      </c>
      <c r="M860" s="12">
        <v>41.5</v>
      </c>
      <c r="N860" s="12">
        <v>161.35</v>
      </c>
      <c r="O860" s="12">
        <v>161.2</v>
      </c>
      <c r="P860" s="12" t="s">
        <v>17</v>
      </c>
      <c r="Q860" s="12" t="s">
        <v>20</v>
      </c>
      <c r="R860" s="6"/>
      <c r="S860" s="6"/>
      <c r="T860" s="6"/>
      <c r="U860" s="6"/>
      <c r="V860" s="6"/>
    </row>
    <row r="861">
      <c r="A861" s="15">
        <v>46312.766674467595</v>
      </c>
      <c r="B861" s="8" t="str">
        <f t="shared" si="1"/>
        <v>241189</v>
      </c>
      <c r="C861" s="10" t="s">
        <v>712</v>
      </c>
      <c r="D861" s="10" t="s">
        <v>17</v>
      </c>
      <c r="E861" s="9"/>
      <c r="F861" s="12" t="s">
        <v>18</v>
      </c>
      <c r="G861" s="12">
        <v>50.1</v>
      </c>
      <c r="H861" s="12">
        <v>39.43</v>
      </c>
      <c r="I861" s="12">
        <v>149.32</v>
      </c>
      <c r="J861" s="12">
        <v>149.21</v>
      </c>
      <c r="K861" s="12" t="s">
        <v>19</v>
      </c>
      <c r="L861" s="12">
        <v>50.06</v>
      </c>
      <c r="M861" s="12">
        <v>39.17</v>
      </c>
      <c r="N861" s="12">
        <v>148.9</v>
      </c>
      <c r="O861" s="12">
        <v>148.9</v>
      </c>
      <c r="P861" s="12" t="s">
        <v>17</v>
      </c>
      <c r="Q861" s="12" t="s">
        <v>20</v>
      </c>
      <c r="R861" s="6"/>
      <c r="S861" s="6"/>
      <c r="T861" s="6"/>
      <c r="U861" s="6"/>
      <c r="V861" s="6"/>
    </row>
    <row r="862">
      <c r="A862" s="15">
        <v>46312.76985256944</v>
      </c>
      <c r="B862" s="8" t="str">
        <f t="shared" si="1"/>
        <v>151705</v>
      </c>
      <c r="C862" s="10" t="s">
        <v>713</v>
      </c>
      <c r="D862" s="10" t="s">
        <v>17</v>
      </c>
      <c r="E862" s="9"/>
      <c r="F862" s="12" t="s">
        <v>18</v>
      </c>
      <c r="G862" s="12">
        <v>50.61</v>
      </c>
      <c r="H862" s="12">
        <v>43.17</v>
      </c>
      <c r="I862" s="12">
        <v>153.61</v>
      </c>
      <c r="J862" s="12">
        <v>153.63</v>
      </c>
      <c r="K862" s="12" t="s">
        <v>19</v>
      </c>
      <c r="L862" s="12">
        <v>50.81</v>
      </c>
      <c r="M862" s="12">
        <v>43.63</v>
      </c>
      <c r="N862" s="12">
        <v>154.42</v>
      </c>
      <c r="O862" s="12">
        <v>154.91</v>
      </c>
      <c r="P862" s="12" t="s">
        <v>17</v>
      </c>
      <c r="Q862" s="12" t="s">
        <v>20</v>
      </c>
      <c r="R862" s="6"/>
      <c r="S862" s="6"/>
      <c r="T862" s="6"/>
      <c r="U862" s="6"/>
      <c r="V862" s="6"/>
    </row>
    <row r="863">
      <c r="A863" s="15">
        <v>46312.771811053244</v>
      </c>
      <c r="B863" s="8" t="str">
        <f t="shared" si="1"/>
        <v>241184</v>
      </c>
      <c r="C863" s="10" t="s">
        <v>714</v>
      </c>
      <c r="D863" s="10" t="s">
        <v>17</v>
      </c>
      <c r="E863" s="9"/>
      <c r="F863" s="12" t="s">
        <v>18</v>
      </c>
      <c r="G863" s="12">
        <v>49.91</v>
      </c>
      <c r="H863" s="12">
        <v>39.26</v>
      </c>
      <c r="I863" s="12">
        <v>148.16</v>
      </c>
      <c r="J863" s="12">
        <v>148.33</v>
      </c>
      <c r="K863" s="12" t="s">
        <v>19</v>
      </c>
      <c r="L863" s="12">
        <v>50.21</v>
      </c>
      <c r="M863" s="12">
        <v>39.5</v>
      </c>
      <c r="N863" s="12">
        <v>149.49</v>
      </c>
      <c r="O863" s="12">
        <v>149.77</v>
      </c>
      <c r="P863" s="12" t="s">
        <v>17</v>
      </c>
      <c r="Q863" s="12" t="s">
        <v>20</v>
      </c>
      <c r="R863" s="6"/>
      <c r="S863" s="6"/>
      <c r="T863" s="6"/>
      <c r="U863" s="6"/>
      <c r="V863" s="6"/>
    </row>
    <row r="864">
      <c r="A864" s="15">
        <v>46312.86269306713</v>
      </c>
      <c r="B864" s="8" t="str">
        <f t="shared" si="1"/>
        <v>235135</v>
      </c>
      <c r="C864" s="10" t="s">
        <v>715</v>
      </c>
      <c r="D864" s="10" t="s">
        <v>17</v>
      </c>
      <c r="E864" s="9"/>
      <c r="F864" s="12" t="s">
        <v>18</v>
      </c>
      <c r="G864" s="12">
        <v>53.79</v>
      </c>
      <c r="H864" s="12">
        <v>45.89</v>
      </c>
      <c r="I864" s="12">
        <v>165.12</v>
      </c>
      <c r="J864" s="12">
        <v>165.12</v>
      </c>
      <c r="K864" s="12" t="s">
        <v>19</v>
      </c>
      <c r="L864" s="12">
        <v>54.11</v>
      </c>
      <c r="M864" s="12">
        <v>45.99</v>
      </c>
      <c r="N864" s="12">
        <v>165.94</v>
      </c>
      <c r="O864" s="12">
        <v>165.88</v>
      </c>
      <c r="P864" s="12" t="s">
        <v>17</v>
      </c>
      <c r="Q864" s="12" t="s">
        <v>20</v>
      </c>
      <c r="R864" s="6"/>
      <c r="S864" s="6"/>
      <c r="T864" s="6"/>
      <c r="U864" s="6"/>
      <c r="V864" s="6"/>
    </row>
    <row r="865">
      <c r="A865" s="15">
        <v>46313.41110960648</v>
      </c>
      <c r="B865" s="8" t="str">
        <f t="shared" si="1"/>
        <v>234804</v>
      </c>
      <c r="C865" s="10" t="s">
        <v>716</v>
      </c>
      <c r="D865" s="10" t="s">
        <v>17</v>
      </c>
      <c r="E865" s="9"/>
      <c r="F865" s="12" t="s">
        <v>18</v>
      </c>
      <c r="G865" s="12">
        <v>51.52</v>
      </c>
      <c r="H865" s="12">
        <v>44.07</v>
      </c>
      <c r="I865" s="12">
        <v>155.21</v>
      </c>
      <c r="J865" s="12">
        <v>155.09</v>
      </c>
      <c r="K865" s="12" t="s">
        <v>19</v>
      </c>
      <c r="L865" s="12">
        <v>52.19</v>
      </c>
      <c r="M865" s="12">
        <v>43.28</v>
      </c>
      <c r="N865" s="12">
        <v>154.76</v>
      </c>
      <c r="O865" s="12">
        <v>154.76</v>
      </c>
      <c r="P865" s="12" t="s">
        <v>17</v>
      </c>
      <c r="Q865" s="12" t="s">
        <v>42</v>
      </c>
      <c r="R865" s="6"/>
      <c r="S865" s="6"/>
      <c r="T865" s="6"/>
      <c r="U865" s="6"/>
      <c r="V865" s="6"/>
    </row>
    <row r="866">
      <c r="A866" s="15">
        <v>46314.0</v>
      </c>
      <c r="B866" s="8" t="str">
        <f t="shared" si="1"/>
        <v>241839</v>
      </c>
      <c r="C866" s="10">
        <v>241839.0</v>
      </c>
      <c r="D866" s="10" t="s">
        <v>17</v>
      </c>
      <c r="E866" s="9"/>
      <c r="F866" s="12" t="s">
        <v>18</v>
      </c>
      <c r="G866" s="12">
        <v>50.4</v>
      </c>
      <c r="H866" s="12">
        <v>41.68</v>
      </c>
      <c r="I866" s="12">
        <v>152.18</v>
      </c>
      <c r="J866" s="12">
        <v>152.18</v>
      </c>
      <c r="K866" s="12" t="s">
        <v>19</v>
      </c>
      <c r="L866" s="12">
        <v>50.68</v>
      </c>
      <c r="M866" s="12">
        <v>41.89</v>
      </c>
      <c r="N866" s="12">
        <v>152.12</v>
      </c>
      <c r="O866" s="12">
        <v>152.12</v>
      </c>
      <c r="P866" s="12" t="s">
        <v>17</v>
      </c>
      <c r="Q866" s="12" t="s">
        <v>42</v>
      </c>
      <c r="R866" s="6"/>
      <c r="S866" s="6"/>
      <c r="T866" s="6"/>
      <c r="U866" s="6"/>
      <c r="V866" s="6"/>
    </row>
    <row r="867">
      <c r="A867" s="15">
        <v>46313.45996519676</v>
      </c>
      <c r="B867" s="8" t="str">
        <f t="shared" si="1"/>
        <v>234800</v>
      </c>
      <c r="C867" s="10" t="s">
        <v>710</v>
      </c>
      <c r="D867" s="10" t="s">
        <v>17</v>
      </c>
      <c r="E867" s="9"/>
      <c r="F867" s="12" t="s">
        <v>18</v>
      </c>
      <c r="G867" s="12">
        <v>47.58</v>
      </c>
      <c r="H867" s="12">
        <v>41.38</v>
      </c>
      <c r="I867" s="12">
        <v>144.64</v>
      </c>
      <c r="J867" s="12">
        <v>144.69</v>
      </c>
      <c r="K867" s="12" t="s">
        <v>19</v>
      </c>
      <c r="L867" s="12">
        <v>48.71</v>
      </c>
      <c r="M867" s="12">
        <v>42.31</v>
      </c>
      <c r="N867" s="12">
        <v>147.83</v>
      </c>
      <c r="O867" s="12">
        <v>146.95</v>
      </c>
      <c r="P867" s="12" t="s">
        <v>17</v>
      </c>
      <c r="Q867" s="12" t="s">
        <v>42</v>
      </c>
      <c r="R867" s="6"/>
      <c r="S867" s="6"/>
      <c r="T867" s="6"/>
      <c r="U867" s="6"/>
      <c r="V867" s="6"/>
    </row>
    <row r="868">
      <c r="A868" s="15">
        <v>46313.64477677083</v>
      </c>
      <c r="B868" s="8" t="str">
        <f t="shared" si="1"/>
        <v>236113</v>
      </c>
      <c r="C868" s="10" t="s">
        <v>717</v>
      </c>
      <c r="D868" s="10" t="s">
        <v>17</v>
      </c>
      <c r="E868" s="9"/>
      <c r="F868" s="12" t="s">
        <v>18</v>
      </c>
      <c r="G868" s="12">
        <v>48.78</v>
      </c>
      <c r="H868" s="12">
        <v>32.57</v>
      </c>
      <c r="I868" s="12">
        <v>135.58</v>
      </c>
      <c r="J868" s="12">
        <v>135.61</v>
      </c>
      <c r="K868" s="12" t="s">
        <v>19</v>
      </c>
      <c r="L868" s="12">
        <v>49.09</v>
      </c>
      <c r="M868" s="12">
        <v>32.64</v>
      </c>
      <c r="N868" s="12">
        <v>136.74</v>
      </c>
      <c r="O868" s="12">
        <v>136.7</v>
      </c>
      <c r="P868" s="12" t="s">
        <v>17</v>
      </c>
      <c r="Q868" s="12" t="s">
        <v>543</v>
      </c>
      <c r="R868" s="6"/>
      <c r="S868" s="6"/>
      <c r="T868" s="6"/>
      <c r="U868" s="6"/>
      <c r="V868" s="6"/>
    </row>
    <row r="869">
      <c r="A869" s="15">
        <v>46313.67493376158</v>
      </c>
      <c r="B869" s="8" t="str">
        <f t="shared" si="1"/>
        <v>236909</v>
      </c>
      <c r="C869" s="10" t="s">
        <v>718</v>
      </c>
      <c r="D869" s="10" t="s">
        <v>17</v>
      </c>
      <c r="E869" s="9"/>
      <c r="F869" s="12" t="s">
        <v>18</v>
      </c>
      <c r="G869" s="12">
        <v>51.48</v>
      </c>
      <c r="H869" s="12">
        <v>40.55</v>
      </c>
      <c r="I869" s="12">
        <v>153.49</v>
      </c>
      <c r="J869" s="12">
        <v>153.62</v>
      </c>
      <c r="K869" s="12" t="s">
        <v>19</v>
      </c>
      <c r="L869" s="12">
        <v>51.63</v>
      </c>
      <c r="M869" s="12">
        <v>40.74</v>
      </c>
      <c r="N869" s="12">
        <v>154.49</v>
      </c>
      <c r="O869" s="12">
        <v>154.12</v>
      </c>
      <c r="P869" s="12" t="s">
        <v>17</v>
      </c>
      <c r="Q869" s="12" t="s">
        <v>543</v>
      </c>
      <c r="R869" s="6"/>
      <c r="S869" s="6"/>
      <c r="T869" s="6"/>
      <c r="U869" s="6"/>
      <c r="V869" s="6"/>
    </row>
    <row r="870">
      <c r="A870" s="15">
        <v>46313.88339523148</v>
      </c>
      <c r="B870" s="8" t="str">
        <f t="shared" si="1"/>
        <v>236103</v>
      </c>
      <c r="C870" s="10" t="s">
        <v>719</v>
      </c>
      <c r="D870" s="10" t="s">
        <v>17</v>
      </c>
      <c r="E870" s="9"/>
      <c r="F870" s="12" t="s">
        <v>18</v>
      </c>
      <c r="G870" s="12">
        <v>49.97</v>
      </c>
      <c r="H870" s="12">
        <v>37.47</v>
      </c>
      <c r="I870" s="12">
        <v>146.97</v>
      </c>
      <c r="J870" s="12">
        <v>146.94</v>
      </c>
      <c r="K870" s="12" t="s">
        <v>19</v>
      </c>
      <c r="L870" s="12">
        <v>50.42</v>
      </c>
      <c r="M870" s="12">
        <v>37.99</v>
      </c>
      <c r="N870" s="12">
        <v>147.96</v>
      </c>
      <c r="O870" s="12">
        <v>148.39</v>
      </c>
      <c r="P870" s="12" t="s">
        <v>17</v>
      </c>
      <c r="Q870" s="12" t="s">
        <v>543</v>
      </c>
      <c r="R870" s="6"/>
      <c r="S870" s="6"/>
      <c r="T870" s="6"/>
      <c r="U870" s="6"/>
      <c r="V870" s="6"/>
    </row>
    <row r="871">
      <c r="A871" s="15">
        <v>46314.37462609954</v>
      </c>
      <c r="B871" s="8" t="str">
        <f t="shared" si="1"/>
        <v>240428</v>
      </c>
      <c r="C871" s="10" t="s">
        <v>720</v>
      </c>
      <c r="D871" s="10" t="s">
        <v>17</v>
      </c>
      <c r="E871" s="9"/>
      <c r="F871" s="12" t="s">
        <v>18</v>
      </c>
      <c r="G871" s="12">
        <v>46.97</v>
      </c>
      <c r="H871" s="12">
        <v>36.23</v>
      </c>
      <c r="I871" s="12">
        <v>133.82</v>
      </c>
      <c r="J871" s="12">
        <v>133.82</v>
      </c>
      <c r="K871" s="12" t="s">
        <v>19</v>
      </c>
      <c r="L871" s="12">
        <v>46.96</v>
      </c>
      <c r="M871" s="12">
        <v>36.21</v>
      </c>
      <c r="N871" s="12">
        <v>134.44</v>
      </c>
      <c r="O871" s="12">
        <v>134.35</v>
      </c>
      <c r="P871" s="12" t="s">
        <v>17</v>
      </c>
      <c r="Q871" s="12" t="s">
        <v>543</v>
      </c>
      <c r="R871" s="6"/>
      <c r="S871" s="6"/>
      <c r="T871" s="6"/>
      <c r="U871" s="6"/>
      <c r="V871" s="6"/>
    </row>
    <row r="872" ht="18.0" customHeight="1">
      <c r="A872" s="15">
        <v>46314.418989791666</v>
      </c>
      <c r="B872" s="8" t="str">
        <f t="shared" si="1"/>
        <v>212972</v>
      </c>
      <c r="C872" s="10" t="s">
        <v>721</v>
      </c>
      <c r="D872" s="10" t="s">
        <v>17</v>
      </c>
      <c r="E872" s="9"/>
      <c r="F872" s="12" t="s">
        <v>18</v>
      </c>
      <c r="G872" s="12">
        <v>47.09</v>
      </c>
      <c r="H872" s="12">
        <v>38.95</v>
      </c>
      <c r="I872" s="12">
        <v>140.74</v>
      </c>
      <c r="J872" s="12">
        <v>140.74</v>
      </c>
      <c r="K872" s="12" t="s">
        <v>19</v>
      </c>
      <c r="L872" s="12">
        <v>46.84</v>
      </c>
      <c r="M872" s="12">
        <v>39.26</v>
      </c>
      <c r="N872" s="12">
        <v>140.91</v>
      </c>
      <c r="O872" s="12">
        <v>141.21</v>
      </c>
      <c r="P872" s="12" t="s">
        <v>17</v>
      </c>
      <c r="Q872" s="12" t="s">
        <v>20</v>
      </c>
      <c r="R872" s="6"/>
      <c r="S872" s="6"/>
      <c r="T872" s="6"/>
      <c r="U872" s="6"/>
      <c r="V872" s="6"/>
    </row>
    <row r="873" ht="18.0" customHeight="1">
      <c r="A873" s="15">
        <v>46314.42031538194</v>
      </c>
      <c r="B873" s="8" t="str">
        <f t="shared" si="1"/>
        <v>239021</v>
      </c>
      <c r="C873" s="10" t="s">
        <v>722</v>
      </c>
      <c r="D873" s="10" t="s">
        <v>17</v>
      </c>
      <c r="E873" s="9"/>
      <c r="F873" s="12" t="s">
        <v>18</v>
      </c>
      <c r="G873" s="12">
        <v>51.86</v>
      </c>
      <c r="H873" s="12">
        <v>41.81</v>
      </c>
      <c r="I873" s="12">
        <v>152.57</v>
      </c>
      <c r="J873" s="12">
        <v>152.57</v>
      </c>
      <c r="K873" s="12" t="s">
        <v>19</v>
      </c>
      <c r="L873" s="12">
        <v>51.92</v>
      </c>
      <c r="M873" s="12">
        <v>41.8</v>
      </c>
      <c r="N873" s="12">
        <v>152.95</v>
      </c>
      <c r="O873" s="12">
        <v>153.27</v>
      </c>
      <c r="P873" s="12" t="s">
        <v>17</v>
      </c>
      <c r="Q873" s="12" t="s">
        <v>20</v>
      </c>
      <c r="R873" s="6"/>
      <c r="S873" s="6"/>
      <c r="T873" s="6"/>
      <c r="U873" s="6"/>
      <c r="V873" s="6"/>
    </row>
    <row r="874">
      <c r="A874" s="15">
        <v>46314.431368414356</v>
      </c>
      <c r="B874" s="8" t="str">
        <f t="shared" si="1"/>
        <v>208272</v>
      </c>
      <c r="C874" s="10" t="s">
        <v>723</v>
      </c>
      <c r="D874" s="10" t="s">
        <v>17</v>
      </c>
      <c r="E874" s="9"/>
      <c r="F874" s="12" t="s">
        <v>18</v>
      </c>
      <c r="G874" s="12">
        <v>50.86</v>
      </c>
      <c r="H874" s="12">
        <v>42.79</v>
      </c>
      <c r="I874" s="12">
        <v>153.91</v>
      </c>
      <c r="J874" s="12">
        <v>153.91</v>
      </c>
      <c r="K874" s="12" t="s">
        <v>19</v>
      </c>
      <c r="L874" s="12">
        <v>51.47</v>
      </c>
      <c r="M874" s="12">
        <v>42.92</v>
      </c>
      <c r="N874" s="12">
        <v>154.86</v>
      </c>
      <c r="O874" s="12">
        <v>154.12</v>
      </c>
      <c r="P874" s="12" t="s">
        <v>17</v>
      </c>
      <c r="Q874" s="12" t="s">
        <v>20</v>
      </c>
      <c r="R874" s="6"/>
      <c r="S874" s="6"/>
      <c r="T874" s="6"/>
      <c r="U874" s="6"/>
      <c r="V874" s="6"/>
    </row>
    <row r="875">
      <c r="A875" s="15">
        <v>46314.433053472225</v>
      </c>
      <c r="B875" s="8" t="str">
        <f t="shared" si="1"/>
        <v>150021</v>
      </c>
      <c r="C875" s="10" t="s">
        <v>724</v>
      </c>
      <c r="D875" s="10" t="s">
        <v>17</v>
      </c>
      <c r="E875" s="9"/>
      <c r="F875" s="12" t="s">
        <v>18</v>
      </c>
      <c r="G875" s="12">
        <v>44.98</v>
      </c>
      <c r="H875" s="12">
        <v>33.79</v>
      </c>
      <c r="I875" s="12">
        <v>130.73</v>
      </c>
      <c r="J875" s="12">
        <v>130.73</v>
      </c>
      <c r="K875" s="12" t="s">
        <v>19</v>
      </c>
      <c r="L875" s="12">
        <v>45.21</v>
      </c>
      <c r="M875" s="12">
        <v>33.84</v>
      </c>
      <c r="N875" s="12">
        <v>131.01</v>
      </c>
      <c r="O875" s="12">
        <v>131.39</v>
      </c>
      <c r="P875" s="12" t="s">
        <v>17</v>
      </c>
      <c r="Q875" s="12" t="s">
        <v>20</v>
      </c>
      <c r="R875" s="6"/>
      <c r="S875" s="6"/>
      <c r="T875" s="6"/>
      <c r="U875" s="6"/>
      <c r="V875" s="6"/>
    </row>
    <row r="876">
      <c r="A876" s="15">
        <v>46314.44393792824</v>
      </c>
      <c r="B876" s="8" t="str">
        <f t="shared" si="1"/>
        <v>254349</v>
      </c>
      <c r="C876" s="10" t="s">
        <v>725</v>
      </c>
      <c r="D876" s="10" t="s">
        <v>17</v>
      </c>
      <c r="E876" s="9"/>
      <c r="F876" s="12" t="s">
        <v>18</v>
      </c>
      <c r="G876" s="12">
        <v>50.91</v>
      </c>
      <c r="H876" s="12">
        <v>42.82</v>
      </c>
      <c r="I876" s="12">
        <v>151.93</v>
      </c>
      <c r="J876" s="12">
        <v>152.11</v>
      </c>
      <c r="K876" s="12" t="s">
        <v>19</v>
      </c>
      <c r="L876" s="12">
        <v>50.98</v>
      </c>
      <c r="M876" s="12">
        <v>42.64</v>
      </c>
      <c r="N876" s="12">
        <v>151.67</v>
      </c>
      <c r="O876" s="12">
        <v>151.83</v>
      </c>
      <c r="P876" s="12" t="s">
        <v>124</v>
      </c>
      <c r="Q876" s="12" t="s">
        <v>20</v>
      </c>
      <c r="R876" s="6"/>
      <c r="S876" s="6"/>
      <c r="T876" s="6"/>
      <c r="U876" s="6"/>
      <c r="V876" s="6"/>
    </row>
    <row r="877">
      <c r="A877" s="15">
        <v>46314.452464155096</v>
      </c>
      <c r="B877" s="8" t="str">
        <f t="shared" si="1"/>
        <v>218763</v>
      </c>
      <c r="C877" s="10" t="s">
        <v>726</v>
      </c>
      <c r="D877" s="10" t="s">
        <v>17</v>
      </c>
      <c r="E877" s="9"/>
      <c r="F877" s="12" t="s">
        <v>18</v>
      </c>
      <c r="G877" s="12">
        <v>52.1</v>
      </c>
      <c r="H877" s="12">
        <v>38.74</v>
      </c>
      <c r="I877" s="12">
        <v>151.87</v>
      </c>
      <c r="J877" s="12">
        <v>151.72</v>
      </c>
      <c r="K877" s="12" t="s">
        <v>19</v>
      </c>
      <c r="L877" s="12">
        <v>52.01</v>
      </c>
      <c r="M877" s="12">
        <v>38.62</v>
      </c>
      <c r="N877" s="12">
        <v>151.6</v>
      </c>
      <c r="O877" s="12">
        <v>151.73</v>
      </c>
      <c r="P877" s="12" t="s">
        <v>17</v>
      </c>
      <c r="Q877" s="12" t="s">
        <v>20</v>
      </c>
      <c r="R877" s="6"/>
      <c r="S877" s="6"/>
      <c r="T877" s="6"/>
      <c r="U877" s="6"/>
      <c r="V877" s="6"/>
    </row>
    <row r="878">
      <c r="A878" s="15">
        <v>46314.476076493054</v>
      </c>
      <c r="B878" s="8" t="str">
        <f t="shared" si="1"/>
        <v>201097</v>
      </c>
      <c r="C878" s="10" t="s">
        <v>727</v>
      </c>
      <c r="D878" s="10" t="s">
        <v>17</v>
      </c>
      <c r="E878" s="9"/>
      <c r="F878" s="12" t="s">
        <v>18</v>
      </c>
      <c r="G878" s="12">
        <v>50.83</v>
      </c>
      <c r="H878" s="12">
        <v>39.45</v>
      </c>
      <c r="I878" s="12">
        <v>151.78</v>
      </c>
      <c r="J878" s="12">
        <v>151.78</v>
      </c>
      <c r="K878" s="12" t="s">
        <v>19</v>
      </c>
      <c r="L878" s="12">
        <v>50.78</v>
      </c>
      <c r="M878" s="12">
        <v>39.49</v>
      </c>
      <c r="N878" s="12">
        <v>151.8</v>
      </c>
      <c r="O878" s="12">
        <v>151.77</v>
      </c>
      <c r="P878" s="12" t="s">
        <v>17</v>
      </c>
      <c r="Q878" s="12" t="s">
        <v>20</v>
      </c>
      <c r="R878" s="6"/>
      <c r="S878" s="6"/>
      <c r="T878" s="6"/>
      <c r="U878" s="6"/>
      <c r="V878" s="6"/>
    </row>
    <row r="879">
      <c r="A879" s="15">
        <v>46314.66309164352</v>
      </c>
      <c r="B879" s="8" t="str">
        <f t="shared" si="1"/>
        <v>242238</v>
      </c>
      <c r="C879" s="10">
        <v>242238.0</v>
      </c>
      <c r="D879" s="10" t="s">
        <v>22</v>
      </c>
      <c r="E879" s="9"/>
      <c r="F879" s="12" t="s">
        <v>18</v>
      </c>
      <c r="G879" s="12">
        <v>55.22</v>
      </c>
      <c r="H879" s="12">
        <v>48.51</v>
      </c>
      <c r="I879" s="12">
        <v>168.78</v>
      </c>
      <c r="J879" s="12">
        <v>168.78</v>
      </c>
      <c r="K879" s="12" t="s">
        <v>19</v>
      </c>
      <c r="L879" s="12">
        <v>51.0</v>
      </c>
      <c r="M879" s="12">
        <v>33.25</v>
      </c>
      <c r="N879" s="12">
        <v>145.76</v>
      </c>
      <c r="O879" s="12">
        <v>145.64</v>
      </c>
      <c r="P879" s="12" t="s">
        <v>22</v>
      </c>
      <c r="Q879" s="12" t="s">
        <v>20</v>
      </c>
      <c r="R879" s="6"/>
      <c r="S879" s="6"/>
      <c r="T879" s="6"/>
      <c r="U879" s="6"/>
      <c r="V879" s="6"/>
    </row>
    <row r="880">
      <c r="A880" s="15">
        <v>46314.68049342593</v>
      </c>
      <c r="B880" s="8" t="str">
        <f t="shared" si="1"/>
        <v>247531</v>
      </c>
      <c r="C880" s="10" t="s">
        <v>728</v>
      </c>
      <c r="D880" s="10" t="s">
        <v>506</v>
      </c>
      <c r="E880" s="9"/>
      <c r="F880" s="12" t="s">
        <v>18</v>
      </c>
      <c r="G880" s="12">
        <v>56.18</v>
      </c>
      <c r="H880" s="12">
        <v>40.89</v>
      </c>
      <c r="I880" s="12">
        <v>163.99</v>
      </c>
      <c r="J880" s="12">
        <v>164.49</v>
      </c>
      <c r="K880" s="12" t="s">
        <v>19</v>
      </c>
      <c r="L880" s="12">
        <v>56.23</v>
      </c>
      <c r="M880" s="12">
        <v>40.4</v>
      </c>
      <c r="N880" s="12">
        <v>163.69</v>
      </c>
      <c r="O880" s="12">
        <v>163.9</v>
      </c>
      <c r="P880" s="12" t="s">
        <v>506</v>
      </c>
      <c r="Q880" s="12" t="s">
        <v>20</v>
      </c>
      <c r="R880" s="6"/>
      <c r="S880" s="6"/>
      <c r="T880" s="6"/>
      <c r="U880" s="6"/>
      <c r="V880" s="6"/>
    </row>
    <row r="881">
      <c r="A881" s="15">
        <v>46314.68811862268</v>
      </c>
      <c r="B881" s="8" t="str">
        <f t="shared" si="1"/>
        <v>241089</v>
      </c>
      <c r="C881" s="10" t="s">
        <v>729</v>
      </c>
      <c r="D881" s="10" t="s">
        <v>506</v>
      </c>
      <c r="E881" s="9"/>
      <c r="F881" s="12" t="s">
        <v>18</v>
      </c>
      <c r="G881" s="12">
        <v>60.32</v>
      </c>
      <c r="H881" s="12">
        <v>48.5</v>
      </c>
      <c r="I881" s="12">
        <v>177.83</v>
      </c>
      <c r="J881" s="12">
        <v>177.83</v>
      </c>
      <c r="K881" s="12" t="s">
        <v>19</v>
      </c>
      <c r="L881" s="12">
        <v>60.1</v>
      </c>
      <c r="M881" s="12">
        <v>48.33</v>
      </c>
      <c r="N881" s="12">
        <v>176.4</v>
      </c>
      <c r="O881" s="12">
        <v>176.83</v>
      </c>
      <c r="P881" s="12" t="s">
        <v>506</v>
      </c>
      <c r="Q881" s="12" t="s">
        <v>20</v>
      </c>
      <c r="R881" s="6"/>
      <c r="S881" s="6"/>
      <c r="T881" s="6"/>
      <c r="U881" s="6"/>
      <c r="V881" s="6"/>
    </row>
    <row r="882">
      <c r="A882" s="15">
        <v>46315.42649392362</v>
      </c>
      <c r="B882" s="8" t="str">
        <f t="shared" si="1"/>
        <v>216521</v>
      </c>
      <c r="C882" s="10" t="s">
        <v>730</v>
      </c>
      <c r="D882" s="10" t="s">
        <v>17</v>
      </c>
      <c r="E882" s="9"/>
      <c r="F882" s="12" t="s">
        <v>18</v>
      </c>
      <c r="G882" s="12">
        <v>50.87</v>
      </c>
      <c r="H882" s="12">
        <v>43.04</v>
      </c>
      <c r="I882" s="12">
        <v>154.07</v>
      </c>
      <c r="J882" s="12">
        <v>154.07</v>
      </c>
      <c r="K882" s="12" t="s">
        <v>19</v>
      </c>
      <c r="L882" s="12">
        <v>50.91</v>
      </c>
      <c r="M882" s="12">
        <v>43.37</v>
      </c>
      <c r="N882" s="12">
        <v>154.97</v>
      </c>
      <c r="O882" s="12">
        <v>154.78</v>
      </c>
      <c r="P882" s="12" t="s">
        <v>17</v>
      </c>
      <c r="Q882" s="12" t="s">
        <v>20</v>
      </c>
      <c r="R882" s="6"/>
      <c r="S882" s="6"/>
      <c r="T882" s="6"/>
      <c r="U882" s="6"/>
      <c r="V882" s="6"/>
    </row>
    <row r="883">
      <c r="A883" s="15">
        <v>46315.519077951394</v>
      </c>
      <c r="B883" s="8" t="str">
        <f t="shared" si="1"/>
        <v>207370</v>
      </c>
      <c r="C883" s="10" t="s">
        <v>731</v>
      </c>
      <c r="D883" s="10" t="s">
        <v>17</v>
      </c>
      <c r="E883" s="9"/>
      <c r="F883" s="12" t="s">
        <v>18</v>
      </c>
      <c r="G883" s="12">
        <v>51.62</v>
      </c>
      <c r="H883" s="12">
        <v>43.12</v>
      </c>
      <c r="I883" s="12">
        <v>156.88</v>
      </c>
      <c r="J883" s="12">
        <v>156.67</v>
      </c>
      <c r="K883" s="12" t="s">
        <v>19</v>
      </c>
      <c r="L883" s="12">
        <v>51.77</v>
      </c>
      <c r="M883" s="12">
        <v>43.14</v>
      </c>
      <c r="N883" s="12">
        <v>157.04</v>
      </c>
      <c r="O883" s="12">
        <v>156.94</v>
      </c>
      <c r="P883" s="12" t="s">
        <v>17</v>
      </c>
      <c r="Q883" s="12" t="s">
        <v>20</v>
      </c>
      <c r="R883" s="6"/>
      <c r="S883" s="6"/>
      <c r="T883" s="6"/>
      <c r="U883" s="6"/>
      <c r="V883" s="6"/>
    </row>
    <row r="884">
      <c r="A884" s="15">
        <v>46315.5212503125</v>
      </c>
      <c r="B884" s="8" t="str">
        <f t="shared" si="1"/>
        <v>237234</v>
      </c>
      <c r="C884" s="10" t="s">
        <v>568</v>
      </c>
      <c r="D884" s="10" t="s">
        <v>32</v>
      </c>
      <c r="E884" s="9"/>
      <c r="F884" s="12" t="s">
        <v>18</v>
      </c>
      <c r="G884" s="12">
        <v>52.16</v>
      </c>
      <c r="H884" s="12">
        <v>35.96</v>
      </c>
      <c r="I884" s="12">
        <v>147.69</v>
      </c>
      <c r="J884" s="12">
        <v>147.69</v>
      </c>
      <c r="K884" s="12" t="s">
        <v>19</v>
      </c>
      <c r="L884" s="12">
        <v>50.62</v>
      </c>
      <c r="M884" s="12">
        <v>33.18</v>
      </c>
      <c r="N884" s="12">
        <v>142.58</v>
      </c>
      <c r="O884" s="12">
        <v>143.06</v>
      </c>
      <c r="P884" s="12" t="s">
        <v>32</v>
      </c>
      <c r="Q884" s="12" t="s">
        <v>20</v>
      </c>
      <c r="R884" s="6"/>
      <c r="S884" s="6"/>
      <c r="T884" s="6"/>
      <c r="U884" s="6"/>
      <c r="V884" s="6"/>
    </row>
    <row r="885">
      <c r="A885" s="15">
        <v>46315.52405591436</v>
      </c>
      <c r="B885" s="8" t="str">
        <f t="shared" si="1"/>
        <v>149080</v>
      </c>
      <c r="C885" s="10" t="s">
        <v>732</v>
      </c>
      <c r="D885" s="10" t="s">
        <v>17</v>
      </c>
      <c r="E885" s="9"/>
      <c r="F885" s="12" t="s">
        <v>18</v>
      </c>
      <c r="G885" s="12">
        <v>50.69</v>
      </c>
      <c r="H885" s="12">
        <v>39.22</v>
      </c>
      <c r="I885" s="12">
        <v>148.71</v>
      </c>
      <c r="J885" s="12">
        <v>148.71</v>
      </c>
      <c r="K885" s="12" t="s">
        <v>19</v>
      </c>
      <c r="L885" s="12">
        <v>50.94</v>
      </c>
      <c r="M885" s="12">
        <v>39.61</v>
      </c>
      <c r="N885" s="12">
        <v>149.59</v>
      </c>
      <c r="O885" s="12">
        <v>149.79</v>
      </c>
      <c r="P885" s="8"/>
      <c r="Q885" s="12" t="s">
        <v>20</v>
      </c>
      <c r="R885" s="6"/>
      <c r="S885" s="6"/>
      <c r="T885" s="6"/>
      <c r="U885" s="6"/>
      <c r="V885" s="6"/>
    </row>
    <row r="886">
      <c r="A886" s="15">
        <v>46315.579707488425</v>
      </c>
      <c r="B886" s="8" t="str">
        <f t="shared" si="1"/>
        <v>245622</v>
      </c>
      <c r="C886" s="10" t="s">
        <v>733</v>
      </c>
      <c r="D886" s="10" t="s">
        <v>17</v>
      </c>
      <c r="E886" s="9"/>
      <c r="F886" s="12" t="s">
        <v>18</v>
      </c>
      <c r="G886" s="12">
        <v>52.49</v>
      </c>
      <c r="H886" s="12">
        <v>42.05</v>
      </c>
      <c r="I886" s="12">
        <v>155.97</v>
      </c>
      <c r="J886" s="12">
        <v>155.97</v>
      </c>
      <c r="K886" s="12" t="s">
        <v>19</v>
      </c>
      <c r="L886" s="12">
        <v>52.89</v>
      </c>
      <c r="M886" s="12">
        <v>42.49</v>
      </c>
      <c r="N886" s="12">
        <v>157.44</v>
      </c>
      <c r="O886" s="12">
        <v>157.44</v>
      </c>
      <c r="P886" s="12" t="s">
        <v>17</v>
      </c>
      <c r="Q886" s="12" t="s">
        <v>20</v>
      </c>
      <c r="R886" s="6"/>
      <c r="S886" s="6"/>
      <c r="T886" s="6"/>
      <c r="U886" s="6"/>
      <c r="V886" s="6"/>
    </row>
    <row r="887">
      <c r="A887" s="15">
        <v>46315.67996302083</v>
      </c>
      <c r="B887" s="8" t="str">
        <f t="shared" si="1"/>
        <v>219829</v>
      </c>
      <c r="C887" s="137" t="s">
        <v>734</v>
      </c>
      <c r="D887" s="137" t="s">
        <v>32</v>
      </c>
      <c r="E887" s="138">
        <v>0.0625</v>
      </c>
      <c r="F887" s="12" t="s">
        <v>18</v>
      </c>
      <c r="G887" s="12">
        <v>54.46</v>
      </c>
      <c r="H887" s="12">
        <v>41.74</v>
      </c>
      <c r="I887" s="12">
        <v>161.72</v>
      </c>
      <c r="J887" s="12">
        <v>161.72</v>
      </c>
      <c r="K887" s="12" t="s">
        <v>107</v>
      </c>
      <c r="L887" s="12">
        <v>54.27</v>
      </c>
      <c r="M887" s="12">
        <v>41.64</v>
      </c>
      <c r="N887" s="12">
        <v>161.02</v>
      </c>
      <c r="O887" s="12">
        <v>161.29</v>
      </c>
      <c r="P887" s="8"/>
      <c r="Q887" s="12" t="s">
        <v>20</v>
      </c>
      <c r="R887" s="6"/>
      <c r="S887" s="6"/>
      <c r="T887" s="6"/>
      <c r="U887" s="6"/>
      <c r="V887" s="6"/>
    </row>
    <row r="888">
      <c r="A888" s="15">
        <v>46315.0</v>
      </c>
      <c r="B888" s="8" t="str">
        <f t="shared" si="1"/>
        <v>241119</v>
      </c>
      <c r="C888" s="137" t="s">
        <v>735</v>
      </c>
      <c r="D888" s="137" t="s">
        <v>32</v>
      </c>
      <c r="E888" s="138">
        <v>0.0769</v>
      </c>
      <c r="F888" s="12" t="s">
        <v>18</v>
      </c>
      <c r="G888" s="12">
        <v>55.69</v>
      </c>
      <c r="H888" s="12">
        <v>39.14</v>
      </c>
      <c r="I888" s="12">
        <v>163.48</v>
      </c>
      <c r="J888" s="12">
        <v>163.95</v>
      </c>
      <c r="K888" s="12" t="s">
        <v>107</v>
      </c>
      <c r="L888" s="12">
        <v>55.59</v>
      </c>
      <c r="M888" s="12">
        <v>38.94</v>
      </c>
      <c r="N888" s="12">
        <v>162.94</v>
      </c>
      <c r="O888" s="12">
        <v>163.39</v>
      </c>
      <c r="P888" s="8"/>
      <c r="Q888" s="12" t="s">
        <v>20</v>
      </c>
      <c r="R888" s="6"/>
      <c r="S888" s="6"/>
      <c r="T888" s="6"/>
      <c r="U888" s="6"/>
      <c r="V888" s="6"/>
    </row>
    <row r="889">
      <c r="A889" s="15">
        <v>46315.0</v>
      </c>
      <c r="B889" s="8" t="str">
        <f t="shared" si="1"/>
        <v>134746</v>
      </c>
      <c r="C889" s="39" t="s">
        <v>569</v>
      </c>
      <c r="D889" s="137" t="s">
        <v>32</v>
      </c>
      <c r="E889" s="138">
        <v>0.6</v>
      </c>
      <c r="F889" s="12" t="s">
        <v>18</v>
      </c>
      <c r="G889" s="146" t="s">
        <v>736</v>
      </c>
      <c r="H889" s="45"/>
      <c r="I889" s="45"/>
      <c r="J889" s="45"/>
      <c r="K889" s="45"/>
      <c r="L889" s="45"/>
      <c r="M889" s="45"/>
      <c r="N889" s="45"/>
      <c r="O889" s="46"/>
      <c r="P889" s="8"/>
      <c r="Q889" s="8"/>
      <c r="R889" s="6"/>
      <c r="S889" s="6"/>
      <c r="T889" s="6"/>
      <c r="U889" s="6"/>
      <c r="V889" s="6"/>
    </row>
    <row r="890">
      <c r="A890" s="15">
        <v>46315.0</v>
      </c>
      <c r="B890" s="8" t="str">
        <f t="shared" si="1"/>
        <v>221176</v>
      </c>
      <c r="C890" s="137" t="s">
        <v>737</v>
      </c>
      <c r="D890" s="137" t="s">
        <v>32</v>
      </c>
      <c r="E890" s="138">
        <v>0.0682</v>
      </c>
      <c r="F890" s="12" t="s">
        <v>18</v>
      </c>
      <c r="G890" s="12">
        <v>51.78</v>
      </c>
      <c r="H890" s="12">
        <v>41.44</v>
      </c>
      <c r="I890" s="12">
        <v>156.87</v>
      </c>
      <c r="J890" s="12">
        <v>156.87</v>
      </c>
      <c r="K890" s="12" t="s">
        <v>107</v>
      </c>
      <c r="L890" s="12">
        <v>51.68</v>
      </c>
      <c r="M890" s="12">
        <v>41.24</v>
      </c>
      <c r="N890" s="12">
        <v>156.36</v>
      </c>
      <c r="O890" s="12">
        <v>156.4</v>
      </c>
      <c r="P890" s="8"/>
      <c r="Q890" s="12" t="s">
        <v>20</v>
      </c>
      <c r="R890" s="6"/>
      <c r="S890" s="6"/>
      <c r="T890" s="6"/>
      <c r="U890" s="6"/>
      <c r="V890" s="6"/>
    </row>
    <row r="891">
      <c r="A891" s="15">
        <v>46315.0</v>
      </c>
      <c r="B891" s="8" t="str">
        <f t="shared" si="1"/>
        <v>240000</v>
      </c>
      <c r="C891" s="137" t="s">
        <v>387</v>
      </c>
      <c r="D891" s="137" t="s">
        <v>124</v>
      </c>
      <c r="E891" s="138">
        <v>0.25</v>
      </c>
      <c r="F891" s="12" t="s">
        <v>35</v>
      </c>
      <c r="G891" s="147" t="s">
        <v>738</v>
      </c>
      <c r="H891" s="45"/>
      <c r="I891" s="45"/>
      <c r="J891" s="46"/>
      <c r="K891" s="8"/>
      <c r="L891" s="8"/>
      <c r="M891" s="8"/>
      <c r="N891" s="8"/>
      <c r="O891" s="8"/>
      <c r="P891" s="8"/>
      <c r="Q891" s="8"/>
      <c r="R891" s="6"/>
      <c r="S891" s="6"/>
      <c r="T891" s="6"/>
      <c r="U891" s="6"/>
      <c r="V891" s="6"/>
    </row>
    <row r="892">
      <c r="A892" s="15">
        <v>46315.0</v>
      </c>
      <c r="B892" s="8" t="str">
        <f t="shared" si="1"/>
        <v>240000</v>
      </c>
      <c r="C892" s="137" t="s">
        <v>354</v>
      </c>
      <c r="D892" s="137" t="s">
        <v>124</v>
      </c>
      <c r="E892" s="138">
        <v>0.3333</v>
      </c>
      <c r="F892" s="12" t="s">
        <v>35</v>
      </c>
      <c r="G892" s="147" t="s">
        <v>738</v>
      </c>
      <c r="H892" s="45"/>
      <c r="I892" s="45"/>
      <c r="J892" s="46"/>
      <c r="K892" s="8"/>
      <c r="L892" s="8"/>
      <c r="M892" s="8"/>
      <c r="N892" s="8"/>
      <c r="O892" s="8"/>
      <c r="P892" s="8"/>
      <c r="Q892" s="8"/>
      <c r="R892" s="6"/>
      <c r="S892" s="6"/>
      <c r="T892" s="6"/>
      <c r="U892" s="6"/>
      <c r="V892" s="6"/>
    </row>
    <row r="893">
      <c r="A893" s="15">
        <v>46315.0</v>
      </c>
      <c r="B893" s="8" t="str">
        <f t="shared" si="1"/>
        <v>234765</v>
      </c>
      <c r="C893" s="148" t="s">
        <v>614</v>
      </c>
      <c r="D893" s="148" t="s">
        <v>17</v>
      </c>
      <c r="E893" s="149">
        <v>0.6667</v>
      </c>
      <c r="F893" s="12" t="s">
        <v>18</v>
      </c>
      <c r="G893" s="147" t="s">
        <v>738</v>
      </c>
      <c r="H893" s="45"/>
      <c r="I893" s="45"/>
      <c r="J893" s="46"/>
      <c r="K893" s="8"/>
      <c r="L893" s="8"/>
      <c r="M893" s="8"/>
      <c r="N893" s="8"/>
      <c r="O893" s="8"/>
      <c r="P893" s="8"/>
      <c r="Q893" s="8"/>
      <c r="R893" s="6"/>
      <c r="S893" s="6"/>
      <c r="T893" s="6"/>
      <c r="U893" s="6"/>
      <c r="V893" s="6"/>
    </row>
    <row r="894">
      <c r="A894" s="15">
        <v>46315.685105173616</v>
      </c>
      <c r="B894" s="8" t="str">
        <f t="shared" si="1"/>
        <v>236103</v>
      </c>
      <c r="C894" s="150" t="s">
        <v>739</v>
      </c>
      <c r="D894" s="150" t="s">
        <v>17</v>
      </c>
      <c r="E894" s="151">
        <v>0.4</v>
      </c>
      <c r="F894" s="12" t="s">
        <v>18</v>
      </c>
      <c r="G894" s="12">
        <v>49.75</v>
      </c>
      <c r="H894" s="12">
        <v>37.51</v>
      </c>
      <c r="I894" s="12">
        <v>146.66</v>
      </c>
      <c r="J894" s="12">
        <v>146.66</v>
      </c>
      <c r="K894" s="12" t="s">
        <v>107</v>
      </c>
      <c r="L894" s="12">
        <v>50.29</v>
      </c>
      <c r="M894" s="12">
        <v>37.91</v>
      </c>
      <c r="N894" s="12">
        <v>148.22</v>
      </c>
      <c r="O894" s="12">
        <v>148.7</v>
      </c>
      <c r="P894" s="152" t="s">
        <v>17</v>
      </c>
      <c r="Q894" s="12" t="s">
        <v>20</v>
      </c>
      <c r="R894" s="6"/>
      <c r="S894" s="6"/>
      <c r="T894" s="6"/>
      <c r="U894" s="6"/>
      <c r="V894" s="6"/>
    </row>
    <row r="895">
      <c r="A895" s="15">
        <v>46315.70724645833</v>
      </c>
      <c r="B895" s="8" t="str">
        <f t="shared" si="1"/>
        <v>216521</v>
      </c>
      <c r="C895" s="10" t="s">
        <v>740</v>
      </c>
      <c r="D895" s="150" t="s">
        <v>17</v>
      </c>
      <c r="E895" s="9"/>
      <c r="F895" s="12" t="s">
        <v>18</v>
      </c>
      <c r="G895" s="12">
        <v>50.87</v>
      </c>
      <c r="H895" s="12">
        <v>43.39</v>
      </c>
      <c r="I895" s="12">
        <v>154.6</v>
      </c>
      <c r="J895" s="12">
        <v>154.53</v>
      </c>
      <c r="K895" s="12" t="s">
        <v>19</v>
      </c>
      <c r="L895" s="12">
        <v>51.16</v>
      </c>
      <c r="M895" s="12">
        <v>43.37</v>
      </c>
      <c r="N895" s="12">
        <v>155.15</v>
      </c>
      <c r="O895" s="12">
        <v>155.16</v>
      </c>
      <c r="P895" s="152" t="s">
        <v>17</v>
      </c>
      <c r="Q895" s="12" t="s">
        <v>20</v>
      </c>
      <c r="R895" s="6"/>
      <c r="S895" s="6"/>
      <c r="T895" s="6"/>
      <c r="U895" s="6"/>
      <c r="V895" s="6"/>
    </row>
    <row r="896">
      <c r="A896" s="15">
        <v>46316.51603653935</v>
      </c>
      <c r="B896" s="8" t="str">
        <f t="shared" si="1"/>
        <v>240000</v>
      </c>
      <c r="C896" s="10" t="s">
        <v>354</v>
      </c>
      <c r="D896" s="10" t="s">
        <v>124</v>
      </c>
      <c r="E896" s="9"/>
      <c r="F896" s="12" t="s">
        <v>35</v>
      </c>
      <c r="G896" s="12">
        <v>56.65</v>
      </c>
      <c r="H896" s="12">
        <v>45.1</v>
      </c>
      <c r="I896" s="12">
        <v>169.52</v>
      </c>
      <c r="J896" s="12">
        <v>169.52</v>
      </c>
      <c r="K896" s="12" t="s">
        <v>19</v>
      </c>
      <c r="L896" s="12">
        <v>56.64</v>
      </c>
      <c r="M896" s="12">
        <v>45.29</v>
      </c>
      <c r="N896" s="12">
        <v>169.86</v>
      </c>
      <c r="O896" s="12">
        <v>169.86</v>
      </c>
      <c r="P896" s="12" t="s">
        <v>124</v>
      </c>
      <c r="Q896" s="12" t="s">
        <v>20</v>
      </c>
      <c r="R896" s="6"/>
      <c r="S896" s="6"/>
      <c r="T896" s="6"/>
      <c r="U896" s="6"/>
      <c r="V896" s="6"/>
    </row>
    <row r="897">
      <c r="A897" s="15">
        <v>46316.52281408565</v>
      </c>
      <c r="B897" s="8" t="str">
        <f t="shared" si="1"/>
        <v>207672</v>
      </c>
      <c r="C897" s="10" t="s">
        <v>741</v>
      </c>
      <c r="D897" s="10" t="s">
        <v>17</v>
      </c>
      <c r="E897" s="9"/>
      <c r="F897" s="12" t="s">
        <v>18</v>
      </c>
      <c r="G897" s="12">
        <v>46.67</v>
      </c>
      <c r="H897" s="12">
        <v>39.67</v>
      </c>
      <c r="I897" s="12">
        <v>141.86</v>
      </c>
      <c r="J897" s="12">
        <v>141.86</v>
      </c>
      <c r="K897" s="12" t="s">
        <v>19</v>
      </c>
      <c r="L897" s="12">
        <v>46.75</v>
      </c>
      <c r="M897" s="12">
        <v>39.94</v>
      </c>
      <c r="N897" s="12">
        <v>142.37</v>
      </c>
      <c r="O897" s="12">
        <v>142.91</v>
      </c>
      <c r="P897" s="12" t="s">
        <v>17</v>
      </c>
      <c r="Q897" s="12" t="s">
        <v>20</v>
      </c>
      <c r="R897" s="6"/>
      <c r="S897" s="6"/>
      <c r="T897" s="6"/>
      <c r="U897" s="6"/>
      <c r="V897" s="6"/>
    </row>
    <row r="898">
      <c r="A898" s="15">
        <v>46316.56772795139</v>
      </c>
      <c r="B898" s="8" t="str">
        <f t="shared" si="1"/>
        <v>208951</v>
      </c>
      <c r="C898" s="10" t="s">
        <v>742</v>
      </c>
      <c r="D898" s="10" t="s">
        <v>17</v>
      </c>
      <c r="E898" s="9"/>
      <c r="F898" s="12" t="s">
        <v>18</v>
      </c>
      <c r="G898" s="12">
        <v>50.69</v>
      </c>
      <c r="H898" s="12">
        <v>43.33</v>
      </c>
      <c r="I898" s="12">
        <v>154.25</v>
      </c>
      <c r="J898" s="12">
        <v>154.3</v>
      </c>
      <c r="K898" s="12" t="s">
        <v>19</v>
      </c>
      <c r="L898" s="12">
        <v>51.24</v>
      </c>
      <c r="M898" s="12">
        <v>43.13</v>
      </c>
      <c r="N898" s="12">
        <v>155.21</v>
      </c>
      <c r="O898" s="12">
        <v>154.41</v>
      </c>
      <c r="P898" s="12" t="s">
        <v>17</v>
      </c>
      <c r="Q898" s="12" t="s">
        <v>20</v>
      </c>
      <c r="R898" s="6"/>
      <c r="S898" s="6"/>
      <c r="T898" s="6"/>
      <c r="U898" s="6"/>
      <c r="V898" s="6"/>
    </row>
    <row r="899">
      <c r="A899" s="15">
        <v>46316.0</v>
      </c>
      <c r="B899" s="8" t="str">
        <f t="shared" si="1"/>
        <v>234791</v>
      </c>
      <c r="C899" s="93" t="s">
        <v>670</v>
      </c>
      <c r="D899" s="93" t="s">
        <v>32</v>
      </c>
      <c r="E899" s="94">
        <v>0.1818</v>
      </c>
      <c r="F899" s="12" t="s">
        <v>18</v>
      </c>
      <c r="G899" s="153" t="s">
        <v>738</v>
      </c>
      <c r="H899" s="45"/>
      <c r="I899" s="45"/>
      <c r="J899" s="45"/>
      <c r="K899" s="45"/>
      <c r="L899" s="45"/>
      <c r="M899" s="45"/>
      <c r="N899" s="45"/>
      <c r="O899" s="45"/>
      <c r="P899" s="46"/>
      <c r="Q899" s="8"/>
      <c r="R899" s="6"/>
      <c r="S899" s="6"/>
      <c r="T899" s="6"/>
      <c r="U899" s="6"/>
      <c r="V899" s="6"/>
    </row>
    <row r="900">
      <c r="A900" s="15">
        <v>46316.0</v>
      </c>
      <c r="B900" s="8" t="str">
        <f t="shared" si="1"/>
        <v>245914</v>
      </c>
      <c r="C900" s="154" t="s">
        <v>329</v>
      </c>
      <c r="D900" s="154" t="s">
        <v>32</v>
      </c>
      <c r="E900" s="155">
        <v>0.0755</v>
      </c>
      <c r="F900" s="12" t="s">
        <v>18</v>
      </c>
      <c r="G900" s="12">
        <v>51.64</v>
      </c>
      <c r="H900" s="12">
        <v>37.38</v>
      </c>
      <c r="I900" s="12">
        <v>150.93</v>
      </c>
      <c r="J900" s="12">
        <v>150.93</v>
      </c>
      <c r="K900" s="12" t="s">
        <v>107</v>
      </c>
      <c r="L900" s="12">
        <v>51.43</v>
      </c>
      <c r="M900" s="12">
        <v>51.43</v>
      </c>
      <c r="N900" s="12">
        <v>150.27</v>
      </c>
      <c r="O900" s="12">
        <v>150.03</v>
      </c>
      <c r="P900" s="8"/>
      <c r="Q900" s="12" t="s">
        <v>20</v>
      </c>
      <c r="R900" s="6"/>
      <c r="S900" s="6"/>
      <c r="T900" s="6"/>
      <c r="U900" s="6"/>
      <c r="V900" s="6"/>
    </row>
    <row r="901">
      <c r="A901" s="15">
        <v>46316.0</v>
      </c>
      <c r="B901" s="8" t="str">
        <f t="shared" si="1"/>
        <v>245975</v>
      </c>
      <c r="C901" s="154" t="s">
        <v>743</v>
      </c>
      <c r="D901" s="154" t="s">
        <v>32</v>
      </c>
      <c r="E901" s="155">
        <v>0.1538</v>
      </c>
      <c r="F901" s="12" t="s">
        <v>18</v>
      </c>
      <c r="G901" s="156">
        <v>53.3</v>
      </c>
      <c r="H901" s="12">
        <v>46.91</v>
      </c>
      <c r="I901" s="12">
        <v>164.14</v>
      </c>
      <c r="J901" s="12">
        <v>164.14</v>
      </c>
      <c r="K901" s="12" t="s">
        <v>107</v>
      </c>
      <c r="L901" s="12">
        <v>53.11</v>
      </c>
      <c r="M901" s="12">
        <v>46.71</v>
      </c>
      <c r="N901" s="12">
        <v>163.49</v>
      </c>
      <c r="O901" s="12">
        <v>163.63</v>
      </c>
      <c r="P901" s="8"/>
      <c r="Q901" s="12" t="s">
        <v>20</v>
      </c>
      <c r="R901" s="6"/>
      <c r="S901" s="6"/>
      <c r="T901" s="6"/>
      <c r="U901" s="6"/>
      <c r="V901" s="6"/>
    </row>
    <row r="902">
      <c r="A902" s="15">
        <v>46316.0</v>
      </c>
      <c r="B902" s="8" t="str">
        <f t="shared" si="1"/>
        <v>151701</v>
      </c>
      <c r="C902" s="154" t="s">
        <v>744</v>
      </c>
      <c r="D902" s="154" t="s">
        <v>32</v>
      </c>
      <c r="E902" s="155">
        <v>0.0364</v>
      </c>
      <c r="F902" s="12" t="s">
        <v>18</v>
      </c>
      <c r="G902" s="12">
        <v>53.3</v>
      </c>
      <c r="H902" s="12">
        <v>39.89</v>
      </c>
      <c r="I902" s="12">
        <v>156.92</v>
      </c>
      <c r="J902" s="12">
        <v>156.89</v>
      </c>
      <c r="K902" s="12" t="s">
        <v>107</v>
      </c>
      <c r="L902" s="12">
        <v>53.19</v>
      </c>
      <c r="M902" s="12">
        <v>39.79</v>
      </c>
      <c r="N902" s="12">
        <v>156.5</v>
      </c>
      <c r="O902" s="12">
        <v>156.33</v>
      </c>
      <c r="P902" s="8"/>
      <c r="Q902" s="12" t="s">
        <v>20</v>
      </c>
      <c r="R902" s="6"/>
      <c r="S902" s="6"/>
      <c r="T902" s="6"/>
      <c r="U902" s="6"/>
      <c r="V902" s="6"/>
    </row>
    <row r="903">
      <c r="A903" s="15">
        <v>46316.0</v>
      </c>
      <c r="B903" s="8" t="str">
        <f t="shared" si="1"/>
        <v>221172</v>
      </c>
      <c r="C903" s="154" t="s">
        <v>745</v>
      </c>
      <c r="D903" s="154" t="s">
        <v>32</v>
      </c>
      <c r="E903" s="155">
        <v>0.0408</v>
      </c>
      <c r="F903" s="12" t="s">
        <v>18</v>
      </c>
      <c r="G903" s="12">
        <v>52.68</v>
      </c>
      <c r="H903" s="12">
        <v>37.92</v>
      </c>
      <c r="I903" s="12">
        <v>151.71</v>
      </c>
      <c r="J903" s="12">
        <v>151.71</v>
      </c>
      <c r="K903" s="12" t="s">
        <v>107</v>
      </c>
      <c r="L903" s="12">
        <v>52.48</v>
      </c>
      <c r="M903" s="12">
        <v>37.72</v>
      </c>
      <c r="N903" s="12">
        <v>151.06</v>
      </c>
      <c r="O903" s="12">
        <v>150.96</v>
      </c>
      <c r="P903" s="8"/>
      <c r="Q903" s="12" t="s">
        <v>20</v>
      </c>
      <c r="R903" s="6"/>
      <c r="S903" s="6"/>
      <c r="T903" s="6"/>
      <c r="U903" s="6"/>
      <c r="V903" s="6"/>
    </row>
    <row r="904">
      <c r="A904" s="15">
        <v>46316.0</v>
      </c>
      <c r="B904" s="8" t="str">
        <f t="shared" si="1"/>
        <v>223230</v>
      </c>
      <c r="C904" s="154" t="s">
        <v>599</v>
      </c>
      <c r="D904" s="154" t="s">
        <v>32</v>
      </c>
      <c r="E904" s="155">
        <v>0.0455</v>
      </c>
      <c r="F904" s="12" t="s">
        <v>18</v>
      </c>
      <c r="G904" s="12">
        <v>48.05</v>
      </c>
      <c r="H904" s="12">
        <v>41.75</v>
      </c>
      <c r="I904" s="12">
        <v>144.82</v>
      </c>
      <c r="J904" s="12">
        <v>144.82</v>
      </c>
      <c r="K904" s="12" t="s">
        <v>107</v>
      </c>
      <c r="L904" s="12">
        <v>47.9</v>
      </c>
      <c r="M904" s="12">
        <v>41.55</v>
      </c>
      <c r="N904" s="12">
        <v>144.26</v>
      </c>
      <c r="O904" s="12">
        <v>144.0</v>
      </c>
      <c r="P904" s="8"/>
      <c r="Q904" s="12" t="s">
        <v>20</v>
      </c>
      <c r="R904" s="6"/>
      <c r="S904" s="6"/>
      <c r="T904" s="6"/>
      <c r="U904" s="6"/>
      <c r="V904" s="6"/>
    </row>
    <row r="905">
      <c r="A905" s="15">
        <v>46316.0</v>
      </c>
      <c r="B905" s="8" t="str">
        <f t="shared" si="1"/>
        <v>241089</v>
      </c>
      <c r="C905" s="154" t="s">
        <v>729</v>
      </c>
      <c r="D905" s="154" t="s">
        <v>32</v>
      </c>
      <c r="E905" s="155">
        <v>0.1429</v>
      </c>
      <c r="F905" s="12" t="s">
        <v>18</v>
      </c>
      <c r="G905" s="157" t="s">
        <v>746</v>
      </c>
      <c r="H905" s="45"/>
      <c r="I905" s="45"/>
      <c r="J905" s="45"/>
      <c r="K905" s="45"/>
      <c r="L905" s="45"/>
      <c r="M905" s="45"/>
      <c r="N905" s="45"/>
      <c r="O905" s="45"/>
      <c r="P905" s="46"/>
      <c r="Q905" s="12" t="s">
        <v>20</v>
      </c>
      <c r="R905" s="31"/>
      <c r="S905" s="6"/>
    </row>
    <row r="906">
      <c r="A906" s="15">
        <v>46316.0</v>
      </c>
      <c r="B906" s="8" t="str">
        <f t="shared" si="1"/>
        <v>254394</v>
      </c>
      <c r="C906" s="154" t="s">
        <v>747</v>
      </c>
      <c r="D906" s="154" t="s">
        <v>32</v>
      </c>
      <c r="E906" s="155">
        <v>0.12</v>
      </c>
      <c r="F906" s="12" t="s">
        <v>18</v>
      </c>
      <c r="G906" s="12">
        <v>53.58</v>
      </c>
      <c r="H906" s="12">
        <v>37.78</v>
      </c>
      <c r="I906" s="12">
        <v>154.48</v>
      </c>
      <c r="J906" s="12">
        <v>154.48</v>
      </c>
      <c r="K906" s="12" t="s">
        <v>107</v>
      </c>
      <c r="L906" s="12">
        <v>53.22</v>
      </c>
      <c r="M906" s="12">
        <v>37.58</v>
      </c>
      <c r="N906" s="12">
        <v>153.52</v>
      </c>
      <c r="O906" s="12">
        <v>153.73</v>
      </c>
      <c r="P906" s="8"/>
      <c r="Q906" s="12" t="s">
        <v>20</v>
      </c>
      <c r="R906" s="6"/>
      <c r="S906" s="6"/>
    </row>
    <row r="907">
      <c r="A907" s="15">
        <v>46316.0</v>
      </c>
      <c r="B907" s="8" t="str">
        <f t="shared" si="1"/>
        <v>216521</v>
      </c>
      <c r="C907" s="10" t="s">
        <v>748</v>
      </c>
      <c r="D907" s="10" t="s">
        <v>17</v>
      </c>
      <c r="E907" s="9"/>
      <c r="F907" s="12" t="s">
        <v>18</v>
      </c>
      <c r="G907" s="12">
        <v>50.87</v>
      </c>
      <c r="H907" s="12">
        <v>43.28</v>
      </c>
      <c r="I907" s="12">
        <v>154.94</v>
      </c>
      <c r="J907" s="12">
        <v>154.57</v>
      </c>
      <c r="K907" s="12" t="s">
        <v>19</v>
      </c>
      <c r="L907" s="12">
        <v>51.23</v>
      </c>
      <c r="M907" s="12">
        <v>43.34</v>
      </c>
      <c r="N907" s="12">
        <v>155.19</v>
      </c>
      <c r="O907" s="12">
        <v>155.55</v>
      </c>
      <c r="P907" s="12" t="s">
        <v>17</v>
      </c>
      <c r="Q907" s="12" t="s">
        <v>20</v>
      </c>
      <c r="R907" s="6"/>
      <c r="S907" s="6"/>
    </row>
    <row r="908">
      <c r="A908" s="15">
        <v>46316.0</v>
      </c>
      <c r="B908" s="8" t="str">
        <f t="shared" si="1"/>
        <v>244786</v>
      </c>
      <c r="C908" s="10" t="s">
        <v>749</v>
      </c>
      <c r="D908" s="10" t="s">
        <v>506</v>
      </c>
      <c r="E908" s="9"/>
      <c r="F908" s="12" t="s">
        <v>18</v>
      </c>
      <c r="G908" s="12">
        <v>57.27</v>
      </c>
      <c r="H908" s="12">
        <v>37.4</v>
      </c>
      <c r="I908" s="12">
        <v>161.08</v>
      </c>
      <c r="J908" s="12">
        <v>161.28</v>
      </c>
      <c r="K908" s="12" t="s">
        <v>19</v>
      </c>
      <c r="L908" s="12">
        <v>57.17</v>
      </c>
      <c r="M908" s="12">
        <v>37.21</v>
      </c>
      <c r="N908" s="12">
        <v>160.57</v>
      </c>
      <c r="O908" s="12">
        <v>160.89</v>
      </c>
      <c r="P908" s="12" t="s">
        <v>506</v>
      </c>
      <c r="Q908" s="12" t="s">
        <v>20</v>
      </c>
      <c r="R908" s="6"/>
      <c r="S908" s="6"/>
    </row>
    <row r="909">
      <c r="A909" s="15">
        <v>46317.62681893518</v>
      </c>
      <c r="B909" s="8" t="str">
        <f t="shared" si="1"/>
        <v>219826</v>
      </c>
      <c r="C909" s="154" t="s">
        <v>595</v>
      </c>
      <c r="D909" s="154" t="s">
        <v>32</v>
      </c>
      <c r="E909" s="155">
        <v>0.0544</v>
      </c>
      <c r="F909" s="12" t="s">
        <v>18</v>
      </c>
      <c r="G909" s="12">
        <v>53.95</v>
      </c>
      <c r="H909" s="12">
        <v>41.88</v>
      </c>
      <c r="I909" s="12">
        <v>159.94</v>
      </c>
      <c r="J909" s="12">
        <v>159.94</v>
      </c>
      <c r="K909" s="12" t="s">
        <v>107</v>
      </c>
      <c r="L909" s="12">
        <v>53.75</v>
      </c>
      <c r="M909" s="12">
        <v>41.7</v>
      </c>
      <c r="N909" s="12">
        <v>159.12</v>
      </c>
      <c r="O909" s="12">
        <v>158.78</v>
      </c>
      <c r="P909" s="8"/>
      <c r="Q909" s="12" t="s">
        <v>20</v>
      </c>
      <c r="R909" s="6"/>
      <c r="S909" s="6"/>
    </row>
    <row r="910">
      <c r="A910" s="15">
        <v>46317.628899641204</v>
      </c>
      <c r="B910" s="8" t="str">
        <f t="shared" si="1"/>
        <v>224444</v>
      </c>
      <c r="C910" s="154" t="s">
        <v>708</v>
      </c>
      <c r="D910" s="154" t="s">
        <v>32</v>
      </c>
      <c r="E910" s="155">
        <v>0.0615</v>
      </c>
      <c r="F910" s="12" t="s">
        <v>18</v>
      </c>
      <c r="G910" s="12">
        <v>56.45</v>
      </c>
      <c r="H910" s="12">
        <v>42.11</v>
      </c>
      <c r="I910" s="12">
        <v>166.26</v>
      </c>
      <c r="J910" s="12">
        <v>168.08</v>
      </c>
      <c r="K910" s="12" t="s">
        <v>107</v>
      </c>
      <c r="L910" s="12">
        <v>56.25</v>
      </c>
      <c r="M910" s="12">
        <v>41.9</v>
      </c>
      <c r="N910" s="12">
        <v>165.58</v>
      </c>
      <c r="O910" s="12">
        <v>167.5</v>
      </c>
      <c r="P910" s="8"/>
      <c r="Q910" s="12" t="s">
        <v>20</v>
      </c>
      <c r="R910" s="6"/>
      <c r="S910" s="6"/>
    </row>
    <row r="911">
      <c r="A911" s="15">
        <v>46317.63009341435</v>
      </c>
      <c r="B911" s="8" t="str">
        <f t="shared" si="1"/>
        <v>238654</v>
      </c>
      <c r="C911" s="154" t="s">
        <v>750</v>
      </c>
      <c r="D911" s="154" t="s">
        <v>32</v>
      </c>
      <c r="E911" s="155">
        <v>0.2105</v>
      </c>
      <c r="F911" s="12" t="s">
        <v>18</v>
      </c>
      <c r="G911" s="12">
        <v>51.44</v>
      </c>
      <c r="H911" s="12">
        <v>32.16</v>
      </c>
      <c r="I911" s="12">
        <v>139.87</v>
      </c>
      <c r="J911" s="12">
        <v>139.87</v>
      </c>
      <c r="K911" s="12" t="s">
        <v>107</v>
      </c>
      <c r="L911" s="12">
        <v>51.14</v>
      </c>
      <c r="M911" s="12">
        <v>31.81</v>
      </c>
      <c r="N911" s="12">
        <v>139.27</v>
      </c>
      <c r="O911" s="12">
        <v>139.29</v>
      </c>
      <c r="P911" s="8"/>
      <c r="Q911" s="12" t="s">
        <v>20</v>
      </c>
      <c r="R911" s="6"/>
      <c r="S911" s="6"/>
    </row>
    <row r="912">
      <c r="A912" s="15">
        <v>46317.63199141204</v>
      </c>
      <c r="B912" s="8" t="str">
        <f t="shared" si="1"/>
        <v>209756</v>
      </c>
      <c r="C912" s="154" t="s">
        <v>751</v>
      </c>
      <c r="D912" s="154" t="s">
        <v>32</v>
      </c>
      <c r="E912" s="155">
        <v>0.0556</v>
      </c>
      <c r="F912" s="12" t="s">
        <v>18</v>
      </c>
      <c r="G912" s="12">
        <v>53.62</v>
      </c>
      <c r="H912" s="12">
        <v>38.87</v>
      </c>
      <c r="I912" s="12">
        <v>155.03</v>
      </c>
      <c r="J912" s="12">
        <v>155.15</v>
      </c>
      <c r="K912" s="12" t="s">
        <v>107</v>
      </c>
      <c r="L912" s="12">
        <v>53.52</v>
      </c>
      <c r="M912" s="12">
        <v>38.77</v>
      </c>
      <c r="N912" s="12">
        <v>154.69</v>
      </c>
      <c r="O912" s="12">
        <v>154.83</v>
      </c>
      <c r="P912" s="8"/>
      <c r="Q912" s="12" t="s">
        <v>20</v>
      </c>
      <c r="R912" s="6"/>
      <c r="S912" s="6"/>
    </row>
    <row r="913">
      <c r="A913" s="15">
        <v>46317.63392141204</v>
      </c>
      <c r="B913" s="8" t="str">
        <f t="shared" si="1"/>
        <v>210178</v>
      </c>
      <c r="C913" s="154" t="s">
        <v>752</v>
      </c>
      <c r="D913" s="154" t="s">
        <v>32</v>
      </c>
      <c r="E913" s="155">
        <v>0.0732</v>
      </c>
      <c r="F913" s="12" t="s">
        <v>18</v>
      </c>
      <c r="G913" s="156">
        <v>56.78</v>
      </c>
      <c r="H913" s="12">
        <v>36.92</v>
      </c>
      <c r="I913" s="12">
        <v>159.6</v>
      </c>
      <c r="J913" s="12">
        <v>159.45</v>
      </c>
      <c r="K913" s="12" t="s">
        <v>107</v>
      </c>
      <c r="L913" s="12">
        <v>56.68</v>
      </c>
      <c r="M913" s="12">
        <v>36.82</v>
      </c>
      <c r="N913" s="12">
        <v>158.83</v>
      </c>
      <c r="O913" s="12">
        <v>158.63</v>
      </c>
      <c r="P913" s="8"/>
      <c r="Q913" s="12" t="s">
        <v>20</v>
      </c>
      <c r="R913" s="6"/>
      <c r="S913" s="6"/>
    </row>
    <row r="914">
      <c r="A914" s="15">
        <v>46317.63643946759</v>
      </c>
      <c r="B914" s="8" t="str">
        <f t="shared" si="1"/>
        <v>224484</v>
      </c>
      <c r="C914" s="154" t="s">
        <v>753</v>
      </c>
      <c r="D914" s="154" t="s">
        <v>32</v>
      </c>
      <c r="E914" s="155">
        <v>0.08</v>
      </c>
      <c r="F914" s="12" t="s">
        <v>18</v>
      </c>
      <c r="G914" s="12">
        <v>53.65</v>
      </c>
      <c r="H914" s="12">
        <v>41.92</v>
      </c>
      <c r="I914" s="12">
        <v>160.62</v>
      </c>
      <c r="J914" s="12">
        <v>160.62</v>
      </c>
      <c r="K914" s="12" t="s">
        <v>107</v>
      </c>
      <c r="L914" s="12">
        <v>53.45</v>
      </c>
      <c r="M914" s="12">
        <v>41.72</v>
      </c>
      <c r="N914" s="12">
        <v>159.97</v>
      </c>
      <c r="O914" s="12">
        <v>160.11</v>
      </c>
      <c r="P914" s="8"/>
      <c r="Q914" s="12" t="s">
        <v>20</v>
      </c>
      <c r="R914" s="6"/>
      <c r="S914" s="6"/>
    </row>
    <row r="915">
      <c r="A915" s="8"/>
      <c r="B915" s="8" t="str">
        <f t="shared" si="1"/>
        <v>234800</v>
      </c>
      <c r="C915" s="154" t="s">
        <v>41</v>
      </c>
      <c r="D915" s="154" t="s">
        <v>32</v>
      </c>
      <c r="E915" s="155">
        <v>0.5</v>
      </c>
      <c r="F915" s="12" t="s">
        <v>18</v>
      </c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12" t="s">
        <v>20</v>
      </c>
      <c r="R915" s="6"/>
      <c r="S915" s="6"/>
    </row>
    <row r="916">
      <c r="A916" s="15">
        <v>46317.0</v>
      </c>
      <c r="B916" s="8" t="str">
        <f t="shared" si="1"/>
        <v>219830</v>
      </c>
      <c r="C916" s="154" t="s">
        <v>754</v>
      </c>
      <c r="D916" s="154" t="s">
        <v>588</v>
      </c>
      <c r="E916" s="155">
        <v>0.0549</v>
      </c>
      <c r="F916" s="12" t="s">
        <v>18</v>
      </c>
      <c r="G916" s="12">
        <v>52.94</v>
      </c>
      <c r="H916" s="12">
        <v>40.07</v>
      </c>
      <c r="I916" s="12">
        <v>156.24</v>
      </c>
      <c r="J916" s="12">
        <v>156.19</v>
      </c>
      <c r="K916" s="12" t="s">
        <v>107</v>
      </c>
      <c r="L916" s="12">
        <v>52.73</v>
      </c>
      <c r="M916" s="12">
        <v>39.8</v>
      </c>
      <c r="N916" s="12">
        <v>155.21</v>
      </c>
      <c r="O916" s="12">
        <v>155.33</v>
      </c>
      <c r="P916" s="8"/>
      <c r="Q916" s="12" t="s">
        <v>20</v>
      </c>
      <c r="R916" s="6"/>
      <c r="S916" s="6"/>
    </row>
    <row r="917">
      <c r="A917" s="15">
        <v>46317.63932159722</v>
      </c>
      <c r="B917" s="8" t="str">
        <f t="shared" si="1"/>
        <v>150583</v>
      </c>
      <c r="C917" s="154" t="s">
        <v>755</v>
      </c>
      <c r="D917" s="154" t="s">
        <v>588</v>
      </c>
      <c r="E917" s="155">
        <v>0.0714</v>
      </c>
      <c r="F917" s="12" t="s">
        <v>18</v>
      </c>
      <c r="G917" s="12">
        <v>55.49</v>
      </c>
      <c r="H917" s="12">
        <v>41.12</v>
      </c>
      <c r="I917" s="12">
        <v>164.14</v>
      </c>
      <c r="J917" s="12">
        <v>165.76</v>
      </c>
      <c r="K917" s="12" t="s">
        <v>107</v>
      </c>
      <c r="L917" s="156">
        <v>55.29</v>
      </c>
      <c r="M917" s="12">
        <v>40.96</v>
      </c>
      <c r="N917" s="12">
        <v>163.48</v>
      </c>
      <c r="O917" s="12">
        <v>163.48</v>
      </c>
      <c r="P917" s="8"/>
      <c r="Q917" s="12" t="s">
        <v>20</v>
      </c>
      <c r="R917" s="6"/>
      <c r="S917" s="6"/>
    </row>
    <row r="918">
      <c r="A918" s="8"/>
      <c r="B918" s="8" t="str">
        <f t="shared" si="1"/>
        <v>234765</v>
      </c>
      <c r="C918" s="158" t="s">
        <v>614</v>
      </c>
      <c r="D918" s="158" t="s">
        <v>17</v>
      </c>
      <c r="E918" s="159">
        <v>0.6</v>
      </c>
      <c r="F918" s="12" t="s">
        <v>18</v>
      </c>
      <c r="G918" s="160" t="s">
        <v>738</v>
      </c>
      <c r="H918" s="45"/>
      <c r="I918" s="45"/>
      <c r="J918" s="45"/>
      <c r="K918" s="45"/>
      <c r="L918" s="45"/>
      <c r="M918" s="45"/>
      <c r="N918" s="45"/>
      <c r="O918" s="46"/>
      <c r="P918" s="8"/>
      <c r="Q918" s="12" t="s">
        <v>20</v>
      </c>
      <c r="R918" s="6"/>
      <c r="S918" s="6"/>
    </row>
    <row r="919">
      <c r="A919" s="15">
        <v>46317.64991384259</v>
      </c>
      <c r="B919" s="8" t="str">
        <f t="shared" si="1"/>
        <v>242598</v>
      </c>
      <c r="C919" s="154" t="s">
        <v>756</v>
      </c>
      <c r="D919" s="154" t="s">
        <v>17</v>
      </c>
      <c r="E919" s="155">
        <v>0.0652</v>
      </c>
      <c r="F919" s="12" t="s">
        <v>18</v>
      </c>
      <c r="G919" s="12">
        <v>48.97</v>
      </c>
      <c r="H919" s="12">
        <v>39.67</v>
      </c>
      <c r="I919" s="12">
        <v>147.32</v>
      </c>
      <c r="J919" s="12">
        <v>147.32</v>
      </c>
      <c r="K919" s="12" t="s">
        <v>107</v>
      </c>
      <c r="L919" s="12">
        <v>49.1</v>
      </c>
      <c r="M919" s="12">
        <v>39.97</v>
      </c>
      <c r="N919" s="12">
        <v>148.01</v>
      </c>
      <c r="O919" s="12">
        <v>148.01</v>
      </c>
      <c r="P919" s="8"/>
      <c r="Q919" s="12" t="s">
        <v>20</v>
      </c>
      <c r="R919" s="6"/>
      <c r="S919" s="6"/>
    </row>
    <row r="920">
      <c r="A920" s="15">
        <v>46317.651730405094</v>
      </c>
      <c r="B920" s="8" t="str">
        <f t="shared" si="1"/>
        <v>242632</v>
      </c>
      <c r="C920" s="154" t="s">
        <v>757</v>
      </c>
      <c r="D920" s="154" t="s">
        <v>17</v>
      </c>
      <c r="E920" s="155">
        <v>0.1875</v>
      </c>
      <c r="F920" s="12" t="s">
        <v>18</v>
      </c>
      <c r="G920" s="12">
        <v>50.61</v>
      </c>
      <c r="H920" s="12">
        <v>39.96</v>
      </c>
      <c r="I920" s="12">
        <v>152.67</v>
      </c>
      <c r="J920" s="12">
        <v>152.67</v>
      </c>
      <c r="K920" s="12" t="s">
        <v>107</v>
      </c>
      <c r="L920" s="12">
        <v>50.4</v>
      </c>
      <c r="M920" s="12">
        <v>39.76</v>
      </c>
      <c r="N920" s="12">
        <v>151.84</v>
      </c>
      <c r="O920" s="12">
        <v>152.04</v>
      </c>
      <c r="P920" s="8"/>
      <c r="Q920" s="12" t="s">
        <v>20</v>
      </c>
      <c r="R920" s="6"/>
      <c r="S920" s="6"/>
    </row>
    <row r="921">
      <c r="A921" s="8"/>
      <c r="B921" s="8" t="str">
        <f t="shared" si="1"/>
        <v>256500</v>
      </c>
      <c r="C921" s="154" t="s">
        <v>758</v>
      </c>
      <c r="D921" s="154" t="s">
        <v>17</v>
      </c>
      <c r="E921" s="155">
        <v>0.75</v>
      </c>
      <c r="F921" s="12" t="s">
        <v>18</v>
      </c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12" t="s">
        <v>20</v>
      </c>
      <c r="R921" s="6"/>
      <c r="S921" s="6"/>
    </row>
    <row r="922">
      <c r="A922" s="15">
        <v>46317.64804850695</v>
      </c>
      <c r="B922" s="8" t="str">
        <f t="shared" si="1"/>
        <v>223230</v>
      </c>
      <c r="C922" s="10" t="s">
        <v>599</v>
      </c>
      <c r="D922" s="154" t="s">
        <v>17</v>
      </c>
      <c r="E922" s="9"/>
      <c r="F922" s="12" t="s">
        <v>18</v>
      </c>
      <c r="G922" s="12">
        <v>47.9</v>
      </c>
      <c r="H922" s="12">
        <v>41.55</v>
      </c>
      <c r="I922" s="12">
        <v>144.26</v>
      </c>
      <c r="J922" s="12">
        <v>144.26</v>
      </c>
      <c r="K922" s="12" t="s">
        <v>19</v>
      </c>
      <c r="L922" s="12">
        <v>48.06</v>
      </c>
      <c r="M922" s="12">
        <v>42.03</v>
      </c>
      <c r="N922" s="12">
        <v>145.19</v>
      </c>
      <c r="O922" s="12">
        <v>145.11</v>
      </c>
      <c r="P922" s="12" t="s">
        <v>17</v>
      </c>
      <c r="Q922" s="12" t="s">
        <v>20</v>
      </c>
      <c r="R922" s="6"/>
      <c r="S922" s="6"/>
    </row>
    <row r="923">
      <c r="A923" s="15">
        <v>46317.66661929398</v>
      </c>
      <c r="B923" s="8" t="str">
        <f t="shared" si="1"/>
        <v>240552</v>
      </c>
      <c r="C923" s="10" t="s">
        <v>759</v>
      </c>
      <c r="D923" s="154" t="s">
        <v>17</v>
      </c>
      <c r="E923" s="9"/>
      <c r="F923" s="12" t="s">
        <v>18</v>
      </c>
      <c r="G923" s="12">
        <v>52.58</v>
      </c>
      <c r="H923" s="12">
        <v>38.81</v>
      </c>
      <c r="I923" s="12">
        <v>153.8</v>
      </c>
      <c r="J923" s="12">
        <v>153.8</v>
      </c>
      <c r="K923" s="12" t="s">
        <v>19</v>
      </c>
      <c r="L923" s="12">
        <v>53.13</v>
      </c>
      <c r="M923" s="12">
        <v>39.3</v>
      </c>
      <c r="N923" s="12">
        <v>155.48</v>
      </c>
      <c r="O923" s="12">
        <v>155.48</v>
      </c>
      <c r="P923" s="12" t="s">
        <v>17</v>
      </c>
      <c r="Q923" s="12" t="s">
        <v>20</v>
      </c>
      <c r="R923" s="6"/>
      <c r="S923" s="6"/>
    </row>
    <row r="924">
      <c r="A924" s="15">
        <v>46318.40795837963</v>
      </c>
      <c r="B924" s="8" t="str">
        <f t="shared" si="1"/>
        <v>207671</v>
      </c>
      <c r="C924" s="10" t="s">
        <v>760</v>
      </c>
      <c r="D924" s="10" t="s">
        <v>32</v>
      </c>
      <c r="E924" s="9"/>
      <c r="F924" s="12" t="s">
        <v>18</v>
      </c>
      <c r="G924" s="12">
        <v>51.23</v>
      </c>
      <c r="H924" s="12">
        <v>43.45</v>
      </c>
      <c r="I924" s="12">
        <v>154.92</v>
      </c>
      <c r="J924" s="12">
        <v>155.06</v>
      </c>
      <c r="K924" s="12" t="s">
        <v>19</v>
      </c>
      <c r="L924" s="12">
        <v>50.68</v>
      </c>
      <c r="M924" s="12">
        <v>43.01</v>
      </c>
      <c r="N924" s="12">
        <v>153.53</v>
      </c>
      <c r="O924" s="35">
        <v>153.5</v>
      </c>
      <c r="P924" s="10" t="s">
        <v>32</v>
      </c>
      <c r="Q924" s="12" t="s">
        <v>543</v>
      </c>
      <c r="R924" s="6"/>
      <c r="S924" s="6"/>
    </row>
    <row r="925">
      <c r="A925" s="8"/>
      <c r="B925" s="8" t="str">
        <f t="shared" si="1"/>
        <v>239999</v>
      </c>
      <c r="C925" s="161" t="s">
        <v>761</v>
      </c>
      <c r="D925" s="137" t="s">
        <v>374</v>
      </c>
      <c r="E925" s="138">
        <v>0.5</v>
      </c>
      <c r="F925" s="12" t="s">
        <v>35</v>
      </c>
      <c r="G925" s="12"/>
      <c r="H925" s="12"/>
      <c r="I925" s="12"/>
      <c r="J925" s="12"/>
      <c r="K925" s="8"/>
      <c r="L925" s="8"/>
      <c r="M925" s="8"/>
      <c r="N925" s="8"/>
      <c r="O925" s="8"/>
      <c r="P925" s="8"/>
      <c r="Q925" s="8"/>
      <c r="R925" s="6"/>
      <c r="S925" s="6"/>
    </row>
    <row r="926">
      <c r="A926" s="15">
        <v>46319.65526130787</v>
      </c>
      <c r="B926" s="8" t="str">
        <f t="shared" si="1"/>
        <v>241120</v>
      </c>
      <c r="C926" s="137" t="s">
        <v>762</v>
      </c>
      <c r="D926" s="137" t="s">
        <v>120</v>
      </c>
      <c r="E926" s="138">
        <v>0.5</v>
      </c>
      <c r="F926" s="12" t="s">
        <v>18</v>
      </c>
      <c r="G926" s="162">
        <v>55.76</v>
      </c>
      <c r="H926" s="162">
        <v>39.21</v>
      </c>
      <c r="I926" s="162">
        <v>163.71</v>
      </c>
      <c r="J926" s="162">
        <v>164.26</v>
      </c>
      <c r="K926" s="12" t="s">
        <v>107</v>
      </c>
      <c r="L926" s="12">
        <v>55.11</v>
      </c>
      <c r="M926" s="12">
        <v>38.8</v>
      </c>
      <c r="N926" s="12">
        <v>161.8</v>
      </c>
      <c r="O926" s="12">
        <v>161.65</v>
      </c>
      <c r="P926" s="8"/>
      <c r="Q926" s="12" t="s">
        <v>20</v>
      </c>
      <c r="R926" s="6"/>
      <c r="S926" s="6"/>
    </row>
    <row r="927">
      <c r="A927" s="15">
        <v>46319.65845001157</v>
      </c>
      <c r="B927" s="8" t="str">
        <f t="shared" si="1"/>
        <v>210442</v>
      </c>
      <c r="C927" s="137" t="s">
        <v>674</v>
      </c>
      <c r="D927" s="137" t="s">
        <v>124</v>
      </c>
      <c r="E927" s="138">
        <v>0.1176</v>
      </c>
      <c r="F927" s="12" t="s">
        <v>18</v>
      </c>
      <c r="G927" s="162">
        <v>54.81</v>
      </c>
      <c r="H927" s="163">
        <v>45.49</v>
      </c>
      <c r="I927" s="162">
        <v>164.72</v>
      </c>
      <c r="J927" s="162">
        <v>164.72</v>
      </c>
      <c r="K927" s="12" t="s">
        <v>107</v>
      </c>
      <c r="L927" s="12">
        <v>54.52</v>
      </c>
      <c r="M927" s="12">
        <v>45.29</v>
      </c>
      <c r="N927" s="12">
        <v>163.91</v>
      </c>
      <c r="O927" s="12">
        <v>163.91</v>
      </c>
      <c r="P927" s="8"/>
      <c r="Q927" s="12" t="s">
        <v>20</v>
      </c>
      <c r="R927" s="6"/>
      <c r="S927" s="6"/>
    </row>
    <row r="928">
      <c r="A928" s="15">
        <v>46319.66985659722</v>
      </c>
      <c r="B928" s="8" t="str">
        <f t="shared" si="1"/>
        <v>245915</v>
      </c>
      <c r="C928" s="137" t="s">
        <v>298</v>
      </c>
      <c r="D928" s="137" t="s">
        <v>374</v>
      </c>
      <c r="E928" s="138">
        <v>0.0625</v>
      </c>
      <c r="F928" s="12" t="s">
        <v>18</v>
      </c>
      <c r="G928" s="12">
        <v>53.36</v>
      </c>
      <c r="H928" s="12">
        <v>42.56</v>
      </c>
      <c r="I928" s="12">
        <v>159.07</v>
      </c>
      <c r="J928" s="12">
        <v>158.86</v>
      </c>
      <c r="K928" s="12" t="s">
        <v>107</v>
      </c>
      <c r="L928" s="12">
        <v>53.16</v>
      </c>
      <c r="M928" s="12">
        <v>42.35</v>
      </c>
      <c r="N928" s="12">
        <v>158.4</v>
      </c>
      <c r="O928" s="12">
        <v>157.85</v>
      </c>
      <c r="P928" s="8"/>
      <c r="Q928" s="12" t="s">
        <v>20</v>
      </c>
      <c r="R928" s="6"/>
      <c r="S928" s="6"/>
    </row>
    <row r="929">
      <c r="A929" s="15">
        <v>46319.67089592593</v>
      </c>
      <c r="B929" s="8" t="str">
        <f t="shared" si="1"/>
        <v>236141</v>
      </c>
      <c r="C929" s="137" t="s">
        <v>763</v>
      </c>
      <c r="D929" s="137" t="s">
        <v>374</v>
      </c>
      <c r="E929" s="138">
        <v>0.0526</v>
      </c>
      <c r="F929" s="12" t="s">
        <v>18</v>
      </c>
      <c r="G929" s="152">
        <v>53.82</v>
      </c>
      <c r="H929" s="12">
        <v>41.99</v>
      </c>
      <c r="I929" s="12">
        <v>158.89</v>
      </c>
      <c r="J929" s="12">
        <v>158.89</v>
      </c>
      <c r="K929" s="12" t="s">
        <v>107</v>
      </c>
      <c r="L929" s="12">
        <v>53.61</v>
      </c>
      <c r="M929" s="12">
        <v>41.8</v>
      </c>
      <c r="N929" s="12">
        <v>158.07</v>
      </c>
      <c r="O929" s="12">
        <v>157.83</v>
      </c>
      <c r="P929" s="8"/>
      <c r="Q929" s="12" t="s">
        <v>20</v>
      </c>
      <c r="R929" s="6"/>
      <c r="S929" s="6"/>
    </row>
    <row r="930">
      <c r="A930" s="15">
        <v>46319.672129872684</v>
      </c>
      <c r="B930" s="8" t="str">
        <f t="shared" si="1"/>
        <v>239030</v>
      </c>
      <c r="C930" s="137" t="s">
        <v>764</v>
      </c>
      <c r="D930" s="137" t="s">
        <v>374</v>
      </c>
      <c r="E930" s="138">
        <v>0.05</v>
      </c>
      <c r="F930" s="12" t="s">
        <v>18</v>
      </c>
      <c r="G930" s="12">
        <v>53.58</v>
      </c>
      <c r="H930" s="12">
        <v>40.3</v>
      </c>
      <c r="I930" s="12">
        <v>161.26</v>
      </c>
      <c r="J930" s="12">
        <v>161.69</v>
      </c>
      <c r="K930" s="12" t="s">
        <v>107</v>
      </c>
      <c r="L930" s="12">
        <v>53.37</v>
      </c>
      <c r="M930" s="12">
        <v>40.1</v>
      </c>
      <c r="N930" s="12">
        <v>160.37</v>
      </c>
      <c r="O930" s="12">
        <v>160.87</v>
      </c>
      <c r="P930" s="8"/>
      <c r="Q930" s="12" t="s">
        <v>20</v>
      </c>
      <c r="R930" s="6"/>
      <c r="S930" s="6"/>
    </row>
    <row r="931">
      <c r="A931" s="15">
        <v>46319.67338960648</v>
      </c>
      <c r="B931" s="8" t="str">
        <f t="shared" si="1"/>
        <v>150583</v>
      </c>
      <c r="C931" s="23" t="s">
        <v>765</v>
      </c>
      <c r="D931" s="23" t="s">
        <v>374</v>
      </c>
      <c r="E931" s="42">
        <v>0.0392</v>
      </c>
      <c r="F931" s="12" t="s">
        <v>18</v>
      </c>
      <c r="G931" s="12">
        <v>55.8</v>
      </c>
      <c r="H931" s="12">
        <v>40.89</v>
      </c>
      <c r="I931" s="12">
        <v>164.55</v>
      </c>
      <c r="J931" s="12">
        <v>164.78</v>
      </c>
      <c r="K931" s="12" t="s">
        <v>107</v>
      </c>
      <c r="L931" s="12">
        <v>55.59</v>
      </c>
      <c r="M931" s="12">
        <v>40.7</v>
      </c>
      <c r="N931" s="12">
        <v>163.89</v>
      </c>
      <c r="O931" s="12">
        <v>163.84</v>
      </c>
      <c r="P931" s="8"/>
      <c r="Q931" s="12" t="s">
        <v>20</v>
      </c>
      <c r="R931" s="6"/>
      <c r="S931" s="6"/>
    </row>
    <row r="932">
      <c r="A932" s="15">
        <v>46318.499301504635</v>
      </c>
      <c r="B932" s="8" t="str">
        <f t="shared" si="1"/>
        <v>217446</v>
      </c>
      <c r="C932" s="10" t="s">
        <v>766</v>
      </c>
      <c r="D932" s="10" t="s">
        <v>17</v>
      </c>
      <c r="E932" s="9"/>
      <c r="F932" s="12" t="s">
        <v>18</v>
      </c>
      <c r="G932" s="12">
        <v>51.08</v>
      </c>
      <c r="H932" s="12">
        <v>43.24</v>
      </c>
      <c r="I932" s="12">
        <v>155.22</v>
      </c>
      <c r="J932" s="12">
        <v>154.3</v>
      </c>
      <c r="K932" s="12" t="s">
        <v>19</v>
      </c>
      <c r="L932" s="12">
        <v>51.2</v>
      </c>
      <c r="M932" s="12">
        <v>43.42</v>
      </c>
      <c r="N932" s="12">
        <v>155.19</v>
      </c>
      <c r="O932" s="12">
        <v>154.86</v>
      </c>
      <c r="P932" s="12" t="s">
        <v>17</v>
      </c>
      <c r="Q932" s="12" t="s">
        <v>543</v>
      </c>
      <c r="R932" s="6"/>
      <c r="S932" s="6"/>
    </row>
    <row r="933">
      <c r="A933" s="15">
        <v>46318.62750519676</v>
      </c>
      <c r="B933" s="8" t="str">
        <f t="shared" si="1"/>
        <v>256501</v>
      </c>
      <c r="C933" s="10" t="s">
        <v>767</v>
      </c>
      <c r="D933" s="10" t="s">
        <v>17</v>
      </c>
      <c r="E933" s="9"/>
      <c r="F933" s="12" t="s">
        <v>18</v>
      </c>
      <c r="G933" s="12">
        <v>51.28</v>
      </c>
      <c r="H933" s="12">
        <v>41.18</v>
      </c>
      <c r="I933" s="12">
        <v>152.92</v>
      </c>
      <c r="J933" s="12">
        <v>152.92</v>
      </c>
      <c r="K933" s="12" t="s">
        <v>19</v>
      </c>
      <c r="L933" s="12">
        <v>52.39</v>
      </c>
      <c r="M933" s="12">
        <v>42.09</v>
      </c>
      <c r="N933" s="12">
        <v>156.35</v>
      </c>
      <c r="O933" s="12">
        <v>156.35</v>
      </c>
      <c r="P933" s="12" t="s">
        <v>17</v>
      </c>
      <c r="Q933" s="12" t="s">
        <v>20</v>
      </c>
      <c r="R933" s="6"/>
      <c r="S933" s="6"/>
    </row>
    <row r="934">
      <c r="A934" s="15">
        <v>46318.64064629629</v>
      </c>
      <c r="B934" s="8" t="str">
        <f t="shared" si="1"/>
        <v>234793</v>
      </c>
      <c r="C934" s="10" t="s">
        <v>768</v>
      </c>
      <c r="D934" s="10" t="s">
        <v>32</v>
      </c>
      <c r="E934" s="9"/>
      <c r="F934" s="12" t="s">
        <v>18</v>
      </c>
      <c r="G934" s="12">
        <v>52.17</v>
      </c>
      <c r="H934" s="12">
        <v>49.06</v>
      </c>
      <c r="I934" s="12">
        <v>164.7</v>
      </c>
      <c r="J934" s="12">
        <v>164.7</v>
      </c>
      <c r="K934" s="12" t="s">
        <v>19</v>
      </c>
      <c r="L934" s="12">
        <v>51.36</v>
      </c>
      <c r="M934" s="12">
        <v>46.34</v>
      </c>
      <c r="N934" s="12">
        <v>159.36</v>
      </c>
      <c r="O934" s="12">
        <v>159.16</v>
      </c>
      <c r="P934" s="12" t="s">
        <v>32</v>
      </c>
      <c r="Q934" s="12" t="s">
        <v>20</v>
      </c>
      <c r="R934" s="6"/>
      <c r="S934" s="6"/>
    </row>
    <row r="935">
      <c r="A935" s="15">
        <v>46318.64428912037</v>
      </c>
      <c r="B935" s="8" t="str">
        <f t="shared" si="1"/>
        <v>245914</v>
      </c>
      <c r="C935" s="10" t="s">
        <v>329</v>
      </c>
      <c r="D935" s="10" t="s">
        <v>17</v>
      </c>
      <c r="E935" s="9"/>
      <c r="F935" s="12" t="s">
        <v>18</v>
      </c>
      <c r="G935" s="12">
        <v>51.43</v>
      </c>
      <c r="H935" s="12">
        <v>37.18</v>
      </c>
      <c r="I935" s="12">
        <v>150.27</v>
      </c>
      <c r="J935" s="12">
        <v>150.27</v>
      </c>
      <c r="K935" s="12" t="s">
        <v>19</v>
      </c>
      <c r="L935" s="12">
        <v>51.56</v>
      </c>
      <c r="M935" s="12">
        <v>37.55</v>
      </c>
      <c r="N935" s="12">
        <v>151.16</v>
      </c>
      <c r="O935" s="12">
        <v>150.93</v>
      </c>
      <c r="P935" s="12" t="s">
        <v>17</v>
      </c>
      <c r="Q935" s="12" t="s">
        <v>20</v>
      </c>
      <c r="R935" s="6"/>
      <c r="S935" s="6"/>
    </row>
    <row r="936">
      <c r="A936" s="15">
        <v>46318.713139768515</v>
      </c>
      <c r="B936" s="8" t="str">
        <f t="shared" si="1"/>
        <v>207671</v>
      </c>
      <c r="C936" s="10">
        <v>207671.0</v>
      </c>
      <c r="D936" s="10" t="s">
        <v>32</v>
      </c>
      <c r="E936" s="9"/>
      <c r="F936" s="12" t="s">
        <v>18</v>
      </c>
      <c r="G936" s="12">
        <v>51.56</v>
      </c>
      <c r="H936" s="12">
        <v>43.62</v>
      </c>
      <c r="I936" s="12">
        <v>155.75</v>
      </c>
      <c r="J936" s="12">
        <v>155.75</v>
      </c>
      <c r="K936" s="12" t="s">
        <v>19</v>
      </c>
      <c r="L936" s="12">
        <v>50.72</v>
      </c>
      <c r="M936" s="12">
        <v>42.6</v>
      </c>
      <c r="N936" s="12">
        <v>152.96</v>
      </c>
      <c r="O936" s="12">
        <v>153.12</v>
      </c>
      <c r="P936" s="12" t="s">
        <v>32</v>
      </c>
      <c r="Q936" s="12" t="s">
        <v>20</v>
      </c>
      <c r="R936" s="6"/>
      <c r="S936" s="6"/>
    </row>
    <row r="937">
      <c r="A937" s="15">
        <v>46319.54981087963</v>
      </c>
      <c r="B937" s="8" t="str">
        <f t="shared" si="1"/>
        <v>208956</v>
      </c>
      <c r="C937" s="10" t="s">
        <v>769</v>
      </c>
      <c r="D937" s="10" t="s">
        <v>32</v>
      </c>
      <c r="E937" s="9"/>
      <c r="F937" s="12" t="s">
        <v>18</v>
      </c>
      <c r="G937" s="12">
        <v>51.03</v>
      </c>
      <c r="H937" s="12">
        <v>43.35</v>
      </c>
      <c r="I937" s="12">
        <v>154.87</v>
      </c>
      <c r="J937" s="12">
        <v>154.87</v>
      </c>
      <c r="K937" s="12" t="s">
        <v>19</v>
      </c>
      <c r="L937" s="12">
        <v>51.0</v>
      </c>
      <c r="M937" s="12">
        <v>43.03</v>
      </c>
      <c r="N937" s="12">
        <v>154.22</v>
      </c>
      <c r="O937" s="12">
        <v>154.27</v>
      </c>
      <c r="P937" s="12" t="s">
        <v>32</v>
      </c>
      <c r="Q937" s="12" t="s">
        <v>20</v>
      </c>
      <c r="R937" s="6"/>
      <c r="S937" s="6"/>
    </row>
    <row r="938">
      <c r="A938" s="15">
        <v>46320.30484486111</v>
      </c>
      <c r="B938" s="8" t="str">
        <f t="shared" si="1"/>
        <v>225336</v>
      </c>
      <c r="C938" s="10" t="s">
        <v>770</v>
      </c>
      <c r="D938" s="10" t="s">
        <v>17</v>
      </c>
      <c r="E938" s="9"/>
      <c r="F938" s="12" t="s">
        <v>18</v>
      </c>
      <c r="G938" s="12">
        <v>47.87</v>
      </c>
      <c r="H938" s="12">
        <v>41.0</v>
      </c>
      <c r="I938" s="12">
        <v>143.98</v>
      </c>
      <c r="J938" s="12">
        <v>142.87</v>
      </c>
      <c r="K938" s="12" t="s">
        <v>19</v>
      </c>
      <c r="L938" s="12">
        <v>47.91</v>
      </c>
      <c r="M938" s="12">
        <v>41.31</v>
      </c>
      <c r="N938" s="12">
        <v>144.66</v>
      </c>
      <c r="O938" s="12">
        <v>144.86</v>
      </c>
      <c r="P938" s="12" t="s">
        <v>17</v>
      </c>
      <c r="Q938" s="12" t="s">
        <v>543</v>
      </c>
      <c r="R938" s="6"/>
      <c r="S938" s="6"/>
    </row>
    <row r="939">
      <c r="A939" s="15">
        <v>46320.56718917824</v>
      </c>
      <c r="B939" s="8" t="str">
        <f t="shared" si="1"/>
        <v>241114</v>
      </c>
      <c r="C939" s="154" t="s">
        <v>771</v>
      </c>
      <c r="D939" s="154" t="s">
        <v>32</v>
      </c>
      <c r="E939" s="138">
        <v>0.1556</v>
      </c>
      <c r="F939" s="12" t="s">
        <v>18</v>
      </c>
      <c r="G939" s="12">
        <v>55.52</v>
      </c>
      <c r="H939" s="12">
        <v>35.07</v>
      </c>
      <c r="I939" s="12">
        <v>150.65</v>
      </c>
      <c r="J939" s="12">
        <v>150.69</v>
      </c>
      <c r="K939" s="12" t="s">
        <v>107</v>
      </c>
      <c r="L939" s="12">
        <v>55.3</v>
      </c>
      <c r="M939" s="12">
        <v>35.07</v>
      </c>
      <c r="N939" s="12">
        <v>150.29</v>
      </c>
      <c r="O939" s="12">
        <v>150.29</v>
      </c>
      <c r="P939" s="12" t="s">
        <v>32</v>
      </c>
      <c r="Q939" s="12" t="s">
        <v>221</v>
      </c>
      <c r="R939" s="6"/>
      <c r="S939" s="6"/>
    </row>
    <row r="940">
      <c r="A940" s="15">
        <v>46320.56883646991</v>
      </c>
      <c r="B940" s="8" t="str">
        <f t="shared" si="1"/>
        <v>219823</v>
      </c>
      <c r="C940" s="154" t="s">
        <v>294</v>
      </c>
      <c r="D940" s="154" t="s">
        <v>32</v>
      </c>
      <c r="E940" s="138">
        <v>0.0444</v>
      </c>
      <c r="F940" s="12" t="s">
        <v>18</v>
      </c>
      <c r="G940" s="12">
        <v>53.57</v>
      </c>
      <c r="H940" s="12">
        <v>41.34</v>
      </c>
      <c r="I940" s="12">
        <v>158.13</v>
      </c>
      <c r="J940" s="12">
        <v>158.26</v>
      </c>
      <c r="K940" s="12" t="s">
        <v>107</v>
      </c>
      <c r="L940" s="12">
        <v>53.39</v>
      </c>
      <c r="M940" s="12">
        <v>41.3</v>
      </c>
      <c r="N940" s="12">
        <v>157.77</v>
      </c>
      <c r="O940" s="12">
        <v>157.87</v>
      </c>
      <c r="P940" s="12" t="s">
        <v>32</v>
      </c>
      <c r="Q940" s="12" t="s">
        <v>221</v>
      </c>
      <c r="R940" s="6"/>
      <c r="S940" s="6"/>
    </row>
    <row r="941">
      <c r="A941" s="15">
        <v>46320.57009613426</v>
      </c>
      <c r="B941" s="8" t="str">
        <f t="shared" si="1"/>
        <v>207481</v>
      </c>
      <c r="C941" s="154" t="s">
        <v>772</v>
      </c>
      <c r="D941" s="154" t="s">
        <v>32</v>
      </c>
      <c r="E941" s="138">
        <v>0.0769</v>
      </c>
      <c r="F941" s="12" t="s">
        <v>18</v>
      </c>
      <c r="G941" s="12">
        <v>51.93</v>
      </c>
      <c r="H941" s="12">
        <v>43.81</v>
      </c>
      <c r="I941" s="12">
        <v>156.93</v>
      </c>
      <c r="J941" s="12">
        <v>156.93</v>
      </c>
      <c r="K941" s="12" t="s">
        <v>107</v>
      </c>
      <c r="L941" s="12">
        <v>51.81</v>
      </c>
      <c r="M941" s="12">
        <v>43.75</v>
      </c>
      <c r="N941" s="12">
        <v>156.62</v>
      </c>
      <c r="O941" s="12">
        <v>156.62</v>
      </c>
      <c r="P941" s="12" t="s">
        <v>32</v>
      </c>
      <c r="Q941" s="12" t="s">
        <v>221</v>
      </c>
      <c r="R941" s="6"/>
      <c r="S941" s="6"/>
    </row>
    <row r="942">
      <c r="A942" s="15">
        <v>46320.57113827547</v>
      </c>
      <c r="B942" s="8" t="str">
        <f t="shared" si="1"/>
        <v>222262</v>
      </c>
      <c r="C942" s="154" t="s">
        <v>773</v>
      </c>
      <c r="D942" s="154" t="s">
        <v>32</v>
      </c>
      <c r="E942" s="138">
        <v>0.3793</v>
      </c>
      <c r="F942" s="12" t="s">
        <v>18</v>
      </c>
      <c r="G942" s="12">
        <v>53.54</v>
      </c>
      <c r="H942" s="12">
        <v>45.15</v>
      </c>
      <c r="I942" s="12">
        <v>162.37</v>
      </c>
      <c r="J942" s="12">
        <v>162.22</v>
      </c>
      <c r="K942" s="12" t="s">
        <v>107</v>
      </c>
      <c r="L942" s="12">
        <v>53.45</v>
      </c>
      <c r="M942" s="12">
        <v>45.1</v>
      </c>
      <c r="N942" s="12">
        <v>162.19</v>
      </c>
      <c r="O942" s="12">
        <v>162.26</v>
      </c>
      <c r="P942" s="12" t="s">
        <v>32</v>
      </c>
      <c r="Q942" s="12" t="s">
        <v>221</v>
      </c>
      <c r="R942" s="6"/>
      <c r="S942" s="6"/>
    </row>
    <row r="943">
      <c r="A943" s="15">
        <v>46320.572299293985</v>
      </c>
      <c r="B943" s="8" t="str">
        <f t="shared" si="1"/>
        <v>241093</v>
      </c>
      <c r="C943" s="154" t="s">
        <v>774</v>
      </c>
      <c r="D943" s="154" t="s">
        <v>32</v>
      </c>
      <c r="E943" s="138">
        <v>0.1538</v>
      </c>
      <c r="F943" s="12" t="s">
        <v>18</v>
      </c>
      <c r="G943" s="12">
        <v>54.45</v>
      </c>
      <c r="H943" s="12">
        <v>45.76</v>
      </c>
      <c r="I943" s="12">
        <v>160.4</v>
      </c>
      <c r="J943" s="12">
        <v>161.0</v>
      </c>
      <c r="K943" s="12" t="s">
        <v>107</v>
      </c>
      <c r="L943" s="12">
        <v>54.22</v>
      </c>
      <c r="M943" s="12">
        <v>45.46</v>
      </c>
      <c r="N943" s="12">
        <v>159.97</v>
      </c>
      <c r="O943" s="12">
        <v>160.53</v>
      </c>
      <c r="P943" s="12" t="s">
        <v>32</v>
      </c>
      <c r="Q943" s="12" t="s">
        <v>221</v>
      </c>
      <c r="R943" s="6"/>
      <c r="S943" s="6"/>
    </row>
    <row r="944">
      <c r="A944" s="15">
        <v>46320.57382827546</v>
      </c>
      <c r="B944" s="8" t="str">
        <f t="shared" si="1"/>
        <v>244799</v>
      </c>
      <c r="C944" s="154" t="s">
        <v>775</v>
      </c>
      <c r="D944" s="154" t="s">
        <v>32</v>
      </c>
      <c r="E944" s="138">
        <v>0.1579</v>
      </c>
      <c r="F944" s="12" t="s">
        <v>18</v>
      </c>
      <c r="G944" s="12">
        <v>59.53</v>
      </c>
      <c r="H944" s="12">
        <v>52.52</v>
      </c>
      <c r="I944" s="12">
        <v>182.25</v>
      </c>
      <c r="J944" s="12">
        <v>182.96</v>
      </c>
      <c r="K944" s="12" t="s">
        <v>107</v>
      </c>
      <c r="L944" s="12">
        <v>59.51</v>
      </c>
      <c r="M944" s="12">
        <v>52.18</v>
      </c>
      <c r="N944" s="12">
        <v>181.51</v>
      </c>
      <c r="O944" s="12">
        <v>181.24</v>
      </c>
      <c r="P944" s="12" t="s">
        <v>32</v>
      </c>
      <c r="Q944" s="12" t="s">
        <v>221</v>
      </c>
      <c r="R944" s="6"/>
      <c r="S944" s="6"/>
    </row>
    <row r="945">
      <c r="A945" s="15">
        <v>46320.57529633102</v>
      </c>
      <c r="B945" s="8" t="str">
        <f t="shared" si="1"/>
        <v>245975</v>
      </c>
      <c r="C945" s="154" t="s">
        <v>743</v>
      </c>
      <c r="D945" s="154" t="s">
        <v>32</v>
      </c>
      <c r="E945" s="138">
        <v>0.0833</v>
      </c>
      <c r="F945" s="12" t="s">
        <v>18</v>
      </c>
      <c r="G945" s="12">
        <v>53.2</v>
      </c>
      <c r="H945" s="12">
        <v>46.8</v>
      </c>
      <c r="I945" s="12">
        <v>163.49</v>
      </c>
      <c r="J945" s="12">
        <v>163.63</v>
      </c>
      <c r="K945" s="12" t="s">
        <v>107</v>
      </c>
      <c r="L945" s="12">
        <v>53.11</v>
      </c>
      <c r="M945" s="12">
        <v>46.71</v>
      </c>
      <c r="N945" s="12">
        <v>163.49</v>
      </c>
      <c r="O945" s="12">
        <v>163.34</v>
      </c>
      <c r="P945" s="12" t="s">
        <v>32</v>
      </c>
      <c r="Q945" s="12" t="s">
        <v>221</v>
      </c>
      <c r="R945" s="6"/>
      <c r="S945" s="6"/>
    </row>
    <row r="946">
      <c r="A946" s="15">
        <v>46320.57639998842</v>
      </c>
      <c r="B946" s="8" t="str">
        <f t="shared" si="1"/>
        <v>219823</v>
      </c>
      <c r="C946" s="154" t="s">
        <v>776</v>
      </c>
      <c r="D946" s="154" t="s">
        <v>439</v>
      </c>
      <c r="E946" s="138">
        <v>0.0943</v>
      </c>
      <c r="F946" s="12" t="s">
        <v>18</v>
      </c>
      <c r="G946" s="12">
        <v>54.06</v>
      </c>
      <c r="H946" s="12">
        <v>41.73</v>
      </c>
      <c r="I946" s="12">
        <v>159.61</v>
      </c>
      <c r="J946" s="12">
        <v>159.6</v>
      </c>
      <c r="K946" s="12" t="s">
        <v>107</v>
      </c>
      <c r="L946" s="12">
        <v>53.74</v>
      </c>
      <c r="M946" s="12">
        <v>41.73</v>
      </c>
      <c r="N946" s="12">
        <v>159.0</v>
      </c>
      <c r="O946" s="12">
        <v>159.63</v>
      </c>
      <c r="P946" s="12" t="s">
        <v>307</v>
      </c>
      <c r="Q946" s="12" t="s">
        <v>221</v>
      </c>
      <c r="R946" s="6"/>
      <c r="S946" s="6"/>
    </row>
    <row r="947">
      <c r="A947" s="15">
        <v>46320.0</v>
      </c>
      <c r="B947" s="8" t="str">
        <f t="shared" si="1"/>
        <v>234807</v>
      </c>
      <c r="C947" s="154" t="s">
        <v>447</v>
      </c>
      <c r="D947" s="154" t="s">
        <v>17</v>
      </c>
      <c r="E947" s="138">
        <v>0.75</v>
      </c>
      <c r="F947" s="12" t="s">
        <v>18</v>
      </c>
      <c r="G947" s="12">
        <v>50.46</v>
      </c>
      <c r="H947" s="12">
        <v>46.57</v>
      </c>
      <c r="I947" s="12">
        <v>158.13</v>
      </c>
      <c r="J947" s="12">
        <v>158.43</v>
      </c>
      <c r="K947" s="12" t="s">
        <v>107</v>
      </c>
      <c r="L947" s="12">
        <v>50.15</v>
      </c>
      <c r="M947" s="12">
        <v>46.18</v>
      </c>
      <c r="N947" s="12">
        <v>156.97</v>
      </c>
      <c r="O947" s="12">
        <v>157.22</v>
      </c>
      <c r="P947" s="8"/>
      <c r="Q947" s="12" t="s">
        <v>90</v>
      </c>
      <c r="R947" s="6"/>
      <c r="S947" s="6"/>
    </row>
    <row r="948">
      <c r="A948" s="15">
        <v>46320.43109300926</v>
      </c>
      <c r="B948" s="8" t="str">
        <f t="shared" si="1"/>
        <v>234792</v>
      </c>
      <c r="C948" s="10" t="s">
        <v>642</v>
      </c>
      <c r="D948" s="10" t="s">
        <v>17</v>
      </c>
      <c r="E948" s="9"/>
      <c r="F948" s="12" t="s">
        <v>18</v>
      </c>
      <c r="G948" s="12">
        <v>48.12</v>
      </c>
      <c r="H948" s="12">
        <v>41.16</v>
      </c>
      <c r="I948" s="12">
        <v>144.54</v>
      </c>
      <c r="J948" s="12">
        <v>144.74</v>
      </c>
      <c r="K948" s="12" t="s">
        <v>19</v>
      </c>
      <c r="L948" s="12">
        <v>48.42</v>
      </c>
      <c r="M948" s="12">
        <v>41.84</v>
      </c>
      <c r="N948" s="12">
        <v>146.78</v>
      </c>
      <c r="O948" s="12">
        <v>146.35</v>
      </c>
      <c r="P948" s="10" t="s">
        <v>17</v>
      </c>
      <c r="Q948" s="12" t="s">
        <v>543</v>
      </c>
      <c r="R948" s="6"/>
      <c r="S948" s="6"/>
    </row>
    <row r="949">
      <c r="A949" s="15">
        <v>46320.52139601852</v>
      </c>
      <c r="B949" s="8" t="str">
        <f t="shared" si="1"/>
        <v>146617</v>
      </c>
      <c r="C949" s="10" t="s">
        <v>777</v>
      </c>
      <c r="D949" s="10" t="s">
        <v>32</v>
      </c>
      <c r="E949" s="9"/>
      <c r="F949" s="12" t="s">
        <v>18</v>
      </c>
      <c r="G949" s="12">
        <v>52.18</v>
      </c>
      <c r="H949" s="12">
        <v>43.3</v>
      </c>
      <c r="I949" s="12">
        <v>154.92</v>
      </c>
      <c r="J949" s="12">
        <v>155.14</v>
      </c>
      <c r="K949" s="12" t="s">
        <v>19</v>
      </c>
      <c r="L949" s="12">
        <v>51.99</v>
      </c>
      <c r="M949" s="12">
        <v>43.14</v>
      </c>
      <c r="N949" s="12">
        <v>154.33</v>
      </c>
      <c r="O949" s="12">
        <v>154.27</v>
      </c>
      <c r="P949" s="10" t="s">
        <v>32</v>
      </c>
      <c r="Q949" s="12" t="s">
        <v>543</v>
      </c>
      <c r="R949" s="6"/>
      <c r="S949" s="6"/>
    </row>
    <row r="950">
      <c r="A950" s="15">
        <v>46321.451979861115</v>
      </c>
      <c r="B950" s="8" t="str">
        <f t="shared" si="1"/>
        <v>147939</v>
      </c>
      <c r="C950" s="10" t="s">
        <v>778</v>
      </c>
      <c r="D950" s="10" t="s">
        <v>17</v>
      </c>
      <c r="E950" s="9"/>
      <c r="F950" s="12" t="s">
        <v>18</v>
      </c>
      <c r="G950" s="12">
        <v>54.8</v>
      </c>
      <c r="H950" s="12">
        <v>39.1</v>
      </c>
      <c r="I950" s="12">
        <v>160.24</v>
      </c>
      <c r="J950" s="12">
        <v>160.16</v>
      </c>
      <c r="K950" s="12" t="s">
        <v>19</v>
      </c>
      <c r="L950" s="12">
        <v>55.72</v>
      </c>
      <c r="M950" s="12">
        <v>39.19</v>
      </c>
      <c r="N950" s="12">
        <v>161.92</v>
      </c>
      <c r="O950" s="12">
        <v>162.03</v>
      </c>
      <c r="P950" s="12" t="s">
        <v>17</v>
      </c>
      <c r="Q950" s="12" t="s">
        <v>20</v>
      </c>
      <c r="R950" s="6"/>
      <c r="S950" s="6"/>
    </row>
    <row r="951">
      <c r="A951" s="15">
        <v>46321.46751984954</v>
      </c>
      <c r="B951" s="8" t="str">
        <f t="shared" si="1"/>
        <v>222403</v>
      </c>
      <c r="C951" s="10" t="s">
        <v>779</v>
      </c>
      <c r="D951" s="10" t="s">
        <v>17</v>
      </c>
      <c r="E951" s="9"/>
      <c r="F951" s="12" t="s">
        <v>18</v>
      </c>
      <c r="G951" s="12">
        <v>53.04</v>
      </c>
      <c r="H951" s="12">
        <v>38.16</v>
      </c>
      <c r="I951" s="12">
        <v>147.3</v>
      </c>
      <c r="J951" s="12">
        <v>147.8</v>
      </c>
      <c r="K951" s="12" t="s">
        <v>19</v>
      </c>
      <c r="L951" s="12">
        <v>53.3</v>
      </c>
      <c r="M951" s="12">
        <v>38.31</v>
      </c>
      <c r="N951" s="12">
        <v>148.38</v>
      </c>
      <c r="O951" s="12">
        <v>148.61</v>
      </c>
      <c r="P951" s="12" t="s">
        <v>17</v>
      </c>
      <c r="Q951" s="12" t="s">
        <v>20</v>
      </c>
      <c r="R951" s="6"/>
      <c r="S951" s="6"/>
    </row>
    <row r="952">
      <c r="A952" s="15">
        <v>46321.48534104167</v>
      </c>
      <c r="B952" s="8" t="str">
        <f t="shared" si="1"/>
        <v>245622</v>
      </c>
      <c r="C952" s="10" t="s">
        <v>780</v>
      </c>
      <c r="D952" s="10" t="s">
        <v>17</v>
      </c>
      <c r="E952" s="9"/>
      <c r="F952" s="12" t="s">
        <v>18</v>
      </c>
      <c r="G952" s="12">
        <v>52.67</v>
      </c>
      <c r="H952" s="12">
        <v>42.21</v>
      </c>
      <c r="I952" s="12">
        <v>156.49</v>
      </c>
      <c r="J952" s="12">
        <v>156.49</v>
      </c>
      <c r="K952" s="12" t="s">
        <v>19</v>
      </c>
      <c r="L952" s="12">
        <v>52.94</v>
      </c>
      <c r="M952" s="12">
        <v>42.59</v>
      </c>
      <c r="N952" s="12">
        <v>157.62</v>
      </c>
      <c r="O952" s="12">
        <v>157.62</v>
      </c>
      <c r="P952" s="12" t="s">
        <v>17</v>
      </c>
      <c r="Q952" s="12" t="s">
        <v>20</v>
      </c>
      <c r="R952" s="6"/>
      <c r="S952" s="6"/>
    </row>
    <row r="953">
      <c r="A953" s="15">
        <v>46321.487567777775</v>
      </c>
      <c r="B953" s="8" t="str">
        <f t="shared" si="1"/>
        <v>150129</v>
      </c>
      <c r="C953" s="10" t="s">
        <v>781</v>
      </c>
      <c r="D953" s="10" t="s">
        <v>17</v>
      </c>
      <c r="E953" s="9"/>
      <c r="F953" s="12" t="s">
        <v>18</v>
      </c>
      <c r="G953" s="12">
        <v>50.93</v>
      </c>
      <c r="H953" s="12">
        <v>42.5</v>
      </c>
      <c r="I953" s="12">
        <v>150.27</v>
      </c>
      <c r="J953" s="12">
        <v>150.11</v>
      </c>
      <c r="K953" s="12" t="s">
        <v>19</v>
      </c>
      <c r="L953" s="12">
        <v>50.98</v>
      </c>
      <c r="M953" s="12">
        <v>42.54</v>
      </c>
      <c r="N953" s="12">
        <v>150.64</v>
      </c>
      <c r="O953" s="12">
        <v>150.64</v>
      </c>
      <c r="P953" s="12" t="s">
        <v>17</v>
      </c>
      <c r="Q953" s="12" t="s">
        <v>20</v>
      </c>
      <c r="R953" s="6"/>
      <c r="S953" s="6"/>
    </row>
    <row r="954">
      <c r="A954" s="15">
        <v>46321.633461273144</v>
      </c>
      <c r="B954" s="8" t="str">
        <f t="shared" si="1"/>
        <v>245988</v>
      </c>
      <c r="C954" s="10" t="s">
        <v>782</v>
      </c>
      <c r="D954" s="10" t="s">
        <v>17</v>
      </c>
      <c r="E954" s="9"/>
      <c r="F954" s="12" t="s">
        <v>18</v>
      </c>
      <c r="G954" s="12">
        <v>50.84</v>
      </c>
      <c r="H954" s="12">
        <v>34.75</v>
      </c>
      <c r="I954" s="12">
        <v>136.9</v>
      </c>
      <c r="J954" s="12">
        <v>136.84</v>
      </c>
      <c r="K954" s="12" t="s">
        <v>19</v>
      </c>
      <c r="L954" s="12">
        <v>50.97</v>
      </c>
      <c r="M954" s="12">
        <v>34.82</v>
      </c>
      <c r="N954" s="12">
        <v>137.21</v>
      </c>
      <c r="O954" s="12">
        <v>137.3</v>
      </c>
      <c r="P954" s="12" t="s">
        <v>17</v>
      </c>
      <c r="Q954" s="12" t="s">
        <v>20</v>
      </c>
      <c r="R954" s="6"/>
      <c r="S954" s="6"/>
    </row>
    <row r="955">
      <c r="A955" s="15">
        <v>46321.66864719907</v>
      </c>
      <c r="B955" s="8" t="str">
        <f t="shared" si="1"/>
        <v>219139</v>
      </c>
      <c r="C955" s="10" t="s">
        <v>783</v>
      </c>
      <c r="D955" s="10" t="s">
        <v>22</v>
      </c>
      <c r="E955" s="9"/>
      <c r="F955" s="12" t="s">
        <v>18</v>
      </c>
      <c r="G955" s="12">
        <v>52.95</v>
      </c>
      <c r="H955" s="12">
        <v>38.54</v>
      </c>
      <c r="I955" s="12">
        <v>152.96</v>
      </c>
      <c r="J955" s="12">
        <v>153.79</v>
      </c>
      <c r="K955" s="12" t="s">
        <v>19</v>
      </c>
      <c r="L955" s="12">
        <v>50.15</v>
      </c>
      <c r="M955" s="12">
        <v>37.93</v>
      </c>
      <c r="N955" s="12">
        <v>148.46</v>
      </c>
      <c r="O955" s="12">
        <v>148.38</v>
      </c>
      <c r="P955" s="12" t="s">
        <v>22</v>
      </c>
      <c r="Q955" s="12" t="s">
        <v>20</v>
      </c>
      <c r="R955" s="6"/>
      <c r="S955" s="6"/>
    </row>
    <row r="956">
      <c r="A956" s="15">
        <v>46321.71608086806</v>
      </c>
      <c r="B956" s="8" t="str">
        <f t="shared" si="1"/>
        <v>241118</v>
      </c>
      <c r="C956" s="10" t="s">
        <v>784</v>
      </c>
      <c r="D956" s="10" t="s">
        <v>32</v>
      </c>
      <c r="E956" s="9"/>
      <c r="F956" s="12" t="s">
        <v>18</v>
      </c>
      <c r="G956" s="12">
        <v>55.99</v>
      </c>
      <c r="H956" s="12">
        <v>38.77</v>
      </c>
      <c r="I956" s="12">
        <v>164.37</v>
      </c>
      <c r="J956" s="12">
        <v>164.37</v>
      </c>
      <c r="K956" s="12" t="s">
        <v>19</v>
      </c>
      <c r="L956" s="12">
        <v>55.79</v>
      </c>
      <c r="M956" s="12">
        <v>38.59</v>
      </c>
      <c r="N956" s="12">
        <v>162.67</v>
      </c>
      <c r="O956" s="12">
        <v>162.67</v>
      </c>
      <c r="P956" s="12" t="s">
        <v>32</v>
      </c>
      <c r="Q956" s="12" t="s">
        <v>20</v>
      </c>
      <c r="R956" s="6"/>
      <c r="S956" s="6"/>
    </row>
    <row r="957">
      <c r="A957" s="15">
        <v>46321.853651956015</v>
      </c>
      <c r="B957" s="8" t="str">
        <f t="shared" si="1"/>
        <v>234804</v>
      </c>
      <c r="C957" s="164" t="s">
        <v>785</v>
      </c>
      <c r="D957" s="164" t="s">
        <v>32</v>
      </c>
      <c r="E957" s="165">
        <v>0.4545</v>
      </c>
      <c r="F957" s="12" t="s">
        <v>18</v>
      </c>
      <c r="G957" s="12">
        <v>52.19</v>
      </c>
      <c r="H957" s="12">
        <v>43.28</v>
      </c>
      <c r="I957" s="12">
        <v>154.76</v>
      </c>
      <c r="J957" s="12">
        <v>154.76</v>
      </c>
      <c r="K957" s="12" t="s">
        <v>107</v>
      </c>
      <c r="L957" s="12">
        <v>52.04</v>
      </c>
      <c r="M957" s="12">
        <v>43.15</v>
      </c>
      <c r="N957" s="12">
        <v>154.36</v>
      </c>
      <c r="O957" s="12">
        <v>154.36</v>
      </c>
      <c r="P957" s="8"/>
      <c r="Q957" s="12" t="s">
        <v>90</v>
      </c>
      <c r="R957" s="6"/>
      <c r="S957" s="6"/>
    </row>
    <row r="958">
      <c r="A958" s="15">
        <v>46321.853667118055</v>
      </c>
      <c r="B958" s="24">
        <v>241265.0</v>
      </c>
      <c r="C958" s="164" t="s">
        <v>271</v>
      </c>
      <c r="D958" s="164" t="s">
        <v>32</v>
      </c>
      <c r="E958" s="165">
        <v>0.4444</v>
      </c>
      <c r="F958" s="12" t="s">
        <v>18</v>
      </c>
      <c r="G958" s="12">
        <v>59.28</v>
      </c>
      <c r="H958" s="12">
        <v>44.1</v>
      </c>
      <c r="I958" s="12">
        <v>173.88</v>
      </c>
      <c r="J958" s="12">
        <v>173.99</v>
      </c>
      <c r="K958" s="12" t="s">
        <v>107</v>
      </c>
      <c r="L958" s="12">
        <v>59.09</v>
      </c>
      <c r="M958" s="12">
        <v>43.95</v>
      </c>
      <c r="N958" s="12">
        <v>173.3</v>
      </c>
      <c r="O958" s="12">
        <v>173.43</v>
      </c>
      <c r="P958" s="8"/>
      <c r="Q958" s="12" t="s">
        <v>90</v>
      </c>
      <c r="R958" s="6"/>
      <c r="S958" s="6"/>
    </row>
    <row r="959">
      <c r="A959" s="15">
        <v>46321.83818792824</v>
      </c>
      <c r="B959" s="24">
        <v>241085.0</v>
      </c>
      <c r="C959" s="164" t="s">
        <v>786</v>
      </c>
      <c r="D959" s="164" t="s">
        <v>32</v>
      </c>
      <c r="E959" s="165">
        <v>0.4286</v>
      </c>
      <c r="F959" s="12" t="s">
        <v>18</v>
      </c>
      <c r="G959" s="12">
        <v>60.31</v>
      </c>
      <c r="H959" s="12">
        <v>50.65</v>
      </c>
      <c r="I959" s="12">
        <v>182.48</v>
      </c>
      <c r="J959" s="12">
        <v>182.63</v>
      </c>
      <c r="K959" s="12" t="s">
        <v>107</v>
      </c>
      <c r="L959" s="12">
        <v>60.13</v>
      </c>
      <c r="M959" s="12">
        <v>50.2</v>
      </c>
      <c r="N959" s="12">
        <v>182.06</v>
      </c>
      <c r="O959" s="12">
        <v>181.73</v>
      </c>
      <c r="P959" s="8"/>
      <c r="Q959" s="12" t="s">
        <v>90</v>
      </c>
      <c r="R959" s="6"/>
      <c r="S959" s="6"/>
    </row>
    <row r="960">
      <c r="A960" s="15">
        <v>46321.0</v>
      </c>
      <c r="B960" s="24">
        <v>234791.0</v>
      </c>
      <c r="C960" s="164" t="s">
        <v>670</v>
      </c>
      <c r="D960" s="164" t="s">
        <v>32</v>
      </c>
      <c r="E960" s="165">
        <v>0.2778</v>
      </c>
      <c r="F960" s="12" t="s">
        <v>18</v>
      </c>
      <c r="G960" s="160" t="s">
        <v>738</v>
      </c>
      <c r="H960" s="45"/>
      <c r="I960" s="45"/>
      <c r="J960" s="45"/>
      <c r="K960" s="45"/>
      <c r="L960" s="45"/>
      <c r="M960" s="45"/>
      <c r="N960" s="45"/>
      <c r="O960" s="46"/>
      <c r="P960" s="8"/>
      <c r="Q960" s="12" t="s">
        <v>90</v>
      </c>
      <c r="R960" s="6"/>
      <c r="S960" s="6"/>
    </row>
    <row r="961">
      <c r="A961" s="15">
        <v>46321.0</v>
      </c>
      <c r="B961" s="24">
        <v>241095.0</v>
      </c>
      <c r="C961" s="164" t="s">
        <v>647</v>
      </c>
      <c r="D961" s="164" t="s">
        <v>32</v>
      </c>
      <c r="E961" s="165">
        <v>0.2222</v>
      </c>
      <c r="F961" s="12" t="s">
        <v>18</v>
      </c>
      <c r="G961" s="12">
        <v>51.17</v>
      </c>
      <c r="H961" s="12">
        <v>43.54</v>
      </c>
      <c r="I961" s="12">
        <v>155.31</v>
      </c>
      <c r="J961" s="12">
        <v>155.31</v>
      </c>
      <c r="K961" s="12" t="s">
        <v>107</v>
      </c>
      <c r="L961" s="12">
        <v>51.03</v>
      </c>
      <c r="M961" s="12">
        <v>43.4</v>
      </c>
      <c r="N961" s="12">
        <v>154.87</v>
      </c>
      <c r="O961" s="12">
        <v>154.87</v>
      </c>
      <c r="P961" s="8"/>
      <c r="Q961" s="12" t="s">
        <v>90</v>
      </c>
      <c r="R961" s="6"/>
      <c r="S961" s="6"/>
    </row>
    <row r="962">
      <c r="A962" s="15">
        <v>46321.0</v>
      </c>
      <c r="B962" s="24">
        <v>239999.0</v>
      </c>
      <c r="C962" s="164" t="s">
        <v>426</v>
      </c>
      <c r="D962" s="164" t="s">
        <v>32</v>
      </c>
      <c r="E962" s="165">
        <v>0.1364</v>
      </c>
      <c r="F962" s="12" t="s">
        <v>18</v>
      </c>
      <c r="G962" s="160" t="s">
        <v>738</v>
      </c>
      <c r="H962" s="45"/>
      <c r="I962" s="45"/>
      <c r="J962" s="45"/>
      <c r="K962" s="45"/>
      <c r="L962" s="45"/>
      <c r="M962" s="45"/>
      <c r="N962" s="45"/>
      <c r="O962" s="46"/>
      <c r="P962" s="8"/>
      <c r="Q962" s="12" t="s">
        <v>90</v>
      </c>
      <c r="R962" s="6"/>
      <c r="S962" s="6"/>
    </row>
    <row r="963">
      <c r="A963" s="15">
        <v>46321.838215428244</v>
      </c>
      <c r="B963" s="24">
        <v>256503.0</v>
      </c>
      <c r="C963" s="164" t="s">
        <v>787</v>
      </c>
      <c r="D963" s="164" t="s">
        <v>32</v>
      </c>
      <c r="E963" s="165">
        <v>0.125</v>
      </c>
      <c r="F963" s="12" t="s">
        <v>18</v>
      </c>
      <c r="G963" s="12">
        <v>52.09</v>
      </c>
      <c r="H963" s="12">
        <v>37.31</v>
      </c>
      <c r="I963" s="12">
        <v>151.22</v>
      </c>
      <c r="J963" s="12">
        <v>150.77</v>
      </c>
      <c r="K963" s="12" t="s">
        <v>107</v>
      </c>
      <c r="L963" s="12">
        <v>51.98</v>
      </c>
      <c r="M963" s="12">
        <v>37.18</v>
      </c>
      <c r="N963" s="12">
        <v>150.81</v>
      </c>
      <c r="O963" s="12">
        <v>150.44</v>
      </c>
      <c r="P963" s="8"/>
      <c r="Q963" s="12" t="s">
        <v>90</v>
      </c>
      <c r="R963" s="6"/>
      <c r="S963" s="6"/>
    </row>
    <row r="964">
      <c r="A964" s="15">
        <v>46321.83824025463</v>
      </c>
      <c r="B964" s="24">
        <v>224484.0</v>
      </c>
      <c r="C964" s="164" t="s">
        <v>753</v>
      </c>
      <c r="D964" s="164" t="s">
        <v>32</v>
      </c>
      <c r="E964" s="165">
        <v>0.0962</v>
      </c>
      <c r="F964" s="12" t="s">
        <v>18</v>
      </c>
      <c r="G964" s="12">
        <v>53.5</v>
      </c>
      <c r="H964" s="12">
        <v>41.8</v>
      </c>
      <c r="I964" s="12">
        <v>159.97</v>
      </c>
      <c r="J964" s="12">
        <v>160.11</v>
      </c>
      <c r="K964" s="12" t="s">
        <v>107</v>
      </c>
      <c r="L964" s="12">
        <v>53.45</v>
      </c>
      <c r="M964" s="12">
        <v>41.72</v>
      </c>
      <c r="N964" s="12">
        <v>159.95</v>
      </c>
      <c r="O964" s="12">
        <v>159.87</v>
      </c>
      <c r="P964" s="8"/>
      <c r="Q964" s="12" t="s">
        <v>90</v>
      </c>
      <c r="R964" s="6"/>
      <c r="S964" s="6"/>
    </row>
    <row r="965">
      <c r="A965" s="15">
        <v>46321.0</v>
      </c>
      <c r="B965" s="24">
        <v>242175.0</v>
      </c>
      <c r="C965" s="164" t="s">
        <v>788</v>
      </c>
      <c r="D965" s="164" t="s">
        <v>32</v>
      </c>
      <c r="E965" s="165">
        <v>0.0909</v>
      </c>
      <c r="F965" s="12" t="s">
        <v>18</v>
      </c>
      <c r="G965" s="12">
        <v>54.23</v>
      </c>
      <c r="H965" s="12">
        <v>40.43</v>
      </c>
      <c r="I965" s="12">
        <v>160.6</v>
      </c>
      <c r="J965" s="12">
        <v>159.98</v>
      </c>
      <c r="K965" s="12" t="s">
        <v>107</v>
      </c>
      <c r="L965" s="12">
        <v>53.69</v>
      </c>
      <c r="M965" s="12">
        <v>40.27</v>
      </c>
      <c r="N965" s="12">
        <v>159.67</v>
      </c>
      <c r="O965" s="12">
        <v>159.75</v>
      </c>
      <c r="P965" s="8"/>
      <c r="Q965" s="12" t="s">
        <v>90</v>
      </c>
      <c r="R965" s="6"/>
      <c r="S965" s="6"/>
    </row>
    <row r="966">
      <c r="A966" s="15">
        <v>46321.0</v>
      </c>
      <c r="B966" s="24">
        <v>254394.0</v>
      </c>
      <c r="C966" s="164" t="s">
        <v>747</v>
      </c>
      <c r="D966" s="164" t="s">
        <v>32</v>
      </c>
      <c r="E966" s="165">
        <v>0.087</v>
      </c>
      <c r="F966" s="12" t="s">
        <v>18</v>
      </c>
      <c r="G966" s="12">
        <v>53.29</v>
      </c>
      <c r="H966" s="12">
        <v>37.58</v>
      </c>
      <c r="I966" s="141">
        <v>153.52</v>
      </c>
      <c r="J966" s="12">
        <v>153.73</v>
      </c>
      <c r="K966" s="12" t="s">
        <v>107</v>
      </c>
      <c r="L966" s="12">
        <v>53.22</v>
      </c>
      <c r="M966" s="12">
        <v>37.45</v>
      </c>
      <c r="N966" s="12">
        <v>153.27</v>
      </c>
      <c r="O966" s="12">
        <v>153.58</v>
      </c>
      <c r="P966" s="8"/>
      <c r="Q966" s="12" t="s">
        <v>90</v>
      </c>
      <c r="R966" s="6"/>
      <c r="S966" s="6"/>
    </row>
    <row r="967">
      <c r="A967" s="15">
        <v>46321.0</v>
      </c>
      <c r="B967" s="24">
        <v>245915.0</v>
      </c>
      <c r="C967" s="164" t="s">
        <v>789</v>
      </c>
      <c r="D967" s="164" t="s">
        <v>32</v>
      </c>
      <c r="E967" s="165">
        <v>0.0667</v>
      </c>
      <c r="F967" s="12" t="s">
        <v>18</v>
      </c>
      <c r="G967" s="12">
        <v>53.53</v>
      </c>
      <c r="H967" s="12">
        <v>42.79</v>
      </c>
      <c r="I967" s="12">
        <v>159.9</v>
      </c>
      <c r="J967" s="12">
        <v>159.43</v>
      </c>
      <c r="K967" s="12" t="s">
        <v>107</v>
      </c>
      <c r="L967" s="12">
        <v>53.47</v>
      </c>
      <c r="M967" s="12">
        <v>42.72</v>
      </c>
      <c r="N967" s="12">
        <v>159.7</v>
      </c>
      <c r="O967" s="12">
        <v>159.47</v>
      </c>
      <c r="P967" s="8"/>
      <c r="Q967" s="12" t="s">
        <v>90</v>
      </c>
      <c r="R967" s="6"/>
      <c r="S967" s="6"/>
    </row>
    <row r="968">
      <c r="A968" s="15">
        <v>46321.0</v>
      </c>
      <c r="B968" s="24">
        <v>241119.0</v>
      </c>
      <c r="C968" s="164" t="s">
        <v>790</v>
      </c>
      <c r="D968" s="164" t="s">
        <v>32</v>
      </c>
      <c r="E968" s="165">
        <v>0.0556</v>
      </c>
      <c r="F968" s="12" t="s">
        <v>18</v>
      </c>
      <c r="G968" s="12">
        <v>55.94</v>
      </c>
      <c r="H968" s="12">
        <v>39.16</v>
      </c>
      <c r="I968" s="12">
        <v>164.15</v>
      </c>
      <c r="J968" s="12">
        <v>163.95</v>
      </c>
      <c r="K968" s="12" t="s">
        <v>107</v>
      </c>
      <c r="L968" s="12">
        <v>55.83</v>
      </c>
      <c r="M968" s="12">
        <v>38.78</v>
      </c>
      <c r="N968" s="12">
        <v>162.79</v>
      </c>
      <c r="O968" s="12">
        <v>163.14</v>
      </c>
      <c r="P968" s="8"/>
      <c r="Q968" s="12" t="s">
        <v>90</v>
      </c>
      <c r="R968" s="6"/>
      <c r="S968" s="6"/>
    </row>
    <row r="969">
      <c r="A969" s="15">
        <v>46321.0</v>
      </c>
      <c r="B969" s="24">
        <v>246908.0</v>
      </c>
      <c r="C969" s="164" t="s">
        <v>791</v>
      </c>
      <c r="D969" s="164" t="s">
        <v>385</v>
      </c>
      <c r="E969" s="165">
        <v>0.2857</v>
      </c>
      <c r="F969" s="12" t="s">
        <v>18</v>
      </c>
      <c r="G969" s="12">
        <v>52.49</v>
      </c>
      <c r="H969" s="12">
        <v>44.87</v>
      </c>
      <c r="I969" s="12">
        <v>160.5</v>
      </c>
      <c r="J969" s="12">
        <v>160.7</v>
      </c>
      <c r="K969" s="12" t="s">
        <v>107</v>
      </c>
      <c r="L969" s="12">
        <v>52.37</v>
      </c>
      <c r="M969" s="12">
        <v>44.63</v>
      </c>
      <c r="N969" s="12">
        <v>160.32</v>
      </c>
      <c r="O969" s="12">
        <v>159.95</v>
      </c>
      <c r="P969" s="8"/>
      <c r="Q969" s="12" t="s">
        <v>90</v>
      </c>
      <c r="R969" s="6"/>
      <c r="S969" s="6"/>
    </row>
    <row r="970">
      <c r="A970" s="15">
        <v>46321.0</v>
      </c>
      <c r="B970" s="24">
        <v>256500.0</v>
      </c>
      <c r="C970" s="164" t="s">
        <v>758</v>
      </c>
      <c r="D970" s="164" t="s">
        <v>17</v>
      </c>
      <c r="E970" s="165">
        <v>0.6667</v>
      </c>
      <c r="F970" s="12" t="s">
        <v>18</v>
      </c>
      <c r="G970" s="12">
        <v>51.31</v>
      </c>
      <c r="H970" s="12">
        <v>41.27</v>
      </c>
      <c r="I970" s="12">
        <v>154.52</v>
      </c>
      <c r="J970" s="12">
        <v>154.52</v>
      </c>
      <c r="K970" s="12" t="s">
        <v>107</v>
      </c>
      <c r="L970" s="12">
        <v>51.46</v>
      </c>
      <c r="M970" s="12">
        <v>41.47</v>
      </c>
      <c r="N970" s="12">
        <v>153.34</v>
      </c>
      <c r="O970" s="12">
        <v>153.34</v>
      </c>
      <c r="P970" s="8"/>
      <c r="Q970" s="12" t="s">
        <v>90</v>
      </c>
      <c r="R970" s="6"/>
      <c r="S970" s="6"/>
    </row>
    <row r="971">
      <c r="A971" s="15">
        <v>46321.0</v>
      </c>
      <c r="B971" s="24">
        <v>234769.0</v>
      </c>
      <c r="C971" s="164" t="s">
        <v>792</v>
      </c>
      <c r="D971" s="164" t="s">
        <v>17</v>
      </c>
      <c r="E971" s="165">
        <v>0.6364</v>
      </c>
      <c r="F971" s="12" t="s">
        <v>18</v>
      </c>
      <c r="G971" s="12">
        <v>54.75</v>
      </c>
      <c r="H971" s="12">
        <v>38.82</v>
      </c>
      <c r="I971" s="12">
        <v>159.76</v>
      </c>
      <c r="J971" s="12">
        <v>159.79</v>
      </c>
      <c r="K971" s="12" t="s">
        <v>107</v>
      </c>
      <c r="L971" s="12">
        <v>54.92</v>
      </c>
      <c r="M971" s="12">
        <v>39.07</v>
      </c>
      <c r="N971" s="12">
        <v>160.07</v>
      </c>
      <c r="O971" s="12">
        <v>159.97</v>
      </c>
      <c r="P971" s="8"/>
      <c r="Q971" s="12" t="s">
        <v>90</v>
      </c>
      <c r="R971" s="6"/>
      <c r="S971" s="6"/>
    </row>
    <row r="972">
      <c r="A972" s="15">
        <v>46321.0</v>
      </c>
      <c r="B972" s="24">
        <v>234791.0</v>
      </c>
      <c r="C972" s="164" t="s">
        <v>480</v>
      </c>
      <c r="D972" s="164" t="s">
        <v>17</v>
      </c>
      <c r="E972" s="165">
        <v>0.3333</v>
      </c>
      <c r="F972" s="12" t="s">
        <v>18</v>
      </c>
      <c r="G972" s="160" t="s">
        <v>738</v>
      </c>
      <c r="H972" s="45"/>
      <c r="I972" s="45"/>
      <c r="J972" s="45"/>
      <c r="K972" s="45"/>
      <c r="L972" s="45"/>
      <c r="M972" s="45"/>
      <c r="N972" s="45"/>
      <c r="O972" s="46"/>
      <c r="P972" s="8"/>
      <c r="Q972" s="12" t="s">
        <v>90</v>
      </c>
      <c r="R972" s="6"/>
      <c r="S972" s="6"/>
    </row>
    <row r="973">
      <c r="A973" s="15">
        <v>46321.0</v>
      </c>
      <c r="B973" s="24">
        <v>240000.0</v>
      </c>
      <c r="C973" s="164" t="s">
        <v>363</v>
      </c>
      <c r="D973" s="164" t="s">
        <v>17</v>
      </c>
      <c r="E973" s="165">
        <v>0.3333</v>
      </c>
      <c r="F973" s="12" t="s">
        <v>18</v>
      </c>
      <c r="G973" s="160" t="s">
        <v>738</v>
      </c>
      <c r="H973" s="45"/>
      <c r="I973" s="45"/>
      <c r="J973" s="45"/>
      <c r="K973" s="45"/>
      <c r="L973" s="45"/>
      <c r="M973" s="45"/>
      <c r="N973" s="45"/>
      <c r="O973" s="46"/>
      <c r="P973" s="8"/>
      <c r="Q973" s="12" t="s">
        <v>90</v>
      </c>
      <c r="R973" s="6"/>
      <c r="S973" s="6"/>
    </row>
    <row r="974">
      <c r="A974" s="15">
        <v>46321.0</v>
      </c>
      <c r="B974" s="24">
        <v>241855.0</v>
      </c>
      <c r="C974" s="164" t="s">
        <v>565</v>
      </c>
      <c r="D974" s="164" t="s">
        <v>17</v>
      </c>
      <c r="E974" s="165">
        <v>0.1765</v>
      </c>
      <c r="F974" s="12" t="s">
        <v>18</v>
      </c>
      <c r="G974" s="12">
        <v>50.73</v>
      </c>
      <c r="H974" s="12">
        <v>39.97</v>
      </c>
      <c r="I974" s="12">
        <v>152.57</v>
      </c>
      <c r="J974" s="12">
        <v>152.96</v>
      </c>
      <c r="K974" s="12" t="s">
        <v>107</v>
      </c>
      <c r="L974" s="12">
        <v>54.85</v>
      </c>
      <c r="M974" s="12">
        <v>40.42</v>
      </c>
      <c r="N974" s="141">
        <v>160.3</v>
      </c>
      <c r="O974" s="12">
        <v>160.93</v>
      </c>
      <c r="P974" s="8"/>
      <c r="Q974" s="12" t="s">
        <v>90</v>
      </c>
      <c r="R974" s="6"/>
      <c r="S974" s="6"/>
    </row>
    <row r="975">
      <c r="A975" s="15">
        <v>46321.0</v>
      </c>
      <c r="B975" s="24">
        <v>242632.0</v>
      </c>
      <c r="C975" s="164" t="s">
        <v>793</v>
      </c>
      <c r="D975" s="164" t="s">
        <v>17</v>
      </c>
      <c r="E975" s="165">
        <v>0.0968</v>
      </c>
      <c r="F975" s="12" t="s">
        <v>18</v>
      </c>
      <c r="G975" s="12">
        <v>50.51</v>
      </c>
      <c r="H975" s="12">
        <v>40.0</v>
      </c>
      <c r="I975" s="12">
        <v>152.76</v>
      </c>
      <c r="J975" s="12">
        <v>153.07</v>
      </c>
      <c r="K975" s="12" t="s">
        <v>107</v>
      </c>
      <c r="L975" s="12">
        <v>50.67</v>
      </c>
      <c r="M975" s="12">
        <v>40.03</v>
      </c>
      <c r="N975" s="12">
        <v>152.87</v>
      </c>
      <c r="O975" s="12">
        <v>153.5</v>
      </c>
      <c r="P975" s="8"/>
      <c r="Q975" s="12" t="s">
        <v>90</v>
      </c>
      <c r="R975" s="6"/>
      <c r="S975" s="6"/>
    </row>
    <row r="976">
      <c r="A976" s="15">
        <v>46321.85966605324</v>
      </c>
      <c r="B976" s="8" t="str">
        <f t="shared" ref="B976:B1893" si="3">LEFT(C976,6)</f>
        <v>210442</v>
      </c>
      <c r="C976" s="10" t="s">
        <v>674</v>
      </c>
      <c r="D976" s="10" t="s">
        <v>17</v>
      </c>
      <c r="E976" s="9"/>
      <c r="F976" s="12" t="s">
        <v>18</v>
      </c>
      <c r="G976" s="12">
        <v>54.52</v>
      </c>
      <c r="H976" s="12">
        <v>45.29</v>
      </c>
      <c r="I976" s="12">
        <v>163.91</v>
      </c>
      <c r="J976" s="12">
        <v>163.91</v>
      </c>
      <c r="K976" s="12" t="s">
        <v>19</v>
      </c>
      <c r="L976" s="12">
        <v>54.62</v>
      </c>
      <c r="M976" s="12">
        <v>46.28</v>
      </c>
      <c r="N976" s="12">
        <v>165.7</v>
      </c>
      <c r="O976" s="12">
        <v>165.69</v>
      </c>
      <c r="P976" s="8"/>
      <c r="Q976" s="12" t="s">
        <v>90</v>
      </c>
      <c r="R976" s="6"/>
      <c r="S976" s="6"/>
    </row>
    <row r="977">
      <c r="A977" s="15">
        <v>46321.86546241898</v>
      </c>
      <c r="B977" s="8" t="str">
        <f t="shared" si="3"/>
        <v>146617</v>
      </c>
      <c r="C977" s="10" t="s">
        <v>777</v>
      </c>
      <c r="D977" s="10" t="s">
        <v>17</v>
      </c>
      <c r="E977" s="9"/>
      <c r="F977" s="12" t="s">
        <v>18</v>
      </c>
      <c r="G977" s="12">
        <v>51.99</v>
      </c>
      <c r="H977" s="12">
        <v>43.29</v>
      </c>
      <c r="I977" s="12">
        <v>154.33</v>
      </c>
      <c r="J977" s="12">
        <v>154.27</v>
      </c>
      <c r="K977" s="12" t="s">
        <v>19</v>
      </c>
      <c r="L977" s="12">
        <v>52.32</v>
      </c>
      <c r="M977" s="12">
        <v>43.39</v>
      </c>
      <c r="N977" s="12">
        <v>155.33</v>
      </c>
      <c r="O977" s="12">
        <v>155.39</v>
      </c>
      <c r="P977" s="8"/>
      <c r="Q977" s="12" t="s">
        <v>90</v>
      </c>
      <c r="R977" s="6"/>
      <c r="S977" s="6"/>
    </row>
    <row r="978">
      <c r="A978" s="15">
        <v>46321.868390752315</v>
      </c>
      <c r="B978" s="8" t="str">
        <f t="shared" si="3"/>
        <v>206824</v>
      </c>
      <c r="C978" s="10" t="s">
        <v>794</v>
      </c>
      <c r="D978" s="10" t="s">
        <v>17</v>
      </c>
      <c r="E978" s="9"/>
      <c r="F978" s="12" t="s">
        <v>18</v>
      </c>
      <c r="G978" s="12">
        <v>50.77</v>
      </c>
      <c r="H978" s="12">
        <v>43.11</v>
      </c>
      <c r="I978" s="12">
        <v>154.11</v>
      </c>
      <c r="J978" s="12">
        <v>153.66</v>
      </c>
      <c r="K978" s="12" t="s">
        <v>19</v>
      </c>
      <c r="L978" s="12">
        <v>50.87</v>
      </c>
      <c r="M978" s="12">
        <v>43.2</v>
      </c>
      <c r="N978" s="12">
        <v>154.42</v>
      </c>
      <c r="O978" s="12">
        <v>154.42</v>
      </c>
      <c r="P978" s="8"/>
      <c r="Q978" s="12" t="s">
        <v>90</v>
      </c>
      <c r="R978" s="6"/>
      <c r="S978" s="6"/>
    </row>
    <row r="979">
      <c r="A979" s="15">
        <v>46321.87043996528</v>
      </c>
      <c r="B979" s="8" t="str">
        <f t="shared" si="3"/>
        <v>245641</v>
      </c>
      <c r="C979" s="10" t="s">
        <v>795</v>
      </c>
      <c r="D979" s="10" t="s">
        <v>17</v>
      </c>
      <c r="E979" s="9"/>
      <c r="F979" s="12" t="s">
        <v>18</v>
      </c>
      <c r="G979" s="12">
        <v>53.26</v>
      </c>
      <c r="H979" s="12">
        <v>43.91</v>
      </c>
      <c r="I979" s="12">
        <v>162.7</v>
      </c>
      <c r="J979" s="12">
        <v>161.91</v>
      </c>
      <c r="K979" s="12" t="s">
        <v>19</v>
      </c>
      <c r="L979" s="157" t="s">
        <v>796</v>
      </c>
      <c r="M979" s="45"/>
      <c r="N979" s="45"/>
      <c r="O979" s="46"/>
      <c r="P979" s="8"/>
      <c r="Q979" s="12" t="s">
        <v>90</v>
      </c>
      <c r="R979" s="6"/>
      <c r="S979" s="6"/>
    </row>
    <row r="980">
      <c r="A980" s="15">
        <v>46321.932177546296</v>
      </c>
      <c r="B980" s="8" t="str">
        <f t="shared" si="3"/>
        <v>256500</v>
      </c>
      <c r="C980" s="166" t="s">
        <v>758</v>
      </c>
      <c r="D980" s="10" t="s">
        <v>17</v>
      </c>
      <c r="E980" s="9"/>
      <c r="F980" s="12" t="s">
        <v>18</v>
      </c>
      <c r="G980" s="12">
        <v>51.31</v>
      </c>
      <c r="H980" s="12">
        <v>41.27</v>
      </c>
      <c r="I980" s="12">
        <v>152.76</v>
      </c>
      <c r="J980" s="12">
        <v>152.76</v>
      </c>
      <c r="K980" s="12" t="s">
        <v>19</v>
      </c>
      <c r="L980" s="12">
        <v>52.74</v>
      </c>
      <c r="M980" s="12">
        <v>42.74</v>
      </c>
      <c r="N980" s="12">
        <v>157.66</v>
      </c>
      <c r="O980" s="12">
        <v>157.66</v>
      </c>
      <c r="P980" s="8"/>
      <c r="Q980" s="12" t="s">
        <v>42</v>
      </c>
      <c r="R980" s="6"/>
      <c r="S980" s="6"/>
    </row>
    <row r="981">
      <c r="A981" s="15">
        <v>46322.60982972222</v>
      </c>
      <c r="B981" s="8" t="str">
        <f t="shared" si="3"/>
        <v>238021</v>
      </c>
      <c r="C981" s="10" t="s">
        <v>797</v>
      </c>
      <c r="D981" s="10" t="s">
        <v>22</v>
      </c>
      <c r="E981" s="9"/>
      <c r="F981" s="12" t="s">
        <v>18</v>
      </c>
      <c r="G981" s="12">
        <v>49.49</v>
      </c>
      <c r="H981" s="12">
        <v>32.55</v>
      </c>
      <c r="I981" s="12">
        <v>137.87</v>
      </c>
      <c r="J981" s="12">
        <v>137.87</v>
      </c>
      <c r="K981" s="12" t="s">
        <v>19</v>
      </c>
      <c r="L981" s="12">
        <v>49.36</v>
      </c>
      <c r="M981" s="12">
        <v>32.4</v>
      </c>
      <c r="N981" s="12">
        <v>137.68</v>
      </c>
      <c r="O981" s="12">
        <v>137.76</v>
      </c>
      <c r="P981" s="8"/>
      <c r="Q981" s="12" t="s">
        <v>20</v>
      </c>
      <c r="R981" s="6"/>
      <c r="S981" s="6"/>
    </row>
    <row r="982">
      <c r="A982" s="15">
        <v>46322.60984827546</v>
      </c>
      <c r="B982" s="8" t="str">
        <f t="shared" si="3"/>
        <v>242223</v>
      </c>
      <c r="C982" s="10">
        <v>242223.0</v>
      </c>
      <c r="D982" s="9"/>
      <c r="E982" s="9"/>
      <c r="F982" s="12" t="s">
        <v>18</v>
      </c>
      <c r="G982" s="12">
        <v>50.02</v>
      </c>
      <c r="H982" s="12">
        <v>40.3</v>
      </c>
      <c r="I982" s="12">
        <v>147.27</v>
      </c>
      <c r="J982" s="12">
        <v>147.27</v>
      </c>
      <c r="K982" s="12" t="s">
        <v>19</v>
      </c>
      <c r="L982" s="12">
        <v>53.55</v>
      </c>
      <c r="M982" s="8"/>
      <c r="N982" s="8"/>
      <c r="O982" s="8"/>
      <c r="P982" s="8"/>
      <c r="Q982" s="12" t="s">
        <v>543</v>
      </c>
      <c r="R982" s="6"/>
      <c r="S982" s="6"/>
    </row>
    <row r="983">
      <c r="A983" s="15">
        <v>46322.60987197916</v>
      </c>
      <c r="B983" s="8" t="str">
        <f t="shared" si="3"/>
        <v>254869</v>
      </c>
      <c r="C983" s="10" t="s">
        <v>798</v>
      </c>
      <c r="D983" s="10" t="s">
        <v>17</v>
      </c>
      <c r="E983" s="9"/>
      <c r="F983" s="12" t="s">
        <v>18</v>
      </c>
      <c r="G983" s="12">
        <v>50.57</v>
      </c>
      <c r="H983" s="12">
        <v>39.95</v>
      </c>
      <c r="I983" s="12">
        <v>152.41</v>
      </c>
      <c r="J983" s="12">
        <v>152.41</v>
      </c>
      <c r="K983" s="12" t="s">
        <v>19</v>
      </c>
      <c r="L983" s="12">
        <v>50.6</v>
      </c>
      <c r="M983" s="12">
        <v>39.86</v>
      </c>
      <c r="N983" s="12">
        <v>152.42</v>
      </c>
      <c r="O983" s="12">
        <v>153.41</v>
      </c>
      <c r="P983" s="8"/>
      <c r="Q983" s="12" t="s">
        <v>20</v>
      </c>
      <c r="R983" s="6"/>
      <c r="S983" s="6"/>
    </row>
    <row r="984">
      <c r="A984" s="15">
        <v>46322.0</v>
      </c>
      <c r="B984" s="8" t="str">
        <f t="shared" si="3"/>
        <v>234798</v>
      </c>
      <c r="C984" s="167" t="s">
        <v>799</v>
      </c>
      <c r="D984" s="9"/>
      <c r="E984" s="9"/>
      <c r="F984" s="12" t="s">
        <v>18</v>
      </c>
      <c r="G984" s="160" t="s">
        <v>738</v>
      </c>
      <c r="H984" s="45"/>
      <c r="I984" s="45"/>
      <c r="J984" s="45"/>
      <c r="K984" s="45"/>
      <c r="L984" s="45"/>
      <c r="M984" s="45"/>
      <c r="N984" s="45"/>
      <c r="O984" s="46"/>
      <c r="P984" s="8"/>
      <c r="Q984" s="8"/>
      <c r="R984" s="6"/>
      <c r="S984" s="6"/>
    </row>
    <row r="985">
      <c r="A985" s="15">
        <v>46322.0</v>
      </c>
      <c r="B985" s="8" t="str">
        <f t="shared" si="3"/>
        <v>241272</v>
      </c>
      <c r="C985" s="10" t="s">
        <v>800</v>
      </c>
      <c r="D985" s="12" t="s">
        <v>22</v>
      </c>
      <c r="E985" s="9"/>
      <c r="F985" s="12" t="s">
        <v>18</v>
      </c>
      <c r="G985" s="12">
        <v>55.91</v>
      </c>
      <c r="H985" s="12">
        <v>44.22</v>
      </c>
      <c r="I985" s="12">
        <v>168.18</v>
      </c>
      <c r="J985" s="12">
        <v>168.18</v>
      </c>
      <c r="K985" s="8"/>
      <c r="L985" s="12">
        <v>55.95</v>
      </c>
      <c r="M985" s="12">
        <v>44.27</v>
      </c>
      <c r="N985" s="12">
        <v>168.44</v>
      </c>
      <c r="O985" s="12">
        <v>168.66</v>
      </c>
      <c r="P985" s="12" t="s">
        <v>22</v>
      </c>
      <c r="Q985" s="12" t="s">
        <v>543</v>
      </c>
      <c r="R985" s="6"/>
      <c r="S985" s="6"/>
    </row>
    <row r="986">
      <c r="A986" s="15">
        <v>46322.0</v>
      </c>
      <c r="B986" s="8" t="str">
        <f t="shared" si="3"/>
        <v>236911</v>
      </c>
      <c r="C986" s="10">
        <v>236911.0</v>
      </c>
      <c r="D986" s="10" t="s">
        <v>32</v>
      </c>
      <c r="E986" s="9"/>
      <c r="F986" s="12" t="s">
        <v>18</v>
      </c>
      <c r="G986" s="12">
        <v>51.29</v>
      </c>
      <c r="H986" s="12">
        <v>40.84</v>
      </c>
      <c r="I986" s="12">
        <v>154.07</v>
      </c>
      <c r="J986" s="12">
        <v>154.22</v>
      </c>
      <c r="K986" s="12" t="s">
        <v>19</v>
      </c>
      <c r="L986" s="12">
        <v>50.65</v>
      </c>
      <c r="M986" s="12">
        <v>39.41</v>
      </c>
      <c r="N986" s="12">
        <v>151.7</v>
      </c>
      <c r="O986" s="12">
        <v>151.78</v>
      </c>
      <c r="P986" s="12" t="s">
        <v>17</v>
      </c>
      <c r="Q986" s="12" t="s">
        <v>20</v>
      </c>
      <c r="R986" s="6"/>
      <c r="S986" s="6"/>
    </row>
    <row r="987">
      <c r="A987" s="15">
        <v>46322.0</v>
      </c>
      <c r="B987" s="8" t="str">
        <f t="shared" si="3"/>
        <v>241855</v>
      </c>
      <c r="C987" s="10" t="s">
        <v>565</v>
      </c>
      <c r="D987" s="10" t="s">
        <v>32</v>
      </c>
      <c r="E987" s="9"/>
      <c r="F987" s="12" t="s">
        <v>18</v>
      </c>
      <c r="G987" s="12">
        <v>54.85</v>
      </c>
      <c r="H987" s="12">
        <v>40.42</v>
      </c>
      <c r="I987" s="141">
        <v>160.3</v>
      </c>
      <c r="J987" s="12">
        <v>160.93</v>
      </c>
      <c r="K987" s="12" t="s">
        <v>19</v>
      </c>
      <c r="L987" s="12">
        <v>50.63</v>
      </c>
      <c r="M987" s="12">
        <v>40.01</v>
      </c>
      <c r="N987" s="12">
        <v>152.53</v>
      </c>
      <c r="O987" s="12">
        <v>153.64</v>
      </c>
      <c r="P987" s="12" t="s">
        <v>32</v>
      </c>
      <c r="Q987" s="12" t="s">
        <v>20</v>
      </c>
      <c r="R987" s="6"/>
      <c r="S987" s="6"/>
    </row>
    <row r="988">
      <c r="A988" s="15">
        <v>46322.0</v>
      </c>
      <c r="B988" s="8" t="str">
        <f t="shared" si="3"/>
        <v>135212</v>
      </c>
      <c r="C988" s="10" t="s">
        <v>801</v>
      </c>
      <c r="D988" s="10" t="s">
        <v>32</v>
      </c>
      <c r="E988" s="9"/>
      <c r="F988" s="12" t="s">
        <v>18</v>
      </c>
      <c r="G988" s="12">
        <v>54.32</v>
      </c>
      <c r="H988" s="12">
        <v>44.57</v>
      </c>
      <c r="I988" s="12">
        <v>163.89</v>
      </c>
      <c r="J988" s="12">
        <v>163.89</v>
      </c>
      <c r="K988" s="12" t="s">
        <v>19</v>
      </c>
      <c r="L988" s="12">
        <v>54.14</v>
      </c>
      <c r="M988" s="12">
        <v>43.75</v>
      </c>
      <c r="N988" s="12">
        <v>162.24</v>
      </c>
      <c r="O988" s="12">
        <v>162.59</v>
      </c>
      <c r="P988" s="8"/>
      <c r="Q988" s="12" t="s">
        <v>20</v>
      </c>
      <c r="R988" s="6"/>
      <c r="S988" s="6"/>
    </row>
    <row r="989">
      <c r="A989" s="15">
        <v>46322.0</v>
      </c>
      <c r="B989" s="8" t="str">
        <f t="shared" si="3"/>
        <v>236103</v>
      </c>
      <c r="C989" s="10" t="s">
        <v>802</v>
      </c>
      <c r="D989" s="10" t="s">
        <v>17</v>
      </c>
      <c r="E989" s="9"/>
      <c r="F989" s="12" t="s">
        <v>18</v>
      </c>
      <c r="G989" s="12">
        <v>49.75</v>
      </c>
      <c r="H989" s="12">
        <v>37.51</v>
      </c>
      <c r="I989" s="12">
        <v>146.66</v>
      </c>
      <c r="J989" s="12">
        <v>146.66</v>
      </c>
      <c r="K989" s="12" t="s">
        <v>19</v>
      </c>
      <c r="L989" s="12">
        <v>49.74</v>
      </c>
      <c r="M989" s="12">
        <v>37.77</v>
      </c>
      <c r="N989" s="12">
        <v>147.09</v>
      </c>
      <c r="O989" s="12">
        <v>147.71</v>
      </c>
      <c r="P989" s="8"/>
      <c r="Q989" s="12" t="s">
        <v>20</v>
      </c>
      <c r="R989" s="6"/>
      <c r="S989" s="6"/>
    </row>
    <row r="990">
      <c r="A990" s="15">
        <v>46322.0</v>
      </c>
      <c r="B990" s="8" t="str">
        <f t="shared" si="3"/>
        <v>217079</v>
      </c>
      <c r="C990" s="168" t="s">
        <v>803</v>
      </c>
      <c r="D990" s="168" t="s">
        <v>32</v>
      </c>
      <c r="E990" s="169">
        <v>0.2</v>
      </c>
      <c r="F990" s="12" t="s">
        <v>18</v>
      </c>
      <c r="G990" s="12">
        <v>52.51</v>
      </c>
      <c r="H990" s="12">
        <v>42.3</v>
      </c>
      <c r="I990" s="12">
        <v>155.86</v>
      </c>
      <c r="J990" s="12">
        <v>155.89</v>
      </c>
      <c r="K990" s="12" t="s">
        <v>107</v>
      </c>
      <c r="L990" s="12">
        <v>52.37</v>
      </c>
      <c r="M990" s="12">
        <v>41.94</v>
      </c>
      <c r="N990" s="12">
        <v>155.55</v>
      </c>
      <c r="O990" s="12">
        <v>155.25</v>
      </c>
      <c r="P990" s="8"/>
      <c r="Q990" s="12" t="s">
        <v>90</v>
      </c>
      <c r="R990" s="6"/>
      <c r="S990" s="6"/>
    </row>
    <row r="991">
      <c r="A991" s="15">
        <v>46322.0</v>
      </c>
      <c r="B991" s="8" t="str">
        <f t="shared" si="3"/>
        <v>241120</v>
      </c>
      <c r="C991" s="168" t="s">
        <v>762</v>
      </c>
      <c r="D991" s="168" t="s">
        <v>32</v>
      </c>
      <c r="E991" s="169">
        <v>0.2308</v>
      </c>
      <c r="F991" s="12" t="s">
        <v>18</v>
      </c>
      <c r="G991" s="12">
        <v>55.49</v>
      </c>
      <c r="H991" s="12">
        <v>38.8</v>
      </c>
      <c r="I991" s="12">
        <v>161.8</v>
      </c>
      <c r="J991" s="12">
        <v>161.65</v>
      </c>
      <c r="K991" s="12" t="s">
        <v>107</v>
      </c>
      <c r="L991" s="12">
        <v>55.1</v>
      </c>
      <c r="M991" s="12">
        <v>38.7</v>
      </c>
      <c r="N991" s="12">
        <v>161.63</v>
      </c>
      <c r="O991" s="12">
        <v>160.89</v>
      </c>
      <c r="P991" s="8"/>
      <c r="Q991" s="12" t="s">
        <v>90</v>
      </c>
      <c r="R991" s="6"/>
      <c r="S991" s="6"/>
    </row>
    <row r="992">
      <c r="A992" s="15">
        <v>46322.0</v>
      </c>
      <c r="B992" s="8" t="str">
        <f t="shared" si="3"/>
        <v>241210</v>
      </c>
      <c r="C992" s="168" t="s">
        <v>804</v>
      </c>
      <c r="D992" s="168" t="s">
        <v>32</v>
      </c>
      <c r="E992" s="169">
        <v>0.0395</v>
      </c>
      <c r="F992" s="12" t="s">
        <v>18</v>
      </c>
      <c r="G992" s="12">
        <v>50.18</v>
      </c>
      <c r="H992" s="12">
        <v>39.4</v>
      </c>
      <c r="I992" s="12">
        <v>149.52</v>
      </c>
      <c r="J992" s="12">
        <v>149.31</v>
      </c>
      <c r="K992" s="12" t="s">
        <v>107</v>
      </c>
      <c r="L992" s="12">
        <v>50.11</v>
      </c>
      <c r="M992" s="12">
        <v>39.37</v>
      </c>
      <c r="N992" s="12">
        <v>149.34</v>
      </c>
      <c r="O992" s="12">
        <v>149.36</v>
      </c>
      <c r="P992" s="8"/>
      <c r="Q992" s="12" t="s">
        <v>90</v>
      </c>
      <c r="R992" s="6"/>
      <c r="S992" s="6"/>
    </row>
    <row r="993">
      <c r="A993" s="15">
        <v>46322.0</v>
      </c>
      <c r="B993" s="8" t="str">
        <f t="shared" si="3"/>
        <v>210433</v>
      </c>
      <c r="C993" s="168" t="s">
        <v>805</v>
      </c>
      <c r="D993" s="168" t="s">
        <v>32</v>
      </c>
      <c r="E993" s="169">
        <v>0.0882</v>
      </c>
      <c r="F993" s="12" t="s">
        <v>18</v>
      </c>
      <c r="G993" s="12">
        <v>52.6</v>
      </c>
      <c r="H993" s="12">
        <v>52.6</v>
      </c>
      <c r="I993" s="12">
        <v>148.19</v>
      </c>
      <c r="J993" s="12">
        <v>147.97</v>
      </c>
      <c r="K993" s="12" t="s">
        <v>107</v>
      </c>
      <c r="L993" s="12">
        <v>52.27</v>
      </c>
      <c r="M993" s="12">
        <v>34.94</v>
      </c>
      <c r="N993" s="12">
        <v>147.67</v>
      </c>
      <c r="O993" s="12">
        <v>147.67</v>
      </c>
      <c r="P993" s="8"/>
      <c r="Q993" s="12" t="s">
        <v>90</v>
      </c>
      <c r="R993" s="6"/>
      <c r="S993" s="6"/>
    </row>
    <row r="994">
      <c r="A994" s="15">
        <v>46322.0</v>
      </c>
      <c r="B994" s="8" t="str">
        <f t="shared" si="3"/>
        <v>217667</v>
      </c>
      <c r="C994" s="168" t="s">
        <v>806</v>
      </c>
      <c r="D994" s="168" t="s">
        <v>32</v>
      </c>
      <c r="E994" s="169">
        <v>0.0385</v>
      </c>
      <c r="F994" s="12" t="s">
        <v>18</v>
      </c>
      <c r="G994" s="12">
        <v>54.64</v>
      </c>
      <c r="H994" s="12">
        <v>42.5</v>
      </c>
      <c r="I994" s="12">
        <v>163.39</v>
      </c>
      <c r="J994" s="12">
        <v>163.12</v>
      </c>
      <c r="K994" s="12" t="s">
        <v>107</v>
      </c>
      <c r="L994" s="12">
        <v>54.64</v>
      </c>
      <c r="M994" s="12">
        <v>42.19</v>
      </c>
      <c r="N994" s="12">
        <v>162.89</v>
      </c>
      <c r="O994" s="12">
        <v>163.15</v>
      </c>
      <c r="P994" s="8"/>
      <c r="Q994" s="12" t="s">
        <v>90</v>
      </c>
      <c r="R994" s="6"/>
      <c r="S994" s="6"/>
    </row>
    <row r="995">
      <c r="A995" s="15">
        <v>46322.0</v>
      </c>
      <c r="B995" s="8" t="str">
        <f t="shared" si="3"/>
        <v>219532</v>
      </c>
      <c r="C995" s="168" t="s">
        <v>807</v>
      </c>
      <c r="D995" s="168" t="s">
        <v>32</v>
      </c>
      <c r="E995" s="169">
        <v>0.0612</v>
      </c>
      <c r="F995" s="12" t="s">
        <v>18</v>
      </c>
      <c r="G995" s="12">
        <v>56.31</v>
      </c>
      <c r="H995" s="12">
        <v>45.14</v>
      </c>
      <c r="I995" s="12">
        <v>169.17</v>
      </c>
      <c r="J995" s="12">
        <v>169.26</v>
      </c>
      <c r="K995" s="12" t="s">
        <v>107</v>
      </c>
      <c r="L995" s="12">
        <v>56.26</v>
      </c>
      <c r="M995" s="12">
        <v>44.99</v>
      </c>
      <c r="N995" s="12">
        <v>169.12</v>
      </c>
      <c r="O995" s="12">
        <v>169.12</v>
      </c>
      <c r="P995" s="8"/>
      <c r="Q995" s="12" t="s">
        <v>90</v>
      </c>
      <c r="R995" s="6"/>
      <c r="S995" s="6"/>
    </row>
    <row r="996">
      <c r="A996" s="15">
        <v>46322.0</v>
      </c>
      <c r="B996" s="8" t="str">
        <f t="shared" si="3"/>
        <v>224484</v>
      </c>
      <c r="C996" s="168" t="s">
        <v>808</v>
      </c>
      <c r="D996" s="168" t="s">
        <v>32</v>
      </c>
      <c r="E996" s="169">
        <v>0.0556</v>
      </c>
      <c r="F996" s="12" t="s">
        <v>18</v>
      </c>
      <c r="G996" s="12">
        <v>53.5</v>
      </c>
      <c r="H996" s="12">
        <v>41.89</v>
      </c>
      <c r="I996" s="12">
        <v>159.96</v>
      </c>
      <c r="J996" s="12">
        <v>160.1</v>
      </c>
      <c r="K996" s="12" t="s">
        <v>107</v>
      </c>
      <c r="L996" s="12">
        <v>53.44</v>
      </c>
      <c r="M996" s="12">
        <v>41.82</v>
      </c>
      <c r="N996" s="12">
        <v>160.01</v>
      </c>
      <c r="O996" s="12">
        <v>160.01</v>
      </c>
      <c r="P996" s="8"/>
      <c r="Q996" s="12" t="s">
        <v>90</v>
      </c>
      <c r="R996" s="6"/>
      <c r="S996" s="6"/>
    </row>
    <row r="997">
      <c r="A997" s="15">
        <v>46322.0</v>
      </c>
      <c r="B997" s="8" t="str">
        <f t="shared" si="3"/>
        <v>239999</v>
      </c>
      <c r="C997" s="168" t="s">
        <v>582</v>
      </c>
      <c r="D997" s="168" t="s">
        <v>124</v>
      </c>
      <c r="E997" s="169">
        <v>0.5</v>
      </c>
      <c r="F997" s="12" t="s">
        <v>18</v>
      </c>
      <c r="G997" s="12">
        <v>56.32</v>
      </c>
      <c r="H997" s="12">
        <v>45.08</v>
      </c>
      <c r="I997" s="12">
        <v>169.89</v>
      </c>
      <c r="J997" s="12">
        <v>169.89</v>
      </c>
      <c r="K997" s="12" t="s">
        <v>107</v>
      </c>
      <c r="L997" s="12">
        <v>56.26</v>
      </c>
      <c r="M997" s="12">
        <v>45.03</v>
      </c>
      <c r="N997" s="12">
        <v>169.23</v>
      </c>
      <c r="O997" s="12">
        <v>169.23</v>
      </c>
      <c r="P997" s="8"/>
      <c r="Q997" s="12" t="s">
        <v>90</v>
      </c>
      <c r="R997" s="6"/>
      <c r="S997" s="6"/>
    </row>
    <row r="998">
      <c r="A998" s="15">
        <v>46322.0</v>
      </c>
      <c r="B998" s="8" t="str">
        <f t="shared" si="3"/>
        <v>241187</v>
      </c>
      <c r="C998" s="168" t="s">
        <v>247</v>
      </c>
      <c r="D998" s="168" t="s">
        <v>32</v>
      </c>
      <c r="E998" s="169">
        <v>0.2727</v>
      </c>
      <c r="F998" s="12" t="s">
        <v>18</v>
      </c>
      <c r="G998" s="12">
        <v>49.98</v>
      </c>
      <c r="H998" s="12">
        <v>39.35</v>
      </c>
      <c r="I998" s="12">
        <v>149.07</v>
      </c>
      <c r="J998" s="12">
        <v>149.07</v>
      </c>
      <c r="K998" s="12" t="s">
        <v>107</v>
      </c>
      <c r="L998" s="12">
        <v>49.86</v>
      </c>
      <c r="M998" s="12">
        <v>39.25</v>
      </c>
      <c r="N998" s="12">
        <v>148.7</v>
      </c>
      <c r="O998" s="12">
        <v>148.7</v>
      </c>
      <c r="P998" s="8"/>
      <c r="Q998" s="12" t="s">
        <v>90</v>
      </c>
      <c r="R998" s="6"/>
      <c r="S998" s="6"/>
    </row>
    <row r="999">
      <c r="A999" s="15">
        <v>46322.0</v>
      </c>
      <c r="B999" s="8" t="str">
        <f t="shared" si="3"/>
        <v>241187</v>
      </c>
      <c r="C999" s="168" t="s">
        <v>278</v>
      </c>
      <c r="D999" s="168" t="s">
        <v>32</v>
      </c>
      <c r="E999" s="170">
        <v>0.08</v>
      </c>
      <c r="F999" s="12" t="s">
        <v>18</v>
      </c>
      <c r="G999" s="12">
        <v>50.0</v>
      </c>
      <c r="H999" s="12">
        <v>39.3</v>
      </c>
      <c r="I999" s="12">
        <v>149.07</v>
      </c>
      <c r="J999" s="12">
        <v>149.07</v>
      </c>
      <c r="K999" s="12" t="s">
        <v>107</v>
      </c>
      <c r="L999" s="12">
        <v>49.9</v>
      </c>
      <c r="M999" s="12">
        <v>39.25</v>
      </c>
      <c r="N999" s="12">
        <v>148.71</v>
      </c>
      <c r="O999" s="12">
        <v>148.71</v>
      </c>
      <c r="P999" s="8"/>
      <c r="Q999" s="12" t="s">
        <v>90</v>
      </c>
      <c r="R999" s="6"/>
      <c r="S999" s="6"/>
    </row>
    <row r="1000">
      <c r="A1000" s="15">
        <v>46323.0</v>
      </c>
      <c r="B1000" s="8" t="str">
        <f t="shared" si="3"/>
        <v>254869</v>
      </c>
      <c r="C1000" s="10" t="s">
        <v>798</v>
      </c>
      <c r="D1000" s="10" t="s">
        <v>809</v>
      </c>
      <c r="E1000" s="9"/>
      <c r="F1000" s="12" t="s">
        <v>18</v>
      </c>
      <c r="G1000" s="12">
        <v>50.6</v>
      </c>
      <c r="H1000" s="12">
        <v>39.86</v>
      </c>
      <c r="I1000" s="12">
        <v>152.42</v>
      </c>
      <c r="J1000" s="12">
        <v>152.42</v>
      </c>
      <c r="K1000" s="12" t="s">
        <v>19</v>
      </c>
      <c r="L1000" s="12">
        <v>50.7</v>
      </c>
      <c r="M1000" s="12">
        <v>39.99</v>
      </c>
      <c r="N1000" s="12">
        <v>152.71</v>
      </c>
      <c r="O1000" s="12">
        <v>153.0</v>
      </c>
      <c r="P1000" s="8"/>
      <c r="Q1000" s="8"/>
      <c r="R1000" s="6"/>
      <c r="S1000" s="6"/>
    </row>
    <row r="1001">
      <c r="A1001" s="15">
        <v>46323.0</v>
      </c>
      <c r="B1001" s="8" t="str">
        <f t="shared" si="3"/>
        <v>216712</v>
      </c>
      <c r="C1001" s="10" t="s">
        <v>810</v>
      </c>
      <c r="D1001" s="10" t="s">
        <v>809</v>
      </c>
      <c r="E1001" s="9"/>
      <c r="F1001" s="12" t="s">
        <v>18</v>
      </c>
      <c r="G1001" s="12">
        <v>50.89</v>
      </c>
      <c r="H1001" s="12">
        <v>43.2</v>
      </c>
      <c r="I1001" s="12">
        <v>153.96</v>
      </c>
      <c r="J1001" s="12">
        <v>153.96</v>
      </c>
      <c r="K1001" s="12" t="s">
        <v>19</v>
      </c>
      <c r="L1001" s="12">
        <v>51.05</v>
      </c>
      <c r="M1001" s="12">
        <v>43.42</v>
      </c>
      <c r="N1001" s="141">
        <v>155.09</v>
      </c>
      <c r="O1001" s="12">
        <v>155.09</v>
      </c>
      <c r="P1001" s="8"/>
      <c r="Q1001" s="8"/>
      <c r="R1001" s="6"/>
      <c r="S1001" s="6"/>
    </row>
    <row r="1002">
      <c r="A1002" s="15">
        <v>46323.0</v>
      </c>
      <c r="B1002" s="8" t="str">
        <f t="shared" si="3"/>
        <v>240335</v>
      </c>
      <c r="C1002" s="10" t="s">
        <v>811</v>
      </c>
      <c r="D1002" s="10" t="s">
        <v>809</v>
      </c>
      <c r="E1002" s="9"/>
      <c r="F1002" s="12" t="s">
        <v>18</v>
      </c>
      <c r="G1002" s="12">
        <v>51.93</v>
      </c>
      <c r="H1002" s="12">
        <v>43.46</v>
      </c>
      <c r="I1002" s="12">
        <v>154.72</v>
      </c>
      <c r="J1002" s="12">
        <v>154.72</v>
      </c>
      <c r="K1002" s="12" t="s">
        <v>19</v>
      </c>
      <c r="L1002" s="12">
        <v>52.05</v>
      </c>
      <c r="M1002" s="12">
        <v>43.32</v>
      </c>
      <c r="N1002" s="12">
        <v>154.75</v>
      </c>
      <c r="O1002" s="12">
        <v>154.75</v>
      </c>
      <c r="P1002" s="8"/>
      <c r="Q1002" s="8"/>
      <c r="R1002" s="6"/>
      <c r="S1002" s="6"/>
    </row>
    <row r="1003">
      <c r="A1003" s="15">
        <v>46323.0</v>
      </c>
      <c r="B1003" s="8" t="str">
        <f t="shared" si="3"/>
        <v>241836</v>
      </c>
      <c r="C1003" s="10" t="s">
        <v>812</v>
      </c>
      <c r="D1003" s="10" t="s">
        <v>809</v>
      </c>
      <c r="E1003" s="9"/>
      <c r="F1003" s="12" t="s">
        <v>18</v>
      </c>
      <c r="G1003" s="12">
        <v>47.85</v>
      </c>
      <c r="H1003" s="12">
        <v>44.28</v>
      </c>
      <c r="I1003" s="12">
        <v>146.26</v>
      </c>
      <c r="J1003" s="12">
        <v>146.26</v>
      </c>
      <c r="K1003" s="12" t="s">
        <v>19</v>
      </c>
      <c r="L1003" s="12">
        <v>48.03</v>
      </c>
      <c r="M1003" s="12">
        <v>44.4</v>
      </c>
      <c r="N1003" s="12">
        <v>146.8</v>
      </c>
      <c r="O1003" s="12">
        <v>146.8</v>
      </c>
      <c r="P1003" s="8"/>
      <c r="Q1003" s="8"/>
      <c r="R1003" s="6"/>
      <c r="S1003" s="6"/>
    </row>
    <row r="1004">
      <c r="A1004" s="15">
        <v>46323.0</v>
      </c>
      <c r="B1004" s="8" t="str">
        <f t="shared" si="3"/>
        <v>241100</v>
      </c>
      <c r="C1004" s="10" t="s">
        <v>813</v>
      </c>
      <c r="D1004" s="10" t="s">
        <v>809</v>
      </c>
      <c r="E1004" s="9"/>
      <c r="F1004" s="12" t="s">
        <v>18</v>
      </c>
      <c r="G1004" s="12">
        <v>54.23</v>
      </c>
      <c r="H1004" s="12">
        <v>49.72</v>
      </c>
      <c r="I1004" s="12">
        <v>161.55</v>
      </c>
      <c r="J1004" s="12">
        <v>161.55</v>
      </c>
      <c r="K1004" s="12" t="s">
        <v>19</v>
      </c>
      <c r="L1004" s="12">
        <v>54.54</v>
      </c>
      <c r="M1004" s="12">
        <v>42.93</v>
      </c>
      <c r="N1004" s="12">
        <v>161.59</v>
      </c>
      <c r="O1004" s="12">
        <v>161.59</v>
      </c>
      <c r="P1004" s="8"/>
      <c r="Q1004" s="8"/>
      <c r="R1004" s="6"/>
      <c r="S1004" s="6"/>
    </row>
    <row r="1005">
      <c r="A1005" s="15">
        <v>46323.88260094907</v>
      </c>
      <c r="B1005" s="8" t="str">
        <f t="shared" si="3"/>
        <v>234769</v>
      </c>
      <c r="C1005" s="10" t="s">
        <v>792</v>
      </c>
      <c r="D1005" s="10" t="s">
        <v>17</v>
      </c>
      <c r="E1005" s="9"/>
      <c r="F1005" s="12" t="s">
        <v>18</v>
      </c>
      <c r="G1005" s="12">
        <v>54.92</v>
      </c>
      <c r="H1005" s="12">
        <v>39.07</v>
      </c>
      <c r="I1005" s="12">
        <v>160.07</v>
      </c>
      <c r="J1005" s="12">
        <v>160.07</v>
      </c>
      <c r="K1005" s="12" t="s">
        <v>19</v>
      </c>
      <c r="L1005" s="12">
        <v>55.79</v>
      </c>
      <c r="M1005" s="12">
        <v>39.82</v>
      </c>
      <c r="N1005" s="12">
        <v>162.47</v>
      </c>
      <c r="O1005" s="12">
        <v>162.46</v>
      </c>
      <c r="P1005" s="12" t="s">
        <v>77</v>
      </c>
      <c r="Q1005" s="12" t="s">
        <v>687</v>
      </c>
      <c r="R1005" s="6"/>
      <c r="S1005" s="6"/>
    </row>
    <row r="1006">
      <c r="A1006" s="15">
        <v>46324.30672083334</v>
      </c>
      <c r="B1006" s="8" t="str">
        <f t="shared" si="3"/>
        <v>241855</v>
      </c>
      <c r="C1006" s="10" t="s">
        <v>814</v>
      </c>
      <c r="D1006" s="10" t="s">
        <v>809</v>
      </c>
      <c r="E1006" s="9"/>
      <c r="F1006" s="12" t="s">
        <v>18</v>
      </c>
      <c r="G1006" s="12">
        <v>50.7</v>
      </c>
      <c r="H1006" s="12">
        <v>40.04</v>
      </c>
      <c r="I1006" s="12">
        <v>152.82</v>
      </c>
      <c r="J1006" s="12">
        <v>153.19</v>
      </c>
      <c r="K1006" s="12" t="s">
        <v>19</v>
      </c>
      <c r="L1006" s="12">
        <v>50.75</v>
      </c>
      <c r="M1006" s="12">
        <v>40.09</v>
      </c>
      <c r="N1006" s="12">
        <v>152.8</v>
      </c>
      <c r="O1006" s="12">
        <v>153.19</v>
      </c>
      <c r="P1006" s="8"/>
      <c r="Q1006" s="8"/>
      <c r="R1006" s="6"/>
      <c r="S1006" s="6"/>
    </row>
    <row r="1007">
      <c r="A1007" s="8"/>
      <c r="B1007" s="8" t="str">
        <f t="shared" si="3"/>
        <v>236141</v>
      </c>
      <c r="C1007" s="166" t="s">
        <v>763</v>
      </c>
      <c r="D1007" s="10" t="s">
        <v>809</v>
      </c>
      <c r="E1007" s="9"/>
      <c r="F1007" s="12" t="s">
        <v>18</v>
      </c>
      <c r="G1007" s="8"/>
      <c r="H1007" s="8"/>
      <c r="I1007" s="8"/>
      <c r="J1007" s="8"/>
      <c r="K1007" s="8"/>
      <c r="L1007" s="12">
        <v>53.9</v>
      </c>
      <c r="M1007" s="12">
        <v>41.96</v>
      </c>
      <c r="N1007" s="12">
        <v>158.83</v>
      </c>
      <c r="O1007" s="8"/>
      <c r="P1007" s="8"/>
      <c r="Q1007" s="8"/>
      <c r="R1007" s="6"/>
      <c r="S1007" s="6"/>
    </row>
    <row r="1008">
      <c r="A1008" s="8"/>
      <c r="B1008" s="8" t="str">
        <f t="shared" si="3"/>
        <v>241855</v>
      </c>
      <c r="C1008" s="123" t="s">
        <v>815</v>
      </c>
      <c r="D1008" s="10" t="s">
        <v>809</v>
      </c>
      <c r="E1008" s="9"/>
      <c r="F1008" s="12" t="s">
        <v>18</v>
      </c>
      <c r="G1008" s="12">
        <v>50.7</v>
      </c>
      <c r="H1008" s="12">
        <v>40.04</v>
      </c>
      <c r="I1008" s="12">
        <v>152.82</v>
      </c>
      <c r="J1008" s="12">
        <v>153.19</v>
      </c>
      <c r="K1008" s="8"/>
      <c r="L1008" s="12">
        <v>50.75</v>
      </c>
      <c r="M1008" s="12">
        <v>40.09</v>
      </c>
      <c r="N1008" s="12">
        <v>152.8</v>
      </c>
      <c r="O1008" s="12">
        <v>153.19</v>
      </c>
      <c r="P1008" s="8"/>
      <c r="Q1008" s="12" t="s">
        <v>20</v>
      </c>
      <c r="R1008" s="6"/>
      <c r="S1008" s="6"/>
    </row>
    <row r="1009">
      <c r="A1009" s="15">
        <v>46324.544761701385</v>
      </c>
      <c r="B1009" s="8" t="str">
        <f t="shared" si="3"/>
        <v>219823</v>
      </c>
      <c r="C1009" s="171" t="s">
        <v>776</v>
      </c>
      <c r="D1009" s="172" t="s">
        <v>32</v>
      </c>
      <c r="E1009" s="173">
        <v>0.1149</v>
      </c>
      <c r="F1009" s="12" t="s">
        <v>18</v>
      </c>
      <c r="G1009" s="12">
        <v>53.74</v>
      </c>
      <c r="H1009" s="12">
        <v>41.73</v>
      </c>
      <c r="I1009" s="12">
        <v>159.0</v>
      </c>
      <c r="J1009" s="12">
        <v>159.63</v>
      </c>
      <c r="K1009" s="12" t="s">
        <v>107</v>
      </c>
      <c r="L1009" s="12">
        <v>53.54</v>
      </c>
      <c r="M1009" s="12">
        <v>41.53</v>
      </c>
      <c r="N1009" s="12">
        <v>158.28</v>
      </c>
      <c r="O1009" s="12">
        <v>158.86</v>
      </c>
      <c r="P1009" s="8"/>
      <c r="Q1009" s="12" t="s">
        <v>20</v>
      </c>
      <c r="R1009" s="6"/>
      <c r="S1009" s="6"/>
    </row>
    <row r="1010">
      <c r="A1010" s="15">
        <v>46324.544781805555</v>
      </c>
      <c r="B1010" s="8" t="str">
        <f t="shared" si="3"/>
        <v>241839</v>
      </c>
      <c r="C1010" s="171" t="s">
        <v>816</v>
      </c>
      <c r="D1010" s="172" t="s">
        <v>32</v>
      </c>
      <c r="E1010" s="173">
        <v>0.125</v>
      </c>
      <c r="F1010" s="12" t="s">
        <v>18</v>
      </c>
      <c r="G1010" s="12">
        <v>50.66</v>
      </c>
      <c r="H1010" s="12">
        <v>42.62</v>
      </c>
      <c r="I1010" s="12">
        <v>153.0</v>
      </c>
      <c r="J1010" s="12">
        <v>153.05</v>
      </c>
      <c r="K1010" s="12" t="s">
        <v>107</v>
      </c>
      <c r="L1010" s="12">
        <v>50.46</v>
      </c>
      <c r="M1010" s="12">
        <v>42.41</v>
      </c>
      <c r="N1010" s="12">
        <v>152.4</v>
      </c>
      <c r="O1010" s="12">
        <v>152.38</v>
      </c>
      <c r="P1010" s="8"/>
      <c r="Q1010" s="12" t="s">
        <v>20</v>
      </c>
      <c r="R1010" s="6"/>
      <c r="S1010" s="6"/>
    </row>
    <row r="1011">
      <c r="A1011" s="8"/>
      <c r="B1011" s="8" t="str">
        <f t="shared" si="3"/>
        <v>219826</v>
      </c>
      <c r="C1011" s="172" t="s">
        <v>817</v>
      </c>
      <c r="D1011" s="172" t="s">
        <v>32</v>
      </c>
      <c r="E1011" s="173">
        <v>0.0288</v>
      </c>
      <c r="F1011" s="12" t="s">
        <v>18</v>
      </c>
      <c r="G1011" s="172">
        <v>53.83</v>
      </c>
      <c r="H1011" s="12">
        <v>41.58</v>
      </c>
      <c r="I1011" s="12">
        <v>159.41</v>
      </c>
      <c r="J1011" s="12">
        <v>159.32</v>
      </c>
      <c r="K1011" s="12" t="s">
        <v>107</v>
      </c>
      <c r="L1011" s="12">
        <v>53.63</v>
      </c>
      <c r="M1011" s="12">
        <v>41.38</v>
      </c>
      <c r="N1011" s="12">
        <v>158.52</v>
      </c>
      <c r="O1011" s="12">
        <v>158.52</v>
      </c>
      <c r="P1011" s="8"/>
      <c r="Q1011" s="12" t="s">
        <v>20</v>
      </c>
      <c r="R1011" s="6"/>
      <c r="S1011" s="6"/>
    </row>
    <row r="1012">
      <c r="A1012" s="8"/>
      <c r="B1012" s="8" t="str">
        <f t="shared" si="3"/>
        <v>242632</v>
      </c>
      <c r="C1012" s="172" t="s">
        <v>757</v>
      </c>
      <c r="D1012" s="172" t="s">
        <v>17</v>
      </c>
      <c r="E1012" s="173">
        <v>0.5</v>
      </c>
      <c r="F1012" s="12" t="s">
        <v>18</v>
      </c>
      <c r="G1012" s="12">
        <v>50.4</v>
      </c>
      <c r="H1012" s="12">
        <v>39.76</v>
      </c>
      <c r="I1012" s="12">
        <v>151.84</v>
      </c>
      <c r="J1012" s="12">
        <v>152.04</v>
      </c>
      <c r="K1012" s="12" t="s">
        <v>107</v>
      </c>
      <c r="L1012" s="12">
        <v>50.7</v>
      </c>
      <c r="M1012" s="12">
        <v>39.91</v>
      </c>
      <c r="N1012" s="12">
        <v>152.59</v>
      </c>
      <c r="O1012" s="12">
        <v>153.02</v>
      </c>
      <c r="P1012" s="8"/>
      <c r="Q1012" s="12" t="s">
        <v>20</v>
      </c>
      <c r="R1012" s="6"/>
      <c r="S1012" s="6"/>
    </row>
    <row r="1013">
      <c r="A1013" s="8"/>
      <c r="B1013" s="8" t="str">
        <f t="shared" si="3"/>
        <v>242632</v>
      </c>
      <c r="C1013" s="172" t="s">
        <v>793</v>
      </c>
      <c r="D1013" s="172" t="s">
        <v>17</v>
      </c>
      <c r="E1013" s="173">
        <v>0.2143</v>
      </c>
      <c r="F1013" s="12" t="s">
        <v>18</v>
      </c>
      <c r="G1013" s="12">
        <v>50.67</v>
      </c>
      <c r="H1013" s="12">
        <v>40.08</v>
      </c>
      <c r="I1013" s="12">
        <v>152.86</v>
      </c>
      <c r="J1013" s="12">
        <v>153.5</v>
      </c>
      <c r="K1013" s="12" t="s">
        <v>107</v>
      </c>
      <c r="L1013" s="12">
        <v>50.88</v>
      </c>
      <c r="M1013" s="12">
        <v>40.3</v>
      </c>
      <c r="N1013" s="12">
        <v>153.56</v>
      </c>
      <c r="O1013" s="12">
        <v>154.53</v>
      </c>
      <c r="P1013" s="8"/>
      <c r="Q1013" s="12" t="s">
        <v>20</v>
      </c>
      <c r="R1013" s="6"/>
      <c r="S1013" s="6"/>
    </row>
    <row r="1014">
      <c r="A1014" s="8"/>
      <c r="B1014" s="8" t="str">
        <f t="shared" si="3"/>
        <v>234791</v>
      </c>
      <c r="C1014" s="172" t="s">
        <v>818</v>
      </c>
      <c r="D1014" s="172" t="s">
        <v>32</v>
      </c>
      <c r="E1014" s="173">
        <v>0.0833</v>
      </c>
      <c r="F1014" s="12" t="s">
        <v>18</v>
      </c>
      <c r="G1014" s="12">
        <v>49.97</v>
      </c>
      <c r="H1014" s="12">
        <v>42.42</v>
      </c>
      <c r="I1014" s="12">
        <v>149.68</v>
      </c>
      <c r="J1014" s="12">
        <v>149.84</v>
      </c>
      <c r="K1014" s="12" t="s">
        <v>107</v>
      </c>
      <c r="L1014" s="12">
        <v>49.77</v>
      </c>
      <c r="M1014" s="12">
        <v>42.22</v>
      </c>
      <c r="N1014" s="12">
        <v>148.94</v>
      </c>
      <c r="O1014" s="12">
        <v>148.94</v>
      </c>
      <c r="P1014" s="8"/>
      <c r="Q1014" s="12" t="s">
        <v>20</v>
      </c>
      <c r="R1014" s="6"/>
      <c r="S1014" s="6"/>
    </row>
    <row r="1015">
      <c r="A1015" s="8"/>
      <c r="B1015" s="8" t="str">
        <f t="shared" si="3"/>
        <v>207551</v>
      </c>
      <c r="C1015" s="172" t="s">
        <v>819</v>
      </c>
      <c r="D1015" s="172" t="s">
        <v>32</v>
      </c>
      <c r="E1015" s="173">
        <v>0.0833</v>
      </c>
      <c r="F1015" s="12" t="s">
        <v>18</v>
      </c>
      <c r="G1015" s="12">
        <v>57.16</v>
      </c>
      <c r="H1015" s="12">
        <v>37.39</v>
      </c>
      <c r="I1015" s="12">
        <v>160.26</v>
      </c>
      <c r="J1015" s="12">
        <v>160.26</v>
      </c>
      <c r="K1015" s="12" t="s">
        <v>107</v>
      </c>
      <c r="L1015" s="12">
        <v>56.9</v>
      </c>
      <c r="M1015" s="12">
        <v>37.19</v>
      </c>
      <c r="N1015" s="12">
        <v>159.51</v>
      </c>
      <c r="O1015" s="12">
        <v>159.63</v>
      </c>
      <c r="P1015" s="8"/>
      <c r="Q1015" s="12" t="s">
        <v>20</v>
      </c>
      <c r="R1015" s="6"/>
      <c r="S1015" s="6"/>
    </row>
    <row r="1016">
      <c r="A1016" s="8"/>
      <c r="B1016" s="8" t="str">
        <f t="shared" si="3"/>
        <v>241117</v>
      </c>
      <c r="C1016" s="172" t="s">
        <v>820</v>
      </c>
      <c r="D1016" s="172" t="s">
        <v>32</v>
      </c>
      <c r="E1016" s="173">
        <v>0.1176</v>
      </c>
      <c r="F1016" s="12" t="s">
        <v>18</v>
      </c>
      <c r="G1016" s="12">
        <v>54.57</v>
      </c>
      <c r="H1016" s="12">
        <v>36.33</v>
      </c>
      <c r="I1016" s="12">
        <v>154.64</v>
      </c>
      <c r="J1016" s="12">
        <v>154.4</v>
      </c>
      <c r="K1016" s="12" t="s">
        <v>107</v>
      </c>
      <c r="L1016" s="12">
        <v>54.36</v>
      </c>
      <c r="M1016" s="12">
        <v>36.14</v>
      </c>
      <c r="N1016" s="12">
        <v>153.95</v>
      </c>
      <c r="O1016" s="12">
        <v>153.9</v>
      </c>
      <c r="P1016" s="8"/>
      <c r="Q1016" s="12" t="s">
        <v>20</v>
      </c>
      <c r="R1016" s="6"/>
      <c r="S1016" s="6"/>
    </row>
    <row r="1017">
      <c r="A1017" s="8"/>
      <c r="B1017" s="8" t="str">
        <f t="shared" si="3"/>
        <v>241119</v>
      </c>
      <c r="C1017" s="172" t="s">
        <v>735</v>
      </c>
      <c r="D1017" s="172" t="s">
        <v>402</v>
      </c>
      <c r="E1017" s="173">
        <v>0.0857</v>
      </c>
      <c r="F1017" s="12" t="s">
        <v>18</v>
      </c>
      <c r="G1017" s="156"/>
      <c r="H1017" s="12"/>
      <c r="I1017" s="12"/>
      <c r="J1017" s="12"/>
      <c r="K1017" s="12" t="s">
        <v>107</v>
      </c>
      <c r="L1017" s="8"/>
      <c r="M1017" s="8"/>
      <c r="N1017" s="8"/>
      <c r="O1017" s="8"/>
      <c r="P1017" s="8"/>
      <c r="Q1017" s="12" t="s">
        <v>20</v>
      </c>
      <c r="R1017" s="6"/>
      <c r="S1017" s="6"/>
    </row>
    <row r="1018">
      <c r="A1018" s="8"/>
      <c r="B1018" s="8" t="str">
        <f t="shared" si="3"/>
        <v>222262</v>
      </c>
      <c r="C1018" s="171" t="s">
        <v>773</v>
      </c>
      <c r="D1018" s="172" t="s">
        <v>32</v>
      </c>
      <c r="E1018" s="173">
        <v>0.2222</v>
      </c>
      <c r="F1018" s="12" t="s">
        <v>18</v>
      </c>
      <c r="G1018" s="12">
        <v>53.45</v>
      </c>
      <c r="H1018" s="12">
        <v>45.1</v>
      </c>
      <c r="I1018" s="12">
        <v>162.19</v>
      </c>
      <c r="J1018" s="12">
        <v>162.26</v>
      </c>
      <c r="K1018" s="12" t="s">
        <v>107</v>
      </c>
      <c r="L1018" s="12">
        <v>53.25</v>
      </c>
      <c r="M1018" s="12">
        <v>44.81</v>
      </c>
      <c r="N1018" s="12">
        <v>161.34</v>
      </c>
      <c r="O1018" s="12">
        <v>161.43</v>
      </c>
      <c r="P1018" s="8"/>
      <c r="Q1018" s="12" t="s">
        <v>20</v>
      </c>
      <c r="R1018" s="6"/>
      <c r="S1018" s="6"/>
    </row>
    <row r="1019">
      <c r="A1019" s="8"/>
      <c r="B1019" s="8" t="str">
        <f t="shared" si="3"/>
        <v>245915</v>
      </c>
      <c r="C1019" s="171" t="s">
        <v>789</v>
      </c>
      <c r="D1019" s="172" t="s">
        <v>32</v>
      </c>
      <c r="E1019" s="173">
        <v>0.099</v>
      </c>
      <c r="F1019" s="12" t="s">
        <v>18</v>
      </c>
      <c r="G1019" s="8"/>
      <c r="H1019" s="8"/>
      <c r="I1019" s="8"/>
      <c r="J1019" s="8"/>
      <c r="K1019" s="12" t="s">
        <v>107</v>
      </c>
      <c r="L1019" s="8"/>
      <c r="M1019" s="8"/>
      <c r="N1019" s="8"/>
      <c r="O1019" s="8"/>
      <c r="P1019" s="8"/>
      <c r="Q1019" s="8"/>
      <c r="R1019" s="6"/>
      <c r="S1019" s="6"/>
    </row>
    <row r="1020">
      <c r="A1020" s="8"/>
      <c r="B1020" s="8" t="str">
        <f t="shared" si="3"/>
        <v>218967</v>
      </c>
      <c r="C1020" s="171" t="s">
        <v>821</v>
      </c>
      <c r="D1020" s="172" t="s">
        <v>32</v>
      </c>
      <c r="E1020" s="173">
        <v>0.0909</v>
      </c>
      <c r="F1020" s="12" t="s">
        <v>18</v>
      </c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6"/>
      <c r="S1020" s="6"/>
    </row>
    <row r="1021">
      <c r="A1021" s="15">
        <v>46324.606228159726</v>
      </c>
      <c r="B1021" s="8" t="str">
        <f t="shared" si="3"/>
        <v>234806</v>
      </c>
      <c r="C1021" s="172" t="s">
        <v>822</v>
      </c>
      <c r="D1021" s="172" t="s">
        <v>17</v>
      </c>
      <c r="E1021" s="173">
        <v>0.6923</v>
      </c>
      <c r="F1021" s="12" t="s">
        <v>18</v>
      </c>
      <c r="G1021" s="12">
        <v>47.15</v>
      </c>
      <c r="H1021" s="12">
        <v>47.15</v>
      </c>
      <c r="I1021" s="12">
        <v>158.71</v>
      </c>
      <c r="J1021" s="12">
        <v>158.71</v>
      </c>
      <c r="K1021" s="12" t="s">
        <v>19</v>
      </c>
      <c r="L1021" s="12">
        <v>51.98</v>
      </c>
      <c r="M1021" s="12">
        <v>49.08</v>
      </c>
      <c r="N1021" s="12">
        <v>164.62</v>
      </c>
      <c r="O1021" s="12">
        <v>165.82</v>
      </c>
      <c r="P1021" s="8"/>
      <c r="Q1021" s="12" t="s">
        <v>20</v>
      </c>
      <c r="R1021" s="6"/>
      <c r="S1021" s="6"/>
    </row>
    <row r="1022">
      <c r="A1022" s="8"/>
      <c r="B1022" s="8" t="str">
        <f t="shared" si="3"/>
        <v>246908</v>
      </c>
      <c r="C1022" s="172" t="s">
        <v>791</v>
      </c>
      <c r="D1022" s="172" t="s">
        <v>32</v>
      </c>
      <c r="E1022" s="173">
        <v>0.5</v>
      </c>
      <c r="F1022" s="12" t="s">
        <v>18</v>
      </c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6"/>
      <c r="S1022" s="6"/>
    </row>
    <row r="1023">
      <c r="A1023" s="8"/>
      <c r="B1023" s="8" t="str">
        <f t="shared" si="3"/>
        <v>245914</v>
      </c>
      <c r="C1023" s="172" t="s">
        <v>329</v>
      </c>
      <c r="D1023" s="172" t="s">
        <v>32</v>
      </c>
      <c r="E1023" s="173">
        <v>0.0784</v>
      </c>
      <c r="F1023" s="12" t="s">
        <v>18</v>
      </c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6"/>
      <c r="S1023" s="6"/>
    </row>
    <row r="1024">
      <c r="A1024" s="15">
        <v>46324.50391042824</v>
      </c>
      <c r="B1024" s="8" t="str">
        <f t="shared" si="3"/>
        <v>150581</v>
      </c>
      <c r="C1024" s="12" t="s">
        <v>823</v>
      </c>
      <c r="D1024" s="156" t="s">
        <v>32</v>
      </c>
      <c r="E1024" s="9"/>
      <c r="F1024" s="12" t="s">
        <v>18</v>
      </c>
      <c r="G1024" s="12">
        <v>55.29</v>
      </c>
      <c r="H1024" s="12">
        <v>40.68</v>
      </c>
      <c r="I1024" s="12">
        <v>163.34</v>
      </c>
      <c r="J1024" s="12">
        <v>163.95</v>
      </c>
      <c r="K1024" s="12" t="s">
        <v>19</v>
      </c>
      <c r="L1024" s="12">
        <v>55.57</v>
      </c>
      <c r="M1024" s="12">
        <v>40.82</v>
      </c>
      <c r="N1024" s="12">
        <v>163.66</v>
      </c>
      <c r="O1024" s="12">
        <v>164.17</v>
      </c>
      <c r="P1024" s="156" t="s">
        <v>32</v>
      </c>
      <c r="Q1024" s="12" t="s">
        <v>20</v>
      </c>
      <c r="R1024" s="6"/>
      <c r="S1024" s="6"/>
    </row>
    <row r="1025">
      <c r="A1025" s="15">
        <v>46324.50392710648</v>
      </c>
      <c r="B1025" s="8" t="str">
        <f t="shared" si="3"/>
        <v>206828</v>
      </c>
      <c r="C1025" s="12" t="s">
        <v>824</v>
      </c>
      <c r="D1025" s="12" t="s">
        <v>17</v>
      </c>
      <c r="E1025" s="9"/>
      <c r="F1025" s="12" t="s">
        <v>18</v>
      </c>
      <c r="G1025" s="12">
        <v>51.08</v>
      </c>
      <c r="H1025" s="12">
        <v>43.26</v>
      </c>
      <c r="I1025" s="12">
        <v>154.8</v>
      </c>
      <c r="J1025" s="12">
        <v>154.69</v>
      </c>
      <c r="K1025" s="12" t="s">
        <v>19</v>
      </c>
      <c r="L1025" s="12">
        <v>51.08</v>
      </c>
      <c r="M1025" s="12">
        <v>43.27</v>
      </c>
      <c r="N1025" s="12">
        <v>154.76</v>
      </c>
      <c r="O1025" s="12">
        <v>154.9</v>
      </c>
      <c r="P1025" s="12" t="s">
        <v>17</v>
      </c>
      <c r="Q1025" s="12" t="s">
        <v>20</v>
      </c>
      <c r="R1025" s="6"/>
      <c r="S1025" s="6"/>
    </row>
    <row r="1026">
      <c r="A1026" s="15">
        <v>46324.50392710648</v>
      </c>
      <c r="B1026" s="8" t="str">
        <f t="shared" si="3"/>
        <v>206728</v>
      </c>
      <c r="C1026" s="12">
        <v>206728.0</v>
      </c>
      <c r="D1026" s="12" t="s">
        <v>32</v>
      </c>
      <c r="E1026" s="9"/>
      <c r="F1026" s="12" t="s">
        <v>18</v>
      </c>
      <c r="G1026" s="12">
        <v>52.11</v>
      </c>
      <c r="H1026" s="12">
        <v>36.2</v>
      </c>
      <c r="I1026" s="12">
        <v>150.84</v>
      </c>
      <c r="J1026" s="12">
        <v>150.84</v>
      </c>
      <c r="K1026" s="12" t="s">
        <v>19</v>
      </c>
      <c r="L1026" s="12">
        <v>50.89</v>
      </c>
      <c r="M1026" s="12">
        <v>34.99</v>
      </c>
      <c r="N1026" s="12">
        <v>147.01</v>
      </c>
      <c r="O1026" s="12">
        <v>147.01</v>
      </c>
      <c r="P1026" s="12" t="s">
        <v>32</v>
      </c>
      <c r="Q1026" s="12" t="s">
        <v>20</v>
      </c>
      <c r="R1026" s="6"/>
      <c r="S1026" s="6"/>
    </row>
    <row r="1027">
      <c r="A1027" s="15">
        <v>46324.50392710648</v>
      </c>
      <c r="B1027" s="8" t="str">
        <f t="shared" si="3"/>
        <v>221163</v>
      </c>
      <c r="C1027" s="12" t="s">
        <v>825</v>
      </c>
      <c r="D1027" s="12" t="s">
        <v>32</v>
      </c>
      <c r="E1027" s="9"/>
      <c r="F1027" s="12" t="s">
        <v>18</v>
      </c>
      <c r="G1027" s="12">
        <v>52.08</v>
      </c>
      <c r="H1027" s="12">
        <v>39.78</v>
      </c>
      <c r="I1027" s="12">
        <v>156.56</v>
      </c>
      <c r="J1027" s="12">
        <v>156.56</v>
      </c>
      <c r="K1027" s="12" t="s">
        <v>19</v>
      </c>
      <c r="L1027" s="12">
        <v>51.72</v>
      </c>
      <c r="M1027" s="12">
        <v>38.87</v>
      </c>
      <c r="N1027" s="12">
        <v>154.75</v>
      </c>
      <c r="O1027" s="12">
        <v>154.87</v>
      </c>
      <c r="P1027" s="12" t="s">
        <v>32</v>
      </c>
      <c r="Q1027" s="12" t="s">
        <v>20</v>
      </c>
      <c r="R1027" s="6"/>
      <c r="S1027" s="6"/>
    </row>
    <row r="1028">
      <c r="A1028" s="15">
        <v>46324.50392710648</v>
      </c>
      <c r="B1028" s="8" t="str">
        <f t="shared" si="3"/>
        <v>209756</v>
      </c>
      <c r="C1028" s="12" t="s">
        <v>826</v>
      </c>
      <c r="D1028" s="12" t="s">
        <v>32</v>
      </c>
      <c r="E1028" s="9"/>
      <c r="F1028" s="12" t="s">
        <v>18</v>
      </c>
      <c r="G1028" s="12">
        <v>53.5</v>
      </c>
      <c r="H1028" s="12">
        <v>38.57</v>
      </c>
      <c r="I1028" s="12">
        <v>154.7</v>
      </c>
      <c r="J1028" s="12">
        <v>154.66</v>
      </c>
      <c r="K1028" s="12" t="s">
        <v>19</v>
      </c>
      <c r="L1028" s="12">
        <v>53.73</v>
      </c>
      <c r="M1028" s="12">
        <v>38.52</v>
      </c>
      <c r="N1028" s="12">
        <v>154.86</v>
      </c>
      <c r="O1028" s="12">
        <v>155.0</v>
      </c>
      <c r="P1028" s="12" t="s">
        <v>32</v>
      </c>
      <c r="Q1028" s="12" t="s">
        <v>20</v>
      </c>
      <c r="R1028" s="6"/>
      <c r="S1028" s="6"/>
    </row>
    <row r="1029">
      <c r="A1029" s="15">
        <v>46324.50392710648</v>
      </c>
      <c r="B1029" s="8" t="str">
        <f t="shared" si="3"/>
        <v>247539</v>
      </c>
      <c r="C1029" s="12" t="s">
        <v>827</v>
      </c>
      <c r="D1029" s="12" t="s">
        <v>17</v>
      </c>
      <c r="E1029" s="9"/>
      <c r="F1029" s="12" t="s">
        <v>18</v>
      </c>
      <c r="G1029" s="12">
        <v>51.58</v>
      </c>
      <c r="H1029" s="12">
        <v>45.4</v>
      </c>
      <c r="I1029" s="12">
        <v>156.05</v>
      </c>
      <c r="J1029" s="12">
        <v>155.99</v>
      </c>
      <c r="K1029" s="12" t="s">
        <v>19</v>
      </c>
      <c r="L1029" s="12">
        <v>51.53</v>
      </c>
      <c r="M1029" s="12">
        <v>45.15</v>
      </c>
      <c r="N1029" s="12">
        <v>155.65</v>
      </c>
      <c r="O1029" s="12">
        <v>155.89</v>
      </c>
      <c r="P1029" s="12" t="s">
        <v>17</v>
      </c>
      <c r="Q1029" s="12" t="s">
        <v>20</v>
      </c>
      <c r="R1029" s="6"/>
      <c r="S1029" s="6"/>
    </row>
    <row r="1030">
      <c r="A1030" s="15">
        <v>46324.50392710648</v>
      </c>
      <c r="B1030" s="8" t="str">
        <f t="shared" si="3"/>
        <v>241099</v>
      </c>
      <c r="C1030" s="12" t="s">
        <v>828</v>
      </c>
      <c r="D1030" s="12" t="s">
        <v>32</v>
      </c>
      <c r="E1030" s="9"/>
      <c r="F1030" s="12" t="s">
        <v>18</v>
      </c>
      <c r="G1030" s="12">
        <v>53.98</v>
      </c>
      <c r="H1030" s="12">
        <v>42.73</v>
      </c>
      <c r="I1030" s="12">
        <v>160.76</v>
      </c>
      <c r="J1030" s="12">
        <v>160.76</v>
      </c>
      <c r="K1030" s="12" t="s">
        <v>19</v>
      </c>
      <c r="L1030" s="12">
        <v>53.39</v>
      </c>
      <c r="M1030" s="12">
        <v>42.53</v>
      </c>
      <c r="N1030" s="12">
        <v>159.95</v>
      </c>
      <c r="O1030" s="12">
        <v>160.25</v>
      </c>
      <c r="P1030" s="12" t="s">
        <v>32</v>
      </c>
      <c r="Q1030" s="12" t="s">
        <v>20</v>
      </c>
      <c r="R1030" s="6"/>
      <c r="S1030" s="6"/>
    </row>
    <row r="1031">
      <c r="A1031" s="15">
        <v>46324.50392710648</v>
      </c>
      <c r="B1031" s="8" t="str">
        <f t="shared" si="3"/>
        <v>212972</v>
      </c>
      <c r="C1031" s="12" t="s">
        <v>829</v>
      </c>
      <c r="D1031" s="12" t="s">
        <v>32</v>
      </c>
      <c r="E1031" s="9"/>
      <c r="F1031" s="12" t="s">
        <v>18</v>
      </c>
      <c r="G1031" s="12">
        <v>48.09</v>
      </c>
      <c r="H1031" s="12">
        <v>39.2</v>
      </c>
      <c r="I1031" s="12">
        <v>143.02</v>
      </c>
      <c r="J1031" s="12">
        <v>143.02</v>
      </c>
      <c r="K1031" s="12" t="s">
        <v>19</v>
      </c>
      <c r="L1031" s="12">
        <v>47.02</v>
      </c>
      <c r="M1031" s="12">
        <v>38.96</v>
      </c>
      <c r="N1031" s="12">
        <v>140.72</v>
      </c>
      <c r="O1031" s="12">
        <v>141.27</v>
      </c>
      <c r="P1031" s="12" t="s">
        <v>32</v>
      </c>
      <c r="Q1031" s="12" t="s">
        <v>20</v>
      </c>
      <c r="R1031" s="6"/>
      <c r="S1031" s="6"/>
    </row>
    <row r="1032">
      <c r="A1032" s="15">
        <v>46324.50392710648</v>
      </c>
      <c r="B1032" s="8" t="str">
        <f t="shared" si="3"/>
        <v>216712</v>
      </c>
      <c r="C1032" s="12" t="s">
        <v>830</v>
      </c>
      <c r="D1032" s="12" t="s">
        <v>17</v>
      </c>
      <c r="E1032" s="9"/>
      <c r="F1032" s="12" t="s">
        <v>18</v>
      </c>
      <c r="G1032" s="12">
        <v>51.05</v>
      </c>
      <c r="H1032" s="12">
        <v>43.42</v>
      </c>
      <c r="I1032" s="12">
        <v>155.09</v>
      </c>
      <c r="J1032" s="12">
        <v>155.09</v>
      </c>
      <c r="K1032" s="12" t="s">
        <v>19</v>
      </c>
      <c r="L1032" s="12">
        <v>51.12</v>
      </c>
      <c r="M1032" s="12">
        <v>43.36</v>
      </c>
      <c r="N1032" s="12">
        <v>155.01</v>
      </c>
      <c r="O1032" s="12">
        <v>154.49</v>
      </c>
      <c r="P1032" s="12" t="s">
        <v>17</v>
      </c>
      <c r="Q1032" s="12" t="s">
        <v>20</v>
      </c>
      <c r="R1032" s="6"/>
      <c r="S1032" s="6"/>
    </row>
    <row r="1033">
      <c r="A1033" s="15">
        <v>46324.50392710648</v>
      </c>
      <c r="B1033" s="8" t="str">
        <f t="shared" si="3"/>
        <v>241097</v>
      </c>
      <c r="C1033" s="12" t="s">
        <v>831</v>
      </c>
      <c r="D1033" s="12" t="s">
        <v>32</v>
      </c>
      <c r="E1033" s="9"/>
      <c r="F1033" s="12" t="s">
        <v>18</v>
      </c>
      <c r="G1033" s="12">
        <v>53.89</v>
      </c>
      <c r="H1033" s="12">
        <v>42.07</v>
      </c>
      <c r="I1033" s="12">
        <v>158.16</v>
      </c>
      <c r="J1033" s="12">
        <v>157.5</v>
      </c>
      <c r="K1033" s="12" t="s">
        <v>19</v>
      </c>
      <c r="L1033" s="12">
        <v>53.49</v>
      </c>
      <c r="M1033" s="12">
        <v>41.7</v>
      </c>
      <c r="N1033" s="12">
        <v>156.86</v>
      </c>
      <c r="O1033" s="12">
        <v>156.95</v>
      </c>
      <c r="P1033" s="12" t="s">
        <v>32</v>
      </c>
      <c r="Q1033" s="12" t="s">
        <v>20</v>
      </c>
      <c r="R1033" s="6"/>
      <c r="S1033" s="6"/>
    </row>
    <row r="1034">
      <c r="A1034" s="15">
        <v>46324.50392710648</v>
      </c>
      <c r="B1034" s="8" t="str">
        <f t="shared" si="3"/>
        <v>234512</v>
      </c>
      <c r="C1034" s="12" t="s">
        <v>832</v>
      </c>
      <c r="D1034" s="12" t="s">
        <v>17</v>
      </c>
      <c r="E1034" s="9"/>
      <c r="F1034" s="12" t="s">
        <v>18</v>
      </c>
      <c r="G1034" s="12">
        <v>56.42</v>
      </c>
      <c r="H1034" s="12">
        <v>44.77</v>
      </c>
      <c r="I1034" s="12">
        <v>167.95</v>
      </c>
      <c r="J1034" s="12">
        <v>167.65</v>
      </c>
      <c r="K1034" s="12" t="s">
        <v>19</v>
      </c>
      <c r="L1034" s="12">
        <v>56.53</v>
      </c>
      <c r="M1034" s="12">
        <v>44.39</v>
      </c>
      <c r="N1034" s="12">
        <v>167.41</v>
      </c>
      <c r="O1034" s="12">
        <v>167.76</v>
      </c>
      <c r="P1034" s="12" t="s">
        <v>17</v>
      </c>
      <c r="Q1034" s="12" t="s">
        <v>20</v>
      </c>
      <c r="R1034" s="6"/>
      <c r="S1034" s="6"/>
    </row>
    <row r="1035">
      <c r="A1035" s="15">
        <v>46324.50392710648</v>
      </c>
      <c r="B1035" s="8" t="str">
        <f t="shared" si="3"/>
        <v>245132</v>
      </c>
      <c r="C1035" s="12" t="s">
        <v>833</v>
      </c>
      <c r="D1035" s="12" t="s">
        <v>17</v>
      </c>
      <c r="E1035" s="9"/>
      <c r="F1035" s="12" t="s">
        <v>18</v>
      </c>
      <c r="G1035" s="12">
        <v>52.65</v>
      </c>
      <c r="H1035" s="12">
        <v>45.47</v>
      </c>
      <c r="I1035" s="12">
        <v>164.59</v>
      </c>
      <c r="J1035" s="12">
        <v>164.53</v>
      </c>
      <c r="K1035" s="12" t="s">
        <v>19</v>
      </c>
      <c r="L1035" s="12">
        <v>52.72</v>
      </c>
      <c r="M1035" s="12">
        <v>45.57</v>
      </c>
      <c r="N1035" s="12">
        <v>165.43</v>
      </c>
      <c r="O1035" s="12">
        <v>165.44</v>
      </c>
      <c r="P1035" s="12" t="s">
        <v>17</v>
      </c>
      <c r="Q1035" s="12" t="s">
        <v>20</v>
      </c>
      <c r="R1035" s="6"/>
      <c r="S1035" s="6"/>
    </row>
    <row r="1036">
      <c r="A1036" s="15">
        <v>46324.50392710648</v>
      </c>
      <c r="B1036" s="8" t="str">
        <f t="shared" si="3"/>
        <v>241958</v>
      </c>
      <c r="C1036" s="12" t="s">
        <v>834</v>
      </c>
      <c r="D1036" s="12" t="s">
        <v>17</v>
      </c>
      <c r="E1036" s="9"/>
      <c r="F1036" s="12" t="s">
        <v>18</v>
      </c>
      <c r="G1036" s="12">
        <v>53.59</v>
      </c>
      <c r="H1036" s="12">
        <v>36.02</v>
      </c>
      <c r="I1036" s="12">
        <v>154.47</v>
      </c>
      <c r="J1036" s="12">
        <v>154.66</v>
      </c>
      <c r="K1036" s="12" t="s">
        <v>19</v>
      </c>
      <c r="L1036" s="12">
        <v>53.76</v>
      </c>
      <c r="M1036" s="12">
        <v>36.05</v>
      </c>
      <c r="N1036" s="12">
        <v>154.8</v>
      </c>
      <c r="O1036" s="12">
        <v>154.93</v>
      </c>
      <c r="P1036" s="12" t="s">
        <v>17</v>
      </c>
      <c r="Q1036" s="12" t="s">
        <v>20</v>
      </c>
      <c r="R1036" s="6"/>
      <c r="S1036" s="6"/>
    </row>
    <row r="1037">
      <c r="A1037" s="15">
        <v>46324.50392710648</v>
      </c>
      <c r="B1037" s="8" t="str">
        <f t="shared" si="3"/>
        <v>219823</v>
      </c>
      <c r="C1037" s="12" t="s">
        <v>776</v>
      </c>
      <c r="D1037" s="12" t="s">
        <v>32</v>
      </c>
      <c r="E1037" s="9"/>
      <c r="F1037" s="12" t="s">
        <v>18</v>
      </c>
      <c r="G1037" s="12">
        <v>53.54</v>
      </c>
      <c r="H1037" s="12">
        <v>41.53</v>
      </c>
      <c r="I1037" s="12">
        <v>158.28</v>
      </c>
      <c r="J1037" s="12">
        <v>158.28</v>
      </c>
      <c r="K1037" s="12" t="s">
        <v>19</v>
      </c>
      <c r="L1037" s="12">
        <v>53.77</v>
      </c>
      <c r="M1037" s="12">
        <v>40.62</v>
      </c>
      <c r="N1037" s="12">
        <v>158.03</v>
      </c>
      <c r="O1037" s="12">
        <v>158.17</v>
      </c>
      <c r="P1037" s="12" t="s">
        <v>32</v>
      </c>
      <c r="Q1037" s="12" t="s">
        <v>20</v>
      </c>
      <c r="R1037" s="6"/>
      <c r="S1037" s="6"/>
    </row>
    <row r="1038">
      <c r="A1038" s="15">
        <v>46324.50392710648</v>
      </c>
      <c r="B1038" s="8" t="str">
        <f t="shared" si="3"/>
        <v>146653</v>
      </c>
      <c r="C1038" s="12" t="s">
        <v>835</v>
      </c>
      <c r="D1038" s="12" t="s">
        <v>17</v>
      </c>
      <c r="E1038" s="9"/>
      <c r="F1038" s="12" t="s">
        <v>18</v>
      </c>
      <c r="G1038" s="12">
        <v>50.67</v>
      </c>
      <c r="H1038" s="12">
        <v>36.08</v>
      </c>
      <c r="I1038" s="12">
        <v>146.73</v>
      </c>
      <c r="J1038" s="12">
        <v>147.06</v>
      </c>
      <c r="K1038" s="12" t="s">
        <v>19</v>
      </c>
      <c r="L1038" s="12">
        <v>50.71</v>
      </c>
      <c r="M1038" s="12">
        <v>35.98</v>
      </c>
      <c r="N1038" s="12">
        <v>146.63</v>
      </c>
      <c r="O1038" s="12">
        <v>147.1</v>
      </c>
      <c r="P1038" s="12" t="s">
        <v>17</v>
      </c>
      <c r="Q1038" s="12" t="s">
        <v>20</v>
      </c>
      <c r="R1038" s="6"/>
      <c r="S1038" s="6"/>
    </row>
    <row r="1039">
      <c r="A1039" s="15">
        <v>46324.51485496528</v>
      </c>
      <c r="B1039" s="8" t="str">
        <f t="shared" si="3"/>
        <v>229137</v>
      </c>
      <c r="C1039" s="12" t="s">
        <v>836</v>
      </c>
      <c r="D1039" s="12" t="s">
        <v>17</v>
      </c>
      <c r="E1039" s="9"/>
      <c r="F1039" s="12" t="s">
        <v>18</v>
      </c>
      <c r="G1039" s="12">
        <v>54.54</v>
      </c>
      <c r="H1039" s="12">
        <v>40.21</v>
      </c>
      <c r="I1039" s="12">
        <v>160.38</v>
      </c>
      <c r="J1039" s="12">
        <v>160.0</v>
      </c>
      <c r="K1039" s="12" t="s">
        <v>19</v>
      </c>
      <c r="L1039" s="12">
        <v>54.8</v>
      </c>
      <c r="M1039" s="12">
        <v>40.13</v>
      </c>
      <c r="N1039" s="12">
        <v>160.78</v>
      </c>
      <c r="O1039" s="12">
        <v>160.83</v>
      </c>
      <c r="P1039" s="12" t="s">
        <v>17</v>
      </c>
      <c r="Q1039" s="12" t="s">
        <v>20</v>
      </c>
      <c r="R1039" s="6"/>
      <c r="S1039" s="6"/>
    </row>
    <row r="1040">
      <c r="A1040" s="15">
        <v>46324.51485496528</v>
      </c>
      <c r="B1040" s="8" t="str">
        <f t="shared" si="3"/>
        <v>234805</v>
      </c>
      <c r="C1040" s="12" t="s">
        <v>837</v>
      </c>
      <c r="D1040" s="12" t="s">
        <v>17</v>
      </c>
      <c r="E1040" s="9"/>
      <c r="F1040" s="12" t="s">
        <v>18</v>
      </c>
      <c r="G1040" s="12">
        <v>48.17</v>
      </c>
      <c r="H1040" s="12">
        <v>42.44</v>
      </c>
      <c r="I1040" s="12">
        <v>145.33</v>
      </c>
      <c r="J1040" s="12">
        <v>145.38</v>
      </c>
      <c r="K1040" s="12" t="s">
        <v>19</v>
      </c>
      <c r="L1040" s="12">
        <v>48.27</v>
      </c>
      <c r="M1040" s="12">
        <v>42.53</v>
      </c>
      <c r="N1040" s="12">
        <v>146.32</v>
      </c>
      <c r="O1040" s="12">
        <v>146.28</v>
      </c>
      <c r="P1040" s="12" t="s">
        <v>17</v>
      </c>
      <c r="Q1040" s="12" t="s">
        <v>20</v>
      </c>
      <c r="R1040" s="6"/>
      <c r="S1040" s="6"/>
    </row>
    <row r="1041">
      <c r="A1041" s="15">
        <v>46324.51485496528</v>
      </c>
      <c r="B1041" s="8" t="str">
        <f t="shared" si="3"/>
        <v>146653</v>
      </c>
      <c r="C1041" s="12">
        <v>146653.0</v>
      </c>
      <c r="D1041" s="12" t="s">
        <v>17</v>
      </c>
      <c r="E1041" s="9"/>
      <c r="F1041" s="12" t="s">
        <v>18</v>
      </c>
      <c r="G1041" s="12">
        <v>50.69</v>
      </c>
      <c r="H1041" s="12">
        <v>36.26</v>
      </c>
      <c r="I1041" s="12">
        <v>147.15</v>
      </c>
      <c r="J1041" s="12">
        <v>147.21</v>
      </c>
      <c r="K1041" s="12" t="s">
        <v>19</v>
      </c>
      <c r="L1041" s="12">
        <v>50.93</v>
      </c>
      <c r="M1041" s="12">
        <v>36.37</v>
      </c>
      <c r="N1041" s="12">
        <v>147.64</v>
      </c>
      <c r="O1041" s="12">
        <v>147.82</v>
      </c>
      <c r="P1041" s="12" t="s">
        <v>17</v>
      </c>
      <c r="Q1041" s="12" t="s">
        <v>20</v>
      </c>
      <c r="R1041" s="6"/>
      <c r="S1041" s="6"/>
    </row>
    <row r="1042">
      <c r="A1042" s="15">
        <v>46324.51485496528</v>
      </c>
      <c r="B1042" s="8" t="str">
        <f t="shared" si="3"/>
        <v>146653</v>
      </c>
      <c r="C1042" s="12" t="s">
        <v>838</v>
      </c>
      <c r="D1042" s="12" t="s">
        <v>17</v>
      </c>
      <c r="E1042" s="9"/>
      <c r="F1042" s="12" t="s">
        <v>18</v>
      </c>
      <c r="G1042" s="12">
        <v>50.68</v>
      </c>
      <c r="H1042" s="12">
        <v>36.09</v>
      </c>
      <c r="I1042" s="12">
        <v>146.83</v>
      </c>
      <c r="J1042" s="12">
        <v>147.09</v>
      </c>
      <c r="K1042" s="12" t="s">
        <v>19</v>
      </c>
      <c r="L1042" s="12">
        <v>51.11</v>
      </c>
      <c r="M1042" s="12">
        <v>35.6</v>
      </c>
      <c r="N1042" s="12">
        <v>147.16</v>
      </c>
      <c r="O1042" s="12">
        <v>147.16</v>
      </c>
      <c r="P1042" s="12" t="s">
        <v>17</v>
      </c>
      <c r="Q1042" s="12" t="s">
        <v>20</v>
      </c>
      <c r="R1042" s="6"/>
      <c r="S1042" s="6"/>
    </row>
    <row r="1043">
      <c r="A1043" s="15">
        <v>46324.51485496528</v>
      </c>
      <c r="B1043" s="8" t="str">
        <f t="shared" si="3"/>
        <v>241189</v>
      </c>
      <c r="C1043" s="12" t="s">
        <v>839</v>
      </c>
      <c r="D1043" s="12" t="s">
        <v>17</v>
      </c>
      <c r="E1043" s="9"/>
      <c r="F1043" s="12" t="s">
        <v>18</v>
      </c>
      <c r="G1043" s="12">
        <v>50.14</v>
      </c>
      <c r="H1043" s="12">
        <v>39.25</v>
      </c>
      <c r="I1043" s="12">
        <v>148.77</v>
      </c>
      <c r="J1043" s="12">
        <v>148.77</v>
      </c>
      <c r="K1043" s="12" t="s">
        <v>19</v>
      </c>
      <c r="L1043" s="12">
        <v>50.05</v>
      </c>
      <c r="M1043" s="12">
        <v>39.18</v>
      </c>
      <c r="N1043" s="12">
        <v>148.93</v>
      </c>
      <c r="O1043" s="12">
        <v>148.85</v>
      </c>
      <c r="P1043" s="12" t="s">
        <v>17</v>
      </c>
      <c r="Q1043" s="12" t="s">
        <v>20</v>
      </c>
      <c r="R1043" s="6"/>
      <c r="S1043" s="6"/>
    </row>
    <row r="1044">
      <c r="A1044" s="15">
        <v>46324.51485496528</v>
      </c>
      <c r="B1044" s="8" t="str">
        <f t="shared" si="3"/>
        <v>216521</v>
      </c>
      <c r="C1044" s="12" t="s">
        <v>840</v>
      </c>
      <c r="D1044" s="12" t="s">
        <v>17</v>
      </c>
      <c r="E1044" s="9"/>
      <c r="F1044" s="12" t="s">
        <v>18</v>
      </c>
      <c r="G1044" s="12">
        <v>50.89</v>
      </c>
      <c r="H1044" s="12">
        <v>43.1</v>
      </c>
      <c r="I1044" s="12">
        <v>154.58</v>
      </c>
      <c r="J1044" s="12">
        <v>154.46</v>
      </c>
      <c r="K1044" s="12" t="s">
        <v>19</v>
      </c>
      <c r="L1044" s="12">
        <v>51.2</v>
      </c>
      <c r="M1044" s="12">
        <v>43.13</v>
      </c>
      <c r="N1044" s="12">
        <v>154.94</v>
      </c>
      <c r="O1044" s="12">
        <v>154.98</v>
      </c>
      <c r="P1044" s="12" t="s">
        <v>17</v>
      </c>
      <c r="Q1044" s="12" t="s">
        <v>20</v>
      </c>
      <c r="R1044" s="6"/>
      <c r="S1044" s="6"/>
    </row>
    <row r="1045">
      <c r="A1045" s="15">
        <v>46324.51485496528</v>
      </c>
      <c r="B1045" s="8" t="str">
        <f t="shared" si="3"/>
        <v>253871</v>
      </c>
      <c r="C1045" s="12" t="s">
        <v>841</v>
      </c>
      <c r="D1045" s="12" t="s">
        <v>32</v>
      </c>
      <c r="E1045" s="9"/>
      <c r="F1045" s="12" t="s">
        <v>18</v>
      </c>
      <c r="G1045" s="12">
        <v>58.17</v>
      </c>
      <c r="H1045" s="12">
        <v>49.58</v>
      </c>
      <c r="I1045" s="12">
        <v>182.24</v>
      </c>
      <c r="J1045" s="12">
        <v>181.77</v>
      </c>
      <c r="K1045" s="12" t="s">
        <v>19</v>
      </c>
      <c r="L1045" s="12">
        <v>57.6</v>
      </c>
      <c r="M1045" s="12">
        <v>48.86</v>
      </c>
      <c r="N1045" s="12">
        <v>180.82</v>
      </c>
      <c r="O1045" s="12">
        <v>181.56</v>
      </c>
      <c r="P1045" s="12" t="s">
        <v>32</v>
      </c>
      <c r="Q1045" s="12" t="s">
        <v>20</v>
      </c>
      <c r="R1045" s="6"/>
      <c r="S1045" s="6"/>
    </row>
    <row r="1046">
      <c r="A1046" s="15">
        <v>46324.51485496528</v>
      </c>
      <c r="B1046" s="8" t="str">
        <f t="shared" si="3"/>
        <v>222576</v>
      </c>
      <c r="C1046" s="12" t="s">
        <v>842</v>
      </c>
      <c r="D1046" s="12" t="s">
        <v>32</v>
      </c>
      <c r="E1046" s="9"/>
      <c r="F1046" s="12" t="s">
        <v>18</v>
      </c>
      <c r="G1046" s="12">
        <v>53.84</v>
      </c>
      <c r="H1046" s="12">
        <v>43.46</v>
      </c>
      <c r="I1046" s="12">
        <v>160.66</v>
      </c>
      <c r="J1046" s="12">
        <v>160.47</v>
      </c>
      <c r="K1046" s="12" t="s">
        <v>19</v>
      </c>
      <c r="L1046" s="12">
        <v>53.39</v>
      </c>
      <c r="M1046" s="12">
        <v>42.55</v>
      </c>
      <c r="N1046" s="12">
        <v>158.76</v>
      </c>
      <c r="O1046" s="12">
        <v>158.76</v>
      </c>
      <c r="P1046" s="12" t="s">
        <v>32</v>
      </c>
      <c r="Q1046" s="12" t="s">
        <v>20</v>
      </c>
      <c r="R1046" s="6"/>
      <c r="S1046" s="6"/>
    </row>
    <row r="1047">
      <c r="A1047" s="15">
        <v>46324.51485496528</v>
      </c>
      <c r="B1047" s="8" t="str">
        <f t="shared" si="3"/>
        <v>238741</v>
      </c>
      <c r="C1047" s="12" t="s">
        <v>843</v>
      </c>
      <c r="D1047" s="12" t="s">
        <v>32</v>
      </c>
      <c r="E1047" s="9"/>
      <c r="F1047" s="12" t="s">
        <v>18</v>
      </c>
      <c r="G1047" s="12">
        <v>56.19</v>
      </c>
      <c r="H1047" s="12">
        <v>47.51</v>
      </c>
      <c r="I1047" s="12">
        <v>170.12</v>
      </c>
      <c r="J1047" s="12">
        <v>170.26</v>
      </c>
      <c r="K1047" s="12" t="s">
        <v>19</v>
      </c>
      <c r="L1047" s="12">
        <v>55.62</v>
      </c>
      <c r="M1047" s="12">
        <v>47.2</v>
      </c>
      <c r="N1047" s="12">
        <v>168.62</v>
      </c>
      <c r="O1047" s="12">
        <v>168.92</v>
      </c>
      <c r="P1047" s="12" t="s">
        <v>32</v>
      </c>
      <c r="Q1047" s="12" t="s">
        <v>20</v>
      </c>
      <c r="R1047" s="6"/>
      <c r="S1047" s="6"/>
    </row>
    <row r="1048">
      <c r="A1048" s="15">
        <v>46324.51485496528</v>
      </c>
      <c r="B1048" s="8" t="str">
        <f t="shared" si="3"/>
        <v>217981</v>
      </c>
      <c r="C1048" s="12">
        <v>217981.0</v>
      </c>
      <c r="D1048" s="12" t="s">
        <v>17</v>
      </c>
      <c r="E1048" s="9"/>
      <c r="F1048" s="12" t="s">
        <v>18</v>
      </c>
      <c r="G1048" s="12">
        <v>50.08</v>
      </c>
      <c r="H1048" s="12">
        <v>42.91</v>
      </c>
      <c r="I1048" s="12">
        <v>152.47</v>
      </c>
      <c r="J1048" s="12">
        <v>152.5</v>
      </c>
      <c r="K1048" s="12" t="s">
        <v>19</v>
      </c>
      <c r="L1048" s="12">
        <v>51.15</v>
      </c>
      <c r="M1048" s="12">
        <v>43.63</v>
      </c>
      <c r="N1048" s="12">
        <v>154.84</v>
      </c>
      <c r="O1048" s="12">
        <v>155.73</v>
      </c>
      <c r="P1048" s="12" t="s">
        <v>17</v>
      </c>
      <c r="Q1048" s="12" t="s">
        <v>20</v>
      </c>
      <c r="R1048" s="6"/>
      <c r="S1048" s="6"/>
    </row>
    <row r="1049">
      <c r="A1049" s="15">
        <v>46324.51485496528</v>
      </c>
      <c r="B1049" s="8" t="str">
        <f t="shared" si="3"/>
        <v>247175</v>
      </c>
      <c r="C1049" s="12" t="s">
        <v>844</v>
      </c>
      <c r="D1049" s="12" t="s">
        <v>32</v>
      </c>
      <c r="E1049" s="9"/>
      <c r="F1049" s="12" t="s">
        <v>18</v>
      </c>
      <c r="G1049" s="12">
        <v>51.25</v>
      </c>
      <c r="H1049" s="12">
        <v>36.08</v>
      </c>
      <c r="I1049" s="12">
        <v>140.62</v>
      </c>
      <c r="J1049" s="12">
        <v>140.93</v>
      </c>
      <c r="K1049" s="12" t="s">
        <v>19</v>
      </c>
      <c r="L1049" s="12">
        <v>51.2</v>
      </c>
      <c r="M1049" s="12">
        <v>35.79</v>
      </c>
      <c r="N1049" s="12">
        <v>140.06</v>
      </c>
      <c r="O1049" s="12">
        <v>140.05</v>
      </c>
      <c r="P1049" s="12" t="s">
        <v>32</v>
      </c>
      <c r="Q1049" s="12" t="s">
        <v>20</v>
      </c>
      <c r="R1049" s="6"/>
      <c r="S1049" s="6"/>
    </row>
    <row r="1050">
      <c r="A1050" s="15">
        <v>46324.51485496528</v>
      </c>
      <c r="B1050" s="8" t="str">
        <f t="shared" si="3"/>
        <v>236092</v>
      </c>
      <c r="C1050" s="12" t="s">
        <v>845</v>
      </c>
      <c r="D1050" s="12" t="s">
        <v>32</v>
      </c>
      <c r="E1050" s="9"/>
      <c r="F1050" s="12" t="s">
        <v>18</v>
      </c>
      <c r="G1050" s="12">
        <v>50.41</v>
      </c>
      <c r="H1050" s="12">
        <v>42.9</v>
      </c>
      <c r="I1050" s="12">
        <v>151.92</v>
      </c>
      <c r="J1050" s="12">
        <v>151.92</v>
      </c>
      <c r="K1050" s="12" t="s">
        <v>19</v>
      </c>
      <c r="L1050" s="12">
        <v>49.43</v>
      </c>
      <c r="M1050" s="12">
        <v>41.87</v>
      </c>
      <c r="N1050" s="12">
        <v>148.93</v>
      </c>
      <c r="O1050" s="12">
        <v>149.43</v>
      </c>
      <c r="P1050" s="12" t="s">
        <v>32</v>
      </c>
      <c r="Q1050" s="12" t="s">
        <v>20</v>
      </c>
      <c r="R1050" s="6"/>
      <c r="S1050" s="6"/>
    </row>
    <row r="1051">
      <c r="A1051" s="15">
        <v>46324.51485496528</v>
      </c>
      <c r="B1051" s="8" t="str">
        <f t="shared" si="3"/>
        <v>206775</v>
      </c>
      <c r="C1051" s="12" t="s">
        <v>450</v>
      </c>
      <c r="D1051" s="12" t="s">
        <v>17</v>
      </c>
      <c r="E1051" s="9"/>
      <c r="F1051" s="12" t="s">
        <v>18</v>
      </c>
      <c r="G1051" s="12">
        <v>48.16</v>
      </c>
      <c r="H1051" s="12">
        <v>42.32</v>
      </c>
      <c r="I1051" s="12">
        <v>146.48</v>
      </c>
      <c r="J1051" s="12">
        <v>146.77</v>
      </c>
      <c r="K1051" s="12" t="s">
        <v>19</v>
      </c>
      <c r="L1051" s="12">
        <v>48.31</v>
      </c>
      <c r="M1051" s="12">
        <v>42.44</v>
      </c>
      <c r="N1051" s="12">
        <v>146.97</v>
      </c>
      <c r="O1051" s="12">
        <v>147.31</v>
      </c>
      <c r="P1051" s="12" t="s">
        <v>17</v>
      </c>
      <c r="Q1051" s="12" t="s">
        <v>20</v>
      </c>
      <c r="R1051" s="6"/>
      <c r="S1051" s="6"/>
    </row>
    <row r="1052">
      <c r="A1052" s="15">
        <v>46324.51485496528</v>
      </c>
      <c r="B1052" s="8" t="str">
        <f t="shared" si="3"/>
        <v>241855</v>
      </c>
      <c r="C1052" s="12" t="s">
        <v>565</v>
      </c>
      <c r="D1052" s="12" t="s">
        <v>17</v>
      </c>
      <c r="E1052" s="9"/>
      <c r="F1052" s="12" t="s">
        <v>18</v>
      </c>
      <c r="G1052" s="12">
        <v>50.63</v>
      </c>
      <c r="H1052" s="12">
        <v>40.01</v>
      </c>
      <c r="I1052" s="12">
        <v>152.53</v>
      </c>
      <c r="J1052" s="12">
        <v>153.64</v>
      </c>
      <c r="K1052" s="12" t="s">
        <v>19</v>
      </c>
      <c r="L1052" s="12">
        <v>50.65</v>
      </c>
      <c r="M1052" s="12">
        <v>39.96</v>
      </c>
      <c r="N1052" s="12">
        <v>152.6</v>
      </c>
      <c r="O1052" s="12">
        <v>153.61</v>
      </c>
      <c r="P1052" s="12" t="s">
        <v>17</v>
      </c>
      <c r="Q1052" s="12" t="s">
        <v>20</v>
      </c>
      <c r="R1052" s="6"/>
      <c r="S1052" s="6"/>
    </row>
    <row r="1053">
      <c r="A1053" s="15">
        <v>46324.51485496528</v>
      </c>
      <c r="B1053" s="8" t="str">
        <f t="shared" si="3"/>
        <v>239826</v>
      </c>
      <c r="C1053" s="12">
        <v>239826.0</v>
      </c>
      <c r="D1053" s="12" t="s">
        <v>32</v>
      </c>
      <c r="E1053" s="9"/>
      <c r="F1053" s="12" t="s">
        <v>18</v>
      </c>
      <c r="G1053" s="12">
        <v>52.46</v>
      </c>
      <c r="H1053" s="12">
        <v>45.29</v>
      </c>
      <c r="I1053" s="12">
        <v>160.19</v>
      </c>
      <c r="J1053" s="12">
        <v>163.35</v>
      </c>
      <c r="K1053" s="12" t="s">
        <v>19</v>
      </c>
      <c r="L1053" s="12">
        <v>52.63</v>
      </c>
      <c r="M1053" s="12">
        <v>44.98</v>
      </c>
      <c r="N1053" s="12">
        <v>159.64</v>
      </c>
      <c r="O1053" s="12">
        <v>160.21</v>
      </c>
      <c r="P1053" s="12" t="s">
        <v>32</v>
      </c>
      <c r="Q1053" s="12" t="s">
        <v>20</v>
      </c>
      <c r="R1053" s="6"/>
      <c r="S1053" s="6"/>
    </row>
    <row r="1054">
      <c r="A1054" s="8"/>
      <c r="B1054" s="8" t="str">
        <f t="shared" si="3"/>
        <v>209151</v>
      </c>
      <c r="C1054" s="10" t="s">
        <v>846</v>
      </c>
      <c r="D1054" s="10" t="s">
        <v>17</v>
      </c>
      <c r="E1054" s="9"/>
      <c r="F1054" s="12" t="s">
        <v>18</v>
      </c>
      <c r="G1054" s="12">
        <v>47.05</v>
      </c>
      <c r="H1054" s="12">
        <v>39.98</v>
      </c>
      <c r="I1054" s="12">
        <v>143.13</v>
      </c>
      <c r="J1054" s="12">
        <v>142.69</v>
      </c>
      <c r="K1054" s="8"/>
      <c r="L1054" s="12">
        <v>47.35</v>
      </c>
      <c r="M1054" s="12">
        <v>40.29</v>
      </c>
      <c r="N1054" s="12">
        <v>143.91</v>
      </c>
      <c r="O1054" s="12">
        <v>143.24</v>
      </c>
      <c r="P1054" s="12" t="s">
        <v>17</v>
      </c>
      <c r="Q1054" s="12" t="s">
        <v>20</v>
      </c>
      <c r="R1054" s="6"/>
      <c r="S1054" s="6"/>
    </row>
    <row r="1055">
      <c r="A1055" s="8"/>
      <c r="B1055" s="8" t="str">
        <f t="shared" si="3"/>
        <v/>
      </c>
      <c r="C1055" s="9"/>
      <c r="D1055" s="9"/>
      <c r="E1055" s="9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6"/>
      <c r="S1055" s="6"/>
    </row>
    <row r="1056">
      <c r="A1056" s="8"/>
      <c r="B1056" s="8" t="str">
        <f t="shared" si="3"/>
        <v/>
      </c>
      <c r="C1056" s="9"/>
      <c r="D1056" s="9"/>
      <c r="E1056" s="9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6"/>
      <c r="S1056" s="6"/>
    </row>
    <row r="1057">
      <c r="A1057" s="8"/>
      <c r="B1057" s="8" t="str">
        <f t="shared" si="3"/>
        <v/>
      </c>
      <c r="C1057" s="9"/>
      <c r="D1057" s="9"/>
      <c r="E1057" s="9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6"/>
      <c r="S1057" s="6"/>
    </row>
    <row r="1058">
      <c r="A1058" s="8"/>
      <c r="B1058" s="8" t="str">
        <f t="shared" si="3"/>
        <v/>
      </c>
      <c r="C1058" s="9"/>
      <c r="D1058" s="9"/>
      <c r="E1058" s="9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6"/>
      <c r="S1058" s="6"/>
    </row>
    <row r="1059">
      <c r="A1059" s="8"/>
      <c r="B1059" s="8" t="str">
        <f t="shared" si="3"/>
        <v/>
      </c>
      <c r="C1059" s="9"/>
      <c r="D1059" s="9"/>
      <c r="E1059" s="9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6"/>
      <c r="S1059" s="6"/>
    </row>
    <row r="1060">
      <c r="A1060" s="8"/>
      <c r="B1060" s="8" t="str">
        <f t="shared" si="3"/>
        <v/>
      </c>
      <c r="C1060" s="9"/>
      <c r="D1060" s="9"/>
      <c r="E1060" s="9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6"/>
      <c r="S1060" s="6"/>
    </row>
    <row r="1061">
      <c r="A1061" s="8"/>
      <c r="B1061" s="8" t="str">
        <f t="shared" si="3"/>
        <v/>
      </c>
      <c r="C1061" s="9"/>
      <c r="D1061" s="9"/>
      <c r="E1061" s="9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6"/>
      <c r="S1061" s="6"/>
    </row>
    <row r="1062">
      <c r="A1062" s="8"/>
      <c r="B1062" s="8" t="str">
        <f t="shared" si="3"/>
        <v/>
      </c>
      <c r="C1062" s="9"/>
      <c r="D1062" s="9"/>
      <c r="E1062" s="9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6"/>
      <c r="S1062" s="6"/>
    </row>
    <row r="1063">
      <c r="A1063" s="8"/>
      <c r="B1063" s="8" t="str">
        <f t="shared" si="3"/>
        <v/>
      </c>
      <c r="C1063" s="9"/>
      <c r="D1063" s="9"/>
      <c r="E1063" s="9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6"/>
      <c r="S1063" s="6"/>
    </row>
    <row r="1064">
      <c r="A1064" s="8"/>
      <c r="B1064" s="8" t="str">
        <f t="shared" si="3"/>
        <v/>
      </c>
      <c r="C1064" s="9"/>
      <c r="D1064" s="9"/>
      <c r="E1064" s="9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6"/>
      <c r="S1064" s="6"/>
    </row>
    <row r="1065">
      <c r="A1065" s="8"/>
      <c r="B1065" s="8" t="str">
        <f t="shared" si="3"/>
        <v/>
      </c>
      <c r="C1065" s="9"/>
      <c r="D1065" s="9"/>
      <c r="E1065" s="9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6"/>
      <c r="S1065" s="6"/>
    </row>
    <row r="1066">
      <c r="A1066" s="8"/>
      <c r="B1066" s="8" t="str">
        <f t="shared" si="3"/>
        <v/>
      </c>
      <c r="C1066" s="9"/>
      <c r="D1066" s="9"/>
      <c r="E1066" s="9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6"/>
      <c r="S1066" s="6"/>
    </row>
    <row r="1067">
      <c r="A1067" s="8"/>
      <c r="B1067" s="8" t="str">
        <f t="shared" si="3"/>
        <v/>
      </c>
      <c r="C1067" s="9"/>
      <c r="D1067" s="9"/>
      <c r="E1067" s="9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6"/>
      <c r="S1067" s="6"/>
    </row>
    <row r="1068">
      <c r="A1068" s="8"/>
      <c r="B1068" s="8" t="str">
        <f t="shared" si="3"/>
        <v/>
      </c>
      <c r="C1068" s="9"/>
      <c r="D1068" s="9"/>
      <c r="E1068" s="9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6"/>
      <c r="S1068" s="6"/>
    </row>
    <row r="1069">
      <c r="A1069" s="8"/>
      <c r="B1069" s="8" t="str">
        <f t="shared" si="3"/>
        <v/>
      </c>
      <c r="C1069" s="9"/>
      <c r="D1069" s="9"/>
      <c r="E1069" s="9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6"/>
      <c r="S1069" s="6"/>
    </row>
    <row r="1070">
      <c r="A1070" s="8"/>
      <c r="B1070" s="8" t="str">
        <f t="shared" si="3"/>
        <v/>
      </c>
      <c r="C1070" s="9"/>
      <c r="D1070" s="9"/>
      <c r="E1070" s="9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6"/>
      <c r="S1070" s="6"/>
    </row>
    <row r="1071">
      <c r="A1071" s="8"/>
      <c r="B1071" s="8" t="str">
        <f t="shared" si="3"/>
        <v/>
      </c>
      <c r="C1071" s="9"/>
      <c r="D1071" s="9"/>
      <c r="E1071" s="9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6"/>
      <c r="S1071" s="6"/>
    </row>
    <row r="1072">
      <c r="A1072" s="8"/>
      <c r="B1072" s="8" t="str">
        <f t="shared" si="3"/>
        <v/>
      </c>
      <c r="C1072" s="9"/>
      <c r="D1072" s="9"/>
      <c r="E1072" s="9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6"/>
      <c r="S1072" s="6"/>
    </row>
    <row r="1073">
      <c r="A1073" s="8"/>
      <c r="B1073" s="8" t="str">
        <f t="shared" si="3"/>
        <v/>
      </c>
      <c r="C1073" s="9"/>
      <c r="D1073" s="9"/>
      <c r="E1073" s="9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6"/>
      <c r="S1073" s="6"/>
    </row>
    <row r="1074">
      <c r="A1074" s="8"/>
      <c r="B1074" s="8" t="str">
        <f t="shared" si="3"/>
        <v/>
      </c>
      <c r="C1074" s="9"/>
      <c r="D1074" s="9"/>
      <c r="E1074" s="9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6"/>
      <c r="S1074" s="6"/>
    </row>
    <row r="1075">
      <c r="A1075" s="8"/>
      <c r="B1075" s="8" t="str">
        <f t="shared" si="3"/>
        <v/>
      </c>
      <c r="C1075" s="9"/>
      <c r="D1075" s="9"/>
      <c r="E1075" s="9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6"/>
      <c r="S1075" s="6"/>
    </row>
    <row r="1076">
      <c r="A1076" s="8"/>
      <c r="B1076" s="8" t="str">
        <f t="shared" si="3"/>
        <v/>
      </c>
      <c r="C1076" s="9"/>
      <c r="D1076" s="9"/>
      <c r="E1076" s="9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6"/>
      <c r="S1076" s="6"/>
    </row>
    <row r="1077">
      <c r="A1077" s="8"/>
      <c r="B1077" s="8" t="str">
        <f t="shared" si="3"/>
        <v/>
      </c>
      <c r="C1077" s="9"/>
      <c r="D1077" s="9"/>
      <c r="E1077" s="9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6"/>
      <c r="S1077" s="6"/>
    </row>
    <row r="1078">
      <c r="A1078" s="8"/>
      <c r="B1078" s="8" t="str">
        <f t="shared" si="3"/>
        <v/>
      </c>
      <c r="C1078" s="9"/>
      <c r="D1078" s="9"/>
      <c r="E1078" s="9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6"/>
      <c r="S1078" s="6"/>
    </row>
    <row r="1079">
      <c r="A1079" s="8"/>
      <c r="B1079" s="8" t="str">
        <f t="shared" si="3"/>
        <v/>
      </c>
      <c r="C1079" s="9"/>
      <c r="D1079" s="9"/>
      <c r="E1079" s="9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6"/>
      <c r="S1079" s="6"/>
    </row>
    <row r="1080">
      <c r="A1080" s="8"/>
      <c r="B1080" s="8" t="str">
        <f t="shared" si="3"/>
        <v/>
      </c>
      <c r="C1080" s="9"/>
      <c r="D1080" s="9"/>
      <c r="E1080" s="9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6"/>
      <c r="S1080" s="6"/>
    </row>
    <row r="1081">
      <c r="A1081" s="8"/>
      <c r="B1081" s="8" t="str">
        <f t="shared" si="3"/>
        <v/>
      </c>
      <c r="C1081" s="9"/>
      <c r="D1081" s="9"/>
      <c r="E1081" s="9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6"/>
      <c r="S1081" s="6"/>
    </row>
    <row r="1082">
      <c r="A1082" s="8"/>
      <c r="B1082" s="8" t="str">
        <f t="shared" si="3"/>
        <v/>
      </c>
      <c r="C1082" s="9"/>
      <c r="D1082" s="9"/>
      <c r="E1082" s="9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6"/>
      <c r="S1082" s="6"/>
    </row>
    <row r="1083">
      <c r="A1083" s="8"/>
      <c r="B1083" s="8" t="str">
        <f t="shared" si="3"/>
        <v/>
      </c>
      <c r="C1083" s="9"/>
      <c r="D1083" s="9"/>
      <c r="E1083" s="9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6"/>
      <c r="S1083" s="6"/>
    </row>
    <row r="1084">
      <c r="A1084" s="8"/>
      <c r="B1084" s="8" t="str">
        <f t="shared" si="3"/>
        <v/>
      </c>
      <c r="C1084" s="9"/>
      <c r="D1084" s="9"/>
      <c r="E1084" s="9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6"/>
      <c r="S1084" s="6"/>
    </row>
    <row r="1085">
      <c r="A1085" s="8"/>
      <c r="B1085" s="8" t="str">
        <f t="shared" si="3"/>
        <v/>
      </c>
      <c r="C1085" s="9"/>
      <c r="D1085" s="9"/>
      <c r="E1085" s="9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6"/>
      <c r="S1085" s="6"/>
    </row>
    <row r="1086">
      <c r="A1086" s="8"/>
      <c r="B1086" s="8" t="str">
        <f t="shared" si="3"/>
        <v/>
      </c>
      <c r="C1086" s="9"/>
      <c r="D1086" s="9"/>
      <c r="E1086" s="9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6"/>
      <c r="S1086" s="6"/>
    </row>
    <row r="1087">
      <c r="A1087" s="8"/>
      <c r="B1087" s="8" t="str">
        <f t="shared" si="3"/>
        <v/>
      </c>
      <c r="C1087" s="9"/>
      <c r="D1087" s="9"/>
      <c r="E1087" s="9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6"/>
      <c r="S1087" s="6"/>
    </row>
    <row r="1088">
      <c r="A1088" s="8"/>
      <c r="B1088" s="8" t="str">
        <f t="shared" si="3"/>
        <v/>
      </c>
      <c r="C1088" s="9"/>
      <c r="D1088" s="9"/>
      <c r="E1088" s="9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6"/>
      <c r="S1088" s="6"/>
    </row>
    <row r="1089">
      <c r="A1089" s="8"/>
      <c r="B1089" s="8" t="str">
        <f t="shared" si="3"/>
        <v/>
      </c>
      <c r="C1089" s="9"/>
      <c r="D1089" s="9"/>
      <c r="E1089" s="9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6"/>
      <c r="S1089" s="6"/>
    </row>
    <row r="1090">
      <c r="A1090" s="8"/>
      <c r="B1090" s="8" t="str">
        <f t="shared" si="3"/>
        <v/>
      </c>
      <c r="C1090" s="9"/>
      <c r="D1090" s="9"/>
      <c r="E1090" s="9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6"/>
      <c r="S1090" s="6"/>
    </row>
    <row r="1091">
      <c r="A1091" s="8"/>
      <c r="B1091" s="8" t="str">
        <f t="shared" si="3"/>
        <v/>
      </c>
      <c r="C1091" s="9"/>
      <c r="D1091" s="9"/>
      <c r="E1091" s="9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6"/>
      <c r="S1091" s="6"/>
    </row>
    <row r="1092">
      <c r="A1092" s="8"/>
      <c r="B1092" s="8" t="str">
        <f t="shared" si="3"/>
        <v/>
      </c>
      <c r="C1092" s="9"/>
      <c r="D1092" s="9"/>
      <c r="E1092" s="9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6"/>
      <c r="S1092" s="6"/>
    </row>
    <row r="1093">
      <c r="A1093" s="8"/>
      <c r="B1093" s="8" t="str">
        <f t="shared" si="3"/>
        <v/>
      </c>
      <c r="C1093" s="9"/>
      <c r="D1093" s="9"/>
      <c r="E1093" s="9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6"/>
      <c r="S1093" s="6"/>
    </row>
    <row r="1094">
      <c r="A1094" s="8"/>
      <c r="B1094" s="8" t="str">
        <f t="shared" si="3"/>
        <v/>
      </c>
      <c r="C1094" s="9"/>
      <c r="D1094" s="9"/>
      <c r="E1094" s="9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6"/>
      <c r="S1094" s="6"/>
    </row>
    <row r="1095">
      <c r="A1095" s="8"/>
      <c r="B1095" s="8" t="str">
        <f t="shared" si="3"/>
        <v/>
      </c>
      <c r="C1095" s="9"/>
      <c r="D1095" s="9"/>
      <c r="E1095" s="9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6"/>
      <c r="S1095" s="6"/>
    </row>
    <row r="1096">
      <c r="A1096" s="8"/>
      <c r="B1096" s="8" t="str">
        <f t="shared" si="3"/>
        <v/>
      </c>
      <c r="C1096" s="9"/>
      <c r="D1096" s="9"/>
      <c r="E1096" s="9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6"/>
      <c r="S1096" s="6"/>
    </row>
    <row r="1097">
      <c r="A1097" s="8"/>
      <c r="B1097" s="8" t="str">
        <f t="shared" si="3"/>
        <v/>
      </c>
      <c r="C1097" s="9"/>
      <c r="D1097" s="9"/>
      <c r="E1097" s="9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6"/>
      <c r="S1097" s="6"/>
    </row>
    <row r="1098">
      <c r="A1098" s="8"/>
      <c r="B1098" s="8" t="str">
        <f t="shared" si="3"/>
        <v/>
      </c>
      <c r="C1098" s="9"/>
      <c r="D1098" s="9"/>
      <c r="E1098" s="9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6"/>
      <c r="S1098" s="6"/>
    </row>
    <row r="1099">
      <c r="A1099" s="8"/>
      <c r="B1099" s="8" t="str">
        <f t="shared" si="3"/>
        <v/>
      </c>
      <c r="C1099" s="9"/>
      <c r="D1099" s="9"/>
      <c r="E1099" s="9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6"/>
      <c r="S1099" s="6"/>
    </row>
    <row r="1100">
      <c r="A1100" s="8"/>
      <c r="B1100" s="8" t="str">
        <f t="shared" si="3"/>
        <v/>
      </c>
      <c r="C1100" s="9"/>
      <c r="D1100" s="9"/>
      <c r="E1100" s="9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6"/>
      <c r="S1100" s="6"/>
    </row>
    <row r="1101">
      <c r="A1101" s="8"/>
      <c r="B1101" s="8" t="str">
        <f t="shared" si="3"/>
        <v/>
      </c>
      <c r="C1101" s="9"/>
      <c r="D1101" s="9"/>
      <c r="E1101" s="9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6"/>
      <c r="S1101" s="6"/>
    </row>
    <row r="1102">
      <c r="A1102" s="8"/>
      <c r="B1102" s="8" t="str">
        <f t="shared" si="3"/>
        <v/>
      </c>
      <c r="C1102" s="9"/>
      <c r="D1102" s="9"/>
      <c r="E1102" s="9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6"/>
      <c r="S1102" s="6"/>
    </row>
    <row r="1103">
      <c r="A1103" s="8"/>
      <c r="B1103" s="8" t="str">
        <f t="shared" si="3"/>
        <v/>
      </c>
      <c r="C1103" s="9"/>
      <c r="D1103" s="9"/>
      <c r="E1103" s="9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6"/>
      <c r="S1103" s="6"/>
    </row>
    <row r="1104">
      <c r="A1104" s="8"/>
      <c r="B1104" s="8" t="str">
        <f t="shared" si="3"/>
        <v/>
      </c>
      <c r="C1104" s="9"/>
      <c r="D1104" s="9"/>
      <c r="E1104" s="9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6"/>
      <c r="S1104" s="6"/>
    </row>
    <row r="1105">
      <c r="A1105" s="8"/>
      <c r="B1105" s="8" t="str">
        <f t="shared" si="3"/>
        <v/>
      </c>
      <c r="C1105" s="9"/>
      <c r="D1105" s="9"/>
      <c r="E1105" s="9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6"/>
      <c r="S1105" s="6"/>
    </row>
    <row r="1106">
      <c r="A1106" s="8"/>
      <c r="B1106" s="8" t="str">
        <f t="shared" si="3"/>
        <v/>
      </c>
      <c r="C1106" s="9"/>
      <c r="D1106" s="9"/>
      <c r="E1106" s="9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6"/>
      <c r="S1106" s="6"/>
    </row>
    <row r="1107">
      <c r="A1107" s="8"/>
      <c r="B1107" s="8" t="str">
        <f t="shared" si="3"/>
        <v/>
      </c>
      <c r="C1107" s="9"/>
      <c r="D1107" s="9"/>
      <c r="E1107" s="9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6"/>
      <c r="S1107" s="6"/>
    </row>
    <row r="1108">
      <c r="A1108" s="8"/>
      <c r="B1108" s="8" t="str">
        <f t="shared" si="3"/>
        <v/>
      </c>
      <c r="C1108" s="9"/>
      <c r="D1108" s="9"/>
      <c r="E1108" s="9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6"/>
      <c r="S1108" s="6"/>
    </row>
    <row r="1109">
      <c r="A1109" s="8"/>
      <c r="B1109" s="8" t="str">
        <f t="shared" si="3"/>
        <v/>
      </c>
      <c r="C1109" s="9"/>
      <c r="D1109" s="9"/>
      <c r="E1109" s="9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6"/>
      <c r="S1109" s="6"/>
    </row>
    <row r="1110">
      <c r="A1110" s="8"/>
      <c r="B1110" s="8" t="str">
        <f t="shared" si="3"/>
        <v/>
      </c>
      <c r="C1110" s="9"/>
      <c r="D1110" s="9"/>
      <c r="E1110" s="9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6"/>
      <c r="S1110" s="6"/>
    </row>
    <row r="1111">
      <c r="A1111" s="8"/>
      <c r="B1111" s="8" t="str">
        <f t="shared" si="3"/>
        <v/>
      </c>
      <c r="C1111" s="9"/>
      <c r="D1111" s="9"/>
      <c r="E1111" s="9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6"/>
      <c r="S1111" s="6"/>
    </row>
    <row r="1112">
      <c r="A1112" s="8"/>
      <c r="B1112" s="8" t="str">
        <f t="shared" si="3"/>
        <v/>
      </c>
      <c r="C1112" s="9"/>
      <c r="D1112" s="9"/>
      <c r="E1112" s="9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6"/>
      <c r="S1112" s="6"/>
    </row>
    <row r="1113">
      <c r="A1113" s="8"/>
      <c r="B1113" s="8" t="str">
        <f t="shared" si="3"/>
        <v/>
      </c>
      <c r="C1113" s="9"/>
      <c r="D1113" s="9"/>
      <c r="E1113" s="9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6"/>
      <c r="S1113" s="6"/>
    </row>
    <row r="1114">
      <c r="A1114" s="8"/>
      <c r="B1114" s="8" t="str">
        <f t="shared" si="3"/>
        <v/>
      </c>
      <c r="C1114" s="9"/>
      <c r="D1114" s="9"/>
      <c r="E1114" s="9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6"/>
      <c r="S1114" s="6"/>
    </row>
    <row r="1115">
      <c r="A1115" s="8"/>
      <c r="B1115" s="8" t="str">
        <f t="shared" si="3"/>
        <v/>
      </c>
      <c r="C1115" s="9"/>
      <c r="D1115" s="9"/>
      <c r="E1115" s="9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6"/>
      <c r="S1115" s="6"/>
    </row>
    <row r="1116">
      <c r="A1116" s="8"/>
      <c r="B1116" s="8" t="str">
        <f t="shared" si="3"/>
        <v/>
      </c>
      <c r="C1116" s="9"/>
      <c r="D1116" s="9"/>
      <c r="E1116" s="9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6"/>
      <c r="S1116" s="6"/>
    </row>
    <row r="1117">
      <c r="A1117" s="8"/>
      <c r="B1117" s="8" t="str">
        <f t="shared" si="3"/>
        <v/>
      </c>
      <c r="C1117" s="9"/>
      <c r="D1117" s="9"/>
      <c r="E1117" s="9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6"/>
      <c r="S1117" s="6"/>
    </row>
    <row r="1118">
      <c r="A1118" s="8"/>
      <c r="B1118" s="8" t="str">
        <f t="shared" si="3"/>
        <v/>
      </c>
      <c r="C1118" s="9"/>
      <c r="D1118" s="9"/>
      <c r="E1118" s="9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6"/>
      <c r="S1118" s="6"/>
    </row>
    <row r="1119">
      <c r="A1119" s="8"/>
      <c r="B1119" s="8" t="str">
        <f t="shared" si="3"/>
        <v/>
      </c>
      <c r="C1119" s="9"/>
      <c r="D1119" s="9"/>
      <c r="E1119" s="9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6"/>
      <c r="S1119" s="6"/>
    </row>
    <row r="1120">
      <c r="A1120" s="8"/>
      <c r="B1120" s="8" t="str">
        <f t="shared" si="3"/>
        <v/>
      </c>
      <c r="C1120" s="9"/>
      <c r="D1120" s="9"/>
      <c r="E1120" s="9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6"/>
      <c r="S1120" s="6"/>
    </row>
    <row r="1121">
      <c r="A1121" s="8"/>
      <c r="B1121" s="8" t="str">
        <f t="shared" si="3"/>
        <v/>
      </c>
      <c r="C1121" s="9"/>
      <c r="D1121" s="9"/>
      <c r="E1121" s="9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6"/>
      <c r="S1121" s="6"/>
    </row>
    <row r="1122">
      <c r="A1122" s="8"/>
      <c r="B1122" s="8" t="str">
        <f t="shared" si="3"/>
        <v/>
      </c>
      <c r="C1122" s="9"/>
      <c r="D1122" s="9"/>
      <c r="E1122" s="9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6"/>
      <c r="S1122" s="6"/>
    </row>
    <row r="1123">
      <c r="A1123" s="8"/>
      <c r="B1123" s="8" t="str">
        <f t="shared" si="3"/>
        <v/>
      </c>
      <c r="C1123" s="9"/>
      <c r="D1123" s="9"/>
      <c r="E1123" s="9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6"/>
      <c r="S1123" s="6"/>
    </row>
    <row r="1124">
      <c r="A1124" s="8"/>
      <c r="B1124" s="8" t="str">
        <f t="shared" si="3"/>
        <v/>
      </c>
      <c r="C1124" s="9"/>
      <c r="D1124" s="9"/>
      <c r="E1124" s="9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6"/>
      <c r="S1124" s="6"/>
    </row>
    <row r="1125">
      <c r="A1125" s="8"/>
      <c r="B1125" s="8" t="str">
        <f t="shared" si="3"/>
        <v/>
      </c>
      <c r="C1125" s="9"/>
      <c r="D1125" s="9"/>
      <c r="E1125" s="9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6"/>
      <c r="S1125" s="6"/>
    </row>
    <row r="1126">
      <c r="A1126" s="8"/>
      <c r="B1126" s="8" t="str">
        <f t="shared" si="3"/>
        <v/>
      </c>
      <c r="C1126" s="9"/>
      <c r="D1126" s="9"/>
      <c r="E1126" s="9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6"/>
      <c r="S1126" s="6"/>
    </row>
    <row r="1127">
      <c r="A1127" s="8"/>
      <c r="B1127" s="8" t="str">
        <f t="shared" si="3"/>
        <v/>
      </c>
      <c r="C1127" s="9"/>
      <c r="D1127" s="9"/>
      <c r="E1127" s="9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6"/>
      <c r="S1127" s="6"/>
    </row>
    <row r="1128">
      <c r="A1128" s="8"/>
      <c r="B1128" s="8" t="str">
        <f t="shared" si="3"/>
        <v/>
      </c>
      <c r="C1128" s="9"/>
      <c r="D1128" s="9"/>
      <c r="E1128" s="9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6"/>
      <c r="S1128" s="6"/>
    </row>
    <row r="1129">
      <c r="A1129" s="8"/>
      <c r="B1129" s="8" t="str">
        <f t="shared" si="3"/>
        <v/>
      </c>
      <c r="C1129" s="9"/>
      <c r="D1129" s="9"/>
      <c r="E1129" s="9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6"/>
      <c r="S1129" s="6"/>
    </row>
    <row r="1130">
      <c r="A1130" s="8"/>
      <c r="B1130" s="8" t="str">
        <f t="shared" si="3"/>
        <v/>
      </c>
      <c r="C1130" s="9"/>
      <c r="D1130" s="9"/>
      <c r="E1130" s="9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6"/>
      <c r="S1130" s="6"/>
    </row>
    <row r="1131">
      <c r="A1131" s="8"/>
      <c r="B1131" s="8" t="str">
        <f t="shared" si="3"/>
        <v/>
      </c>
      <c r="C1131" s="9"/>
      <c r="D1131" s="9"/>
      <c r="E1131" s="9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6"/>
      <c r="S1131" s="6"/>
    </row>
    <row r="1132">
      <c r="A1132" s="8"/>
      <c r="B1132" s="8" t="str">
        <f t="shared" si="3"/>
        <v/>
      </c>
      <c r="C1132" s="9"/>
      <c r="D1132" s="9"/>
      <c r="E1132" s="9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6"/>
      <c r="S1132" s="6"/>
    </row>
    <row r="1133">
      <c r="A1133" s="8"/>
      <c r="B1133" s="8" t="str">
        <f t="shared" si="3"/>
        <v/>
      </c>
      <c r="C1133" s="9"/>
      <c r="D1133" s="9"/>
      <c r="E1133" s="9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6"/>
      <c r="S1133" s="6"/>
    </row>
    <row r="1134">
      <c r="A1134" s="8"/>
      <c r="B1134" s="8" t="str">
        <f t="shared" si="3"/>
        <v/>
      </c>
      <c r="C1134" s="9"/>
      <c r="D1134" s="9"/>
      <c r="E1134" s="9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6"/>
      <c r="S1134" s="6"/>
    </row>
    <row r="1135">
      <c r="A1135" s="8"/>
      <c r="B1135" s="8" t="str">
        <f t="shared" si="3"/>
        <v/>
      </c>
      <c r="C1135" s="9"/>
      <c r="D1135" s="9"/>
      <c r="E1135" s="9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6"/>
      <c r="S1135" s="6"/>
    </row>
    <row r="1136">
      <c r="A1136" s="8"/>
      <c r="B1136" s="8" t="str">
        <f t="shared" si="3"/>
        <v/>
      </c>
      <c r="C1136" s="9"/>
      <c r="D1136" s="9"/>
      <c r="E1136" s="9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6"/>
      <c r="S1136" s="6"/>
    </row>
    <row r="1137">
      <c r="A1137" s="8"/>
      <c r="B1137" s="8" t="str">
        <f t="shared" si="3"/>
        <v/>
      </c>
      <c r="C1137" s="9"/>
      <c r="D1137" s="9"/>
      <c r="E1137" s="9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6"/>
      <c r="S1137" s="6"/>
    </row>
    <row r="1138">
      <c r="A1138" s="8"/>
      <c r="B1138" s="8" t="str">
        <f t="shared" si="3"/>
        <v/>
      </c>
      <c r="C1138" s="9"/>
      <c r="D1138" s="9"/>
      <c r="E1138" s="9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6"/>
      <c r="S1138" s="6"/>
    </row>
    <row r="1139">
      <c r="A1139" s="8"/>
      <c r="B1139" s="8" t="str">
        <f t="shared" si="3"/>
        <v/>
      </c>
      <c r="C1139" s="9"/>
      <c r="D1139" s="9"/>
      <c r="E1139" s="9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6"/>
      <c r="S1139" s="6"/>
    </row>
    <row r="1140">
      <c r="A1140" s="8"/>
      <c r="B1140" s="8" t="str">
        <f t="shared" si="3"/>
        <v/>
      </c>
      <c r="C1140" s="9"/>
      <c r="D1140" s="9"/>
      <c r="E1140" s="9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6"/>
      <c r="S1140" s="6"/>
    </row>
    <row r="1141">
      <c r="A1141" s="8"/>
      <c r="B1141" s="8" t="str">
        <f t="shared" si="3"/>
        <v/>
      </c>
      <c r="C1141" s="9"/>
      <c r="D1141" s="9"/>
      <c r="E1141" s="9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6"/>
      <c r="S1141" s="6"/>
    </row>
    <row r="1142">
      <c r="A1142" s="8"/>
      <c r="B1142" s="8" t="str">
        <f t="shared" si="3"/>
        <v/>
      </c>
      <c r="C1142" s="9"/>
      <c r="D1142" s="9"/>
      <c r="E1142" s="9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6"/>
      <c r="S1142" s="6"/>
    </row>
    <row r="1143">
      <c r="A1143" s="8"/>
      <c r="B1143" s="8" t="str">
        <f t="shared" si="3"/>
        <v/>
      </c>
      <c r="C1143" s="9"/>
      <c r="D1143" s="9"/>
      <c r="E1143" s="9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6"/>
      <c r="S1143" s="6"/>
    </row>
    <row r="1144">
      <c r="A1144" s="8"/>
      <c r="B1144" s="8" t="str">
        <f t="shared" si="3"/>
        <v/>
      </c>
      <c r="C1144" s="9"/>
      <c r="D1144" s="9"/>
      <c r="E1144" s="9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6"/>
      <c r="S1144" s="6"/>
    </row>
    <row r="1145">
      <c r="A1145" s="8"/>
      <c r="B1145" s="8" t="str">
        <f t="shared" si="3"/>
        <v/>
      </c>
      <c r="C1145" s="9"/>
      <c r="D1145" s="9"/>
      <c r="E1145" s="9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6"/>
      <c r="S1145" s="6"/>
    </row>
    <row r="1146">
      <c r="A1146" s="8"/>
      <c r="B1146" s="8" t="str">
        <f t="shared" si="3"/>
        <v/>
      </c>
      <c r="C1146" s="9"/>
      <c r="D1146" s="9"/>
      <c r="E1146" s="9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6"/>
      <c r="S1146" s="6"/>
    </row>
    <row r="1147">
      <c r="A1147" s="8"/>
      <c r="B1147" s="8" t="str">
        <f t="shared" si="3"/>
        <v/>
      </c>
      <c r="C1147" s="9"/>
      <c r="D1147" s="9"/>
      <c r="E1147" s="9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6"/>
      <c r="S1147" s="6"/>
    </row>
    <row r="1148">
      <c r="A1148" s="8"/>
      <c r="B1148" s="8" t="str">
        <f t="shared" si="3"/>
        <v/>
      </c>
      <c r="C1148" s="9"/>
      <c r="D1148" s="9"/>
      <c r="E1148" s="9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6"/>
      <c r="S1148" s="6"/>
    </row>
    <row r="1149">
      <c r="A1149" s="8"/>
      <c r="B1149" s="8" t="str">
        <f t="shared" si="3"/>
        <v/>
      </c>
      <c r="C1149" s="9"/>
      <c r="D1149" s="9"/>
      <c r="E1149" s="9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6"/>
      <c r="S1149" s="6"/>
    </row>
    <row r="1150">
      <c r="A1150" s="8"/>
      <c r="B1150" s="8" t="str">
        <f t="shared" si="3"/>
        <v/>
      </c>
      <c r="C1150" s="9"/>
      <c r="D1150" s="9"/>
      <c r="E1150" s="9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6"/>
      <c r="S1150" s="6"/>
    </row>
    <row r="1151">
      <c r="A1151" s="8"/>
      <c r="B1151" s="8" t="str">
        <f t="shared" si="3"/>
        <v/>
      </c>
      <c r="C1151" s="9"/>
      <c r="D1151" s="9"/>
      <c r="E1151" s="9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6"/>
      <c r="S1151" s="6"/>
    </row>
    <row r="1152">
      <c r="A1152" s="8"/>
      <c r="B1152" s="8" t="str">
        <f t="shared" si="3"/>
        <v/>
      </c>
      <c r="C1152" s="9"/>
      <c r="D1152" s="9"/>
      <c r="E1152" s="9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6"/>
      <c r="S1152" s="6"/>
    </row>
    <row r="1153">
      <c r="A1153" s="8"/>
      <c r="B1153" s="8" t="str">
        <f t="shared" si="3"/>
        <v/>
      </c>
      <c r="C1153" s="9"/>
      <c r="D1153" s="9"/>
      <c r="E1153" s="9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6"/>
      <c r="S1153" s="6"/>
    </row>
    <row r="1154">
      <c r="A1154" s="8"/>
      <c r="B1154" s="8" t="str">
        <f t="shared" si="3"/>
        <v/>
      </c>
      <c r="C1154" s="9"/>
      <c r="D1154" s="9"/>
      <c r="E1154" s="9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6"/>
      <c r="S1154" s="6"/>
    </row>
    <row r="1155">
      <c r="A1155" s="8"/>
      <c r="B1155" s="8" t="str">
        <f t="shared" si="3"/>
        <v/>
      </c>
      <c r="C1155" s="9"/>
      <c r="D1155" s="9"/>
      <c r="E1155" s="9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6"/>
      <c r="S1155" s="6"/>
    </row>
    <row r="1156">
      <c r="A1156" s="8"/>
      <c r="B1156" s="8" t="str">
        <f t="shared" si="3"/>
        <v/>
      </c>
      <c r="C1156" s="9"/>
      <c r="D1156" s="9"/>
      <c r="E1156" s="9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6"/>
      <c r="S1156" s="6"/>
    </row>
    <row r="1157">
      <c r="A1157" s="8"/>
      <c r="B1157" s="8" t="str">
        <f t="shared" si="3"/>
        <v/>
      </c>
      <c r="C1157" s="9"/>
      <c r="D1157" s="9"/>
      <c r="E1157" s="9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6"/>
      <c r="S1157" s="6"/>
    </row>
    <row r="1158">
      <c r="A1158" s="8"/>
      <c r="B1158" s="8" t="str">
        <f t="shared" si="3"/>
        <v/>
      </c>
      <c r="C1158" s="9"/>
      <c r="D1158" s="9"/>
      <c r="E1158" s="9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6"/>
      <c r="S1158" s="6"/>
    </row>
    <row r="1159">
      <c r="A1159" s="8"/>
      <c r="B1159" s="8" t="str">
        <f t="shared" si="3"/>
        <v/>
      </c>
      <c r="C1159" s="9"/>
      <c r="D1159" s="9"/>
      <c r="E1159" s="9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6"/>
      <c r="S1159" s="6"/>
    </row>
    <row r="1160">
      <c r="A1160" s="8"/>
      <c r="B1160" s="8" t="str">
        <f t="shared" si="3"/>
        <v/>
      </c>
      <c r="C1160" s="9"/>
      <c r="D1160" s="9"/>
      <c r="E1160" s="9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6"/>
      <c r="S1160" s="6"/>
    </row>
    <row r="1161">
      <c r="A1161" s="8"/>
      <c r="B1161" s="8" t="str">
        <f t="shared" si="3"/>
        <v/>
      </c>
      <c r="C1161" s="9"/>
      <c r="D1161" s="9"/>
      <c r="E1161" s="9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6"/>
      <c r="S1161" s="6"/>
    </row>
    <row r="1162">
      <c r="A1162" s="8"/>
      <c r="B1162" s="8" t="str">
        <f t="shared" si="3"/>
        <v/>
      </c>
      <c r="C1162" s="9"/>
      <c r="D1162" s="9"/>
      <c r="E1162" s="9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6"/>
      <c r="S1162" s="6"/>
    </row>
    <row r="1163">
      <c r="A1163" s="8"/>
      <c r="B1163" s="8" t="str">
        <f t="shared" si="3"/>
        <v/>
      </c>
      <c r="C1163" s="9"/>
      <c r="D1163" s="9"/>
      <c r="E1163" s="9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6"/>
      <c r="S1163" s="6"/>
    </row>
    <row r="1164">
      <c r="A1164" s="8"/>
      <c r="B1164" s="8" t="str">
        <f t="shared" si="3"/>
        <v/>
      </c>
      <c r="C1164" s="9"/>
      <c r="D1164" s="9"/>
      <c r="E1164" s="9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6"/>
      <c r="S1164" s="6"/>
    </row>
    <row r="1165">
      <c r="A1165" s="8"/>
      <c r="B1165" s="8" t="str">
        <f t="shared" si="3"/>
        <v/>
      </c>
      <c r="C1165" s="9"/>
      <c r="D1165" s="9"/>
      <c r="E1165" s="9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6"/>
      <c r="S1165" s="6"/>
    </row>
    <row r="1166">
      <c r="A1166" s="8"/>
      <c r="B1166" s="8" t="str">
        <f t="shared" si="3"/>
        <v/>
      </c>
      <c r="C1166" s="9"/>
      <c r="D1166" s="9"/>
      <c r="E1166" s="9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6"/>
      <c r="S1166" s="6"/>
    </row>
    <row r="1167">
      <c r="A1167" s="8"/>
      <c r="B1167" s="8" t="str">
        <f t="shared" si="3"/>
        <v/>
      </c>
      <c r="C1167" s="9"/>
      <c r="D1167" s="9"/>
      <c r="E1167" s="9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6"/>
      <c r="S1167" s="6"/>
    </row>
    <row r="1168">
      <c r="A1168" s="8"/>
      <c r="B1168" s="8" t="str">
        <f t="shared" si="3"/>
        <v/>
      </c>
      <c r="C1168" s="9"/>
      <c r="D1168" s="9"/>
      <c r="E1168" s="9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6"/>
      <c r="S1168" s="6"/>
    </row>
    <row r="1169">
      <c r="A1169" s="8"/>
      <c r="B1169" s="8" t="str">
        <f t="shared" si="3"/>
        <v/>
      </c>
      <c r="C1169" s="9"/>
      <c r="D1169" s="9"/>
      <c r="E1169" s="9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6"/>
      <c r="S1169" s="6"/>
    </row>
    <row r="1170">
      <c r="A1170" s="8"/>
      <c r="B1170" s="8" t="str">
        <f t="shared" si="3"/>
        <v/>
      </c>
      <c r="C1170" s="9"/>
      <c r="D1170" s="9"/>
      <c r="E1170" s="9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6"/>
      <c r="S1170" s="6"/>
    </row>
    <row r="1171">
      <c r="A1171" s="8"/>
      <c r="B1171" s="8" t="str">
        <f t="shared" si="3"/>
        <v/>
      </c>
      <c r="C1171" s="9"/>
      <c r="D1171" s="9"/>
      <c r="E1171" s="9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6"/>
      <c r="S1171" s="6"/>
    </row>
    <row r="1172">
      <c r="A1172" s="8"/>
      <c r="B1172" s="8" t="str">
        <f t="shared" si="3"/>
        <v/>
      </c>
      <c r="C1172" s="9"/>
      <c r="D1172" s="9"/>
      <c r="E1172" s="9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6"/>
      <c r="S1172" s="6"/>
    </row>
    <row r="1173">
      <c r="A1173" s="8"/>
      <c r="B1173" s="8" t="str">
        <f t="shared" si="3"/>
        <v/>
      </c>
      <c r="C1173" s="9"/>
      <c r="D1173" s="9"/>
      <c r="E1173" s="9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6"/>
      <c r="S1173" s="6"/>
    </row>
    <row r="1174">
      <c r="A1174" s="8"/>
      <c r="B1174" s="8" t="str">
        <f t="shared" si="3"/>
        <v/>
      </c>
      <c r="C1174" s="9"/>
      <c r="D1174" s="9"/>
      <c r="E1174" s="9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6"/>
      <c r="S1174" s="6"/>
    </row>
    <row r="1175">
      <c r="A1175" s="8"/>
      <c r="B1175" s="8" t="str">
        <f t="shared" si="3"/>
        <v/>
      </c>
      <c r="C1175" s="9"/>
      <c r="D1175" s="9"/>
      <c r="E1175" s="9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6"/>
      <c r="S1175" s="6"/>
    </row>
    <row r="1176">
      <c r="A1176" s="8"/>
      <c r="B1176" s="8" t="str">
        <f t="shared" si="3"/>
        <v/>
      </c>
      <c r="C1176" s="9"/>
      <c r="D1176" s="9"/>
      <c r="E1176" s="9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6"/>
      <c r="S1176" s="6"/>
    </row>
    <row r="1177">
      <c r="A1177" s="8"/>
      <c r="B1177" s="8" t="str">
        <f t="shared" si="3"/>
        <v/>
      </c>
      <c r="C1177" s="9"/>
      <c r="D1177" s="9"/>
      <c r="E1177" s="9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6"/>
      <c r="S1177" s="6"/>
    </row>
    <row r="1178">
      <c r="A1178" s="8"/>
      <c r="B1178" s="8" t="str">
        <f t="shared" si="3"/>
        <v/>
      </c>
      <c r="C1178" s="9"/>
      <c r="D1178" s="9"/>
      <c r="E1178" s="9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6"/>
      <c r="S1178" s="6"/>
    </row>
    <row r="1179">
      <c r="A1179" s="8"/>
      <c r="B1179" s="8" t="str">
        <f t="shared" si="3"/>
        <v/>
      </c>
      <c r="C1179" s="9"/>
      <c r="D1179" s="9"/>
      <c r="E1179" s="9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6"/>
      <c r="S1179" s="6"/>
    </row>
    <row r="1180">
      <c r="A1180" s="8"/>
      <c r="B1180" s="8" t="str">
        <f t="shared" si="3"/>
        <v/>
      </c>
      <c r="C1180" s="9"/>
      <c r="D1180" s="9"/>
      <c r="E1180" s="9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6"/>
      <c r="S1180" s="6"/>
    </row>
    <row r="1181">
      <c r="A1181" s="8"/>
      <c r="B1181" s="8" t="str">
        <f t="shared" si="3"/>
        <v/>
      </c>
      <c r="C1181" s="9"/>
      <c r="D1181" s="9"/>
      <c r="E1181" s="9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6"/>
      <c r="S1181" s="6"/>
    </row>
    <row r="1182">
      <c r="A1182" s="8"/>
      <c r="B1182" s="8" t="str">
        <f t="shared" si="3"/>
        <v/>
      </c>
      <c r="C1182" s="9"/>
      <c r="D1182" s="9"/>
      <c r="E1182" s="9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6"/>
      <c r="S1182" s="6"/>
    </row>
    <row r="1183">
      <c r="A1183" s="8"/>
      <c r="B1183" s="8" t="str">
        <f t="shared" si="3"/>
        <v/>
      </c>
      <c r="C1183" s="9"/>
      <c r="D1183" s="9"/>
      <c r="E1183" s="9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6"/>
      <c r="S1183" s="6"/>
    </row>
    <row r="1184">
      <c r="A1184" s="8"/>
      <c r="B1184" s="8" t="str">
        <f t="shared" si="3"/>
        <v/>
      </c>
      <c r="C1184" s="9"/>
      <c r="D1184" s="9"/>
      <c r="E1184" s="9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6"/>
      <c r="S1184" s="6"/>
    </row>
    <row r="1185">
      <c r="A1185" s="8"/>
      <c r="B1185" s="8" t="str">
        <f t="shared" si="3"/>
        <v/>
      </c>
      <c r="C1185" s="9"/>
      <c r="D1185" s="9"/>
      <c r="E1185" s="9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6"/>
      <c r="S1185" s="6"/>
    </row>
    <row r="1186">
      <c r="A1186" s="8"/>
      <c r="B1186" s="8" t="str">
        <f t="shared" si="3"/>
        <v/>
      </c>
      <c r="C1186" s="9"/>
      <c r="D1186" s="9"/>
      <c r="E1186" s="9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6"/>
      <c r="S1186" s="6"/>
    </row>
    <row r="1187">
      <c r="A1187" s="8"/>
      <c r="B1187" s="8" t="str">
        <f t="shared" si="3"/>
        <v/>
      </c>
      <c r="C1187" s="9"/>
      <c r="D1187" s="9"/>
      <c r="E1187" s="9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6"/>
      <c r="S1187" s="6"/>
    </row>
    <row r="1188">
      <c r="A1188" s="8"/>
      <c r="B1188" s="8" t="str">
        <f t="shared" si="3"/>
        <v/>
      </c>
      <c r="C1188" s="9"/>
      <c r="D1188" s="9"/>
      <c r="E1188" s="9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6"/>
      <c r="S1188" s="6"/>
    </row>
    <row r="1189">
      <c r="A1189" s="8"/>
      <c r="B1189" s="8" t="str">
        <f t="shared" si="3"/>
        <v/>
      </c>
      <c r="C1189" s="9"/>
      <c r="D1189" s="9"/>
      <c r="E1189" s="9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6"/>
      <c r="S1189" s="6"/>
    </row>
    <row r="1190">
      <c r="A1190" s="8"/>
      <c r="B1190" s="8" t="str">
        <f t="shared" si="3"/>
        <v/>
      </c>
      <c r="C1190" s="9"/>
      <c r="D1190" s="9"/>
      <c r="E1190" s="9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6"/>
      <c r="S1190" s="6"/>
    </row>
    <row r="1191">
      <c r="A1191" s="8"/>
      <c r="B1191" s="8" t="str">
        <f t="shared" si="3"/>
        <v/>
      </c>
      <c r="C1191" s="9"/>
      <c r="D1191" s="9"/>
      <c r="E1191" s="9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6"/>
      <c r="S1191" s="6"/>
    </row>
    <row r="1192">
      <c r="A1192" s="8"/>
      <c r="B1192" s="8" t="str">
        <f t="shared" si="3"/>
        <v/>
      </c>
      <c r="C1192" s="9"/>
      <c r="D1192" s="9"/>
      <c r="E1192" s="9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6"/>
      <c r="S1192" s="6"/>
    </row>
    <row r="1193">
      <c r="A1193" s="8"/>
      <c r="B1193" s="8" t="str">
        <f t="shared" si="3"/>
        <v/>
      </c>
      <c r="C1193" s="9"/>
      <c r="D1193" s="9"/>
      <c r="E1193" s="9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6"/>
      <c r="S1193" s="6"/>
    </row>
    <row r="1194">
      <c r="A1194" s="8"/>
      <c r="B1194" s="8" t="str">
        <f t="shared" si="3"/>
        <v/>
      </c>
      <c r="C1194" s="9"/>
      <c r="D1194" s="9"/>
      <c r="E1194" s="9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6"/>
      <c r="S1194" s="6"/>
    </row>
    <row r="1195">
      <c r="A1195" s="8"/>
      <c r="B1195" s="8" t="str">
        <f t="shared" si="3"/>
        <v/>
      </c>
      <c r="C1195" s="9"/>
      <c r="D1195" s="9"/>
      <c r="E1195" s="9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6"/>
      <c r="S1195" s="6"/>
    </row>
    <row r="1196">
      <c r="A1196" s="8"/>
      <c r="B1196" s="8" t="str">
        <f t="shared" si="3"/>
        <v/>
      </c>
      <c r="C1196" s="9"/>
      <c r="D1196" s="9"/>
      <c r="E1196" s="9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6"/>
      <c r="S1196" s="6"/>
    </row>
    <row r="1197">
      <c r="A1197" s="8"/>
      <c r="B1197" s="8" t="str">
        <f t="shared" si="3"/>
        <v/>
      </c>
      <c r="C1197" s="9"/>
      <c r="D1197" s="9"/>
      <c r="E1197" s="9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6"/>
      <c r="S1197" s="6"/>
    </row>
    <row r="1198">
      <c r="A1198" s="8"/>
      <c r="B1198" s="8" t="str">
        <f t="shared" si="3"/>
        <v/>
      </c>
      <c r="C1198" s="9"/>
      <c r="D1198" s="9"/>
      <c r="E1198" s="9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6"/>
      <c r="S1198" s="6"/>
    </row>
    <row r="1199">
      <c r="A1199" s="8"/>
      <c r="B1199" s="8" t="str">
        <f t="shared" si="3"/>
        <v/>
      </c>
      <c r="C1199" s="9"/>
      <c r="D1199" s="9"/>
      <c r="E1199" s="9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6"/>
      <c r="S1199" s="6"/>
    </row>
    <row r="1200">
      <c r="A1200" s="8"/>
      <c r="B1200" s="8" t="str">
        <f t="shared" si="3"/>
        <v/>
      </c>
      <c r="C1200" s="9"/>
      <c r="D1200" s="9"/>
      <c r="E1200" s="9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6"/>
      <c r="S1200" s="6"/>
    </row>
    <row r="1201">
      <c r="A1201" s="8"/>
      <c r="B1201" s="8" t="str">
        <f t="shared" si="3"/>
        <v/>
      </c>
      <c r="C1201" s="9"/>
      <c r="D1201" s="9"/>
      <c r="E1201" s="9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6"/>
      <c r="S1201" s="6"/>
    </row>
    <row r="1202">
      <c r="A1202" s="8"/>
      <c r="B1202" s="8" t="str">
        <f t="shared" si="3"/>
        <v/>
      </c>
      <c r="C1202" s="9"/>
      <c r="D1202" s="9"/>
      <c r="E1202" s="9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6"/>
      <c r="S1202" s="6"/>
    </row>
    <row r="1203">
      <c r="A1203" s="8"/>
      <c r="B1203" s="8" t="str">
        <f t="shared" si="3"/>
        <v/>
      </c>
      <c r="C1203" s="9"/>
      <c r="D1203" s="9"/>
      <c r="E1203" s="9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6"/>
      <c r="S1203" s="6"/>
    </row>
    <row r="1204">
      <c r="A1204" s="8"/>
      <c r="B1204" s="8" t="str">
        <f t="shared" si="3"/>
        <v/>
      </c>
      <c r="C1204" s="9"/>
      <c r="D1204" s="9"/>
      <c r="E1204" s="9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6"/>
      <c r="S1204" s="6"/>
    </row>
    <row r="1205">
      <c r="A1205" s="8"/>
      <c r="B1205" s="8" t="str">
        <f t="shared" si="3"/>
        <v/>
      </c>
      <c r="C1205" s="9"/>
      <c r="D1205" s="9"/>
      <c r="E1205" s="9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6"/>
      <c r="S1205" s="6"/>
    </row>
    <row r="1206">
      <c r="A1206" s="8"/>
      <c r="B1206" s="8" t="str">
        <f t="shared" si="3"/>
        <v/>
      </c>
      <c r="C1206" s="9"/>
      <c r="D1206" s="9"/>
      <c r="E1206" s="9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6"/>
      <c r="S1206" s="6"/>
    </row>
    <row r="1207">
      <c r="A1207" s="8"/>
      <c r="B1207" s="8" t="str">
        <f t="shared" si="3"/>
        <v/>
      </c>
      <c r="C1207" s="9"/>
      <c r="D1207" s="9"/>
      <c r="E1207" s="9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6"/>
      <c r="S1207" s="6"/>
    </row>
    <row r="1208">
      <c r="A1208" s="8"/>
      <c r="B1208" s="8" t="str">
        <f t="shared" si="3"/>
        <v/>
      </c>
      <c r="C1208" s="9"/>
      <c r="D1208" s="9"/>
      <c r="E1208" s="9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6"/>
      <c r="S1208" s="6"/>
    </row>
    <row r="1209">
      <c r="A1209" s="8"/>
      <c r="B1209" s="8" t="str">
        <f t="shared" si="3"/>
        <v/>
      </c>
      <c r="C1209" s="9"/>
      <c r="D1209" s="9"/>
      <c r="E1209" s="9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6"/>
      <c r="S1209" s="6"/>
    </row>
    <row r="1210">
      <c r="A1210" s="8"/>
      <c r="B1210" s="8" t="str">
        <f t="shared" si="3"/>
        <v/>
      </c>
      <c r="C1210" s="9"/>
      <c r="D1210" s="9"/>
      <c r="E1210" s="9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6"/>
      <c r="S1210" s="6"/>
    </row>
    <row r="1211">
      <c r="A1211" s="8"/>
      <c r="B1211" s="8" t="str">
        <f t="shared" si="3"/>
        <v/>
      </c>
      <c r="C1211" s="9"/>
      <c r="D1211" s="9"/>
      <c r="E1211" s="9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6"/>
      <c r="S1211" s="6"/>
    </row>
    <row r="1212">
      <c r="A1212" s="8"/>
      <c r="B1212" s="8" t="str">
        <f t="shared" si="3"/>
        <v/>
      </c>
      <c r="C1212" s="9"/>
      <c r="D1212" s="9"/>
      <c r="E1212" s="9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6"/>
      <c r="S1212" s="6"/>
    </row>
    <row r="1213">
      <c r="A1213" s="8"/>
      <c r="B1213" s="8" t="str">
        <f t="shared" si="3"/>
        <v/>
      </c>
      <c r="C1213" s="9"/>
      <c r="D1213" s="9"/>
      <c r="E1213" s="9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6"/>
      <c r="S1213" s="6"/>
    </row>
    <row r="1214">
      <c r="A1214" s="8"/>
      <c r="B1214" s="8" t="str">
        <f t="shared" si="3"/>
        <v/>
      </c>
      <c r="C1214" s="9"/>
      <c r="D1214" s="9"/>
      <c r="E1214" s="9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6"/>
      <c r="S1214" s="6"/>
    </row>
    <row r="1215">
      <c r="A1215" s="8"/>
      <c r="B1215" s="8" t="str">
        <f t="shared" si="3"/>
        <v/>
      </c>
      <c r="C1215" s="9"/>
      <c r="D1215" s="9"/>
      <c r="E1215" s="9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6"/>
      <c r="S1215" s="6"/>
    </row>
    <row r="1216">
      <c r="A1216" s="8"/>
      <c r="B1216" s="8" t="str">
        <f t="shared" si="3"/>
        <v/>
      </c>
      <c r="C1216" s="9"/>
      <c r="D1216" s="9"/>
      <c r="E1216" s="9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6"/>
      <c r="S1216" s="6"/>
    </row>
    <row r="1217">
      <c r="A1217" s="8"/>
      <c r="B1217" s="8" t="str">
        <f t="shared" si="3"/>
        <v/>
      </c>
      <c r="C1217" s="9"/>
      <c r="D1217" s="9"/>
      <c r="E1217" s="9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6"/>
      <c r="S1217" s="6"/>
    </row>
    <row r="1218">
      <c r="A1218" s="8"/>
      <c r="B1218" s="8" t="str">
        <f t="shared" si="3"/>
        <v/>
      </c>
      <c r="C1218" s="9"/>
      <c r="D1218" s="9"/>
      <c r="E1218" s="9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6"/>
      <c r="S1218" s="6"/>
    </row>
    <row r="1219">
      <c r="A1219" s="8"/>
      <c r="B1219" s="8" t="str">
        <f t="shared" si="3"/>
        <v/>
      </c>
      <c r="C1219" s="9"/>
      <c r="D1219" s="9"/>
      <c r="E1219" s="9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6"/>
      <c r="S1219" s="6"/>
    </row>
    <row r="1220">
      <c r="A1220" s="8"/>
      <c r="B1220" s="8" t="str">
        <f t="shared" si="3"/>
        <v/>
      </c>
      <c r="C1220" s="9"/>
      <c r="D1220" s="9"/>
      <c r="E1220" s="9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6"/>
      <c r="S1220" s="6"/>
    </row>
    <row r="1221">
      <c r="A1221" s="8"/>
      <c r="B1221" s="8" t="str">
        <f t="shared" si="3"/>
        <v/>
      </c>
      <c r="C1221" s="9"/>
      <c r="D1221" s="9"/>
      <c r="E1221" s="9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6"/>
      <c r="S1221" s="6"/>
    </row>
    <row r="1222">
      <c r="A1222" s="8"/>
      <c r="B1222" s="8" t="str">
        <f t="shared" si="3"/>
        <v/>
      </c>
      <c r="C1222" s="9"/>
      <c r="D1222" s="9"/>
      <c r="E1222" s="9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6"/>
      <c r="S1222" s="6"/>
    </row>
    <row r="1223">
      <c r="A1223" s="8"/>
      <c r="B1223" s="8" t="str">
        <f t="shared" si="3"/>
        <v/>
      </c>
      <c r="C1223" s="9"/>
      <c r="D1223" s="9"/>
      <c r="E1223" s="9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6"/>
      <c r="S1223" s="6"/>
    </row>
    <row r="1224">
      <c r="A1224" s="8"/>
      <c r="B1224" s="8" t="str">
        <f t="shared" si="3"/>
        <v/>
      </c>
      <c r="C1224" s="9"/>
      <c r="D1224" s="9"/>
      <c r="E1224" s="9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6"/>
      <c r="S1224" s="6"/>
    </row>
    <row r="1225">
      <c r="A1225" s="8"/>
      <c r="B1225" s="8" t="str">
        <f t="shared" si="3"/>
        <v/>
      </c>
      <c r="C1225" s="9"/>
      <c r="D1225" s="9"/>
      <c r="E1225" s="9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6"/>
      <c r="S1225" s="6"/>
    </row>
    <row r="1226">
      <c r="A1226" s="8"/>
      <c r="B1226" s="8" t="str">
        <f t="shared" si="3"/>
        <v/>
      </c>
      <c r="C1226" s="9"/>
      <c r="D1226" s="9"/>
      <c r="E1226" s="9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6"/>
      <c r="S1226" s="6"/>
    </row>
    <row r="1227">
      <c r="A1227" s="8"/>
      <c r="B1227" s="8" t="str">
        <f t="shared" si="3"/>
        <v/>
      </c>
      <c r="C1227" s="9"/>
      <c r="D1227" s="9"/>
      <c r="E1227" s="9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6"/>
      <c r="S1227" s="6"/>
    </row>
    <row r="1228">
      <c r="A1228" s="8"/>
      <c r="B1228" s="8" t="str">
        <f t="shared" si="3"/>
        <v/>
      </c>
      <c r="C1228" s="9"/>
      <c r="D1228" s="9"/>
      <c r="E1228" s="9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6"/>
      <c r="S1228" s="6"/>
    </row>
    <row r="1229">
      <c r="A1229" s="8"/>
      <c r="B1229" s="8" t="str">
        <f t="shared" si="3"/>
        <v/>
      </c>
      <c r="C1229" s="9"/>
      <c r="D1229" s="9"/>
      <c r="E1229" s="9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6"/>
      <c r="S1229" s="6"/>
    </row>
    <row r="1230">
      <c r="A1230" s="8"/>
      <c r="B1230" s="8" t="str">
        <f t="shared" si="3"/>
        <v/>
      </c>
      <c r="C1230" s="9"/>
      <c r="D1230" s="9"/>
      <c r="E1230" s="9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6"/>
      <c r="S1230" s="6"/>
    </row>
    <row r="1231">
      <c r="A1231" s="8"/>
      <c r="B1231" s="8" t="str">
        <f t="shared" si="3"/>
        <v/>
      </c>
      <c r="C1231" s="9"/>
      <c r="D1231" s="9"/>
      <c r="E1231" s="9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6"/>
      <c r="S1231" s="6"/>
    </row>
    <row r="1232">
      <c r="A1232" s="8"/>
      <c r="B1232" s="8" t="str">
        <f t="shared" si="3"/>
        <v/>
      </c>
      <c r="C1232" s="9"/>
      <c r="D1232" s="9"/>
      <c r="E1232" s="9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6"/>
      <c r="S1232" s="6"/>
    </row>
    <row r="1233">
      <c r="A1233" s="8"/>
      <c r="B1233" s="8" t="str">
        <f t="shared" si="3"/>
        <v/>
      </c>
      <c r="C1233" s="9"/>
      <c r="D1233" s="9"/>
      <c r="E1233" s="9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6"/>
      <c r="S1233" s="6"/>
    </row>
    <row r="1234">
      <c r="A1234" s="8"/>
      <c r="B1234" s="8" t="str">
        <f t="shared" si="3"/>
        <v/>
      </c>
      <c r="C1234" s="9"/>
      <c r="D1234" s="9"/>
      <c r="E1234" s="9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6"/>
      <c r="S1234" s="6"/>
    </row>
    <row r="1235">
      <c r="A1235" s="8"/>
      <c r="B1235" s="8" t="str">
        <f t="shared" si="3"/>
        <v/>
      </c>
      <c r="C1235" s="9"/>
      <c r="D1235" s="9"/>
      <c r="E1235" s="9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6"/>
      <c r="S1235" s="6"/>
    </row>
    <row r="1236">
      <c r="A1236" s="8"/>
      <c r="B1236" s="8" t="str">
        <f t="shared" si="3"/>
        <v/>
      </c>
      <c r="C1236" s="9"/>
      <c r="D1236" s="9"/>
      <c r="E1236" s="9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6"/>
      <c r="S1236" s="6"/>
    </row>
    <row r="1237">
      <c r="A1237" s="8"/>
      <c r="B1237" s="8" t="str">
        <f t="shared" si="3"/>
        <v/>
      </c>
      <c r="C1237" s="9"/>
      <c r="D1237" s="9"/>
      <c r="E1237" s="9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6"/>
      <c r="S1237" s="6"/>
    </row>
    <row r="1238">
      <c r="A1238" s="8"/>
      <c r="B1238" s="8" t="str">
        <f t="shared" si="3"/>
        <v/>
      </c>
      <c r="C1238" s="9"/>
      <c r="D1238" s="9"/>
      <c r="E1238" s="9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6"/>
      <c r="S1238" s="6"/>
    </row>
    <row r="1239">
      <c r="A1239" s="8"/>
      <c r="B1239" s="8" t="str">
        <f t="shared" si="3"/>
        <v/>
      </c>
      <c r="C1239" s="9"/>
      <c r="D1239" s="9"/>
      <c r="E1239" s="9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6"/>
      <c r="S1239" s="6"/>
    </row>
    <row r="1240">
      <c r="A1240" s="8"/>
      <c r="B1240" s="8" t="str">
        <f t="shared" si="3"/>
        <v/>
      </c>
      <c r="C1240" s="9"/>
      <c r="D1240" s="9"/>
      <c r="E1240" s="9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6"/>
      <c r="S1240" s="6"/>
    </row>
    <row r="1241">
      <c r="A1241" s="8"/>
      <c r="B1241" s="8" t="str">
        <f t="shared" si="3"/>
        <v/>
      </c>
      <c r="C1241" s="9"/>
      <c r="D1241" s="9"/>
      <c r="E1241" s="9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6"/>
      <c r="S1241" s="6"/>
    </row>
    <row r="1242">
      <c r="A1242" s="8"/>
      <c r="B1242" s="8" t="str">
        <f t="shared" si="3"/>
        <v/>
      </c>
      <c r="C1242" s="9"/>
      <c r="D1242" s="9"/>
      <c r="E1242" s="9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6"/>
      <c r="S1242" s="6"/>
    </row>
    <row r="1243">
      <c r="A1243" s="8"/>
      <c r="B1243" s="8" t="str">
        <f t="shared" si="3"/>
        <v/>
      </c>
      <c r="C1243" s="9"/>
      <c r="D1243" s="9"/>
      <c r="E1243" s="9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6"/>
      <c r="S1243" s="6"/>
    </row>
    <row r="1244">
      <c r="A1244" s="8"/>
      <c r="B1244" s="8" t="str">
        <f t="shared" si="3"/>
        <v/>
      </c>
      <c r="C1244" s="9"/>
      <c r="D1244" s="9"/>
      <c r="E1244" s="9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6"/>
      <c r="S1244" s="6"/>
    </row>
    <row r="1245">
      <c r="A1245" s="8"/>
      <c r="B1245" s="8" t="str">
        <f t="shared" si="3"/>
        <v/>
      </c>
      <c r="C1245" s="9"/>
      <c r="D1245" s="9"/>
      <c r="E1245" s="9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6"/>
      <c r="S1245" s="6"/>
    </row>
    <row r="1246">
      <c r="A1246" s="8"/>
      <c r="B1246" s="8" t="str">
        <f t="shared" si="3"/>
        <v/>
      </c>
      <c r="C1246" s="9"/>
      <c r="D1246" s="9"/>
      <c r="E1246" s="9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6"/>
      <c r="S1246" s="6"/>
    </row>
    <row r="1247">
      <c r="A1247" s="8"/>
      <c r="B1247" s="8" t="str">
        <f t="shared" si="3"/>
        <v/>
      </c>
      <c r="C1247" s="9"/>
      <c r="D1247" s="9"/>
      <c r="E1247" s="9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6"/>
      <c r="S1247" s="6"/>
    </row>
    <row r="1248">
      <c r="A1248" s="8"/>
      <c r="B1248" s="8" t="str">
        <f t="shared" si="3"/>
        <v/>
      </c>
      <c r="C1248" s="9"/>
      <c r="D1248" s="9"/>
      <c r="E1248" s="9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6"/>
      <c r="S1248" s="6"/>
    </row>
    <row r="1249">
      <c r="A1249" s="8"/>
      <c r="B1249" s="8" t="str">
        <f t="shared" si="3"/>
        <v/>
      </c>
      <c r="C1249" s="9"/>
      <c r="D1249" s="9"/>
      <c r="E1249" s="9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6"/>
      <c r="S1249" s="6"/>
    </row>
    <row r="1250">
      <c r="A1250" s="8"/>
      <c r="B1250" s="8" t="str">
        <f t="shared" si="3"/>
        <v/>
      </c>
      <c r="C1250" s="9"/>
      <c r="D1250" s="9"/>
      <c r="E1250" s="9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6"/>
      <c r="S1250" s="6"/>
    </row>
    <row r="1251">
      <c r="A1251" s="8"/>
      <c r="B1251" s="8" t="str">
        <f t="shared" si="3"/>
        <v/>
      </c>
      <c r="C1251" s="9"/>
      <c r="D1251" s="9"/>
      <c r="E1251" s="9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6"/>
      <c r="S1251" s="6"/>
    </row>
    <row r="1252">
      <c r="A1252" s="8"/>
      <c r="B1252" s="8" t="str">
        <f t="shared" si="3"/>
        <v/>
      </c>
      <c r="C1252" s="9"/>
      <c r="D1252" s="9"/>
      <c r="E1252" s="9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6"/>
      <c r="S1252" s="6"/>
    </row>
    <row r="1253">
      <c r="A1253" s="8"/>
      <c r="B1253" s="8" t="str">
        <f t="shared" si="3"/>
        <v/>
      </c>
      <c r="C1253" s="9"/>
      <c r="D1253" s="9"/>
      <c r="E1253" s="9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6"/>
      <c r="S1253" s="6"/>
    </row>
    <row r="1254">
      <c r="A1254" s="8"/>
      <c r="B1254" s="8" t="str">
        <f t="shared" si="3"/>
        <v/>
      </c>
      <c r="C1254" s="9"/>
      <c r="D1254" s="9"/>
      <c r="E1254" s="9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6"/>
      <c r="S1254" s="6"/>
    </row>
    <row r="1255">
      <c r="A1255" s="8"/>
      <c r="B1255" s="8" t="str">
        <f t="shared" si="3"/>
        <v/>
      </c>
      <c r="C1255" s="9"/>
      <c r="D1255" s="9"/>
      <c r="E1255" s="9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6"/>
      <c r="S1255" s="6"/>
    </row>
    <row r="1256">
      <c r="A1256" s="8"/>
      <c r="B1256" s="8" t="str">
        <f t="shared" si="3"/>
        <v/>
      </c>
      <c r="C1256" s="9"/>
      <c r="D1256" s="9"/>
      <c r="E1256" s="9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6"/>
      <c r="S1256" s="6"/>
    </row>
    <row r="1257">
      <c r="A1257" s="8"/>
      <c r="B1257" s="8" t="str">
        <f t="shared" si="3"/>
        <v/>
      </c>
      <c r="C1257" s="9"/>
      <c r="D1257" s="9"/>
      <c r="E1257" s="9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6"/>
      <c r="S1257" s="6"/>
    </row>
    <row r="1258">
      <c r="A1258" s="8"/>
      <c r="B1258" s="8" t="str">
        <f t="shared" si="3"/>
        <v/>
      </c>
      <c r="C1258" s="9"/>
      <c r="D1258" s="9"/>
      <c r="E1258" s="9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6"/>
      <c r="S1258" s="6"/>
    </row>
    <row r="1259">
      <c r="A1259" s="8"/>
      <c r="B1259" s="8" t="str">
        <f t="shared" si="3"/>
        <v/>
      </c>
      <c r="C1259" s="9"/>
      <c r="D1259" s="9"/>
      <c r="E1259" s="9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6"/>
      <c r="S1259" s="6"/>
    </row>
    <row r="1260">
      <c r="A1260" s="8"/>
      <c r="B1260" s="8" t="str">
        <f t="shared" si="3"/>
        <v/>
      </c>
      <c r="C1260" s="9"/>
      <c r="D1260" s="9"/>
      <c r="E1260" s="9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6"/>
      <c r="S1260" s="6"/>
    </row>
    <row r="1261">
      <c r="A1261" s="8"/>
      <c r="B1261" s="8" t="str">
        <f t="shared" si="3"/>
        <v/>
      </c>
      <c r="C1261" s="9"/>
      <c r="D1261" s="9"/>
      <c r="E1261" s="9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6"/>
      <c r="S1261" s="6"/>
    </row>
    <row r="1262">
      <c r="A1262" s="8"/>
      <c r="B1262" s="8" t="str">
        <f t="shared" si="3"/>
        <v/>
      </c>
      <c r="C1262" s="9"/>
      <c r="D1262" s="9"/>
      <c r="E1262" s="9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6"/>
      <c r="S1262" s="6"/>
    </row>
    <row r="1263">
      <c r="A1263" s="8"/>
      <c r="B1263" s="8" t="str">
        <f t="shared" si="3"/>
        <v/>
      </c>
      <c r="C1263" s="9"/>
      <c r="D1263" s="9"/>
      <c r="E1263" s="9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6"/>
      <c r="S1263" s="6"/>
    </row>
    <row r="1264">
      <c r="A1264" s="8"/>
      <c r="B1264" s="8" t="str">
        <f t="shared" si="3"/>
        <v/>
      </c>
      <c r="C1264" s="9"/>
      <c r="D1264" s="9"/>
      <c r="E1264" s="9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6"/>
      <c r="S1264" s="6"/>
    </row>
    <row r="1265">
      <c r="A1265" s="8"/>
      <c r="B1265" s="8" t="str">
        <f t="shared" si="3"/>
        <v/>
      </c>
      <c r="C1265" s="9"/>
      <c r="D1265" s="9"/>
      <c r="E1265" s="9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6"/>
      <c r="S1265" s="6"/>
    </row>
    <row r="1266">
      <c r="A1266" s="8"/>
      <c r="B1266" s="8" t="str">
        <f t="shared" si="3"/>
        <v/>
      </c>
      <c r="C1266" s="9"/>
      <c r="D1266" s="9"/>
      <c r="E1266" s="9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6"/>
      <c r="S1266" s="6"/>
    </row>
    <row r="1267">
      <c r="A1267" s="8"/>
      <c r="B1267" s="8" t="str">
        <f t="shared" si="3"/>
        <v/>
      </c>
      <c r="C1267" s="9"/>
      <c r="D1267" s="9"/>
      <c r="E1267" s="9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6"/>
      <c r="S1267" s="6"/>
    </row>
    <row r="1268">
      <c r="A1268" s="8"/>
      <c r="B1268" s="8" t="str">
        <f t="shared" si="3"/>
        <v/>
      </c>
      <c r="C1268" s="9"/>
      <c r="D1268" s="9"/>
      <c r="E1268" s="9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6"/>
      <c r="S1268" s="6"/>
    </row>
    <row r="1269">
      <c r="A1269" s="8"/>
      <c r="B1269" s="8" t="str">
        <f t="shared" si="3"/>
        <v/>
      </c>
      <c r="C1269" s="9"/>
      <c r="D1269" s="9"/>
      <c r="E1269" s="9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6"/>
      <c r="S1269" s="6"/>
    </row>
    <row r="1270">
      <c r="A1270" s="8"/>
      <c r="B1270" s="8" t="str">
        <f t="shared" si="3"/>
        <v/>
      </c>
      <c r="C1270" s="9"/>
      <c r="D1270" s="9"/>
      <c r="E1270" s="9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6"/>
      <c r="S1270" s="6"/>
    </row>
    <row r="1271">
      <c r="A1271" s="8"/>
      <c r="B1271" s="8" t="str">
        <f t="shared" si="3"/>
        <v/>
      </c>
      <c r="C1271" s="9"/>
      <c r="D1271" s="9"/>
      <c r="E1271" s="9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6"/>
      <c r="S1271" s="6"/>
    </row>
    <row r="1272">
      <c r="A1272" s="8"/>
      <c r="B1272" s="8" t="str">
        <f t="shared" si="3"/>
        <v/>
      </c>
      <c r="C1272" s="9"/>
      <c r="D1272" s="9"/>
      <c r="E1272" s="9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6"/>
      <c r="S1272" s="6"/>
    </row>
    <row r="1273">
      <c r="A1273" s="8"/>
      <c r="B1273" s="8" t="str">
        <f t="shared" si="3"/>
        <v/>
      </c>
      <c r="C1273" s="9"/>
      <c r="D1273" s="9"/>
      <c r="E1273" s="9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6"/>
      <c r="S1273" s="6"/>
    </row>
    <row r="1274">
      <c r="A1274" s="8"/>
      <c r="B1274" s="8" t="str">
        <f t="shared" si="3"/>
        <v/>
      </c>
      <c r="C1274" s="9"/>
      <c r="D1274" s="9"/>
      <c r="E1274" s="9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6"/>
      <c r="S1274" s="6"/>
    </row>
    <row r="1275">
      <c r="A1275" s="8"/>
      <c r="B1275" s="8" t="str">
        <f t="shared" si="3"/>
        <v/>
      </c>
      <c r="C1275" s="9"/>
      <c r="D1275" s="9"/>
      <c r="E1275" s="9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6"/>
      <c r="S1275" s="6"/>
    </row>
    <row r="1276">
      <c r="A1276" s="8"/>
      <c r="B1276" s="8" t="str">
        <f t="shared" si="3"/>
        <v/>
      </c>
      <c r="C1276" s="9"/>
      <c r="D1276" s="9"/>
      <c r="E1276" s="9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6"/>
      <c r="S1276" s="6"/>
    </row>
    <row r="1277">
      <c r="A1277" s="8"/>
      <c r="B1277" s="8" t="str">
        <f t="shared" si="3"/>
        <v/>
      </c>
      <c r="C1277" s="9"/>
      <c r="D1277" s="9"/>
      <c r="E1277" s="9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6"/>
      <c r="S1277" s="6"/>
    </row>
    <row r="1278">
      <c r="A1278" s="8"/>
      <c r="B1278" s="8" t="str">
        <f t="shared" si="3"/>
        <v/>
      </c>
      <c r="C1278" s="9"/>
      <c r="D1278" s="9"/>
      <c r="E1278" s="9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6"/>
      <c r="S1278" s="6"/>
    </row>
    <row r="1279">
      <c r="A1279" s="8"/>
      <c r="B1279" s="8" t="str">
        <f t="shared" si="3"/>
        <v/>
      </c>
      <c r="C1279" s="9"/>
      <c r="D1279" s="9"/>
      <c r="E1279" s="9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6"/>
      <c r="S1279" s="6"/>
    </row>
    <row r="1280">
      <c r="A1280" s="8"/>
      <c r="B1280" s="8" t="str">
        <f t="shared" si="3"/>
        <v/>
      </c>
      <c r="C1280" s="9"/>
      <c r="D1280" s="9"/>
      <c r="E1280" s="9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6"/>
      <c r="S1280" s="6"/>
    </row>
    <row r="1281">
      <c r="A1281" s="8"/>
      <c r="B1281" s="8" t="str">
        <f t="shared" si="3"/>
        <v/>
      </c>
      <c r="C1281" s="9"/>
      <c r="D1281" s="9"/>
      <c r="E1281" s="9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6"/>
      <c r="S1281" s="6"/>
    </row>
    <row r="1282">
      <c r="A1282" s="8"/>
      <c r="B1282" s="8" t="str">
        <f t="shared" si="3"/>
        <v/>
      </c>
      <c r="C1282" s="9"/>
      <c r="D1282" s="9"/>
      <c r="E1282" s="9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6"/>
      <c r="S1282" s="6"/>
    </row>
    <row r="1283">
      <c r="A1283" s="8"/>
      <c r="B1283" s="8" t="str">
        <f t="shared" si="3"/>
        <v/>
      </c>
      <c r="C1283" s="9"/>
      <c r="D1283" s="9"/>
      <c r="E1283" s="9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6"/>
      <c r="S1283" s="6"/>
    </row>
    <row r="1284">
      <c r="A1284" s="8"/>
      <c r="B1284" s="8" t="str">
        <f t="shared" si="3"/>
        <v/>
      </c>
      <c r="C1284" s="9"/>
      <c r="D1284" s="9"/>
      <c r="E1284" s="9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6"/>
      <c r="S1284" s="6"/>
    </row>
    <row r="1285">
      <c r="A1285" s="8"/>
      <c r="B1285" s="8" t="str">
        <f t="shared" si="3"/>
        <v/>
      </c>
      <c r="C1285" s="9"/>
      <c r="D1285" s="9"/>
      <c r="E1285" s="9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6"/>
      <c r="S1285" s="6"/>
    </row>
    <row r="1286">
      <c r="A1286" s="8"/>
      <c r="B1286" s="8" t="str">
        <f t="shared" si="3"/>
        <v/>
      </c>
      <c r="C1286" s="9"/>
      <c r="D1286" s="9"/>
      <c r="E1286" s="9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6"/>
      <c r="S1286" s="6"/>
    </row>
    <row r="1287">
      <c r="A1287" s="8"/>
      <c r="B1287" s="8" t="str">
        <f t="shared" si="3"/>
        <v/>
      </c>
      <c r="C1287" s="9"/>
      <c r="D1287" s="9"/>
      <c r="E1287" s="9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6"/>
      <c r="S1287" s="6"/>
    </row>
    <row r="1288">
      <c r="A1288" s="8"/>
      <c r="B1288" s="8" t="str">
        <f t="shared" si="3"/>
        <v/>
      </c>
      <c r="C1288" s="9"/>
      <c r="D1288" s="9"/>
      <c r="E1288" s="9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6"/>
      <c r="S1288" s="6"/>
    </row>
    <row r="1289">
      <c r="A1289" s="8"/>
      <c r="B1289" s="8" t="str">
        <f t="shared" si="3"/>
        <v/>
      </c>
      <c r="C1289" s="9"/>
      <c r="D1289" s="9"/>
      <c r="E1289" s="9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6"/>
      <c r="S1289" s="6"/>
    </row>
    <row r="1290">
      <c r="A1290" s="8"/>
      <c r="B1290" s="8" t="str">
        <f t="shared" si="3"/>
        <v/>
      </c>
      <c r="C1290" s="9"/>
      <c r="D1290" s="9"/>
      <c r="E1290" s="9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6"/>
      <c r="S1290" s="6"/>
    </row>
    <row r="1291">
      <c r="A1291" s="8"/>
      <c r="B1291" s="8" t="str">
        <f t="shared" si="3"/>
        <v/>
      </c>
      <c r="C1291" s="9"/>
      <c r="D1291" s="9"/>
      <c r="E1291" s="9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6"/>
      <c r="S1291" s="6"/>
    </row>
    <row r="1292">
      <c r="A1292" s="8"/>
      <c r="B1292" s="8" t="str">
        <f t="shared" si="3"/>
        <v/>
      </c>
      <c r="C1292" s="9"/>
      <c r="D1292" s="9"/>
      <c r="E1292" s="9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6"/>
      <c r="S1292" s="6"/>
    </row>
    <row r="1293">
      <c r="A1293" s="8"/>
      <c r="B1293" s="8" t="str">
        <f t="shared" si="3"/>
        <v/>
      </c>
      <c r="C1293" s="9"/>
      <c r="D1293" s="9"/>
      <c r="E1293" s="9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6"/>
      <c r="S1293" s="6"/>
    </row>
    <row r="1294">
      <c r="A1294" s="8"/>
      <c r="B1294" s="8" t="str">
        <f t="shared" si="3"/>
        <v/>
      </c>
      <c r="C1294" s="9"/>
      <c r="D1294" s="9"/>
      <c r="E1294" s="9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6"/>
      <c r="S1294" s="6"/>
    </row>
    <row r="1295">
      <c r="A1295" s="8"/>
      <c r="B1295" s="8" t="str">
        <f t="shared" si="3"/>
        <v/>
      </c>
      <c r="C1295" s="9"/>
      <c r="D1295" s="9"/>
      <c r="E1295" s="9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6"/>
      <c r="S1295" s="6"/>
    </row>
    <row r="1296">
      <c r="A1296" s="8"/>
      <c r="B1296" s="8" t="str">
        <f t="shared" si="3"/>
        <v/>
      </c>
      <c r="C1296" s="9"/>
      <c r="D1296" s="9"/>
      <c r="E1296" s="9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6"/>
      <c r="S1296" s="6"/>
    </row>
    <row r="1297">
      <c r="A1297" s="8"/>
      <c r="B1297" s="8" t="str">
        <f t="shared" si="3"/>
        <v/>
      </c>
      <c r="C1297" s="9"/>
      <c r="D1297" s="9"/>
      <c r="E1297" s="9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6"/>
      <c r="S1297" s="6"/>
    </row>
    <row r="1298">
      <c r="A1298" s="8"/>
      <c r="B1298" s="8" t="str">
        <f t="shared" si="3"/>
        <v/>
      </c>
      <c r="C1298" s="9"/>
      <c r="D1298" s="9"/>
      <c r="E1298" s="9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6"/>
      <c r="S1298" s="6"/>
    </row>
    <row r="1299">
      <c r="A1299" s="8"/>
      <c r="B1299" s="8" t="str">
        <f t="shared" si="3"/>
        <v/>
      </c>
      <c r="C1299" s="9"/>
      <c r="D1299" s="9"/>
      <c r="E1299" s="9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6"/>
      <c r="S1299" s="6"/>
    </row>
    <row r="1300">
      <c r="A1300" s="8"/>
      <c r="B1300" s="8" t="str">
        <f t="shared" si="3"/>
        <v/>
      </c>
      <c r="C1300" s="9"/>
      <c r="D1300" s="9"/>
      <c r="E1300" s="9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6"/>
      <c r="S1300" s="6"/>
    </row>
    <row r="1301">
      <c r="A1301" s="8"/>
      <c r="B1301" s="8" t="str">
        <f t="shared" si="3"/>
        <v/>
      </c>
      <c r="C1301" s="9"/>
      <c r="D1301" s="9"/>
      <c r="E1301" s="9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6"/>
      <c r="S1301" s="6"/>
    </row>
    <row r="1302">
      <c r="A1302" s="8"/>
      <c r="B1302" s="8" t="str">
        <f t="shared" si="3"/>
        <v/>
      </c>
      <c r="C1302" s="9"/>
      <c r="D1302" s="9"/>
      <c r="E1302" s="9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6"/>
      <c r="S1302" s="6"/>
    </row>
    <row r="1303">
      <c r="A1303" s="8"/>
      <c r="B1303" s="8" t="str">
        <f t="shared" si="3"/>
        <v/>
      </c>
      <c r="C1303" s="9"/>
      <c r="D1303" s="9"/>
      <c r="E1303" s="9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6"/>
      <c r="S1303" s="6"/>
    </row>
    <row r="1304">
      <c r="A1304" s="8"/>
      <c r="B1304" s="8" t="str">
        <f t="shared" si="3"/>
        <v/>
      </c>
      <c r="C1304" s="9"/>
      <c r="D1304" s="9"/>
      <c r="E1304" s="9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6"/>
      <c r="S1304" s="6"/>
    </row>
    <row r="1305">
      <c r="A1305" s="8"/>
      <c r="B1305" s="8" t="str">
        <f t="shared" si="3"/>
        <v/>
      </c>
      <c r="C1305" s="9"/>
      <c r="D1305" s="9"/>
      <c r="E1305" s="9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6"/>
      <c r="S1305" s="6"/>
    </row>
    <row r="1306">
      <c r="A1306" s="8"/>
      <c r="B1306" s="8" t="str">
        <f t="shared" si="3"/>
        <v/>
      </c>
      <c r="C1306" s="9"/>
      <c r="D1306" s="9"/>
      <c r="E1306" s="9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6"/>
      <c r="S1306" s="6"/>
    </row>
    <row r="1307">
      <c r="A1307" s="8"/>
      <c r="B1307" s="8" t="str">
        <f t="shared" si="3"/>
        <v/>
      </c>
      <c r="C1307" s="9"/>
      <c r="D1307" s="9"/>
      <c r="E1307" s="9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6"/>
      <c r="S1307" s="6"/>
    </row>
    <row r="1308">
      <c r="A1308" s="8"/>
      <c r="B1308" s="8" t="str">
        <f t="shared" si="3"/>
        <v/>
      </c>
      <c r="C1308" s="9"/>
      <c r="D1308" s="9"/>
      <c r="E1308" s="9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6"/>
      <c r="S1308" s="6"/>
    </row>
    <row r="1309">
      <c r="A1309" s="8"/>
      <c r="B1309" s="8" t="str">
        <f t="shared" si="3"/>
        <v/>
      </c>
      <c r="C1309" s="9"/>
      <c r="D1309" s="9"/>
      <c r="E1309" s="9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6"/>
      <c r="S1309" s="6"/>
    </row>
    <row r="1310">
      <c r="A1310" s="8"/>
      <c r="B1310" s="8" t="str">
        <f t="shared" si="3"/>
        <v/>
      </c>
      <c r="C1310" s="9"/>
      <c r="D1310" s="9"/>
      <c r="E1310" s="9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6"/>
      <c r="S1310" s="6"/>
    </row>
    <row r="1311">
      <c r="A1311" s="8"/>
      <c r="B1311" s="8" t="str">
        <f t="shared" si="3"/>
        <v/>
      </c>
      <c r="C1311" s="9"/>
      <c r="D1311" s="9"/>
      <c r="E1311" s="9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6"/>
      <c r="S1311" s="6"/>
    </row>
    <row r="1312">
      <c r="A1312" s="8"/>
      <c r="B1312" s="8" t="str">
        <f t="shared" si="3"/>
        <v/>
      </c>
      <c r="C1312" s="9"/>
      <c r="D1312" s="9"/>
      <c r="E1312" s="9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6"/>
      <c r="S1312" s="6"/>
    </row>
    <row r="1313">
      <c r="A1313" s="8"/>
      <c r="B1313" s="8" t="str">
        <f t="shared" si="3"/>
        <v/>
      </c>
      <c r="C1313" s="9"/>
      <c r="D1313" s="9"/>
      <c r="E1313" s="9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6"/>
      <c r="S1313" s="6"/>
    </row>
    <row r="1314">
      <c r="A1314" s="8"/>
      <c r="B1314" s="8" t="str">
        <f t="shared" si="3"/>
        <v/>
      </c>
      <c r="C1314" s="9"/>
      <c r="D1314" s="9"/>
      <c r="E1314" s="9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6"/>
      <c r="S1314" s="6"/>
    </row>
    <row r="1315">
      <c r="A1315" s="8"/>
      <c r="B1315" s="8" t="str">
        <f t="shared" si="3"/>
        <v/>
      </c>
      <c r="C1315" s="9"/>
      <c r="D1315" s="9"/>
      <c r="E1315" s="9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6"/>
      <c r="S1315" s="6"/>
    </row>
    <row r="1316">
      <c r="A1316" s="8"/>
      <c r="B1316" s="8" t="str">
        <f t="shared" si="3"/>
        <v/>
      </c>
      <c r="C1316" s="9"/>
      <c r="D1316" s="9"/>
      <c r="E1316" s="9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6"/>
      <c r="S1316" s="6"/>
    </row>
    <row r="1317">
      <c r="A1317" s="8"/>
      <c r="B1317" s="8" t="str">
        <f t="shared" si="3"/>
        <v/>
      </c>
      <c r="C1317" s="9"/>
      <c r="D1317" s="9"/>
      <c r="E1317" s="9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6"/>
      <c r="S1317" s="6"/>
    </row>
    <row r="1318">
      <c r="A1318" s="8"/>
      <c r="B1318" s="8" t="str">
        <f t="shared" si="3"/>
        <v/>
      </c>
      <c r="C1318" s="9"/>
      <c r="D1318" s="9"/>
      <c r="E1318" s="9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6"/>
      <c r="S1318" s="6"/>
    </row>
    <row r="1319">
      <c r="A1319" s="8"/>
      <c r="B1319" s="8" t="str">
        <f t="shared" si="3"/>
        <v/>
      </c>
      <c r="C1319" s="9"/>
      <c r="D1319" s="9"/>
      <c r="E1319" s="9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6"/>
      <c r="S1319" s="6"/>
    </row>
    <row r="1320">
      <c r="A1320" s="8"/>
      <c r="B1320" s="8" t="str">
        <f t="shared" si="3"/>
        <v/>
      </c>
      <c r="C1320" s="9"/>
      <c r="D1320" s="9"/>
      <c r="E1320" s="9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6"/>
      <c r="S1320" s="6"/>
    </row>
    <row r="1321">
      <c r="A1321" s="8"/>
      <c r="B1321" s="8" t="str">
        <f t="shared" si="3"/>
        <v/>
      </c>
      <c r="C1321" s="9"/>
      <c r="D1321" s="9"/>
      <c r="E1321" s="9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6"/>
      <c r="S1321" s="6"/>
    </row>
    <row r="1322">
      <c r="A1322" s="8"/>
      <c r="B1322" s="8" t="str">
        <f t="shared" si="3"/>
        <v/>
      </c>
      <c r="C1322" s="9"/>
      <c r="D1322" s="9"/>
      <c r="E1322" s="9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6"/>
      <c r="S1322" s="6"/>
    </row>
    <row r="1323">
      <c r="A1323" s="8"/>
      <c r="B1323" s="8" t="str">
        <f t="shared" si="3"/>
        <v/>
      </c>
      <c r="C1323" s="9"/>
      <c r="D1323" s="9"/>
      <c r="E1323" s="9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6"/>
      <c r="S1323" s="6"/>
    </row>
    <row r="1324">
      <c r="A1324" s="8"/>
      <c r="B1324" s="8" t="str">
        <f t="shared" si="3"/>
        <v/>
      </c>
      <c r="C1324" s="9"/>
      <c r="D1324" s="9"/>
      <c r="E1324" s="9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6"/>
      <c r="S1324" s="6"/>
    </row>
    <row r="1325">
      <c r="A1325" s="8"/>
      <c r="B1325" s="8" t="str">
        <f t="shared" si="3"/>
        <v/>
      </c>
      <c r="C1325" s="9"/>
      <c r="D1325" s="9"/>
      <c r="E1325" s="9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6"/>
      <c r="S1325" s="6"/>
    </row>
    <row r="1326">
      <c r="A1326" s="8"/>
      <c r="B1326" s="8" t="str">
        <f t="shared" si="3"/>
        <v/>
      </c>
      <c r="C1326" s="9"/>
      <c r="D1326" s="9"/>
      <c r="E1326" s="9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6"/>
      <c r="S1326" s="6"/>
    </row>
    <row r="1327">
      <c r="A1327" s="8"/>
      <c r="B1327" s="8" t="str">
        <f t="shared" si="3"/>
        <v/>
      </c>
      <c r="C1327" s="9"/>
      <c r="D1327" s="9"/>
      <c r="E1327" s="9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6"/>
      <c r="S1327" s="6"/>
    </row>
    <row r="1328">
      <c r="A1328" s="8"/>
      <c r="B1328" s="8" t="str">
        <f t="shared" si="3"/>
        <v/>
      </c>
      <c r="C1328" s="9"/>
      <c r="D1328" s="9"/>
      <c r="E1328" s="9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6"/>
      <c r="S1328" s="6"/>
    </row>
    <row r="1329">
      <c r="A1329" s="8"/>
      <c r="B1329" s="8" t="str">
        <f t="shared" si="3"/>
        <v/>
      </c>
      <c r="C1329" s="9"/>
      <c r="D1329" s="9"/>
      <c r="E1329" s="9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6"/>
      <c r="S1329" s="6"/>
    </row>
    <row r="1330">
      <c r="A1330" s="8"/>
      <c r="B1330" s="8" t="str">
        <f t="shared" si="3"/>
        <v/>
      </c>
      <c r="C1330" s="9"/>
      <c r="D1330" s="9"/>
      <c r="E1330" s="9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6"/>
      <c r="S1330" s="6"/>
    </row>
    <row r="1331">
      <c r="A1331" s="8"/>
      <c r="B1331" s="8" t="str">
        <f t="shared" si="3"/>
        <v/>
      </c>
      <c r="C1331" s="9"/>
      <c r="D1331" s="9"/>
      <c r="E1331" s="9"/>
      <c r="F1331" s="8"/>
      <c r="G1331" s="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6"/>
      <c r="S1331" s="6"/>
    </row>
    <row r="1332">
      <c r="A1332" s="8"/>
      <c r="B1332" s="8" t="str">
        <f t="shared" si="3"/>
        <v/>
      </c>
      <c r="C1332" s="9"/>
      <c r="D1332" s="9"/>
      <c r="E1332" s="9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6"/>
      <c r="S1332" s="6"/>
    </row>
    <row r="1333">
      <c r="A1333" s="8"/>
      <c r="B1333" s="8" t="str">
        <f t="shared" si="3"/>
        <v/>
      </c>
      <c r="C1333" s="9"/>
      <c r="D1333" s="9"/>
      <c r="E1333" s="9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6"/>
      <c r="S1333" s="6"/>
    </row>
    <row r="1334">
      <c r="A1334" s="8"/>
      <c r="B1334" s="8" t="str">
        <f t="shared" si="3"/>
        <v/>
      </c>
      <c r="C1334" s="9"/>
      <c r="D1334" s="9"/>
      <c r="E1334" s="9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6"/>
      <c r="S1334" s="6"/>
    </row>
    <row r="1335">
      <c r="A1335" s="8"/>
      <c r="B1335" s="8" t="str">
        <f t="shared" si="3"/>
        <v/>
      </c>
      <c r="C1335" s="9"/>
      <c r="D1335" s="9"/>
      <c r="E1335" s="9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6"/>
      <c r="S1335" s="6"/>
    </row>
    <row r="1336">
      <c r="A1336" s="8"/>
      <c r="B1336" s="8" t="str">
        <f t="shared" si="3"/>
        <v/>
      </c>
      <c r="C1336" s="9"/>
      <c r="D1336" s="9"/>
      <c r="E1336" s="9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6"/>
      <c r="S1336" s="6"/>
    </row>
    <row r="1337">
      <c r="A1337" s="8"/>
      <c r="B1337" s="8" t="str">
        <f t="shared" si="3"/>
        <v/>
      </c>
      <c r="C1337" s="9"/>
      <c r="D1337" s="9"/>
      <c r="E1337" s="9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6"/>
      <c r="S1337" s="6"/>
    </row>
    <row r="1338">
      <c r="A1338" s="8"/>
      <c r="B1338" s="8" t="str">
        <f t="shared" si="3"/>
        <v/>
      </c>
      <c r="C1338" s="9"/>
      <c r="D1338" s="9"/>
      <c r="E1338" s="9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6"/>
      <c r="S1338" s="6"/>
    </row>
    <row r="1339">
      <c r="A1339" s="8"/>
      <c r="B1339" s="8" t="str">
        <f t="shared" si="3"/>
        <v/>
      </c>
      <c r="C1339" s="9"/>
      <c r="D1339" s="9"/>
      <c r="E1339" s="9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6"/>
      <c r="S1339" s="6"/>
    </row>
    <row r="1340">
      <c r="A1340" s="8"/>
      <c r="B1340" s="8" t="str">
        <f t="shared" si="3"/>
        <v/>
      </c>
      <c r="C1340" s="9"/>
      <c r="D1340" s="9"/>
      <c r="E1340" s="9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6"/>
      <c r="S1340" s="6"/>
    </row>
    <row r="1341">
      <c r="A1341" s="8"/>
      <c r="B1341" s="8" t="str">
        <f t="shared" si="3"/>
        <v/>
      </c>
      <c r="C1341" s="9"/>
      <c r="D1341" s="9"/>
      <c r="E1341" s="9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6"/>
      <c r="S1341" s="6"/>
    </row>
    <row r="1342">
      <c r="A1342" s="8"/>
      <c r="B1342" s="8" t="str">
        <f t="shared" si="3"/>
        <v/>
      </c>
      <c r="C1342" s="9"/>
      <c r="D1342" s="9"/>
      <c r="E1342" s="9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6"/>
      <c r="S1342" s="6"/>
    </row>
    <row r="1343">
      <c r="A1343" s="8"/>
      <c r="B1343" s="8" t="str">
        <f t="shared" si="3"/>
        <v/>
      </c>
      <c r="C1343" s="9"/>
      <c r="D1343" s="9"/>
      <c r="E1343" s="9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6"/>
      <c r="S1343" s="6"/>
    </row>
    <row r="1344">
      <c r="A1344" s="8"/>
      <c r="B1344" s="8" t="str">
        <f t="shared" si="3"/>
        <v/>
      </c>
      <c r="C1344" s="9"/>
      <c r="D1344" s="9"/>
      <c r="E1344" s="9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6"/>
      <c r="S1344" s="6"/>
    </row>
    <row r="1345">
      <c r="A1345" s="8"/>
      <c r="B1345" s="8" t="str">
        <f t="shared" si="3"/>
        <v/>
      </c>
      <c r="C1345" s="9"/>
      <c r="D1345" s="9"/>
      <c r="E1345" s="9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6"/>
      <c r="S1345" s="6"/>
    </row>
    <row r="1346">
      <c r="A1346" s="8"/>
      <c r="B1346" s="8" t="str">
        <f t="shared" si="3"/>
        <v/>
      </c>
      <c r="C1346" s="9"/>
      <c r="D1346" s="9"/>
      <c r="E1346" s="9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6"/>
      <c r="S1346" s="6"/>
    </row>
    <row r="1347">
      <c r="A1347" s="8"/>
      <c r="B1347" s="8" t="str">
        <f t="shared" si="3"/>
        <v/>
      </c>
      <c r="C1347" s="9"/>
      <c r="D1347" s="9"/>
      <c r="E1347" s="9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6"/>
      <c r="S1347" s="6"/>
    </row>
    <row r="1348">
      <c r="A1348" s="8"/>
      <c r="B1348" s="8" t="str">
        <f t="shared" si="3"/>
        <v/>
      </c>
      <c r="C1348" s="9"/>
      <c r="D1348" s="9"/>
      <c r="E1348" s="9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6"/>
      <c r="S1348" s="6"/>
    </row>
    <row r="1349">
      <c r="A1349" s="8"/>
      <c r="B1349" s="8" t="str">
        <f t="shared" si="3"/>
        <v/>
      </c>
      <c r="C1349" s="9"/>
      <c r="D1349" s="9"/>
      <c r="E1349" s="9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6"/>
      <c r="S1349" s="6"/>
    </row>
    <row r="1350">
      <c r="A1350" s="8"/>
      <c r="B1350" s="8" t="str">
        <f t="shared" si="3"/>
        <v/>
      </c>
      <c r="C1350" s="9"/>
      <c r="D1350" s="9"/>
      <c r="E1350" s="9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6"/>
      <c r="S1350" s="6"/>
    </row>
    <row r="1351">
      <c r="A1351" s="8"/>
      <c r="B1351" s="8" t="str">
        <f t="shared" si="3"/>
        <v/>
      </c>
      <c r="C1351" s="9"/>
      <c r="D1351" s="9"/>
      <c r="E1351" s="9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6"/>
      <c r="S1351" s="6"/>
    </row>
    <row r="1352">
      <c r="A1352" s="8"/>
      <c r="B1352" s="8" t="str">
        <f t="shared" si="3"/>
        <v/>
      </c>
      <c r="C1352" s="9"/>
      <c r="D1352" s="9"/>
      <c r="E1352" s="9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6"/>
      <c r="S1352" s="6"/>
    </row>
    <row r="1353">
      <c r="A1353" s="8"/>
      <c r="B1353" s="8" t="str">
        <f t="shared" si="3"/>
        <v/>
      </c>
      <c r="C1353" s="9"/>
      <c r="D1353" s="9"/>
      <c r="E1353" s="9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6"/>
      <c r="S1353" s="6"/>
    </row>
    <row r="1354">
      <c r="A1354" s="8"/>
      <c r="B1354" s="8" t="str">
        <f t="shared" si="3"/>
        <v/>
      </c>
      <c r="C1354" s="9"/>
      <c r="D1354" s="9"/>
      <c r="E1354" s="9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6"/>
      <c r="S1354" s="6"/>
    </row>
    <row r="1355">
      <c r="A1355" s="8"/>
      <c r="B1355" s="8" t="str">
        <f t="shared" si="3"/>
        <v/>
      </c>
      <c r="C1355" s="9"/>
      <c r="D1355" s="9"/>
      <c r="E1355" s="9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6"/>
      <c r="S1355" s="6"/>
    </row>
    <row r="1356">
      <c r="A1356" s="8"/>
      <c r="B1356" s="8" t="str">
        <f t="shared" si="3"/>
        <v/>
      </c>
      <c r="C1356" s="9"/>
      <c r="D1356" s="9"/>
      <c r="E1356" s="9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6"/>
      <c r="S1356" s="6"/>
    </row>
    <row r="1357">
      <c r="A1357" s="8"/>
      <c r="B1357" s="8" t="str">
        <f t="shared" si="3"/>
        <v/>
      </c>
      <c r="C1357" s="9"/>
      <c r="D1357" s="9"/>
      <c r="E1357" s="9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6"/>
      <c r="S1357" s="6"/>
    </row>
    <row r="1358">
      <c r="A1358" s="8"/>
      <c r="B1358" s="8" t="str">
        <f t="shared" si="3"/>
        <v/>
      </c>
      <c r="C1358" s="9"/>
      <c r="D1358" s="9"/>
      <c r="E1358" s="9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6"/>
      <c r="S1358" s="6"/>
    </row>
    <row r="1359">
      <c r="A1359" s="8"/>
      <c r="B1359" s="8" t="str">
        <f t="shared" si="3"/>
        <v/>
      </c>
      <c r="C1359" s="9"/>
      <c r="D1359" s="9"/>
      <c r="E1359" s="9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6"/>
      <c r="S1359" s="6"/>
    </row>
    <row r="1360">
      <c r="A1360" s="8"/>
      <c r="B1360" s="8" t="str">
        <f t="shared" si="3"/>
        <v/>
      </c>
      <c r="C1360" s="9"/>
      <c r="D1360" s="9"/>
      <c r="E1360" s="9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6"/>
      <c r="S1360" s="6"/>
    </row>
    <row r="1361">
      <c r="A1361" s="8"/>
      <c r="B1361" s="8" t="str">
        <f t="shared" si="3"/>
        <v/>
      </c>
      <c r="C1361" s="9"/>
      <c r="D1361" s="9"/>
      <c r="E1361" s="9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6"/>
      <c r="S1361" s="6"/>
    </row>
    <row r="1362">
      <c r="A1362" s="8"/>
      <c r="B1362" s="8" t="str">
        <f t="shared" si="3"/>
        <v/>
      </c>
      <c r="C1362" s="9"/>
      <c r="D1362" s="9"/>
      <c r="E1362" s="9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6"/>
      <c r="S1362" s="6"/>
    </row>
    <row r="1363">
      <c r="A1363" s="8"/>
      <c r="B1363" s="8" t="str">
        <f t="shared" si="3"/>
        <v/>
      </c>
      <c r="C1363" s="9"/>
      <c r="D1363" s="9"/>
      <c r="E1363" s="9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6"/>
      <c r="S1363" s="6"/>
    </row>
    <row r="1364">
      <c r="A1364" s="8"/>
      <c r="B1364" s="8" t="str">
        <f t="shared" si="3"/>
        <v/>
      </c>
      <c r="C1364" s="9"/>
      <c r="D1364" s="9"/>
      <c r="E1364" s="9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6"/>
      <c r="S1364" s="6"/>
    </row>
    <row r="1365">
      <c r="A1365" s="8"/>
      <c r="B1365" s="8" t="str">
        <f t="shared" si="3"/>
        <v/>
      </c>
      <c r="C1365" s="9"/>
      <c r="D1365" s="9"/>
      <c r="E1365" s="9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6"/>
      <c r="S1365" s="6"/>
    </row>
    <row r="1366">
      <c r="A1366" s="8"/>
      <c r="B1366" s="8" t="str">
        <f t="shared" si="3"/>
        <v/>
      </c>
      <c r="C1366" s="9"/>
      <c r="D1366" s="9"/>
      <c r="E1366" s="9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6"/>
      <c r="S1366" s="6"/>
    </row>
    <row r="1367">
      <c r="A1367" s="8"/>
      <c r="B1367" s="8" t="str">
        <f t="shared" si="3"/>
        <v/>
      </c>
      <c r="C1367" s="9"/>
      <c r="D1367" s="9"/>
      <c r="E1367" s="9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6"/>
      <c r="S1367" s="6"/>
    </row>
    <row r="1368">
      <c r="A1368" s="8"/>
      <c r="B1368" s="8" t="str">
        <f t="shared" si="3"/>
        <v/>
      </c>
      <c r="C1368" s="9"/>
      <c r="D1368" s="9"/>
      <c r="E1368" s="9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6"/>
      <c r="S1368" s="6"/>
    </row>
    <row r="1369">
      <c r="A1369" s="8"/>
      <c r="B1369" s="8" t="str">
        <f t="shared" si="3"/>
        <v/>
      </c>
      <c r="C1369" s="9"/>
      <c r="D1369" s="9"/>
      <c r="E1369" s="9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6"/>
      <c r="S1369" s="6"/>
    </row>
    <row r="1370">
      <c r="A1370" s="8"/>
      <c r="B1370" s="8" t="str">
        <f t="shared" si="3"/>
        <v/>
      </c>
      <c r="C1370" s="9"/>
      <c r="D1370" s="9"/>
      <c r="E1370" s="9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6"/>
      <c r="S1370" s="6"/>
    </row>
    <row r="1371">
      <c r="A1371" s="8"/>
      <c r="B1371" s="8" t="str">
        <f t="shared" si="3"/>
        <v/>
      </c>
      <c r="C1371" s="9"/>
      <c r="D1371" s="9"/>
      <c r="E1371" s="9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6"/>
      <c r="S1371" s="6"/>
    </row>
    <row r="1372">
      <c r="A1372" s="8"/>
      <c r="B1372" s="8" t="str">
        <f t="shared" si="3"/>
        <v/>
      </c>
      <c r="C1372" s="9"/>
      <c r="D1372" s="9"/>
      <c r="E1372" s="9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6"/>
      <c r="S1372" s="6"/>
    </row>
    <row r="1373">
      <c r="A1373" s="8"/>
      <c r="B1373" s="8" t="str">
        <f t="shared" si="3"/>
        <v/>
      </c>
      <c r="C1373" s="9"/>
      <c r="D1373" s="9"/>
      <c r="E1373" s="9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6"/>
      <c r="S1373" s="6"/>
    </row>
    <row r="1374">
      <c r="A1374" s="8"/>
      <c r="B1374" s="8" t="str">
        <f t="shared" si="3"/>
        <v/>
      </c>
      <c r="C1374" s="9"/>
      <c r="D1374" s="9"/>
      <c r="E1374" s="9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6"/>
      <c r="S1374" s="6"/>
    </row>
    <row r="1375">
      <c r="A1375" s="8"/>
      <c r="B1375" s="8" t="str">
        <f t="shared" si="3"/>
        <v/>
      </c>
      <c r="C1375" s="9"/>
      <c r="D1375" s="9"/>
      <c r="E1375" s="9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6"/>
      <c r="S1375" s="6"/>
    </row>
    <row r="1376">
      <c r="A1376" s="8"/>
      <c r="B1376" s="8" t="str">
        <f t="shared" si="3"/>
        <v/>
      </c>
      <c r="C1376" s="9"/>
      <c r="D1376" s="9"/>
      <c r="E1376" s="9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6"/>
      <c r="S1376" s="6"/>
    </row>
    <row r="1377">
      <c r="A1377" s="8"/>
      <c r="B1377" s="8" t="str">
        <f t="shared" si="3"/>
        <v/>
      </c>
      <c r="C1377" s="9"/>
      <c r="D1377" s="9"/>
      <c r="E1377" s="9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6"/>
      <c r="S1377" s="6"/>
    </row>
    <row r="1378">
      <c r="A1378" s="8"/>
      <c r="B1378" s="8" t="str">
        <f t="shared" si="3"/>
        <v/>
      </c>
      <c r="C1378" s="9"/>
      <c r="D1378" s="9"/>
      <c r="E1378" s="9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6"/>
      <c r="S1378" s="6"/>
    </row>
    <row r="1379">
      <c r="A1379" s="8"/>
      <c r="B1379" s="8" t="str">
        <f t="shared" si="3"/>
        <v/>
      </c>
      <c r="C1379" s="9"/>
      <c r="D1379" s="9"/>
      <c r="E1379" s="9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6"/>
      <c r="S1379" s="6"/>
    </row>
    <row r="1380">
      <c r="A1380" s="8"/>
      <c r="B1380" s="8" t="str">
        <f t="shared" si="3"/>
        <v/>
      </c>
      <c r="C1380" s="9"/>
      <c r="D1380" s="9"/>
      <c r="E1380" s="9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6"/>
      <c r="S1380" s="6"/>
    </row>
    <row r="1381">
      <c r="A1381" s="8"/>
      <c r="B1381" s="8" t="str">
        <f t="shared" si="3"/>
        <v/>
      </c>
      <c r="C1381" s="9"/>
      <c r="D1381" s="9"/>
      <c r="E1381" s="9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6"/>
      <c r="S1381" s="6"/>
    </row>
    <row r="1382">
      <c r="A1382" s="8"/>
      <c r="B1382" s="8" t="str">
        <f t="shared" si="3"/>
        <v/>
      </c>
      <c r="C1382" s="9"/>
      <c r="D1382" s="9"/>
      <c r="E1382" s="9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6"/>
      <c r="S1382" s="6"/>
    </row>
    <row r="1383">
      <c r="A1383" s="8"/>
      <c r="B1383" s="8" t="str">
        <f t="shared" si="3"/>
        <v/>
      </c>
      <c r="C1383" s="9"/>
      <c r="D1383" s="9"/>
      <c r="E1383" s="9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6"/>
      <c r="S1383" s="6"/>
    </row>
    <row r="1384">
      <c r="A1384" s="8"/>
      <c r="B1384" s="8" t="str">
        <f t="shared" si="3"/>
        <v/>
      </c>
      <c r="C1384" s="9"/>
      <c r="D1384" s="9"/>
      <c r="E1384" s="9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6"/>
      <c r="S1384" s="6"/>
    </row>
    <row r="1385">
      <c r="A1385" s="8"/>
      <c r="B1385" s="8" t="str">
        <f t="shared" si="3"/>
        <v/>
      </c>
      <c r="C1385" s="9"/>
      <c r="D1385" s="9"/>
      <c r="E1385" s="9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6"/>
      <c r="S1385" s="6"/>
    </row>
    <row r="1386">
      <c r="A1386" s="8"/>
      <c r="B1386" s="8" t="str">
        <f t="shared" si="3"/>
        <v/>
      </c>
      <c r="C1386" s="9"/>
      <c r="D1386" s="9"/>
      <c r="E1386" s="9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6"/>
      <c r="S1386" s="6"/>
    </row>
    <row r="1387">
      <c r="A1387" s="8"/>
      <c r="B1387" s="8" t="str">
        <f t="shared" si="3"/>
        <v/>
      </c>
      <c r="C1387" s="9"/>
      <c r="D1387" s="9"/>
      <c r="E1387" s="9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6"/>
      <c r="S1387" s="6"/>
    </row>
    <row r="1388">
      <c r="A1388" s="8"/>
      <c r="B1388" s="8" t="str">
        <f t="shared" si="3"/>
        <v/>
      </c>
      <c r="C1388" s="9"/>
      <c r="D1388" s="9"/>
      <c r="E1388" s="9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6"/>
      <c r="S1388" s="6"/>
    </row>
    <row r="1389">
      <c r="A1389" s="8"/>
      <c r="B1389" s="8" t="str">
        <f t="shared" si="3"/>
        <v/>
      </c>
      <c r="C1389" s="9"/>
      <c r="D1389" s="9"/>
      <c r="E1389" s="9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6"/>
      <c r="S1389" s="6"/>
    </row>
    <row r="1390">
      <c r="A1390" s="8"/>
      <c r="B1390" s="8" t="str">
        <f t="shared" si="3"/>
        <v/>
      </c>
      <c r="C1390" s="9"/>
      <c r="D1390" s="9"/>
      <c r="E1390" s="9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6"/>
      <c r="S1390" s="6"/>
    </row>
    <row r="1391">
      <c r="A1391" s="8"/>
      <c r="B1391" s="8" t="str">
        <f t="shared" si="3"/>
        <v/>
      </c>
      <c r="C1391" s="9"/>
      <c r="D1391" s="9"/>
      <c r="E1391" s="9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6"/>
      <c r="S1391" s="6"/>
    </row>
    <row r="1392">
      <c r="A1392" s="8"/>
      <c r="B1392" s="8" t="str">
        <f t="shared" si="3"/>
        <v/>
      </c>
      <c r="C1392" s="9"/>
      <c r="D1392" s="9"/>
      <c r="E1392" s="9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6"/>
      <c r="S1392" s="6"/>
    </row>
    <row r="1393">
      <c r="A1393" s="8"/>
      <c r="B1393" s="8" t="str">
        <f t="shared" si="3"/>
        <v/>
      </c>
      <c r="C1393" s="9"/>
      <c r="D1393" s="9"/>
      <c r="E1393" s="9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6"/>
      <c r="S1393" s="6"/>
    </row>
    <row r="1394">
      <c r="A1394" s="8"/>
      <c r="B1394" s="8" t="str">
        <f t="shared" si="3"/>
        <v/>
      </c>
      <c r="C1394" s="9"/>
      <c r="D1394" s="9"/>
      <c r="E1394" s="9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6"/>
      <c r="S1394" s="6"/>
    </row>
    <row r="1395">
      <c r="A1395" s="8"/>
      <c r="B1395" s="8" t="str">
        <f t="shared" si="3"/>
        <v/>
      </c>
      <c r="C1395" s="9"/>
      <c r="D1395" s="9"/>
      <c r="E1395" s="9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6"/>
      <c r="S1395" s="6"/>
    </row>
    <row r="1396">
      <c r="A1396" s="8"/>
      <c r="B1396" s="8" t="str">
        <f t="shared" si="3"/>
        <v/>
      </c>
      <c r="C1396" s="9"/>
      <c r="D1396" s="9"/>
      <c r="E1396" s="9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6"/>
      <c r="S1396" s="6"/>
    </row>
    <row r="1397">
      <c r="A1397" s="8"/>
      <c r="B1397" s="8" t="str">
        <f t="shared" si="3"/>
        <v/>
      </c>
      <c r="C1397" s="9"/>
      <c r="D1397" s="9"/>
      <c r="E1397" s="9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6"/>
      <c r="S1397" s="6"/>
    </row>
    <row r="1398">
      <c r="A1398" s="8"/>
      <c r="B1398" s="8" t="str">
        <f t="shared" si="3"/>
        <v/>
      </c>
      <c r="C1398" s="9"/>
      <c r="D1398" s="9"/>
      <c r="E1398" s="9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6"/>
      <c r="S1398" s="6"/>
    </row>
    <row r="1399">
      <c r="A1399" s="8"/>
      <c r="B1399" s="8" t="str">
        <f t="shared" si="3"/>
        <v/>
      </c>
      <c r="C1399" s="9"/>
      <c r="D1399" s="9"/>
      <c r="E1399" s="9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6"/>
      <c r="S1399" s="6"/>
    </row>
    <row r="1400">
      <c r="A1400" s="8"/>
      <c r="B1400" s="8" t="str">
        <f t="shared" si="3"/>
        <v/>
      </c>
      <c r="C1400" s="9"/>
      <c r="D1400" s="9"/>
      <c r="E1400" s="9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6"/>
      <c r="S1400" s="6"/>
    </row>
    <row r="1401">
      <c r="A1401" s="8"/>
      <c r="B1401" s="8" t="str">
        <f t="shared" si="3"/>
        <v/>
      </c>
      <c r="C1401" s="9"/>
      <c r="D1401" s="9"/>
      <c r="E1401" s="9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6"/>
      <c r="S1401" s="6"/>
    </row>
    <row r="1402">
      <c r="A1402" s="8"/>
      <c r="B1402" s="8" t="str">
        <f t="shared" si="3"/>
        <v/>
      </c>
      <c r="C1402" s="9"/>
      <c r="D1402" s="9"/>
      <c r="E1402" s="9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6"/>
      <c r="S1402" s="6"/>
    </row>
    <row r="1403">
      <c r="A1403" s="8"/>
      <c r="B1403" s="8" t="str">
        <f t="shared" si="3"/>
        <v/>
      </c>
      <c r="C1403" s="9"/>
      <c r="D1403" s="9"/>
      <c r="E1403" s="9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6"/>
      <c r="S1403" s="6"/>
    </row>
    <row r="1404">
      <c r="A1404" s="8"/>
      <c r="B1404" s="8" t="str">
        <f t="shared" si="3"/>
        <v/>
      </c>
      <c r="C1404" s="9"/>
      <c r="D1404" s="9"/>
      <c r="E1404" s="9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6"/>
      <c r="S1404" s="6"/>
    </row>
    <row r="1405">
      <c r="A1405" s="8"/>
      <c r="B1405" s="8" t="str">
        <f t="shared" si="3"/>
        <v/>
      </c>
      <c r="C1405" s="9"/>
      <c r="D1405" s="9"/>
      <c r="E1405" s="9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6"/>
      <c r="S1405" s="6"/>
    </row>
    <row r="1406">
      <c r="A1406" s="8"/>
      <c r="B1406" s="8" t="str">
        <f t="shared" si="3"/>
        <v/>
      </c>
      <c r="C1406" s="9"/>
      <c r="D1406" s="9"/>
      <c r="E1406" s="9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6"/>
      <c r="S1406" s="6"/>
    </row>
    <row r="1407">
      <c r="A1407" s="8"/>
      <c r="B1407" s="8" t="str">
        <f t="shared" si="3"/>
        <v/>
      </c>
      <c r="C1407" s="9"/>
      <c r="D1407" s="9"/>
      <c r="E1407" s="9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6"/>
      <c r="S1407" s="6"/>
    </row>
    <row r="1408">
      <c r="A1408" s="8"/>
      <c r="B1408" s="8" t="str">
        <f t="shared" si="3"/>
        <v/>
      </c>
      <c r="C1408" s="9"/>
      <c r="D1408" s="9"/>
      <c r="E1408" s="9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6"/>
      <c r="S1408" s="6"/>
    </row>
    <row r="1409">
      <c r="A1409" s="8"/>
      <c r="B1409" s="8" t="str">
        <f t="shared" si="3"/>
        <v/>
      </c>
      <c r="C1409" s="9"/>
      <c r="D1409" s="9"/>
      <c r="E1409" s="9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6"/>
      <c r="S1409" s="6"/>
    </row>
    <row r="1410">
      <c r="A1410" s="8"/>
      <c r="B1410" s="8" t="str">
        <f t="shared" si="3"/>
        <v/>
      </c>
      <c r="C1410" s="9"/>
      <c r="D1410" s="9"/>
      <c r="E1410" s="9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6"/>
      <c r="S1410" s="6"/>
    </row>
    <row r="1411">
      <c r="A1411" s="8"/>
      <c r="B1411" s="8" t="str">
        <f t="shared" si="3"/>
        <v/>
      </c>
      <c r="C1411" s="9"/>
      <c r="D1411" s="9"/>
      <c r="E1411" s="9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6"/>
      <c r="S1411" s="6"/>
    </row>
    <row r="1412">
      <c r="A1412" s="8"/>
      <c r="B1412" s="8" t="str">
        <f t="shared" si="3"/>
        <v/>
      </c>
      <c r="C1412" s="9"/>
      <c r="D1412" s="9"/>
      <c r="E1412" s="9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6"/>
      <c r="S1412" s="6"/>
    </row>
    <row r="1413">
      <c r="A1413" s="8"/>
      <c r="B1413" s="8" t="str">
        <f t="shared" si="3"/>
        <v/>
      </c>
      <c r="C1413" s="9"/>
      <c r="D1413" s="9"/>
      <c r="E1413" s="9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6"/>
      <c r="S1413" s="6"/>
    </row>
    <row r="1414">
      <c r="A1414" s="8"/>
      <c r="B1414" s="8" t="str">
        <f t="shared" si="3"/>
        <v/>
      </c>
      <c r="C1414" s="9"/>
      <c r="D1414" s="9"/>
      <c r="E1414" s="9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6"/>
      <c r="S1414" s="6"/>
    </row>
    <row r="1415">
      <c r="A1415" s="8"/>
      <c r="B1415" s="8" t="str">
        <f t="shared" si="3"/>
        <v/>
      </c>
      <c r="C1415" s="9"/>
      <c r="D1415" s="9"/>
      <c r="E1415" s="9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6"/>
      <c r="S1415" s="6"/>
    </row>
    <row r="1416">
      <c r="A1416" s="8"/>
      <c r="B1416" s="8" t="str">
        <f t="shared" si="3"/>
        <v/>
      </c>
      <c r="C1416" s="9"/>
      <c r="D1416" s="9"/>
      <c r="E1416" s="9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6"/>
      <c r="S1416" s="6"/>
    </row>
    <row r="1417">
      <c r="A1417" s="8"/>
      <c r="B1417" s="8" t="str">
        <f t="shared" si="3"/>
        <v/>
      </c>
      <c r="C1417" s="9"/>
      <c r="D1417" s="9"/>
      <c r="E1417" s="9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6"/>
      <c r="S1417" s="6"/>
    </row>
    <row r="1418">
      <c r="A1418" s="8"/>
      <c r="B1418" s="8" t="str">
        <f t="shared" si="3"/>
        <v/>
      </c>
      <c r="C1418" s="9"/>
      <c r="D1418" s="9"/>
      <c r="E1418" s="9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6"/>
      <c r="S1418" s="6"/>
    </row>
    <row r="1419">
      <c r="A1419" s="8"/>
      <c r="B1419" s="8" t="str">
        <f t="shared" si="3"/>
        <v/>
      </c>
      <c r="C1419" s="9"/>
      <c r="D1419" s="9"/>
      <c r="E1419" s="9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6"/>
      <c r="S1419" s="6"/>
    </row>
    <row r="1420">
      <c r="A1420" s="8"/>
      <c r="B1420" s="8" t="str">
        <f t="shared" si="3"/>
        <v/>
      </c>
      <c r="C1420" s="9"/>
      <c r="D1420" s="9"/>
      <c r="E1420" s="9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6"/>
      <c r="S1420" s="6"/>
    </row>
    <row r="1421">
      <c r="A1421" s="8"/>
      <c r="B1421" s="8" t="str">
        <f t="shared" si="3"/>
        <v/>
      </c>
      <c r="C1421" s="9"/>
      <c r="D1421" s="9"/>
      <c r="E1421" s="9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6"/>
      <c r="S1421" s="6"/>
    </row>
    <row r="1422">
      <c r="A1422" s="8"/>
      <c r="B1422" s="8" t="str">
        <f t="shared" si="3"/>
        <v/>
      </c>
      <c r="C1422" s="9"/>
      <c r="D1422" s="9"/>
      <c r="E1422" s="9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6"/>
      <c r="S1422" s="6"/>
    </row>
    <row r="1423">
      <c r="A1423" s="8"/>
      <c r="B1423" s="8" t="str">
        <f t="shared" si="3"/>
        <v/>
      </c>
      <c r="C1423" s="9"/>
      <c r="D1423" s="9"/>
      <c r="E1423" s="9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6"/>
      <c r="S1423" s="6"/>
    </row>
    <row r="1424">
      <c r="A1424" s="8"/>
      <c r="B1424" s="8" t="str">
        <f t="shared" si="3"/>
        <v/>
      </c>
      <c r="C1424" s="9"/>
      <c r="D1424" s="9"/>
      <c r="E1424" s="9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6"/>
      <c r="S1424" s="6"/>
    </row>
    <row r="1425">
      <c r="A1425" s="8"/>
      <c r="B1425" s="8" t="str">
        <f t="shared" si="3"/>
        <v/>
      </c>
      <c r="C1425" s="9"/>
      <c r="D1425" s="9"/>
      <c r="E1425" s="9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6"/>
      <c r="S1425" s="6"/>
    </row>
    <row r="1426">
      <c r="A1426" s="8"/>
      <c r="B1426" s="8" t="str">
        <f t="shared" si="3"/>
        <v/>
      </c>
      <c r="C1426" s="9"/>
      <c r="D1426" s="9"/>
      <c r="E1426" s="9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6"/>
      <c r="S1426" s="6"/>
    </row>
    <row r="1427">
      <c r="A1427" s="8"/>
      <c r="B1427" s="8" t="str">
        <f t="shared" si="3"/>
        <v/>
      </c>
      <c r="C1427" s="9"/>
      <c r="D1427" s="9"/>
      <c r="E1427" s="9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6"/>
      <c r="S1427" s="6"/>
    </row>
    <row r="1428">
      <c r="A1428" s="8"/>
      <c r="B1428" s="8" t="str">
        <f t="shared" si="3"/>
        <v/>
      </c>
      <c r="C1428" s="9"/>
      <c r="D1428" s="9"/>
      <c r="E1428" s="9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6"/>
      <c r="S1428" s="6"/>
    </row>
    <row r="1429">
      <c r="A1429" s="8"/>
      <c r="B1429" s="8" t="str">
        <f t="shared" si="3"/>
        <v/>
      </c>
      <c r="C1429" s="9"/>
      <c r="D1429" s="9"/>
      <c r="E1429" s="9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6"/>
      <c r="S1429" s="6"/>
    </row>
    <row r="1430">
      <c r="A1430" s="8"/>
      <c r="B1430" s="8" t="str">
        <f t="shared" si="3"/>
        <v/>
      </c>
      <c r="C1430" s="9"/>
      <c r="D1430" s="9"/>
      <c r="E1430" s="9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6"/>
      <c r="S1430" s="6"/>
    </row>
    <row r="1431">
      <c r="A1431" s="8"/>
      <c r="B1431" s="8" t="str">
        <f t="shared" si="3"/>
        <v/>
      </c>
      <c r="C1431" s="9"/>
      <c r="D1431" s="9"/>
      <c r="E1431" s="9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6"/>
      <c r="S1431" s="6"/>
    </row>
    <row r="1432">
      <c r="A1432" s="8"/>
      <c r="B1432" s="8" t="str">
        <f t="shared" si="3"/>
        <v/>
      </c>
      <c r="C1432" s="9"/>
      <c r="D1432" s="9"/>
      <c r="E1432" s="9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6"/>
      <c r="S1432" s="6"/>
    </row>
    <row r="1433">
      <c r="A1433" s="8"/>
      <c r="B1433" s="8" t="str">
        <f t="shared" si="3"/>
        <v/>
      </c>
      <c r="C1433" s="9"/>
      <c r="D1433" s="9"/>
      <c r="E1433" s="9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6"/>
      <c r="S1433" s="6"/>
    </row>
    <row r="1434">
      <c r="A1434" s="8"/>
      <c r="B1434" s="8" t="str">
        <f t="shared" si="3"/>
        <v/>
      </c>
      <c r="C1434" s="9"/>
      <c r="D1434" s="9"/>
      <c r="E1434" s="9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6"/>
      <c r="S1434" s="6"/>
    </row>
    <row r="1435">
      <c r="A1435" s="8"/>
      <c r="B1435" s="8" t="str">
        <f t="shared" si="3"/>
        <v/>
      </c>
      <c r="C1435" s="9"/>
      <c r="D1435" s="9"/>
      <c r="E1435" s="9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6"/>
      <c r="S1435" s="6"/>
    </row>
    <row r="1436">
      <c r="A1436" s="8"/>
      <c r="B1436" s="8" t="str">
        <f t="shared" si="3"/>
        <v/>
      </c>
      <c r="C1436" s="9"/>
      <c r="D1436" s="9"/>
      <c r="E1436" s="9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6"/>
      <c r="S1436" s="6"/>
    </row>
    <row r="1437">
      <c r="A1437" s="8"/>
      <c r="B1437" s="8" t="str">
        <f t="shared" si="3"/>
        <v/>
      </c>
      <c r="C1437" s="9"/>
      <c r="D1437" s="9"/>
      <c r="E1437" s="9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6"/>
      <c r="S1437" s="6"/>
    </row>
    <row r="1438">
      <c r="A1438" s="8"/>
      <c r="B1438" s="8" t="str">
        <f t="shared" si="3"/>
        <v/>
      </c>
      <c r="C1438" s="9"/>
      <c r="D1438" s="9"/>
      <c r="E1438" s="9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6"/>
      <c r="S1438" s="6"/>
    </row>
    <row r="1439">
      <c r="A1439" s="8"/>
      <c r="B1439" s="8" t="str">
        <f t="shared" si="3"/>
        <v/>
      </c>
      <c r="C1439" s="9"/>
      <c r="D1439" s="9"/>
      <c r="E1439" s="9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6"/>
      <c r="S1439" s="6"/>
    </row>
    <row r="1440">
      <c r="A1440" s="8"/>
      <c r="B1440" s="8" t="str">
        <f t="shared" si="3"/>
        <v/>
      </c>
      <c r="C1440" s="9"/>
      <c r="D1440" s="9"/>
      <c r="E1440" s="9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6"/>
      <c r="S1440" s="6"/>
    </row>
    <row r="1441">
      <c r="A1441" s="8"/>
      <c r="B1441" s="8" t="str">
        <f t="shared" si="3"/>
        <v/>
      </c>
      <c r="C1441" s="9"/>
      <c r="D1441" s="9"/>
      <c r="E1441" s="9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6"/>
      <c r="S1441" s="6"/>
    </row>
    <row r="1442">
      <c r="A1442" s="8"/>
      <c r="B1442" s="8" t="str">
        <f t="shared" si="3"/>
        <v/>
      </c>
      <c r="C1442" s="9"/>
      <c r="D1442" s="9"/>
      <c r="E1442" s="9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6"/>
      <c r="S1442" s="6"/>
    </row>
    <row r="1443">
      <c r="A1443" s="8"/>
      <c r="B1443" s="8" t="str">
        <f t="shared" si="3"/>
        <v/>
      </c>
      <c r="C1443" s="9"/>
      <c r="D1443" s="9"/>
      <c r="E1443" s="9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6"/>
      <c r="S1443" s="6"/>
    </row>
    <row r="1444">
      <c r="A1444" s="8"/>
      <c r="B1444" s="8" t="str">
        <f t="shared" si="3"/>
        <v/>
      </c>
      <c r="C1444" s="9"/>
      <c r="D1444" s="9"/>
      <c r="E1444" s="9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6"/>
      <c r="S1444" s="6"/>
    </row>
    <row r="1445">
      <c r="A1445" s="8"/>
      <c r="B1445" s="8" t="str">
        <f t="shared" si="3"/>
        <v/>
      </c>
      <c r="C1445" s="9"/>
      <c r="D1445" s="9"/>
      <c r="E1445" s="9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6"/>
      <c r="S1445" s="6"/>
    </row>
    <row r="1446">
      <c r="A1446" s="8"/>
      <c r="B1446" s="8" t="str">
        <f t="shared" si="3"/>
        <v/>
      </c>
      <c r="C1446" s="9"/>
      <c r="D1446" s="9"/>
      <c r="E1446" s="9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6"/>
      <c r="S1446" s="6"/>
    </row>
    <row r="1447">
      <c r="A1447" s="8"/>
      <c r="B1447" s="8" t="str">
        <f t="shared" si="3"/>
        <v/>
      </c>
      <c r="C1447" s="9"/>
      <c r="D1447" s="9"/>
      <c r="E1447" s="9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6"/>
      <c r="S1447" s="6"/>
    </row>
    <row r="1448">
      <c r="A1448" s="8"/>
      <c r="B1448" s="8" t="str">
        <f t="shared" si="3"/>
        <v/>
      </c>
      <c r="C1448" s="9"/>
      <c r="D1448" s="9"/>
      <c r="E1448" s="9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6"/>
      <c r="S1448" s="6"/>
    </row>
    <row r="1449">
      <c r="A1449" s="8"/>
      <c r="B1449" s="8" t="str">
        <f t="shared" si="3"/>
        <v/>
      </c>
      <c r="C1449" s="9"/>
      <c r="D1449" s="9"/>
      <c r="E1449" s="9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6"/>
      <c r="S1449" s="6"/>
    </row>
    <row r="1450">
      <c r="A1450" s="8"/>
      <c r="B1450" s="8" t="str">
        <f t="shared" si="3"/>
        <v/>
      </c>
      <c r="C1450" s="9"/>
      <c r="D1450" s="9"/>
      <c r="E1450" s="9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6"/>
      <c r="S1450" s="6"/>
    </row>
    <row r="1451">
      <c r="A1451" s="8"/>
      <c r="B1451" s="8" t="str">
        <f t="shared" si="3"/>
        <v/>
      </c>
      <c r="C1451" s="9"/>
      <c r="D1451" s="9"/>
      <c r="E1451" s="9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6"/>
      <c r="S1451" s="6"/>
    </row>
    <row r="1452">
      <c r="A1452" s="8"/>
      <c r="B1452" s="8" t="str">
        <f t="shared" si="3"/>
        <v/>
      </c>
      <c r="C1452" s="9"/>
      <c r="D1452" s="9"/>
      <c r="E1452" s="9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6"/>
      <c r="S1452" s="6"/>
    </row>
    <row r="1453">
      <c r="A1453" s="8"/>
      <c r="B1453" s="8" t="str">
        <f t="shared" si="3"/>
        <v/>
      </c>
      <c r="C1453" s="9"/>
      <c r="D1453" s="9"/>
      <c r="E1453" s="9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6"/>
      <c r="S1453" s="6"/>
    </row>
    <row r="1454">
      <c r="A1454" s="8"/>
      <c r="B1454" s="8" t="str">
        <f t="shared" si="3"/>
        <v/>
      </c>
      <c r="C1454" s="9"/>
      <c r="D1454" s="9"/>
      <c r="E1454" s="9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6"/>
      <c r="S1454" s="6"/>
    </row>
    <row r="1455">
      <c r="A1455" s="8"/>
      <c r="B1455" s="8" t="str">
        <f t="shared" si="3"/>
        <v/>
      </c>
      <c r="C1455" s="9"/>
      <c r="D1455" s="9"/>
      <c r="E1455" s="9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6"/>
      <c r="S1455" s="6"/>
    </row>
    <row r="1456">
      <c r="A1456" s="8"/>
      <c r="B1456" s="8" t="str">
        <f t="shared" si="3"/>
        <v/>
      </c>
      <c r="C1456" s="9"/>
      <c r="D1456" s="9"/>
      <c r="E1456" s="9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6"/>
      <c r="S1456" s="6"/>
    </row>
    <row r="1457">
      <c r="A1457" s="8"/>
      <c r="B1457" s="8" t="str">
        <f t="shared" si="3"/>
        <v/>
      </c>
      <c r="C1457" s="9"/>
      <c r="D1457" s="9"/>
      <c r="E1457" s="9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6"/>
      <c r="S1457" s="6"/>
    </row>
    <row r="1458">
      <c r="A1458" s="8"/>
      <c r="B1458" s="8" t="str">
        <f t="shared" si="3"/>
        <v/>
      </c>
      <c r="C1458" s="9"/>
      <c r="D1458" s="9"/>
      <c r="E1458" s="9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6"/>
      <c r="S1458" s="6"/>
    </row>
    <row r="1459">
      <c r="A1459" s="8"/>
      <c r="B1459" s="8" t="str">
        <f t="shared" si="3"/>
        <v/>
      </c>
      <c r="C1459" s="9"/>
      <c r="D1459" s="9"/>
      <c r="E1459" s="9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6"/>
      <c r="S1459" s="6"/>
    </row>
    <row r="1460">
      <c r="A1460" s="8"/>
      <c r="B1460" s="8" t="str">
        <f t="shared" si="3"/>
        <v/>
      </c>
      <c r="C1460" s="9"/>
      <c r="D1460" s="9"/>
      <c r="E1460" s="9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6"/>
      <c r="S1460" s="6"/>
    </row>
    <row r="1461">
      <c r="A1461" s="8"/>
      <c r="B1461" s="8" t="str">
        <f t="shared" si="3"/>
        <v/>
      </c>
      <c r="C1461" s="9"/>
      <c r="D1461" s="9"/>
      <c r="E1461" s="9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6"/>
      <c r="S1461" s="6"/>
    </row>
    <row r="1462">
      <c r="A1462" s="8"/>
      <c r="B1462" s="8" t="str">
        <f t="shared" si="3"/>
        <v/>
      </c>
      <c r="C1462" s="9"/>
      <c r="D1462" s="9"/>
      <c r="E1462" s="9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6"/>
      <c r="S1462" s="6"/>
    </row>
    <row r="1463">
      <c r="A1463" s="8"/>
      <c r="B1463" s="8" t="str">
        <f t="shared" si="3"/>
        <v/>
      </c>
      <c r="C1463" s="9"/>
      <c r="D1463" s="9"/>
      <c r="E1463" s="9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6"/>
      <c r="S1463" s="6"/>
    </row>
    <row r="1464">
      <c r="A1464" s="8"/>
      <c r="B1464" s="8" t="str">
        <f t="shared" si="3"/>
        <v/>
      </c>
      <c r="C1464" s="9"/>
      <c r="D1464" s="9"/>
      <c r="E1464" s="9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6"/>
      <c r="S1464" s="6"/>
    </row>
    <row r="1465">
      <c r="A1465" s="8"/>
      <c r="B1465" s="8" t="str">
        <f t="shared" si="3"/>
        <v/>
      </c>
      <c r="C1465" s="9"/>
      <c r="D1465" s="9"/>
      <c r="E1465" s="9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6"/>
      <c r="S1465" s="6"/>
    </row>
    <row r="1466">
      <c r="A1466" s="8"/>
      <c r="B1466" s="8" t="str">
        <f t="shared" si="3"/>
        <v/>
      </c>
      <c r="C1466" s="9"/>
      <c r="D1466" s="9"/>
      <c r="E1466" s="9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6"/>
      <c r="S1466" s="6"/>
    </row>
    <row r="1467">
      <c r="A1467" s="8"/>
      <c r="B1467" s="8" t="str">
        <f t="shared" si="3"/>
        <v/>
      </c>
      <c r="C1467" s="9"/>
      <c r="D1467" s="9"/>
      <c r="E1467" s="9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6"/>
      <c r="S1467" s="6"/>
    </row>
    <row r="1468">
      <c r="A1468" s="8"/>
      <c r="B1468" s="8" t="str">
        <f t="shared" si="3"/>
        <v/>
      </c>
      <c r="C1468" s="9"/>
      <c r="D1468" s="9"/>
      <c r="E1468" s="9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6"/>
      <c r="S1468" s="6"/>
    </row>
    <row r="1469">
      <c r="A1469" s="8"/>
      <c r="B1469" s="8" t="str">
        <f t="shared" si="3"/>
        <v/>
      </c>
      <c r="C1469" s="9"/>
      <c r="D1469" s="9"/>
      <c r="E1469" s="9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6"/>
      <c r="S1469" s="6"/>
    </row>
    <row r="1470">
      <c r="A1470" s="8"/>
      <c r="B1470" s="8" t="str">
        <f t="shared" si="3"/>
        <v/>
      </c>
      <c r="C1470" s="9"/>
      <c r="D1470" s="9"/>
      <c r="E1470" s="9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6"/>
      <c r="S1470" s="6"/>
    </row>
    <row r="1471">
      <c r="A1471" s="8"/>
      <c r="B1471" s="8" t="str">
        <f t="shared" si="3"/>
        <v/>
      </c>
      <c r="C1471" s="9"/>
      <c r="D1471" s="9"/>
      <c r="E1471" s="9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6"/>
      <c r="S1471" s="6"/>
    </row>
    <row r="1472">
      <c r="A1472" s="8"/>
      <c r="B1472" s="8" t="str">
        <f t="shared" si="3"/>
        <v/>
      </c>
      <c r="C1472" s="9"/>
      <c r="D1472" s="9"/>
      <c r="E1472" s="9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6"/>
      <c r="S1472" s="6"/>
    </row>
    <row r="1473">
      <c r="A1473" s="8"/>
      <c r="B1473" s="8" t="str">
        <f t="shared" si="3"/>
        <v/>
      </c>
      <c r="C1473" s="9"/>
      <c r="D1473" s="9"/>
      <c r="E1473" s="9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6"/>
      <c r="S1473" s="6"/>
    </row>
    <row r="1474">
      <c r="A1474" s="8"/>
      <c r="B1474" s="8" t="str">
        <f t="shared" si="3"/>
        <v/>
      </c>
      <c r="C1474" s="9"/>
      <c r="D1474" s="9"/>
      <c r="E1474" s="9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6"/>
      <c r="S1474" s="6"/>
    </row>
    <row r="1475">
      <c r="A1475" s="8"/>
      <c r="B1475" s="8" t="str">
        <f t="shared" si="3"/>
        <v/>
      </c>
      <c r="C1475" s="9"/>
      <c r="D1475" s="9"/>
      <c r="E1475" s="9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6"/>
      <c r="S1475" s="6"/>
    </row>
    <row r="1476">
      <c r="A1476" s="8"/>
      <c r="B1476" s="8" t="str">
        <f t="shared" si="3"/>
        <v/>
      </c>
      <c r="C1476" s="9"/>
      <c r="D1476" s="9"/>
      <c r="E1476" s="9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6"/>
      <c r="S1476" s="6"/>
    </row>
    <row r="1477">
      <c r="A1477" s="8"/>
      <c r="B1477" s="8" t="str">
        <f t="shared" si="3"/>
        <v/>
      </c>
      <c r="C1477" s="9"/>
      <c r="D1477" s="9"/>
      <c r="E1477" s="9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6"/>
      <c r="S1477" s="6"/>
    </row>
    <row r="1478">
      <c r="A1478" s="8"/>
      <c r="B1478" s="8" t="str">
        <f t="shared" si="3"/>
        <v/>
      </c>
      <c r="C1478" s="9"/>
      <c r="D1478" s="9"/>
      <c r="E1478" s="9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6"/>
      <c r="S1478" s="6"/>
    </row>
    <row r="1479">
      <c r="A1479" s="8"/>
      <c r="B1479" s="8" t="str">
        <f t="shared" si="3"/>
        <v/>
      </c>
      <c r="C1479" s="9"/>
      <c r="D1479" s="9"/>
      <c r="E1479" s="9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6"/>
      <c r="S1479" s="6"/>
    </row>
    <row r="1480">
      <c r="A1480" s="8"/>
      <c r="B1480" s="8" t="str">
        <f t="shared" si="3"/>
        <v/>
      </c>
      <c r="C1480" s="9"/>
      <c r="D1480" s="9"/>
      <c r="E1480" s="9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6"/>
      <c r="S1480" s="6"/>
    </row>
    <row r="1481">
      <c r="A1481" s="8"/>
      <c r="B1481" s="8" t="str">
        <f t="shared" si="3"/>
        <v/>
      </c>
      <c r="C1481" s="9"/>
      <c r="D1481" s="9"/>
      <c r="E1481" s="9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6"/>
      <c r="S1481" s="6"/>
    </row>
    <row r="1482">
      <c r="A1482" s="8"/>
      <c r="B1482" s="8" t="str">
        <f t="shared" si="3"/>
        <v/>
      </c>
      <c r="C1482" s="9"/>
      <c r="D1482" s="9"/>
      <c r="E1482" s="9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6"/>
      <c r="S1482" s="6"/>
    </row>
    <row r="1483">
      <c r="A1483" s="8"/>
      <c r="B1483" s="8" t="str">
        <f t="shared" si="3"/>
        <v/>
      </c>
      <c r="C1483" s="9"/>
      <c r="D1483" s="9"/>
      <c r="E1483" s="9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6"/>
      <c r="S1483" s="6"/>
    </row>
    <row r="1484">
      <c r="A1484" s="8"/>
      <c r="B1484" s="8" t="str">
        <f t="shared" si="3"/>
        <v/>
      </c>
      <c r="C1484" s="9"/>
      <c r="D1484" s="9"/>
      <c r="E1484" s="9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6"/>
      <c r="S1484" s="6"/>
    </row>
    <row r="1485">
      <c r="A1485" s="8"/>
      <c r="B1485" s="8" t="str">
        <f t="shared" si="3"/>
        <v/>
      </c>
      <c r="C1485" s="9"/>
      <c r="D1485" s="9"/>
      <c r="E1485" s="9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6"/>
      <c r="S1485" s="6"/>
    </row>
    <row r="1486">
      <c r="A1486" s="8"/>
      <c r="B1486" s="8" t="str">
        <f t="shared" si="3"/>
        <v/>
      </c>
      <c r="C1486" s="9"/>
      <c r="D1486" s="9"/>
      <c r="E1486" s="9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6"/>
      <c r="S1486" s="6"/>
    </row>
    <row r="1487">
      <c r="A1487" s="8"/>
      <c r="B1487" s="8" t="str">
        <f t="shared" si="3"/>
        <v/>
      </c>
      <c r="C1487" s="9"/>
      <c r="D1487" s="9"/>
      <c r="E1487" s="9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6"/>
      <c r="S1487" s="6"/>
    </row>
    <row r="1488">
      <c r="A1488" s="8"/>
      <c r="B1488" s="8" t="str">
        <f t="shared" si="3"/>
        <v/>
      </c>
      <c r="C1488" s="9"/>
      <c r="D1488" s="9"/>
      <c r="E1488" s="9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6"/>
      <c r="S1488" s="6"/>
    </row>
    <row r="1489">
      <c r="A1489" s="8"/>
      <c r="B1489" s="8" t="str">
        <f t="shared" si="3"/>
        <v/>
      </c>
      <c r="C1489" s="9"/>
      <c r="D1489" s="9"/>
      <c r="E1489" s="9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6"/>
      <c r="S1489" s="6"/>
    </row>
    <row r="1490">
      <c r="A1490" s="8"/>
      <c r="B1490" s="8" t="str">
        <f t="shared" si="3"/>
        <v/>
      </c>
      <c r="C1490" s="9"/>
      <c r="D1490" s="9"/>
      <c r="E1490" s="9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6"/>
      <c r="S1490" s="6"/>
    </row>
    <row r="1491">
      <c r="A1491" s="8"/>
      <c r="B1491" s="8" t="str">
        <f t="shared" si="3"/>
        <v/>
      </c>
      <c r="C1491" s="9"/>
      <c r="D1491" s="9"/>
      <c r="E1491" s="9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6"/>
      <c r="S1491" s="6"/>
    </row>
    <row r="1492">
      <c r="A1492" s="8"/>
      <c r="B1492" s="8" t="str">
        <f t="shared" si="3"/>
        <v/>
      </c>
      <c r="C1492" s="9"/>
      <c r="D1492" s="9"/>
      <c r="E1492" s="9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6"/>
      <c r="S1492" s="6"/>
    </row>
    <row r="1493">
      <c r="A1493" s="8"/>
      <c r="B1493" s="8" t="str">
        <f t="shared" si="3"/>
        <v/>
      </c>
      <c r="C1493" s="9"/>
      <c r="D1493" s="9"/>
      <c r="E1493" s="9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6"/>
      <c r="S1493" s="6"/>
    </row>
    <row r="1494">
      <c r="A1494" s="8"/>
      <c r="B1494" s="8" t="str">
        <f t="shared" si="3"/>
        <v/>
      </c>
      <c r="C1494" s="9"/>
      <c r="D1494" s="9"/>
      <c r="E1494" s="9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6"/>
      <c r="S1494" s="6"/>
    </row>
    <row r="1495">
      <c r="A1495" s="8"/>
      <c r="B1495" s="8" t="str">
        <f t="shared" si="3"/>
        <v/>
      </c>
      <c r="C1495" s="9"/>
      <c r="D1495" s="9"/>
      <c r="E1495" s="9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6"/>
      <c r="S1495" s="6"/>
    </row>
    <row r="1496">
      <c r="A1496" s="8"/>
      <c r="B1496" s="8" t="str">
        <f t="shared" si="3"/>
        <v/>
      </c>
      <c r="C1496" s="9"/>
      <c r="D1496" s="9"/>
      <c r="E1496" s="9"/>
      <c r="F1496" s="8"/>
      <c r="G1496" s="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6"/>
      <c r="S1496" s="6"/>
    </row>
    <row r="1497">
      <c r="A1497" s="8"/>
      <c r="B1497" s="8" t="str">
        <f t="shared" si="3"/>
        <v/>
      </c>
      <c r="C1497" s="9"/>
      <c r="D1497" s="9"/>
      <c r="E1497" s="9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6"/>
      <c r="S1497" s="6"/>
    </row>
    <row r="1498">
      <c r="A1498" s="8"/>
      <c r="B1498" s="8" t="str">
        <f t="shared" si="3"/>
        <v/>
      </c>
      <c r="C1498" s="9"/>
      <c r="D1498" s="9"/>
      <c r="E1498" s="9"/>
      <c r="F1498" s="8"/>
      <c r="G1498" s="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6"/>
      <c r="S1498" s="6"/>
    </row>
    <row r="1499">
      <c r="A1499" s="8"/>
      <c r="B1499" s="8" t="str">
        <f t="shared" si="3"/>
        <v/>
      </c>
      <c r="C1499" s="9"/>
      <c r="D1499" s="9"/>
      <c r="E1499" s="9"/>
      <c r="F1499" s="8"/>
      <c r="G1499" s="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6"/>
      <c r="S1499" s="6"/>
    </row>
    <row r="1500">
      <c r="A1500" s="8"/>
      <c r="B1500" s="8" t="str">
        <f t="shared" si="3"/>
        <v/>
      </c>
      <c r="C1500" s="9"/>
      <c r="D1500" s="9"/>
      <c r="E1500" s="9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6"/>
      <c r="S1500" s="6"/>
    </row>
    <row r="1501">
      <c r="A1501" s="8"/>
      <c r="B1501" s="8" t="str">
        <f t="shared" si="3"/>
        <v/>
      </c>
      <c r="C1501" s="9"/>
      <c r="D1501" s="9"/>
      <c r="E1501" s="9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6"/>
      <c r="S1501" s="6"/>
    </row>
    <row r="1502">
      <c r="A1502" s="8"/>
      <c r="B1502" s="8" t="str">
        <f t="shared" si="3"/>
        <v/>
      </c>
      <c r="C1502" s="9"/>
      <c r="D1502" s="9"/>
      <c r="E1502" s="9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6"/>
      <c r="S1502" s="6"/>
    </row>
    <row r="1503">
      <c r="A1503" s="8"/>
      <c r="B1503" s="8" t="str">
        <f t="shared" si="3"/>
        <v/>
      </c>
      <c r="C1503" s="9"/>
      <c r="D1503" s="9"/>
      <c r="E1503" s="9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6"/>
      <c r="S1503" s="6"/>
    </row>
    <row r="1504">
      <c r="A1504" s="8"/>
      <c r="B1504" s="8" t="str">
        <f t="shared" si="3"/>
        <v/>
      </c>
      <c r="C1504" s="9"/>
      <c r="D1504" s="9"/>
      <c r="E1504" s="9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6"/>
      <c r="S1504" s="6"/>
    </row>
    <row r="1505">
      <c r="A1505" s="8"/>
      <c r="B1505" s="8" t="str">
        <f t="shared" si="3"/>
        <v/>
      </c>
      <c r="C1505" s="9"/>
      <c r="D1505" s="9"/>
      <c r="E1505" s="9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6"/>
      <c r="S1505" s="6"/>
    </row>
    <row r="1506">
      <c r="A1506" s="8"/>
      <c r="B1506" s="8" t="str">
        <f t="shared" si="3"/>
        <v/>
      </c>
      <c r="C1506" s="9"/>
      <c r="D1506" s="9"/>
      <c r="E1506" s="9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6"/>
      <c r="S1506" s="6"/>
    </row>
    <row r="1507">
      <c r="A1507" s="8"/>
      <c r="B1507" s="8" t="str">
        <f t="shared" si="3"/>
        <v/>
      </c>
      <c r="C1507" s="9"/>
      <c r="D1507" s="9"/>
      <c r="E1507" s="9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6"/>
      <c r="S1507" s="6"/>
    </row>
    <row r="1508">
      <c r="A1508" s="8"/>
      <c r="B1508" s="8" t="str">
        <f t="shared" si="3"/>
        <v/>
      </c>
      <c r="C1508" s="9"/>
      <c r="D1508" s="9"/>
      <c r="E1508" s="9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6"/>
      <c r="S1508" s="6"/>
    </row>
    <row r="1509">
      <c r="A1509" s="8"/>
      <c r="B1509" s="8" t="str">
        <f t="shared" si="3"/>
        <v/>
      </c>
      <c r="C1509" s="9"/>
      <c r="D1509" s="9"/>
      <c r="E1509" s="9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6"/>
      <c r="S1509" s="6"/>
    </row>
    <row r="1510">
      <c r="A1510" s="8"/>
      <c r="B1510" s="8" t="str">
        <f t="shared" si="3"/>
        <v/>
      </c>
      <c r="C1510" s="9"/>
      <c r="D1510" s="9"/>
      <c r="E1510" s="9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6"/>
      <c r="S1510" s="6"/>
    </row>
    <row r="1511">
      <c r="A1511" s="8"/>
      <c r="B1511" s="8" t="str">
        <f t="shared" si="3"/>
        <v/>
      </c>
      <c r="C1511" s="9"/>
      <c r="D1511" s="9"/>
      <c r="E1511" s="9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6"/>
      <c r="S1511" s="6"/>
    </row>
    <row r="1512">
      <c r="A1512" s="8"/>
      <c r="B1512" s="8" t="str">
        <f t="shared" si="3"/>
        <v/>
      </c>
      <c r="C1512" s="9"/>
      <c r="D1512" s="9"/>
      <c r="E1512" s="9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6"/>
      <c r="S1512" s="6"/>
    </row>
    <row r="1513">
      <c r="A1513" s="8"/>
      <c r="B1513" s="8" t="str">
        <f t="shared" si="3"/>
        <v/>
      </c>
      <c r="C1513" s="9"/>
      <c r="D1513" s="9"/>
      <c r="E1513" s="9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6"/>
      <c r="S1513" s="6"/>
    </row>
    <row r="1514">
      <c r="A1514" s="8"/>
      <c r="B1514" s="8" t="str">
        <f t="shared" si="3"/>
        <v/>
      </c>
      <c r="C1514" s="9"/>
      <c r="D1514" s="9"/>
      <c r="E1514" s="9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6"/>
      <c r="S1514" s="6"/>
    </row>
    <row r="1515">
      <c r="A1515" s="8"/>
      <c r="B1515" s="8" t="str">
        <f t="shared" si="3"/>
        <v/>
      </c>
      <c r="C1515" s="9"/>
      <c r="D1515" s="9"/>
      <c r="E1515" s="9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6"/>
      <c r="S1515" s="6"/>
    </row>
    <row r="1516">
      <c r="A1516" s="8"/>
      <c r="B1516" s="8" t="str">
        <f t="shared" si="3"/>
        <v/>
      </c>
      <c r="C1516" s="9"/>
      <c r="D1516" s="9"/>
      <c r="E1516" s="9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6"/>
      <c r="S1516" s="6"/>
    </row>
    <row r="1517">
      <c r="A1517" s="8"/>
      <c r="B1517" s="8" t="str">
        <f t="shared" si="3"/>
        <v/>
      </c>
      <c r="C1517" s="9"/>
      <c r="D1517" s="9"/>
      <c r="E1517" s="9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6"/>
      <c r="S1517" s="6"/>
    </row>
    <row r="1518">
      <c r="A1518" s="8"/>
      <c r="B1518" s="8" t="str">
        <f t="shared" si="3"/>
        <v/>
      </c>
      <c r="C1518" s="9"/>
      <c r="D1518" s="9"/>
      <c r="E1518" s="9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6"/>
      <c r="S1518" s="6"/>
    </row>
    <row r="1519">
      <c r="A1519" s="8"/>
      <c r="B1519" s="8" t="str">
        <f t="shared" si="3"/>
        <v/>
      </c>
      <c r="C1519" s="9"/>
      <c r="D1519" s="9"/>
      <c r="E1519" s="9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6"/>
      <c r="S1519" s="6"/>
    </row>
    <row r="1520">
      <c r="A1520" s="8"/>
      <c r="B1520" s="8" t="str">
        <f t="shared" si="3"/>
        <v/>
      </c>
      <c r="C1520" s="9"/>
      <c r="D1520" s="9"/>
      <c r="E1520" s="9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6"/>
      <c r="S1520" s="6"/>
    </row>
    <row r="1521">
      <c r="A1521" s="8"/>
      <c r="B1521" s="8" t="str">
        <f t="shared" si="3"/>
        <v/>
      </c>
      <c r="C1521" s="9"/>
      <c r="D1521" s="9"/>
      <c r="E1521" s="9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6"/>
      <c r="S1521" s="6"/>
    </row>
    <row r="1522">
      <c r="A1522" s="8"/>
      <c r="B1522" s="8" t="str">
        <f t="shared" si="3"/>
        <v/>
      </c>
      <c r="C1522" s="9"/>
      <c r="D1522" s="9"/>
      <c r="E1522" s="9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6"/>
      <c r="S1522" s="6"/>
    </row>
    <row r="1523">
      <c r="A1523" s="8"/>
      <c r="B1523" s="8" t="str">
        <f t="shared" si="3"/>
        <v/>
      </c>
      <c r="C1523" s="9"/>
      <c r="D1523" s="9"/>
      <c r="E1523" s="9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6"/>
      <c r="S1523" s="6"/>
    </row>
    <row r="1524">
      <c r="A1524" s="8"/>
      <c r="B1524" s="8" t="str">
        <f t="shared" si="3"/>
        <v/>
      </c>
      <c r="C1524" s="9"/>
      <c r="D1524" s="9"/>
      <c r="E1524" s="9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6"/>
      <c r="S1524" s="6"/>
    </row>
    <row r="1525">
      <c r="A1525" s="8"/>
      <c r="B1525" s="8" t="str">
        <f t="shared" si="3"/>
        <v/>
      </c>
      <c r="C1525" s="9"/>
      <c r="D1525" s="9"/>
      <c r="E1525" s="9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6"/>
      <c r="S1525" s="6"/>
    </row>
    <row r="1526">
      <c r="A1526" s="8"/>
      <c r="B1526" s="8" t="str">
        <f t="shared" si="3"/>
        <v/>
      </c>
      <c r="C1526" s="9"/>
      <c r="D1526" s="9"/>
      <c r="E1526" s="9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6"/>
      <c r="S1526" s="6"/>
    </row>
    <row r="1527">
      <c r="A1527" s="8"/>
      <c r="B1527" s="8" t="str">
        <f t="shared" si="3"/>
        <v/>
      </c>
      <c r="C1527" s="9"/>
      <c r="D1527" s="9"/>
      <c r="E1527" s="9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6"/>
      <c r="S1527" s="6"/>
    </row>
    <row r="1528">
      <c r="A1528" s="8"/>
      <c r="B1528" s="8" t="str">
        <f t="shared" si="3"/>
        <v/>
      </c>
      <c r="C1528" s="9"/>
      <c r="D1528" s="9"/>
      <c r="E1528" s="9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6"/>
      <c r="S1528" s="6"/>
    </row>
    <row r="1529">
      <c r="A1529" s="8"/>
      <c r="B1529" s="8" t="str">
        <f t="shared" si="3"/>
        <v/>
      </c>
      <c r="C1529" s="9"/>
      <c r="D1529" s="9"/>
      <c r="E1529" s="9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6"/>
      <c r="S1529" s="6"/>
    </row>
    <row r="1530">
      <c r="A1530" s="8"/>
      <c r="B1530" s="8" t="str">
        <f t="shared" si="3"/>
        <v/>
      </c>
      <c r="C1530" s="9"/>
      <c r="D1530" s="9"/>
      <c r="E1530" s="9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6"/>
      <c r="S1530" s="6"/>
    </row>
    <row r="1531">
      <c r="A1531" s="8"/>
      <c r="B1531" s="8" t="str">
        <f t="shared" si="3"/>
        <v/>
      </c>
      <c r="C1531" s="9"/>
      <c r="D1531" s="9"/>
      <c r="E1531" s="9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6"/>
      <c r="S1531" s="6"/>
    </row>
    <row r="1532">
      <c r="A1532" s="8"/>
      <c r="B1532" s="8" t="str">
        <f t="shared" si="3"/>
        <v/>
      </c>
      <c r="C1532" s="9"/>
      <c r="D1532" s="9"/>
      <c r="E1532" s="9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6"/>
      <c r="S1532" s="6"/>
    </row>
    <row r="1533">
      <c r="A1533" s="8"/>
      <c r="B1533" s="8" t="str">
        <f t="shared" si="3"/>
        <v/>
      </c>
      <c r="C1533" s="9"/>
      <c r="D1533" s="9"/>
      <c r="E1533" s="9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6"/>
      <c r="S1533" s="6"/>
    </row>
    <row r="1534">
      <c r="A1534" s="8"/>
      <c r="B1534" s="8" t="str">
        <f t="shared" si="3"/>
        <v/>
      </c>
      <c r="C1534" s="9"/>
      <c r="D1534" s="9"/>
      <c r="E1534" s="9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6"/>
      <c r="S1534" s="6"/>
    </row>
    <row r="1535">
      <c r="A1535" s="8"/>
      <c r="B1535" s="8" t="str">
        <f t="shared" si="3"/>
        <v/>
      </c>
      <c r="C1535" s="9"/>
      <c r="D1535" s="9"/>
      <c r="E1535" s="9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6"/>
      <c r="S1535" s="6"/>
    </row>
    <row r="1536">
      <c r="A1536" s="8"/>
      <c r="B1536" s="8" t="str">
        <f t="shared" si="3"/>
        <v/>
      </c>
      <c r="C1536" s="9"/>
      <c r="D1536" s="9"/>
      <c r="E1536" s="9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6"/>
      <c r="S1536" s="6"/>
    </row>
    <row r="1537">
      <c r="A1537" s="8"/>
      <c r="B1537" s="8" t="str">
        <f t="shared" si="3"/>
        <v/>
      </c>
      <c r="C1537" s="9"/>
      <c r="D1537" s="9"/>
      <c r="E1537" s="9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6"/>
      <c r="S1537" s="6"/>
    </row>
    <row r="1538">
      <c r="A1538" s="8"/>
      <c r="B1538" s="8" t="str">
        <f t="shared" si="3"/>
        <v/>
      </c>
      <c r="C1538" s="9"/>
      <c r="D1538" s="9"/>
      <c r="E1538" s="9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6"/>
      <c r="S1538" s="6"/>
    </row>
    <row r="1539">
      <c r="A1539" s="8"/>
      <c r="B1539" s="8" t="str">
        <f t="shared" si="3"/>
        <v/>
      </c>
      <c r="C1539" s="9"/>
      <c r="D1539" s="9"/>
      <c r="E1539" s="9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6"/>
      <c r="S1539" s="6"/>
    </row>
    <row r="1540">
      <c r="A1540" s="8"/>
      <c r="B1540" s="8" t="str">
        <f t="shared" si="3"/>
        <v/>
      </c>
      <c r="C1540" s="9"/>
      <c r="D1540" s="9"/>
      <c r="E1540" s="9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6"/>
      <c r="S1540" s="6"/>
    </row>
    <row r="1541">
      <c r="A1541" s="8"/>
      <c r="B1541" s="8" t="str">
        <f t="shared" si="3"/>
        <v/>
      </c>
      <c r="C1541" s="9"/>
      <c r="D1541" s="9"/>
      <c r="E1541" s="9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6"/>
      <c r="S1541" s="6"/>
    </row>
    <row r="1542">
      <c r="A1542" s="8"/>
      <c r="B1542" s="8" t="str">
        <f t="shared" si="3"/>
        <v/>
      </c>
      <c r="C1542" s="9"/>
      <c r="D1542" s="9"/>
      <c r="E1542" s="9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6"/>
      <c r="S1542" s="6"/>
    </row>
    <row r="1543">
      <c r="A1543" s="8"/>
      <c r="B1543" s="8" t="str">
        <f t="shared" si="3"/>
        <v/>
      </c>
      <c r="C1543" s="9"/>
      <c r="D1543" s="9"/>
      <c r="E1543" s="9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6"/>
      <c r="S1543" s="6"/>
    </row>
    <row r="1544">
      <c r="A1544" s="8"/>
      <c r="B1544" s="8" t="str">
        <f t="shared" si="3"/>
        <v/>
      </c>
      <c r="C1544" s="9"/>
      <c r="D1544" s="9"/>
      <c r="E1544" s="9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6"/>
      <c r="S1544" s="6"/>
    </row>
    <row r="1545">
      <c r="A1545" s="8"/>
      <c r="B1545" s="8" t="str">
        <f t="shared" si="3"/>
        <v/>
      </c>
      <c r="C1545" s="9"/>
      <c r="D1545" s="9"/>
      <c r="E1545" s="9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6"/>
      <c r="S1545" s="6"/>
    </row>
    <row r="1546">
      <c r="A1546" s="8"/>
      <c r="B1546" s="8" t="str">
        <f t="shared" si="3"/>
        <v/>
      </c>
      <c r="C1546" s="9"/>
      <c r="D1546" s="9"/>
      <c r="E1546" s="9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6"/>
      <c r="S1546" s="6"/>
    </row>
    <row r="1547">
      <c r="A1547" s="8"/>
      <c r="B1547" s="8" t="str">
        <f t="shared" si="3"/>
        <v/>
      </c>
      <c r="C1547" s="9"/>
      <c r="D1547" s="9"/>
      <c r="E1547" s="9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6"/>
      <c r="S1547" s="6"/>
    </row>
    <row r="1548">
      <c r="A1548" s="8"/>
      <c r="B1548" s="8" t="str">
        <f t="shared" si="3"/>
        <v/>
      </c>
      <c r="C1548" s="9"/>
      <c r="D1548" s="9"/>
      <c r="E1548" s="9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6"/>
      <c r="S1548" s="6"/>
    </row>
    <row r="1549">
      <c r="A1549" s="8"/>
      <c r="B1549" s="8" t="str">
        <f t="shared" si="3"/>
        <v/>
      </c>
      <c r="C1549" s="9"/>
      <c r="D1549" s="9"/>
      <c r="E1549" s="9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6"/>
      <c r="S1549" s="6"/>
    </row>
    <row r="1550">
      <c r="A1550" s="8"/>
      <c r="B1550" s="8" t="str">
        <f t="shared" si="3"/>
        <v/>
      </c>
      <c r="C1550" s="9"/>
      <c r="D1550" s="9"/>
      <c r="E1550" s="9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6"/>
      <c r="S1550" s="6"/>
    </row>
    <row r="1551">
      <c r="A1551" s="8"/>
      <c r="B1551" s="8" t="str">
        <f t="shared" si="3"/>
        <v/>
      </c>
      <c r="C1551" s="9"/>
      <c r="D1551" s="9"/>
      <c r="E1551" s="9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6"/>
      <c r="S1551" s="6"/>
    </row>
    <row r="1552">
      <c r="A1552" s="8"/>
      <c r="B1552" s="8" t="str">
        <f t="shared" si="3"/>
        <v/>
      </c>
      <c r="C1552" s="9"/>
      <c r="D1552" s="9"/>
      <c r="E1552" s="9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6"/>
      <c r="S1552" s="6"/>
    </row>
    <row r="1553">
      <c r="A1553" s="8"/>
      <c r="B1553" s="8" t="str">
        <f t="shared" si="3"/>
        <v/>
      </c>
      <c r="C1553" s="9"/>
      <c r="D1553" s="9"/>
      <c r="E1553" s="9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6"/>
      <c r="S1553" s="6"/>
    </row>
    <row r="1554">
      <c r="A1554" s="8"/>
      <c r="B1554" s="8" t="str">
        <f t="shared" si="3"/>
        <v/>
      </c>
      <c r="C1554" s="9"/>
      <c r="D1554" s="9"/>
      <c r="E1554" s="9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6"/>
      <c r="S1554" s="6"/>
    </row>
    <row r="1555">
      <c r="A1555" s="8"/>
      <c r="B1555" s="8" t="str">
        <f t="shared" si="3"/>
        <v/>
      </c>
      <c r="C1555" s="9"/>
      <c r="D1555" s="9"/>
      <c r="E1555" s="9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6"/>
      <c r="S1555" s="6"/>
    </row>
    <row r="1556">
      <c r="A1556" s="8"/>
      <c r="B1556" s="8" t="str">
        <f t="shared" si="3"/>
        <v/>
      </c>
      <c r="C1556" s="9"/>
      <c r="D1556" s="9"/>
      <c r="E1556" s="9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6"/>
      <c r="S1556" s="6"/>
    </row>
    <row r="1557">
      <c r="A1557" s="8"/>
      <c r="B1557" s="8" t="str">
        <f t="shared" si="3"/>
        <v/>
      </c>
      <c r="C1557" s="9"/>
      <c r="D1557" s="9"/>
      <c r="E1557" s="9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6"/>
      <c r="S1557" s="6"/>
    </row>
    <row r="1558">
      <c r="A1558" s="8"/>
      <c r="B1558" s="8" t="str">
        <f t="shared" si="3"/>
        <v/>
      </c>
      <c r="C1558" s="9"/>
      <c r="D1558" s="9"/>
      <c r="E1558" s="9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6"/>
      <c r="S1558" s="6"/>
    </row>
    <row r="1559">
      <c r="A1559" s="8"/>
      <c r="B1559" s="8" t="str">
        <f t="shared" si="3"/>
        <v/>
      </c>
      <c r="C1559" s="9"/>
      <c r="D1559" s="9"/>
      <c r="E1559" s="9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6"/>
      <c r="S1559" s="6"/>
    </row>
    <row r="1560">
      <c r="A1560" s="8"/>
      <c r="B1560" s="8" t="str">
        <f t="shared" si="3"/>
        <v/>
      </c>
      <c r="C1560" s="9"/>
      <c r="D1560" s="9"/>
      <c r="E1560" s="9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6"/>
      <c r="S1560" s="6"/>
    </row>
    <row r="1561">
      <c r="A1561" s="8"/>
      <c r="B1561" s="8" t="str">
        <f t="shared" si="3"/>
        <v/>
      </c>
      <c r="C1561" s="9"/>
      <c r="D1561" s="9"/>
      <c r="E1561" s="9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6"/>
      <c r="S1561" s="6"/>
    </row>
    <row r="1562">
      <c r="A1562" s="8"/>
      <c r="B1562" s="8" t="str">
        <f t="shared" si="3"/>
        <v/>
      </c>
      <c r="C1562" s="9"/>
      <c r="D1562" s="9"/>
      <c r="E1562" s="9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6"/>
      <c r="S1562" s="6"/>
    </row>
    <row r="1563">
      <c r="A1563" s="8"/>
      <c r="B1563" s="8" t="str">
        <f t="shared" si="3"/>
        <v/>
      </c>
      <c r="C1563" s="9"/>
      <c r="D1563" s="9"/>
      <c r="E1563" s="9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6"/>
      <c r="S1563" s="6"/>
    </row>
    <row r="1564">
      <c r="A1564" s="8"/>
      <c r="B1564" s="8" t="str">
        <f t="shared" si="3"/>
        <v/>
      </c>
      <c r="C1564" s="9"/>
      <c r="D1564" s="9"/>
      <c r="E1564" s="9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6"/>
      <c r="S1564" s="6"/>
    </row>
    <row r="1565">
      <c r="A1565" s="8"/>
      <c r="B1565" s="8" t="str">
        <f t="shared" si="3"/>
        <v/>
      </c>
      <c r="C1565" s="9"/>
      <c r="D1565" s="9"/>
      <c r="E1565" s="9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6"/>
      <c r="S1565" s="6"/>
    </row>
    <row r="1566">
      <c r="A1566" s="8"/>
      <c r="B1566" s="8" t="str">
        <f t="shared" si="3"/>
        <v/>
      </c>
      <c r="C1566" s="9"/>
      <c r="D1566" s="9"/>
      <c r="E1566" s="9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6"/>
      <c r="S1566" s="6"/>
    </row>
    <row r="1567">
      <c r="A1567" s="8"/>
      <c r="B1567" s="8" t="str">
        <f t="shared" si="3"/>
        <v/>
      </c>
      <c r="C1567" s="9"/>
      <c r="D1567" s="9"/>
      <c r="E1567" s="9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6"/>
      <c r="S1567" s="6"/>
    </row>
    <row r="1568">
      <c r="A1568" s="8"/>
      <c r="B1568" s="8" t="str">
        <f t="shared" si="3"/>
        <v/>
      </c>
      <c r="C1568" s="9"/>
      <c r="D1568" s="9"/>
      <c r="E1568" s="9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6"/>
      <c r="S1568" s="6"/>
    </row>
    <row r="1569">
      <c r="A1569" s="8"/>
      <c r="B1569" s="8" t="str">
        <f t="shared" si="3"/>
        <v/>
      </c>
      <c r="C1569" s="9"/>
      <c r="D1569" s="9"/>
      <c r="E1569" s="9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6"/>
      <c r="S1569" s="6"/>
    </row>
    <row r="1570">
      <c r="A1570" s="8"/>
      <c r="B1570" s="8" t="str">
        <f t="shared" si="3"/>
        <v/>
      </c>
      <c r="C1570" s="9"/>
      <c r="D1570" s="9"/>
      <c r="E1570" s="9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6"/>
      <c r="S1570" s="6"/>
    </row>
    <row r="1571">
      <c r="A1571" s="8"/>
      <c r="B1571" s="8" t="str">
        <f t="shared" si="3"/>
        <v/>
      </c>
      <c r="C1571" s="9"/>
      <c r="D1571" s="9"/>
      <c r="E1571" s="9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6"/>
      <c r="S1571" s="6"/>
    </row>
    <row r="1572">
      <c r="A1572" s="8"/>
      <c r="B1572" s="8" t="str">
        <f t="shared" si="3"/>
        <v/>
      </c>
      <c r="C1572" s="9"/>
      <c r="D1572" s="9"/>
      <c r="E1572" s="9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6"/>
      <c r="S1572" s="6"/>
    </row>
    <row r="1573">
      <c r="A1573" s="8"/>
      <c r="B1573" s="8" t="str">
        <f t="shared" si="3"/>
        <v/>
      </c>
      <c r="C1573" s="9"/>
      <c r="D1573" s="9"/>
      <c r="E1573" s="9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6"/>
      <c r="S1573" s="6"/>
    </row>
    <row r="1574">
      <c r="A1574" s="8"/>
      <c r="B1574" s="8" t="str">
        <f t="shared" si="3"/>
        <v/>
      </c>
      <c r="C1574" s="9"/>
      <c r="D1574" s="9"/>
      <c r="E1574" s="9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6"/>
      <c r="S1574" s="6"/>
    </row>
    <row r="1575">
      <c r="A1575" s="8"/>
      <c r="B1575" s="8" t="str">
        <f t="shared" si="3"/>
        <v/>
      </c>
      <c r="C1575" s="9"/>
      <c r="D1575" s="9"/>
      <c r="E1575" s="9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6"/>
      <c r="S1575" s="6"/>
    </row>
    <row r="1576">
      <c r="A1576" s="8"/>
      <c r="B1576" s="8" t="str">
        <f t="shared" si="3"/>
        <v/>
      </c>
      <c r="C1576" s="9"/>
      <c r="D1576" s="9"/>
      <c r="E1576" s="9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6"/>
      <c r="S1576" s="6"/>
    </row>
    <row r="1577">
      <c r="A1577" s="8"/>
      <c r="B1577" s="8" t="str">
        <f t="shared" si="3"/>
        <v/>
      </c>
      <c r="C1577" s="9"/>
      <c r="D1577" s="9"/>
      <c r="E1577" s="9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6"/>
      <c r="S1577" s="6"/>
    </row>
    <row r="1578">
      <c r="A1578" s="8"/>
      <c r="B1578" s="8" t="str">
        <f t="shared" si="3"/>
        <v/>
      </c>
      <c r="C1578" s="9"/>
      <c r="D1578" s="9"/>
      <c r="E1578" s="9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6"/>
      <c r="S1578" s="6"/>
    </row>
    <row r="1579">
      <c r="A1579" s="8"/>
      <c r="B1579" s="8" t="str">
        <f t="shared" si="3"/>
        <v/>
      </c>
      <c r="C1579" s="9"/>
      <c r="D1579" s="9"/>
      <c r="E1579" s="9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6"/>
      <c r="S1579" s="6"/>
    </row>
    <row r="1580">
      <c r="A1580" s="8"/>
      <c r="B1580" s="8" t="str">
        <f t="shared" si="3"/>
        <v/>
      </c>
      <c r="C1580" s="9"/>
      <c r="D1580" s="9"/>
      <c r="E1580" s="9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6"/>
      <c r="S1580" s="6"/>
    </row>
    <row r="1581">
      <c r="A1581" s="8"/>
      <c r="B1581" s="8" t="str">
        <f t="shared" si="3"/>
        <v/>
      </c>
      <c r="C1581" s="9"/>
      <c r="D1581" s="9"/>
      <c r="E1581" s="9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6"/>
      <c r="S1581" s="6"/>
    </row>
    <row r="1582">
      <c r="A1582" s="8"/>
      <c r="B1582" s="8" t="str">
        <f t="shared" si="3"/>
        <v/>
      </c>
      <c r="C1582" s="9"/>
      <c r="D1582" s="9"/>
      <c r="E1582" s="9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6"/>
      <c r="S1582" s="6"/>
    </row>
    <row r="1583">
      <c r="A1583" s="8"/>
      <c r="B1583" s="8" t="str">
        <f t="shared" si="3"/>
        <v/>
      </c>
      <c r="C1583" s="9"/>
      <c r="D1583" s="9"/>
      <c r="E1583" s="9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6"/>
      <c r="S1583" s="6"/>
    </row>
    <row r="1584">
      <c r="A1584" s="8"/>
      <c r="B1584" s="8" t="str">
        <f t="shared" si="3"/>
        <v/>
      </c>
      <c r="C1584" s="9"/>
      <c r="D1584" s="9"/>
      <c r="E1584" s="9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6"/>
      <c r="S1584" s="6"/>
    </row>
    <row r="1585">
      <c r="A1585" s="8"/>
      <c r="B1585" s="8" t="str">
        <f t="shared" si="3"/>
        <v/>
      </c>
      <c r="C1585" s="9"/>
      <c r="D1585" s="9"/>
      <c r="E1585" s="9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6"/>
      <c r="S1585" s="6"/>
    </row>
    <row r="1586">
      <c r="A1586" s="8"/>
      <c r="B1586" s="8" t="str">
        <f t="shared" si="3"/>
        <v/>
      </c>
      <c r="C1586" s="9"/>
      <c r="D1586" s="9"/>
      <c r="E1586" s="9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6"/>
      <c r="S1586" s="6"/>
    </row>
    <row r="1587">
      <c r="A1587" s="8"/>
      <c r="B1587" s="8" t="str">
        <f t="shared" si="3"/>
        <v/>
      </c>
      <c r="C1587" s="9"/>
      <c r="D1587" s="9"/>
      <c r="E1587" s="9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6"/>
      <c r="S1587" s="6"/>
    </row>
    <row r="1588">
      <c r="A1588" s="8"/>
      <c r="B1588" s="8" t="str">
        <f t="shared" si="3"/>
        <v/>
      </c>
      <c r="C1588" s="9"/>
      <c r="D1588" s="9"/>
      <c r="E1588" s="9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6"/>
      <c r="S1588" s="6"/>
    </row>
    <row r="1589">
      <c r="A1589" s="8"/>
      <c r="B1589" s="8" t="str">
        <f t="shared" si="3"/>
        <v/>
      </c>
      <c r="C1589" s="9"/>
      <c r="D1589" s="9"/>
      <c r="E1589" s="9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6"/>
      <c r="S1589" s="6"/>
    </row>
    <row r="1590">
      <c r="A1590" s="8"/>
      <c r="B1590" s="8" t="str">
        <f t="shared" si="3"/>
        <v/>
      </c>
      <c r="C1590" s="9"/>
      <c r="D1590" s="9"/>
      <c r="E1590" s="9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6"/>
      <c r="S1590" s="6"/>
    </row>
    <row r="1591">
      <c r="A1591" s="8"/>
      <c r="B1591" s="8" t="str">
        <f t="shared" si="3"/>
        <v/>
      </c>
      <c r="C1591" s="9"/>
      <c r="D1591" s="9"/>
      <c r="E1591" s="9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6"/>
      <c r="S1591" s="6"/>
    </row>
    <row r="1592">
      <c r="A1592" s="8"/>
      <c r="B1592" s="8" t="str">
        <f t="shared" si="3"/>
        <v/>
      </c>
      <c r="C1592" s="9"/>
      <c r="D1592" s="9"/>
      <c r="E1592" s="9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6"/>
      <c r="S1592" s="6"/>
    </row>
    <row r="1593">
      <c r="A1593" s="8"/>
      <c r="B1593" s="8" t="str">
        <f t="shared" si="3"/>
        <v/>
      </c>
      <c r="C1593" s="9"/>
      <c r="D1593" s="9"/>
      <c r="E1593" s="9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6"/>
      <c r="S1593" s="6"/>
    </row>
    <row r="1594">
      <c r="A1594" s="8"/>
      <c r="B1594" s="8" t="str">
        <f t="shared" si="3"/>
        <v/>
      </c>
      <c r="C1594" s="9"/>
      <c r="D1594" s="9"/>
      <c r="E1594" s="9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6"/>
      <c r="S1594" s="6"/>
    </row>
    <row r="1595">
      <c r="A1595" s="8"/>
      <c r="B1595" s="8" t="str">
        <f t="shared" si="3"/>
        <v/>
      </c>
      <c r="C1595" s="9"/>
      <c r="D1595" s="9"/>
      <c r="E1595" s="9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6"/>
      <c r="S1595" s="6"/>
    </row>
    <row r="1596">
      <c r="A1596" s="8"/>
      <c r="B1596" s="8" t="str">
        <f t="shared" si="3"/>
        <v/>
      </c>
      <c r="C1596" s="9"/>
      <c r="D1596" s="9"/>
      <c r="E1596" s="9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6"/>
      <c r="S1596" s="6"/>
    </row>
    <row r="1597">
      <c r="A1597" s="8"/>
      <c r="B1597" s="8" t="str">
        <f t="shared" si="3"/>
        <v/>
      </c>
      <c r="C1597" s="9"/>
      <c r="D1597" s="9"/>
      <c r="E1597" s="9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6"/>
      <c r="S1597" s="6"/>
    </row>
    <row r="1598">
      <c r="A1598" s="8"/>
      <c r="B1598" s="8" t="str">
        <f t="shared" si="3"/>
        <v/>
      </c>
      <c r="C1598" s="9"/>
      <c r="D1598" s="9"/>
      <c r="E1598" s="9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6"/>
      <c r="S1598" s="6"/>
    </row>
    <row r="1599">
      <c r="A1599" s="8"/>
      <c r="B1599" s="8" t="str">
        <f t="shared" si="3"/>
        <v/>
      </c>
      <c r="C1599" s="9"/>
      <c r="D1599" s="9"/>
      <c r="E1599" s="9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6"/>
      <c r="S1599" s="6"/>
    </row>
    <row r="1600">
      <c r="A1600" s="8"/>
      <c r="B1600" s="8" t="str">
        <f t="shared" si="3"/>
        <v/>
      </c>
      <c r="C1600" s="9"/>
      <c r="D1600" s="9"/>
      <c r="E1600" s="9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6"/>
      <c r="S1600" s="6"/>
    </row>
    <row r="1601">
      <c r="A1601" s="8"/>
      <c r="B1601" s="8" t="str">
        <f t="shared" si="3"/>
        <v/>
      </c>
      <c r="C1601" s="9"/>
      <c r="D1601" s="9"/>
      <c r="E1601" s="9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6"/>
      <c r="S1601" s="6"/>
    </row>
    <row r="1602">
      <c r="A1602" s="8"/>
      <c r="B1602" s="8" t="str">
        <f t="shared" si="3"/>
        <v/>
      </c>
      <c r="C1602" s="9"/>
      <c r="D1602" s="9"/>
      <c r="E1602" s="9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6"/>
      <c r="S1602" s="6"/>
    </row>
    <row r="1603">
      <c r="A1603" s="8"/>
      <c r="B1603" s="8" t="str">
        <f t="shared" si="3"/>
        <v/>
      </c>
      <c r="C1603" s="9"/>
      <c r="D1603" s="9"/>
      <c r="E1603" s="9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6"/>
      <c r="S1603" s="6"/>
    </row>
    <row r="1604">
      <c r="A1604" s="8"/>
      <c r="B1604" s="8" t="str">
        <f t="shared" si="3"/>
        <v/>
      </c>
      <c r="C1604" s="9"/>
      <c r="D1604" s="9"/>
      <c r="E1604" s="9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6"/>
      <c r="S1604" s="6"/>
    </row>
    <row r="1605">
      <c r="A1605" s="8"/>
      <c r="B1605" s="8" t="str">
        <f t="shared" si="3"/>
        <v/>
      </c>
      <c r="C1605" s="9"/>
      <c r="D1605" s="9"/>
      <c r="E1605" s="9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6"/>
      <c r="S1605" s="6"/>
    </row>
    <row r="1606">
      <c r="A1606" s="8"/>
      <c r="B1606" s="8" t="str">
        <f t="shared" si="3"/>
        <v/>
      </c>
      <c r="C1606" s="9"/>
      <c r="D1606" s="9"/>
      <c r="E1606" s="9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6"/>
      <c r="S1606" s="6"/>
    </row>
    <row r="1607">
      <c r="A1607" s="8"/>
      <c r="B1607" s="8" t="str">
        <f t="shared" si="3"/>
        <v/>
      </c>
      <c r="C1607" s="9"/>
      <c r="D1607" s="9"/>
      <c r="E1607" s="9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6"/>
      <c r="S1607" s="6"/>
    </row>
    <row r="1608">
      <c r="A1608" s="8"/>
      <c r="B1608" s="8" t="str">
        <f t="shared" si="3"/>
        <v/>
      </c>
      <c r="C1608" s="9"/>
      <c r="D1608" s="9"/>
      <c r="E1608" s="9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6"/>
      <c r="S1608" s="6"/>
    </row>
    <row r="1609">
      <c r="A1609" s="8"/>
      <c r="B1609" s="8" t="str">
        <f t="shared" si="3"/>
        <v/>
      </c>
      <c r="C1609" s="9"/>
      <c r="D1609" s="9"/>
      <c r="E1609" s="9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6"/>
      <c r="S1609" s="6"/>
    </row>
    <row r="1610">
      <c r="A1610" s="8"/>
      <c r="B1610" s="8" t="str">
        <f t="shared" si="3"/>
        <v/>
      </c>
      <c r="C1610" s="9"/>
      <c r="D1610" s="9"/>
      <c r="E1610" s="9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6"/>
      <c r="S1610" s="6"/>
    </row>
    <row r="1611">
      <c r="A1611" s="8"/>
      <c r="B1611" s="8" t="str">
        <f t="shared" si="3"/>
        <v/>
      </c>
      <c r="C1611" s="9"/>
      <c r="D1611" s="9"/>
      <c r="E1611" s="9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6"/>
      <c r="S1611" s="6"/>
    </row>
    <row r="1612">
      <c r="A1612" s="8"/>
      <c r="B1612" s="8" t="str">
        <f t="shared" si="3"/>
        <v/>
      </c>
      <c r="C1612" s="9"/>
      <c r="D1612" s="9"/>
      <c r="E1612" s="9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6"/>
      <c r="S1612" s="6"/>
    </row>
    <row r="1613">
      <c r="A1613" s="8"/>
      <c r="B1613" s="8" t="str">
        <f t="shared" si="3"/>
        <v/>
      </c>
      <c r="C1613" s="9"/>
      <c r="D1613" s="9"/>
      <c r="E1613" s="9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6"/>
      <c r="S1613" s="6"/>
    </row>
    <row r="1614">
      <c r="A1614" s="8"/>
      <c r="B1614" s="8" t="str">
        <f t="shared" si="3"/>
        <v/>
      </c>
      <c r="C1614" s="9"/>
      <c r="D1614" s="9"/>
      <c r="E1614" s="9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6"/>
      <c r="S1614" s="6"/>
    </row>
    <row r="1615">
      <c r="A1615" s="8"/>
      <c r="B1615" s="8" t="str">
        <f t="shared" si="3"/>
        <v/>
      </c>
      <c r="C1615" s="9"/>
      <c r="D1615" s="9"/>
      <c r="E1615" s="9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6"/>
      <c r="S1615" s="6"/>
    </row>
    <row r="1616">
      <c r="A1616" s="8"/>
      <c r="B1616" s="8" t="str">
        <f t="shared" si="3"/>
        <v/>
      </c>
      <c r="C1616" s="9"/>
      <c r="D1616" s="9"/>
      <c r="E1616" s="9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6"/>
      <c r="S1616" s="6"/>
    </row>
    <row r="1617">
      <c r="A1617" s="8"/>
      <c r="B1617" s="8" t="str">
        <f t="shared" si="3"/>
        <v/>
      </c>
      <c r="C1617" s="9"/>
      <c r="D1617" s="9"/>
      <c r="E1617" s="9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6"/>
      <c r="S1617" s="6"/>
    </row>
    <row r="1618">
      <c r="A1618" s="8"/>
      <c r="B1618" s="8" t="str">
        <f t="shared" si="3"/>
        <v/>
      </c>
      <c r="C1618" s="9"/>
      <c r="D1618" s="9"/>
      <c r="E1618" s="9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6"/>
      <c r="S1618" s="6"/>
    </row>
    <row r="1619">
      <c r="A1619" s="8"/>
      <c r="B1619" s="8" t="str">
        <f t="shared" si="3"/>
        <v/>
      </c>
      <c r="C1619" s="9"/>
      <c r="D1619" s="9"/>
      <c r="E1619" s="9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6"/>
      <c r="S1619" s="6"/>
    </row>
    <row r="1620">
      <c r="A1620" s="8"/>
      <c r="B1620" s="8" t="str">
        <f t="shared" si="3"/>
        <v/>
      </c>
      <c r="C1620" s="9"/>
      <c r="D1620" s="9"/>
      <c r="E1620" s="9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6"/>
      <c r="S1620" s="6"/>
    </row>
    <row r="1621">
      <c r="A1621" s="8"/>
      <c r="B1621" s="8" t="str">
        <f t="shared" si="3"/>
        <v/>
      </c>
      <c r="C1621" s="9"/>
      <c r="D1621" s="9"/>
      <c r="E1621" s="9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6"/>
      <c r="S1621" s="6"/>
    </row>
    <row r="1622">
      <c r="A1622" s="8"/>
      <c r="B1622" s="8" t="str">
        <f t="shared" si="3"/>
        <v/>
      </c>
      <c r="C1622" s="9"/>
      <c r="D1622" s="9"/>
      <c r="E1622" s="9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6"/>
      <c r="S1622" s="6"/>
    </row>
    <row r="1623">
      <c r="A1623" s="8"/>
      <c r="B1623" s="8" t="str">
        <f t="shared" si="3"/>
        <v/>
      </c>
      <c r="C1623" s="9"/>
      <c r="D1623" s="9"/>
      <c r="E1623" s="9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6"/>
      <c r="S1623" s="6"/>
    </row>
    <row r="1624">
      <c r="A1624" s="8"/>
      <c r="B1624" s="8" t="str">
        <f t="shared" si="3"/>
        <v/>
      </c>
      <c r="C1624" s="9"/>
      <c r="D1624" s="9"/>
      <c r="E1624" s="9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6"/>
      <c r="S1624" s="6"/>
    </row>
    <row r="1625">
      <c r="A1625" s="8"/>
      <c r="B1625" s="8" t="str">
        <f t="shared" si="3"/>
        <v/>
      </c>
      <c r="C1625" s="9"/>
      <c r="D1625" s="9"/>
      <c r="E1625" s="9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6"/>
      <c r="S1625" s="6"/>
    </row>
    <row r="1626">
      <c r="A1626" s="8"/>
      <c r="B1626" s="8" t="str">
        <f t="shared" si="3"/>
        <v/>
      </c>
      <c r="C1626" s="9"/>
      <c r="D1626" s="9"/>
      <c r="E1626" s="9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6"/>
      <c r="S1626" s="6"/>
    </row>
    <row r="1627">
      <c r="A1627" s="8"/>
      <c r="B1627" s="8" t="str">
        <f t="shared" si="3"/>
        <v/>
      </c>
      <c r="C1627" s="9"/>
      <c r="D1627" s="9"/>
      <c r="E1627" s="9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6"/>
      <c r="S1627" s="6"/>
    </row>
    <row r="1628">
      <c r="A1628" s="8"/>
      <c r="B1628" s="8" t="str">
        <f t="shared" si="3"/>
        <v/>
      </c>
      <c r="C1628" s="9"/>
      <c r="D1628" s="9"/>
      <c r="E1628" s="9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6"/>
      <c r="S1628" s="6"/>
    </row>
    <row r="1629">
      <c r="A1629" s="8"/>
      <c r="B1629" s="8" t="str">
        <f t="shared" si="3"/>
        <v/>
      </c>
      <c r="C1629" s="9"/>
      <c r="D1629" s="9"/>
      <c r="E1629" s="9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6"/>
      <c r="S1629" s="6"/>
    </row>
    <row r="1630">
      <c r="A1630" s="8"/>
      <c r="B1630" s="8" t="str">
        <f t="shared" si="3"/>
        <v/>
      </c>
      <c r="C1630" s="9"/>
      <c r="D1630" s="9"/>
      <c r="E1630" s="9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6"/>
      <c r="S1630" s="6"/>
    </row>
    <row r="1631">
      <c r="A1631" s="8"/>
      <c r="B1631" s="8" t="str">
        <f t="shared" si="3"/>
        <v/>
      </c>
      <c r="C1631" s="9"/>
      <c r="D1631" s="9"/>
      <c r="E1631" s="9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6"/>
      <c r="S1631" s="6"/>
    </row>
    <row r="1632">
      <c r="A1632" s="8"/>
      <c r="B1632" s="8" t="str">
        <f t="shared" si="3"/>
        <v/>
      </c>
      <c r="C1632" s="9"/>
      <c r="D1632" s="9"/>
      <c r="E1632" s="9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6"/>
      <c r="S1632" s="6"/>
    </row>
    <row r="1633">
      <c r="A1633" s="8"/>
      <c r="B1633" s="8" t="str">
        <f t="shared" si="3"/>
        <v/>
      </c>
      <c r="C1633" s="9"/>
      <c r="D1633" s="9"/>
      <c r="E1633" s="9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6"/>
      <c r="S1633" s="6"/>
    </row>
    <row r="1634">
      <c r="A1634" s="8"/>
      <c r="B1634" s="8" t="str">
        <f t="shared" si="3"/>
        <v/>
      </c>
      <c r="C1634" s="9"/>
      <c r="D1634" s="9"/>
      <c r="E1634" s="9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6"/>
      <c r="S1634" s="6"/>
    </row>
    <row r="1635">
      <c r="A1635" s="8"/>
      <c r="B1635" s="8" t="str">
        <f t="shared" si="3"/>
        <v/>
      </c>
      <c r="C1635" s="9"/>
      <c r="D1635" s="9"/>
      <c r="E1635" s="9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6"/>
      <c r="S1635" s="6"/>
    </row>
    <row r="1636">
      <c r="A1636" s="8"/>
      <c r="B1636" s="8" t="str">
        <f t="shared" si="3"/>
        <v/>
      </c>
      <c r="C1636" s="9"/>
      <c r="D1636" s="9"/>
      <c r="E1636" s="9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6"/>
      <c r="S1636" s="6"/>
    </row>
    <row r="1637">
      <c r="A1637" s="8"/>
      <c r="B1637" s="8" t="str">
        <f t="shared" si="3"/>
        <v/>
      </c>
      <c r="C1637" s="9"/>
      <c r="D1637" s="9"/>
      <c r="E1637" s="9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6"/>
      <c r="S1637" s="6"/>
    </row>
    <row r="1638">
      <c r="A1638" s="8"/>
      <c r="B1638" s="8" t="str">
        <f t="shared" si="3"/>
        <v/>
      </c>
      <c r="C1638" s="9"/>
      <c r="D1638" s="9"/>
      <c r="E1638" s="9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6"/>
      <c r="S1638" s="6"/>
    </row>
    <row r="1639">
      <c r="A1639" s="8"/>
      <c r="B1639" s="8" t="str">
        <f t="shared" si="3"/>
        <v/>
      </c>
      <c r="C1639" s="9"/>
      <c r="D1639" s="9"/>
      <c r="E1639" s="9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6"/>
      <c r="S1639" s="6"/>
    </row>
    <row r="1640">
      <c r="A1640" s="8"/>
      <c r="B1640" s="8" t="str">
        <f t="shared" si="3"/>
        <v/>
      </c>
      <c r="C1640" s="9"/>
      <c r="D1640" s="9"/>
      <c r="E1640" s="9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6"/>
      <c r="S1640" s="6"/>
    </row>
    <row r="1641">
      <c r="A1641" s="8"/>
      <c r="B1641" s="8" t="str">
        <f t="shared" si="3"/>
        <v/>
      </c>
      <c r="C1641" s="9"/>
      <c r="D1641" s="9"/>
      <c r="E1641" s="9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6"/>
      <c r="S1641" s="6"/>
    </row>
    <row r="1642">
      <c r="A1642" s="8"/>
      <c r="B1642" s="8" t="str">
        <f t="shared" si="3"/>
        <v/>
      </c>
      <c r="C1642" s="9"/>
      <c r="D1642" s="9"/>
      <c r="E1642" s="9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6"/>
      <c r="S1642" s="6"/>
    </row>
    <row r="1643">
      <c r="A1643" s="8"/>
      <c r="B1643" s="8" t="str">
        <f t="shared" si="3"/>
        <v/>
      </c>
      <c r="C1643" s="9"/>
      <c r="D1643" s="9"/>
      <c r="E1643" s="9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6"/>
      <c r="S1643" s="6"/>
    </row>
    <row r="1644">
      <c r="A1644" s="8"/>
      <c r="B1644" s="8" t="str">
        <f t="shared" si="3"/>
        <v/>
      </c>
      <c r="C1644" s="9"/>
      <c r="D1644" s="9"/>
      <c r="E1644" s="9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6"/>
      <c r="S1644" s="6"/>
    </row>
    <row r="1645">
      <c r="A1645" s="8"/>
      <c r="B1645" s="8" t="str">
        <f t="shared" si="3"/>
        <v/>
      </c>
      <c r="C1645" s="9"/>
      <c r="D1645" s="9"/>
      <c r="E1645" s="9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6"/>
      <c r="S1645" s="6"/>
    </row>
    <row r="1646">
      <c r="A1646" s="8"/>
      <c r="B1646" s="8" t="str">
        <f t="shared" si="3"/>
        <v/>
      </c>
      <c r="C1646" s="9"/>
      <c r="D1646" s="9"/>
      <c r="E1646" s="9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6"/>
      <c r="S1646" s="6"/>
    </row>
    <row r="1647">
      <c r="A1647" s="8"/>
      <c r="B1647" s="8" t="str">
        <f t="shared" si="3"/>
        <v/>
      </c>
      <c r="C1647" s="9"/>
      <c r="D1647" s="9"/>
      <c r="E1647" s="9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6"/>
      <c r="S1647" s="6"/>
    </row>
    <row r="1648">
      <c r="A1648" s="8"/>
      <c r="B1648" s="8" t="str">
        <f t="shared" si="3"/>
        <v/>
      </c>
      <c r="C1648" s="9"/>
      <c r="D1648" s="9"/>
      <c r="E1648" s="9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6"/>
      <c r="S1648" s="6"/>
    </row>
    <row r="1649">
      <c r="A1649" s="8"/>
      <c r="B1649" s="8" t="str">
        <f t="shared" si="3"/>
        <v/>
      </c>
      <c r="C1649" s="9"/>
      <c r="D1649" s="9"/>
      <c r="E1649" s="9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6"/>
      <c r="S1649" s="6"/>
    </row>
    <row r="1650">
      <c r="A1650" s="8"/>
      <c r="B1650" s="8" t="str">
        <f t="shared" si="3"/>
        <v/>
      </c>
      <c r="C1650" s="9"/>
      <c r="D1650" s="9"/>
      <c r="E1650" s="9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6"/>
      <c r="S1650" s="6"/>
    </row>
    <row r="1651">
      <c r="A1651" s="8"/>
      <c r="B1651" s="8" t="str">
        <f t="shared" si="3"/>
        <v/>
      </c>
      <c r="C1651" s="9"/>
      <c r="D1651" s="9"/>
      <c r="E1651" s="9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6"/>
      <c r="S1651" s="6"/>
    </row>
    <row r="1652">
      <c r="A1652" s="8"/>
      <c r="B1652" s="8" t="str">
        <f t="shared" si="3"/>
        <v/>
      </c>
      <c r="C1652" s="9"/>
      <c r="D1652" s="9"/>
      <c r="E1652" s="9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6"/>
      <c r="S1652" s="6"/>
    </row>
    <row r="1653">
      <c r="A1653" s="8"/>
      <c r="B1653" s="8" t="str">
        <f t="shared" si="3"/>
        <v/>
      </c>
      <c r="C1653" s="9"/>
      <c r="D1653" s="9"/>
      <c r="E1653" s="9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6"/>
      <c r="S1653" s="6"/>
    </row>
    <row r="1654">
      <c r="A1654" s="8"/>
      <c r="B1654" s="8" t="str">
        <f t="shared" si="3"/>
        <v/>
      </c>
      <c r="C1654" s="9"/>
      <c r="D1654" s="9"/>
      <c r="E1654" s="9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6"/>
      <c r="S1654" s="6"/>
    </row>
    <row r="1655">
      <c r="A1655" s="8"/>
      <c r="B1655" s="8" t="str">
        <f t="shared" si="3"/>
        <v/>
      </c>
      <c r="C1655" s="9"/>
      <c r="D1655" s="9"/>
      <c r="E1655" s="9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6"/>
      <c r="S1655" s="6"/>
    </row>
    <row r="1656">
      <c r="A1656" s="8"/>
      <c r="B1656" s="8" t="str">
        <f t="shared" si="3"/>
        <v/>
      </c>
      <c r="C1656" s="9"/>
      <c r="D1656" s="9"/>
      <c r="E1656" s="9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6"/>
      <c r="S1656" s="6"/>
    </row>
    <row r="1657">
      <c r="A1657" s="8"/>
      <c r="B1657" s="8" t="str">
        <f t="shared" si="3"/>
        <v/>
      </c>
      <c r="C1657" s="9"/>
      <c r="D1657" s="9"/>
      <c r="E1657" s="9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6"/>
      <c r="S1657" s="6"/>
    </row>
    <row r="1658">
      <c r="A1658" s="8"/>
      <c r="B1658" s="8" t="str">
        <f t="shared" si="3"/>
        <v/>
      </c>
      <c r="C1658" s="9"/>
      <c r="D1658" s="9"/>
      <c r="E1658" s="9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6"/>
      <c r="S1658" s="6"/>
    </row>
    <row r="1659">
      <c r="A1659" s="8"/>
      <c r="B1659" s="8" t="str">
        <f t="shared" si="3"/>
        <v/>
      </c>
      <c r="C1659" s="9"/>
      <c r="D1659" s="9"/>
      <c r="E1659" s="9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6"/>
      <c r="S1659" s="6"/>
    </row>
    <row r="1660">
      <c r="A1660" s="8"/>
      <c r="B1660" s="8" t="str">
        <f t="shared" si="3"/>
        <v/>
      </c>
      <c r="C1660" s="9"/>
      <c r="D1660" s="9"/>
      <c r="E1660" s="9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6"/>
      <c r="S1660" s="6"/>
    </row>
    <row r="1661">
      <c r="A1661" s="8"/>
      <c r="B1661" s="8" t="str">
        <f t="shared" si="3"/>
        <v/>
      </c>
      <c r="C1661" s="9"/>
      <c r="D1661" s="9"/>
      <c r="E1661" s="9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6"/>
      <c r="S1661" s="6"/>
    </row>
    <row r="1662">
      <c r="A1662" s="8"/>
      <c r="B1662" s="8" t="str">
        <f t="shared" si="3"/>
        <v/>
      </c>
      <c r="C1662" s="9"/>
      <c r="D1662" s="9"/>
      <c r="E1662" s="9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6"/>
      <c r="S1662" s="6"/>
    </row>
    <row r="1663">
      <c r="A1663" s="8"/>
      <c r="B1663" s="8" t="str">
        <f t="shared" si="3"/>
        <v/>
      </c>
      <c r="C1663" s="9"/>
      <c r="D1663" s="9"/>
      <c r="E1663" s="9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6"/>
      <c r="S1663" s="6"/>
    </row>
    <row r="1664">
      <c r="A1664" s="8"/>
      <c r="B1664" s="8" t="str">
        <f t="shared" si="3"/>
        <v/>
      </c>
      <c r="C1664" s="9"/>
      <c r="D1664" s="9"/>
      <c r="E1664" s="9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6"/>
      <c r="S1664" s="6"/>
    </row>
    <row r="1665">
      <c r="A1665" s="8"/>
      <c r="B1665" s="8" t="str">
        <f t="shared" si="3"/>
        <v/>
      </c>
      <c r="C1665" s="9"/>
      <c r="D1665" s="9"/>
      <c r="E1665" s="9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6"/>
      <c r="S1665" s="6"/>
    </row>
    <row r="1666">
      <c r="A1666" s="8"/>
      <c r="B1666" s="8" t="str">
        <f t="shared" si="3"/>
        <v/>
      </c>
      <c r="C1666" s="9"/>
      <c r="D1666" s="9"/>
      <c r="E1666" s="9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6"/>
      <c r="S1666" s="6"/>
    </row>
    <row r="1667">
      <c r="A1667" s="8"/>
      <c r="B1667" s="8" t="str">
        <f t="shared" si="3"/>
        <v/>
      </c>
      <c r="C1667" s="9"/>
      <c r="D1667" s="9"/>
      <c r="E1667" s="9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6"/>
      <c r="S1667" s="6"/>
    </row>
    <row r="1668">
      <c r="A1668" s="8"/>
      <c r="B1668" s="8" t="str">
        <f t="shared" si="3"/>
        <v/>
      </c>
      <c r="C1668" s="9"/>
      <c r="D1668" s="9"/>
      <c r="E1668" s="9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6"/>
      <c r="S1668" s="6"/>
    </row>
    <row r="1669">
      <c r="A1669" s="8"/>
      <c r="B1669" s="8" t="str">
        <f t="shared" si="3"/>
        <v/>
      </c>
      <c r="C1669" s="9"/>
      <c r="D1669" s="9"/>
      <c r="E1669" s="9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6"/>
      <c r="S1669" s="6"/>
    </row>
    <row r="1670">
      <c r="A1670" s="8"/>
      <c r="B1670" s="8" t="str">
        <f t="shared" si="3"/>
        <v/>
      </c>
      <c r="C1670" s="9"/>
      <c r="D1670" s="9"/>
      <c r="E1670" s="9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6"/>
      <c r="S1670" s="6"/>
    </row>
    <row r="1671">
      <c r="A1671" s="8"/>
      <c r="B1671" s="8" t="str">
        <f t="shared" si="3"/>
        <v/>
      </c>
      <c r="C1671" s="9"/>
      <c r="D1671" s="9"/>
      <c r="E1671" s="9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6"/>
      <c r="S1671" s="6"/>
    </row>
    <row r="1672">
      <c r="A1672" s="8"/>
      <c r="B1672" s="8" t="str">
        <f t="shared" si="3"/>
        <v/>
      </c>
      <c r="C1672" s="9"/>
      <c r="D1672" s="9"/>
      <c r="E1672" s="9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6"/>
      <c r="S1672" s="6"/>
    </row>
    <row r="1673">
      <c r="A1673" s="8"/>
      <c r="B1673" s="8" t="str">
        <f t="shared" si="3"/>
        <v/>
      </c>
      <c r="C1673" s="9"/>
      <c r="D1673" s="9"/>
      <c r="E1673" s="9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6"/>
      <c r="S1673" s="6"/>
    </row>
    <row r="1674">
      <c r="A1674" s="8"/>
      <c r="B1674" s="8" t="str">
        <f t="shared" si="3"/>
        <v/>
      </c>
      <c r="C1674" s="9"/>
      <c r="D1674" s="9"/>
      <c r="E1674" s="9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6"/>
      <c r="S1674" s="6"/>
    </row>
    <row r="1675">
      <c r="A1675" s="174"/>
      <c r="B1675" s="8" t="str">
        <f t="shared" si="3"/>
        <v/>
      </c>
      <c r="C1675" s="175"/>
      <c r="D1675" s="175"/>
      <c r="E1675" s="175"/>
      <c r="F1675" s="174"/>
      <c r="G1675" s="174"/>
      <c r="H1675" s="174"/>
      <c r="I1675" s="174"/>
      <c r="J1675" s="174"/>
      <c r="K1675" s="174"/>
      <c r="L1675" s="174"/>
      <c r="M1675" s="174"/>
      <c r="N1675" s="174"/>
      <c r="O1675" s="174"/>
      <c r="P1675" s="174"/>
      <c r="Q1675" s="174"/>
    </row>
    <row r="1676">
      <c r="A1676" s="174"/>
      <c r="B1676" s="8" t="str">
        <f t="shared" si="3"/>
        <v/>
      </c>
      <c r="C1676" s="175"/>
      <c r="D1676" s="175"/>
      <c r="E1676" s="175"/>
      <c r="F1676" s="174"/>
      <c r="G1676" s="174"/>
      <c r="H1676" s="174"/>
      <c r="I1676" s="174"/>
      <c r="J1676" s="174"/>
      <c r="K1676" s="174"/>
      <c r="L1676" s="174"/>
      <c r="M1676" s="174"/>
      <c r="N1676" s="174"/>
      <c r="O1676" s="174"/>
      <c r="P1676" s="174"/>
      <c r="Q1676" s="174"/>
    </row>
    <row r="1677">
      <c r="A1677" s="174"/>
      <c r="B1677" s="8" t="str">
        <f t="shared" si="3"/>
        <v/>
      </c>
      <c r="C1677" s="175"/>
      <c r="D1677" s="175"/>
      <c r="E1677" s="175"/>
      <c r="F1677" s="174"/>
      <c r="G1677" s="174"/>
      <c r="H1677" s="174"/>
      <c r="I1677" s="174"/>
      <c r="J1677" s="174"/>
      <c r="K1677" s="174"/>
      <c r="L1677" s="174"/>
      <c r="M1677" s="174"/>
      <c r="N1677" s="174"/>
      <c r="O1677" s="174"/>
      <c r="P1677" s="174"/>
      <c r="Q1677" s="174"/>
    </row>
    <row r="1678">
      <c r="A1678" s="174"/>
      <c r="B1678" s="8" t="str">
        <f t="shared" si="3"/>
        <v/>
      </c>
      <c r="C1678" s="175"/>
      <c r="D1678" s="175"/>
      <c r="E1678" s="175"/>
      <c r="F1678" s="174"/>
      <c r="G1678" s="174"/>
      <c r="H1678" s="174"/>
      <c r="I1678" s="174"/>
      <c r="J1678" s="174"/>
      <c r="K1678" s="174"/>
      <c r="L1678" s="174"/>
      <c r="M1678" s="174"/>
      <c r="N1678" s="174"/>
      <c r="O1678" s="174"/>
      <c r="P1678" s="174"/>
      <c r="Q1678" s="174"/>
    </row>
    <row r="1679">
      <c r="A1679" s="174"/>
      <c r="B1679" s="8" t="str">
        <f t="shared" si="3"/>
        <v/>
      </c>
      <c r="C1679" s="175"/>
      <c r="D1679" s="175"/>
      <c r="E1679" s="175"/>
      <c r="F1679" s="174"/>
      <c r="G1679" s="174"/>
      <c r="H1679" s="174"/>
      <c r="I1679" s="174"/>
      <c r="J1679" s="174"/>
      <c r="K1679" s="174"/>
      <c r="L1679" s="174"/>
      <c r="M1679" s="174"/>
      <c r="N1679" s="174"/>
      <c r="O1679" s="174"/>
      <c r="P1679" s="174"/>
      <c r="Q1679" s="174"/>
    </row>
    <row r="1680">
      <c r="A1680" s="174"/>
      <c r="B1680" s="8" t="str">
        <f t="shared" si="3"/>
        <v/>
      </c>
      <c r="C1680" s="175"/>
      <c r="D1680" s="175"/>
      <c r="E1680" s="175"/>
      <c r="F1680" s="174"/>
      <c r="G1680" s="174"/>
      <c r="H1680" s="174"/>
      <c r="I1680" s="174"/>
      <c r="J1680" s="174"/>
      <c r="K1680" s="174"/>
      <c r="L1680" s="174"/>
      <c r="M1680" s="174"/>
      <c r="N1680" s="174"/>
      <c r="O1680" s="174"/>
      <c r="P1680" s="174"/>
      <c r="Q1680" s="174"/>
    </row>
    <row r="1681">
      <c r="A1681" s="174"/>
      <c r="B1681" s="8" t="str">
        <f t="shared" si="3"/>
        <v/>
      </c>
      <c r="C1681" s="175"/>
      <c r="D1681" s="175"/>
      <c r="E1681" s="175"/>
      <c r="F1681" s="174"/>
      <c r="G1681" s="174"/>
      <c r="H1681" s="174"/>
      <c r="I1681" s="174"/>
      <c r="J1681" s="174"/>
      <c r="K1681" s="174"/>
      <c r="L1681" s="174"/>
      <c r="M1681" s="174"/>
      <c r="N1681" s="174"/>
      <c r="O1681" s="174"/>
      <c r="P1681" s="174"/>
      <c r="Q1681" s="174"/>
    </row>
    <row r="1682">
      <c r="A1682" s="174"/>
      <c r="B1682" s="8" t="str">
        <f t="shared" si="3"/>
        <v/>
      </c>
      <c r="C1682" s="175"/>
      <c r="D1682" s="175"/>
      <c r="E1682" s="175"/>
      <c r="F1682" s="174"/>
      <c r="G1682" s="174"/>
      <c r="H1682" s="174"/>
      <c r="I1682" s="174"/>
      <c r="J1682" s="174"/>
      <c r="K1682" s="174"/>
      <c r="L1682" s="174"/>
      <c r="M1682" s="174"/>
      <c r="N1682" s="174"/>
      <c r="O1682" s="174"/>
      <c r="P1682" s="174"/>
      <c r="Q1682" s="174"/>
    </row>
    <row r="1683">
      <c r="A1683" s="174"/>
      <c r="B1683" s="8" t="str">
        <f t="shared" si="3"/>
        <v/>
      </c>
      <c r="C1683" s="175"/>
      <c r="D1683" s="175"/>
      <c r="E1683" s="175"/>
      <c r="F1683" s="174"/>
      <c r="G1683" s="174"/>
      <c r="H1683" s="174"/>
      <c r="I1683" s="174"/>
      <c r="J1683" s="174"/>
      <c r="K1683" s="174"/>
      <c r="L1683" s="174"/>
      <c r="M1683" s="174"/>
      <c r="N1683" s="174"/>
      <c r="O1683" s="174"/>
      <c r="P1683" s="174"/>
      <c r="Q1683" s="174"/>
    </row>
    <row r="1684">
      <c r="A1684" s="174"/>
      <c r="B1684" s="8" t="str">
        <f t="shared" si="3"/>
        <v/>
      </c>
      <c r="C1684" s="175"/>
      <c r="D1684" s="175"/>
      <c r="E1684" s="175"/>
      <c r="F1684" s="174"/>
      <c r="G1684" s="174"/>
      <c r="H1684" s="174"/>
      <c r="I1684" s="174"/>
      <c r="J1684" s="174"/>
      <c r="K1684" s="174"/>
      <c r="L1684" s="174"/>
      <c r="M1684" s="174"/>
      <c r="N1684" s="174"/>
      <c r="O1684" s="174"/>
      <c r="P1684" s="174"/>
      <c r="Q1684" s="174"/>
    </row>
    <row r="1685">
      <c r="A1685" s="174"/>
      <c r="B1685" s="8" t="str">
        <f t="shared" si="3"/>
        <v/>
      </c>
      <c r="C1685" s="175"/>
      <c r="D1685" s="175"/>
      <c r="E1685" s="175"/>
      <c r="F1685" s="174"/>
      <c r="G1685" s="174"/>
      <c r="H1685" s="174"/>
      <c r="I1685" s="174"/>
      <c r="J1685" s="174"/>
      <c r="K1685" s="174"/>
      <c r="L1685" s="174"/>
      <c r="M1685" s="174"/>
      <c r="N1685" s="174"/>
      <c r="O1685" s="174"/>
      <c r="P1685" s="174"/>
      <c r="Q1685" s="174"/>
    </row>
    <row r="1686">
      <c r="A1686" s="174"/>
      <c r="B1686" s="8" t="str">
        <f t="shared" si="3"/>
        <v/>
      </c>
      <c r="C1686" s="175"/>
      <c r="D1686" s="175"/>
      <c r="E1686" s="175"/>
      <c r="F1686" s="174"/>
      <c r="G1686" s="174"/>
      <c r="H1686" s="174"/>
      <c r="I1686" s="174"/>
      <c r="J1686" s="174"/>
      <c r="K1686" s="174"/>
      <c r="L1686" s="174"/>
      <c r="M1686" s="174"/>
      <c r="N1686" s="174"/>
      <c r="O1686" s="174"/>
      <c r="P1686" s="174"/>
      <c r="Q1686" s="174"/>
    </row>
    <row r="1687">
      <c r="A1687" s="174"/>
      <c r="B1687" s="8" t="str">
        <f t="shared" si="3"/>
        <v/>
      </c>
      <c r="C1687" s="175"/>
      <c r="D1687" s="175"/>
      <c r="E1687" s="175"/>
      <c r="F1687" s="174"/>
      <c r="G1687" s="174"/>
      <c r="H1687" s="174"/>
      <c r="I1687" s="174"/>
      <c r="J1687" s="174"/>
      <c r="K1687" s="174"/>
      <c r="L1687" s="174"/>
      <c r="M1687" s="174"/>
      <c r="N1687" s="174"/>
      <c r="O1687" s="174"/>
      <c r="P1687" s="174"/>
      <c r="Q1687" s="174"/>
    </row>
    <row r="1688">
      <c r="A1688" s="174"/>
      <c r="B1688" s="8" t="str">
        <f t="shared" si="3"/>
        <v/>
      </c>
      <c r="C1688" s="175"/>
      <c r="D1688" s="175"/>
      <c r="E1688" s="175"/>
      <c r="F1688" s="174"/>
      <c r="G1688" s="174"/>
      <c r="H1688" s="174"/>
      <c r="I1688" s="174"/>
      <c r="J1688" s="174"/>
      <c r="K1688" s="174"/>
      <c r="L1688" s="174"/>
      <c r="M1688" s="174"/>
      <c r="N1688" s="174"/>
      <c r="O1688" s="174"/>
      <c r="P1688" s="174"/>
      <c r="Q1688" s="174"/>
    </row>
    <row r="1689">
      <c r="A1689" s="174"/>
      <c r="B1689" s="8" t="str">
        <f t="shared" si="3"/>
        <v/>
      </c>
      <c r="C1689" s="175"/>
      <c r="D1689" s="175"/>
      <c r="E1689" s="175"/>
      <c r="F1689" s="174"/>
      <c r="G1689" s="174"/>
      <c r="H1689" s="174"/>
      <c r="I1689" s="174"/>
      <c r="J1689" s="174"/>
      <c r="K1689" s="174"/>
      <c r="L1689" s="174"/>
      <c r="M1689" s="174"/>
      <c r="N1689" s="174"/>
      <c r="O1689" s="174"/>
      <c r="P1689" s="174"/>
      <c r="Q1689" s="174"/>
    </row>
    <row r="1690">
      <c r="A1690" s="174"/>
      <c r="B1690" s="8" t="str">
        <f t="shared" si="3"/>
        <v/>
      </c>
      <c r="C1690" s="175"/>
      <c r="D1690" s="175"/>
      <c r="E1690" s="175"/>
      <c r="F1690" s="174"/>
      <c r="G1690" s="174"/>
      <c r="H1690" s="174"/>
      <c r="I1690" s="174"/>
      <c r="J1690" s="174"/>
      <c r="K1690" s="174"/>
      <c r="L1690" s="174"/>
      <c r="M1690" s="174"/>
      <c r="N1690" s="174"/>
      <c r="O1690" s="174"/>
      <c r="P1690" s="174"/>
      <c r="Q1690" s="174"/>
    </row>
    <row r="1691">
      <c r="A1691" s="174"/>
      <c r="B1691" s="8" t="str">
        <f t="shared" si="3"/>
        <v/>
      </c>
      <c r="C1691" s="175"/>
      <c r="D1691" s="175"/>
      <c r="E1691" s="175"/>
      <c r="F1691" s="174"/>
      <c r="G1691" s="174"/>
      <c r="H1691" s="174"/>
      <c r="I1691" s="174"/>
      <c r="J1691" s="174"/>
      <c r="K1691" s="174"/>
      <c r="L1691" s="174"/>
      <c r="M1691" s="174"/>
      <c r="N1691" s="174"/>
      <c r="O1691" s="174"/>
      <c r="P1691" s="174"/>
      <c r="Q1691" s="174"/>
    </row>
    <row r="1692">
      <c r="A1692" s="174"/>
      <c r="B1692" s="8" t="str">
        <f t="shared" si="3"/>
        <v/>
      </c>
      <c r="C1692" s="175"/>
      <c r="D1692" s="175"/>
      <c r="E1692" s="175"/>
      <c r="F1692" s="174"/>
      <c r="G1692" s="174"/>
      <c r="H1692" s="174"/>
      <c r="I1692" s="174"/>
      <c r="J1692" s="174"/>
      <c r="K1692" s="174"/>
      <c r="L1692" s="174"/>
      <c r="M1692" s="174"/>
      <c r="N1692" s="174"/>
      <c r="O1692" s="174"/>
      <c r="P1692" s="174"/>
      <c r="Q1692" s="174"/>
    </row>
    <row r="1693">
      <c r="A1693" s="174"/>
      <c r="B1693" s="8" t="str">
        <f t="shared" si="3"/>
        <v/>
      </c>
      <c r="C1693" s="175"/>
      <c r="D1693" s="175"/>
      <c r="E1693" s="175"/>
      <c r="F1693" s="174"/>
      <c r="G1693" s="174"/>
      <c r="H1693" s="174"/>
      <c r="I1693" s="174"/>
      <c r="J1693" s="174"/>
      <c r="K1693" s="174"/>
      <c r="L1693" s="174"/>
      <c r="M1693" s="174"/>
      <c r="N1693" s="174"/>
      <c r="O1693" s="174"/>
      <c r="P1693" s="174"/>
      <c r="Q1693" s="174"/>
    </row>
    <row r="1694">
      <c r="A1694" s="174"/>
      <c r="B1694" s="8" t="str">
        <f t="shared" si="3"/>
        <v/>
      </c>
      <c r="C1694" s="175"/>
      <c r="D1694" s="175"/>
      <c r="E1694" s="175"/>
      <c r="F1694" s="174"/>
      <c r="G1694" s="174"/>
      <c r="H1694" s="174"/>
      <c r="I1694" s="174"/>
      <c r="J1694" s="174"/>
      <c r="K1694" s="174"/>
      <c r="L1694" s="174"/>
      <c r="M1694" s="174"/>
      <c r="N1694" s="174"/>
      <c r="O1694" s="174"/>
      <c r="P1694" s="174"/>
      <c r="Q1694" s="174"/>
    </row>
    <row r="1695">
      <c r="A1695" s="174"/>
      <c r="B1695" s="8" t="str">
        <f t="shared" si="3"/>
        <v/>
      </c>
      <c r="C1695" s="175"/>
      <c r="D1695" s="175"/>
      <c r="E1695" s="175"/>
      <c r="F1695" s="174"/>
      <c r="G1695" s="174"/>
      <c r="H1695" s="174"/>
      <c r="I1695" s="174"/>
      <c r="J1695" s="174"/>
      <c r="K1695" s="174"/>
      <c r="L1695" s="174"/>
      <c r="M1695" s="174"/>
      <c r="N1695" s="174"/>
      <c r="O1695" s="174"/>
      <c r="P1695" s="174"/>
      <c r="Q1695" s="174"/>
    </row>
    <row r="1696">
      <c r="A1696" s="174"/>
      <c r="B1696" s="8" t="str">
        <f t="shared" si="3"/>
        <v/>
      </c>
      <c r="C1696" s="175"/>
      <c r="D1696" s="175"/>
      <c r="E1696" s="175"/>
      <c r="F1696" s="174"/>
      <c r="G1696" s="174"/>
      <c r="H1696" s="174"/>
      <c r="I1696" s="174"/>
      <c r="J1696" s="174"/>
      <c r="K1696" s="174"/>
      <c r="L1696" s="174"/>
      <c r="M1696" s="174"/>
      <c r="N1696" s="174"/>
      <c r="O1696" s="174"/>
      <c r="P1696" s="174"/>
      <c r="Q1696" s="174"/>
    </row>
    <row r="1697">
      <c r="A1697" s="174"/>
      <c r="B1697" s="8" t="str">
        <f t="shared" si="3"/>
        <v/>
      </c>
      <c r="C1697" s="175"/>
      <c r="D1697" s="175"/>
      <c r="E1697" s="175"/>
      <c r="F1697" s="174"/>
      <c r="G1697" s="174"/>
      <c r="H1697" s="174"/>
      <c r="I1697" s="174"/>
      <c r="J1697" s="174"/>
      <c r="K1697" s="174"/>
      <c r="L1697" s="174"/>
      <c r="M1697" s="174"/>
      <c r="N1697" s="174"/>
      <c r="O1697" s="174"/>
      <c r="P1697" s="174"/>
      <c r="Q1697" s="174"/>
    </row>
    <row r="1698">
      <c r="A1698" s="174"/>
      <c r="B1698" s="8" t="str">
        <f t="shared" si="3"/>
        <v/>
      </c>
      <c r="C1698" s="175"/>
      <c r="D1698" s="175"/>
      <c r="E1698" s="175"/>
      <c r="F1698" s="174"/>
      <c r="G1698" s="174"/>
      <c r="H1698" s="174"/>
      <c r="I1698" s="174"/>
      <c r="J1698" s="174"/>
      <c r="K1698" s="174"/>
      <c r="L1698" s="174"/>
      <c r="M1698" s="174"/>
      <c r="N1698" s="174"/>
      <c r="O1698" s="174"/>
      <c r="P1698" s="174"/>
      <c r="Q1698" s="174"/>
    </row>
    <row r="1699">
      <c r="A1699" s="174"/>
      <c r="B1699" s="8" t="str">
        <f t="shared" si="3"/>
        <v/>
      </c>
      <c r="C1699" s="175"/>
      <c r="D1699" s="175"/>
      <c r="E1699" s="175"/>
      <c r="F1699" s="174"/>
      <c r="G1699" s="174"/>
      <c r="H1699" s="174"/>
      <c r="I1699" s="174"/>
      <c r="J1699" s="174"/>
      <c r="K1699" s="174"/>
      <c r="L1699" s="174"/>
      <c r="M1699" s="174"/>
      <c r="N1699" s="174"/>
      <c r="O1699" s="174"/>
      <c r="P1699" s="174"/>
      <c r="Q1699" s="174"/>
    </row>
    <row r="1700">
      <c r="A1700" s="174"/>
      <c r="B1700" s="8" t="str">
        <f t="shared" si="3"/>
        <v/>
      </c>
      <c r="C1700" s="175"/>
      <c r="D1700" s="175"/>
      <c r="E1700" s="175"/>
      <c r="F1700" s="174"/>
      <c r="G1700" s="174"/>
      <c r="H1700" s="174"/>
      <c r="I1700" s="174"/>
      <c r="J1700" s="174"/>
      <c r="K1700" s="174"/>
      <c r="L1700" s="174"/>
      <c r="M1700" s="174"/>
      <c r="N1700" s="174"/>
      <c r="O1700" s="174"/>
      <c r="P1700" s="174"/>
      <c r="Q1700" s="174"/>
    </row>
    <row r="1701">
      <c r="A1701" s="174"/>
      <c r="B1701" s="8" t="str">
        <f t="shared" si="3"/>
        <v/>
      </c>
      <c r="C1701" s="175"/>
      <c r="D1701" s="175"/>
      <c r="E1701" s="175"/>
      <c r="F1701" s="174"/>
      <c r="G1701" s="174"/>
      <c r="H1701" s="174"/>
      <c r="I1701" s="174"/>
      <c r="J1701" s="174"/>
      <c r="K1701" s="174"/>
      <c r="L1701" s="174"/>
      <c r="M1701" s="174"/>
      <c r="N1701" s="174"/>
      <c r="O1701" s="174"/>
      <c r="P1701" s="174"/>
      <c r="Q1701" s="174"/>
    </row>
    <row r="1702">
      <c r="A1702" s="174"/>
      <c r="B1702" s="8" t="str">
        <f t="shared" si="3"/>
        <v/>
      </c>
      <c r="C1702" s="175"/>
      <c r="D1702" s="175"/>
      <c r="E1702" s="175"/>
      <c r="F1702" s="174"/>
      <c r="G1702" s="174"/>
      <c r="H1702" s="174"/>
      <c r="I1702" s="174"/>
      <c r="J1702" s="174"/>
      <c r="K1702" s="174"/>
      <c r="L1702" s="174"/>
      <c r="M1702" s="174"/>
      <c r="N1702" s="174"/>
      <c r="O1702" s="174"/>
      <c r="P1702" s="174"/>
      <c r="Q1702" s="174"/>
    </row>
    <row r="1703">
      <c r="A1703" s="174"/>
      <c r="B1703" s="8" t="str">
        <f t="shared" si="3"/>
        <v/>
      </c>
      <c r="C1703" s="175"/>
      <c r="D1703" s="175"/>
      <c r="E1703" s="175"/>
      <c r="F1703" s="174"/>
      <c r="G1703" s="174"/>
      <c r="H1703" s="174"/>
      <c r="I1703" s="174"/>
      <c r="J1703" s="174"/>
      <c r="K1703" s="174"/>
      <c r="L1703" s="174"/>
      <c r="M1703" s="174"/>
      <c r="N1703" s="174"/>
      <c r="O1703" s="174"/>
      <c r="P1703" s="174"/>
      <c r="Q1703" s="174"/>
    </row>
    <row r="1704">
      <c r="A1704" s="174"/>
      <c r="B1704" s="8" t="str">
        <f t="shared" si="3"/>
        <v/>
      </c>
      <c r="C1704" s="175"/>
      <c r="D1704" s="175"/>
      <c r="E1704" s="175"/>
      <c r="F1704" s="174"/>
      <c r="G1704" s="174"/>
      <c r="H1704" s="174"/>
      <c r="I1704" s="174"/>
      <c r="J1704" s="174"/>
      <c r="K1704" s="174"/>
      <c r="L1704" s="174"/>
      <c r="M1704" s="174"/>
      <c r="N1704" s="174"/>
      <c r="O1704" s="174"/>
      <c r="P1704" s="174"/>
      <c r="Q1704" s="174"/>
    </row>
    <row r="1705">
      <c r="A1705" s="174"/>
      <c r="B1705" s="8" t="str">
        <f t="shared" si="3"/>
        <v/>
      </c>
      <c r="C1705" s="175"/>
      <c r="D1705" s="175"/>
      <c r="E1705" s="175"/>
      <c r="F1705" s="174"/>
      <c r="G1705" s="174"/>
      <c r="H1705" s="174"/>
      <c r="I1705" s="174"/>
      <c r="J1705" s="174"/>
      <c r="K1705" s="174"/>
      <c r="L1705" s="174"/>
      <c r="M1705" s="174"/>
      <c r="N1705" s="174"/>
      <c r="O1705" s="174"/>
      <c r="P1705" s="174"/>
      <c r="Q1705" s="174"/>
    </row>
    <row r="1706">
      <c r="A1706" s="174"/>
      <c r="B1706" s="8" t="str">
        <f t="shared" si="3"/>
        <v/>
      </c>
      <c r="C1706" s="175"/>
      <c r="D1706" s="175"/>
      <c r="E1706" s="175"/>
      <c r="F1706" s="174"/>
      <c r="G1706" s="174"/>
      <c r="H1706" s="174"/>
      <c r="I1706" s="174"/>
      <c r="J1706" s="174"/>
      <c r="K1706" s="174"/>
      <c r="L1706" s="174"/>
      <c r="M1706" s="174"/>
      <c r="N1706" s="174"/>
      <c r="O1706" s="174"/>
      <c r="P1706" s="174"/>
      <c r="Q1706" s="174"/>
    </row>
    <row r="1707">
      <c r="A1707" s="174"/>
      <c r="B1707" s="8" t="str">
        <f t="shared" si="3"/>
        <v/>
      </c>
      <c r="C1707" s="175"/>
      <c r="D1707" s="175"/>
      <c r="E1707" s="175"/>
      <c r="F1707" s="174"/>
      <c r="G1707" s="174"/>
      <c r="H1707" s="174"/>
      <c r="I1707" s="174"/>
      <c r="J1707" s="174"/>
      <c r="K1707" s="174"/>
      <c r="L1707" s="174"/>
      <c r="M1707" s="174"/>
      <c r="N1707" s="174"/>
      <c r="O1707" s="174"/>
      <c r="P1707" s="174"/>
      <c r="Q1707" s="174"/>
    </row>
    <row r="1708">
      <c r="A1708" s="174"/>
      <c r="B1708" s="8" t="str">
        <f t="shared" si="3"/>
        <v/>
      </c>
      <c r="C1708" s="175"/>
      <c r="D1708" s="175"/>
      <c r="E1708" s="175"/>
      <c r="F1708" s="174"/>
      <c r="G1708" s="174"/>
      <c r="H1708" s="174"/>
      <c r="I1708" s="174"/>
      <c r="J1708" s="174"/>
      <c r="K1708" s="174"/>
      <c r="L1708" s="174"/>
      <c r="M1708" s="174"/>
      <c r="N1708" s="174"/>
      <c r="O1708" s="174"/>
      <c r="P1708" s="174"/>
      <c r="Q1708" s="174"/>
    </row>
    <row r="1709">
      <c r="A1709" s="174"/>
      <c r="B1709" s="8" t="str">
        <f t="shared" si="3"/>
        <v/>
      </c>
      <c r="C1709" s="175"/>
      <c r="D1709" s="175"/>
      <c r="E1709" s="175"/>
      <c r="F1709" s="174"/>
      <c r="G1709" s="174"/>
      <c r="H1709" s="174"/>
      <c r="I1709" s="174"/>
      <c r="J1709" s="174"/>
      <c r="K1709" s="174"/>
      <c r="L1709" s="174"/>
      <c r="M1709" s="174"/>
      <c r="N1709" s="174"/>
      <c r="O1709" s="174"/>
      <c r="P1709" s="174"/>
      <c r="Q1709" s="174"/>
    </row>
    <row r="1710">
      <c r="A1710" s="174"/>
      <c r="B1710" s="8" t="str">
        <f t="shared" si="3"/>
        <v/>
      </c>
      <c r="C1710" s="175"/>
      <c r="D1710" s="175"/>
      <c r="E1710" s="175"/>
      <c r="F1710" s="174"/>
      <c r="G1710" s="174"/>
      <c r="H1710" s="174"/>
      <c r="I1710" s="174"/>
      <c r="J1710" s="174"/>
      <c r="K1710" s="174"/>
      <c r="L1710" s="174"/>
      <c r="M1710" s="174"/>
      <c r="N1710" s="174"/>
      <c r="O1710" s="174"/>
      <c r="P1710" s="174"/>
      <c r="Q1710" s="174"/>
    </row>
    <row r="1711">
      <c r="A1711" s="174"/>
      <c r="B1711" s="8" t="str">
        <f t="shared" si="3"/>
        <v/>
      </c>
      <c r="C1711" s="175"/>
      <c r="D1711" s="175"/>
      <c r="E1711" s="175"/>
      <c r="F1711" s="174"/>
      <c r="G1711" s="174"/>
      <c r="H1711" s="174"/>
      <c r="I1711" s="174"/>
      <c r="J1711" s="174"/>
      <c r="K1711" s="174"/>
      <c r="L1711" s="174"/>
      <c r="M1711" s="174"/>
      <c r="N1711" s="174"/>
      <c r="O1711" s="174"/>
      <c r="P1711" s="174"/>
      <c r="Q1711" s="174"/>
    </row>
    <row r="1712">
      <c r="A1712" s="174"/>
      <c r="B1712" s="8" t="str">
        <f t="shared" si="3"/>
        <v/>
      </c>
      <c r="C1712" s="175"/>
      <c r="D1712" s="175"/>
      <c r="E1712" s="175"/>
      <c r="F1712" s="174"/>
      <c r="G1712" s="174"/>
      <c r="H1712" s="174"/>
      <c r="I1712" s="174"/>
      <c r="J1712" s="174"/>
      <c r="K1712" s="174"/>
      <c r="L1712" s="174"/>
      <c r="M1712" s="174"/>
      <c r="N1712" s="174"/>
      <c r="O1712" s="174"/>
      <c r="P1712" s="174"/>
      <c r="Q1712" s="174"/>
    </row>
    <row r="1713">
      <c r="A1713" s="174"/>
      <c r="B1713" s="8" t="str">
        <f t="shared" si="3"/>
        <v/>
      </c>
      <c r="C1713" s="175"/>
      <c r="D1713" s="175"/>
      <c r="E1713" s="175"/>
      <c r="F1713" s="174"/>
      <c r="G1713" s="174"/>
      <c r="H1713" s="174"/>
      <c r="I1713" s="174"/>
      <c r="J1713" s="174"/>
      <c r="K1713" s="174"/>
      <c r="L1713" s="174"/>
      <c r="M1713" s="174"/>
      <c r="N1713" s="174"/>
      <c r="O1713" s="174"/>
      <c r="P1713" s="174"/>
      <c r="Q1713" s="174"/>
    </row>
    <row r="1714">
      <c r="A1714" s="174"/>
      <c r="B1714" s="8" t="str">
        <f t="shared" si="3"/>
        <v/>
      </c>
      <c r="C1714" s="175"/>
      <c r="D1714" s="175"/>
      <c r="E1714" s="175"/>
      <c r="F1714" s="174"/>
      <c r="G1714" s="174"/>
      <c r="H1714" s="174"/>
      <c r="I1714" s="174"/>
      <c r="J1714" s="174"/>
      <c r="K1714" s="174"/>
      <c r="L1714" s="174"/>
      <c r="M1714" s="174"/>
      <c r="N1714" s="174"/>
      <c r="O1714" s="174"/>
      <c r="P1714" s="174"/>
      <c r="Q1714" s="174"/>
    </row>
    <row r="1715">
      <c r="A1715" s="174"/>
      <c r="B1715" s="8" t="str">
        <f t="shared" si="3"/>
        <v/>
      </c>
      <c r="C1715" s="175"/>
      <c r="D1715" s="175"/>
      <c r="E1715" s="175"/>
      <c r="F1715" s="174"/>
      <c r="G1715" s="174"/>
      <c r="H1715" s="174"/>
      <c r="I1715" s="174"/>
      <c r="J1715" s="174"/>
      <c r="K1715" s="174"/>
      <c r="L1715" s="174"/>
      <c r="M1715" s="174"/>
      <c r="N1715" s="174"/>
      <c r="O1715" s="174"/>
      <c r="P1715" s="174"/>
      <c r="Q1715" s="174"/>
    </row>
    <row r="1716">
      <c r="A1716" s="174"/>
      <c r="B1716" s="8" t="str">
        <f t="shared" si="3"/>
        <v/>
      </c>
      <c r="C1716" s="175"/>
      <c r="D1716" s="175"/>
      <c r="E1716" s="175"/>
      <c r="F1716" s="174"/>
      <c r="G1716" s="174"/>
      <c r="H1716" s="174"/>
      <c r="I1716" s="174"/>
      <c r="J1716" s="174"/>
      <c r="K1716" s="174"/>
      <c r="L1716" s="174"/>
      <c r="M1716" s="174"/>
      <c r="N1716" s="174"/>
      <c r="O1716" s="174"/>
      <c r="P1716" s="174"/>
      <c r="Q1716" s="174"/>
    </row>
    <row r="1717">
      <c r="A1717" s="174"/>
      <c r="B1717" s="8" t="str">
        <f t="shared" si="3"/>
        <v/>
      </c>
      <c r="C1717" s="175"/>
      <c r="D1717" s="175"/>
      <c r="E1717" s="175"/>
      <c r="F1717" s="174"/>
      <c r="G1717" s="174"/>
      <c r="H1717" s="174"/>
      <c r="I1717" s="174"/>
      <c r="J1717" s="174"/>
      <c r="K1717" s="174"/>
      <c r="L1717" s="174"/>
      <c r="M1717" s="174"/>
      <c r="N1717" s="174"/>
      <c r="O1717" s="174"/>
      <c r="P1717" s="174"/>
      <c r="Q1717" s="174"/>
    </row>
    <row r="1718">
      <c r="A1718" s="174"/>
      <c r="B1718" s="8" t="str">
        <f t="shared" si="3"/>
        <v/>
      </c>
      <c r="C1718" s="175"/>
      <c r="D1718" s="175"/>
      <c r="E1718" s="175"/>
      <c r="F1718" s="174"/>
      <c r="G1718" s="174"/>
      <c r="H1718" s="174"/>
      <c r="I1718" s="174"/>
      <c r="J1718" s="174"/>
      <c r="K1718" s="174"/>
      <c r="L1718" s="174"/>
      <c r="M1718" s="174"/>
      <c r="N1718" s="174"/>
      <c r="O1718" s="174"/>
      <c r="P1718" s="174"/>
      <c r="Q1718" s="174"/>
    </row>
    <row r="1719">
      <c r="A1719" s="174"/>
      <c r="B1719" s="8" t="str">
        <f t="shared" si="3"/>
        <v/>
      </c>
      <c r="C1719" s="175"/>
      <c r="D1719" s="175"/>
      <c r="E1719" s="175"/>
      <c r="F1719" s="174"/>
      <c r="G1719" s="174"/>
      <c r="H1719" s="174"/>
      <c r="I1719" s="174"/>
      <c r="J1719" s="174"/>
      <c r="K1719" s="174"/>
      <c r="L1719" s="174"/>
      <c r="M1719" s="174"/>
      <c r="N1719" s="174"/>
      <c r="O1719" s="174"/>
      <c r="P1719" s="174"/>
      <c r="Q1719" s="174"/>
    </row>
    <row r="1720">
      <c r="A1720" s="174"/>
      <c r="B1720" s="8" t="str">
        <f t="shared" si="3"/>
        <v/>
      </c>
      <c r="C1720" s="175"/>
      <c r="D1720" s="175"/>
      <c r="E1720" s="175"/>
      <c r="F1720" s="174"/>
      <c r="G1720" s="174"/>
      <c r="H1720" s="174"/>
      <c r="I1720" s="174"/>
      <c r="J1720" s="174"/>
      <c r="K1720" s="174"/>
      <c r="L1720" s="174"/>
      <c r="M1720" s="174"/>
      <c r="N1720" s="174"/>
      <c r="O1720" s="174"/>
      <c r="P1720" s="174"/>
      <c r="Q1720" s="174"/>
    </row>
    <row r="1721">
      <c r="A1721" s="174"/>
      <c r="B1721" s="8" t="str">
        <f t="shared" si="3"/>
        <v/>
      </c>
      <c r="C1721" s="175"/>
      <c r="D1721" s="175"/>
      <c r="E1721" s="175"/>
      <c r="F1721" s="174"/>
      <c r="G1721" s="174"/>
      <c r="H1721" s="174"/>
      <c r="I1721" s="174"/>
      <c r="J1721" s="174"/>
      <c r="K1721" s="174"/>
      <c r="L1721" s="174"/>
      <c r="M1721" s="174"/>
      <c r="N1721" s="174"/>
      <c r="O1721" s="174"/>
      <c r="P1721" s="174"/>
      <c r="Q1721" s="174"/>
    </row>
    <row r="1722">
      <c r="A1722" s="174"/>
      <c r="B1722" s="8" t="str">
        <f t="shared" si="3"/>
        <v/>
      </c>
      <c r="C1722" s="175"/>
      <c r="D1722" s="175"/>
      <c r="E1722" s="175"/>
      <c r="F1722" s="174"/>
      <c r="G1722" s="174"/>
      <c r="H1722" s="174"/>
      <c r="I1722" s="174"/>
      <c r="J1722" s="174"/>
      <c r="K1722" s="174"/>
      <c r="L1722" s="174"/>
      <c r="M1722" s="174"/>
      <c r="N1722" s="174"/>
      <c r="O1722" s="174"/>
      <c r="P1722" s="174"/>
      <c r="Q1722" s="174"/>
    </row>
    <row r="1723">
      <c r="A1723" s="174"/>
      <c r="B1723" s="8" t="str">
        <f t="shared" si="3"/>
        <v/>
      </c>
      <c r="C1723" s="175"/>
      <c r="D1723" s="175"/>
      <c r="E1723" s="175"/>
      <c r="F1723" s="174"/>
      <c r="G1723" s="174"/>
      <c r="H1723" s="174"/>
      <c r="I1723" s="174"/>
      <c r="J1723" s="174"/>
      <c r="K1723" s="174"/>
      <c r="L1723" s="174"/>
      <c r="M1723" s="174"/>
      <c r="N1723" s="174"/>
      <c r="O1723" s="174"/>
      <c r="P1723" s="174"/>
      <c r="Q1723" s="174"/>
    </row>
    <row r="1724">
      <c r="A1724" s="174"/>
      <c r="B1724" s="8" t="str">
        <f t="shared" si="3"/>
        <v/>
      </c>
      <c r="C1724" s="175"/>
      <c r="D1724" s="175"/>
      <c r="E1724" s="175"/>
      <c r="F1724" s="174"/>
      <c r="G1724" s="174"/>
      <c r="H1724" s="174"/>
      <c r="I1724" s="174"/>
      <c r="J1724" s="174"/>
      <c r="K1724" s="174"/>
      <c r="L1724" s="174"/>
      <c r="M1724" s="174"/>
      <c r="N1724" s="174"/>
      <c r="O1724" s="174"/>
      <c r="P1724" s="174"/>
      <c r="Q1724" s="174"/>
    </row>
    <row r="1725">
      <c r="A1725" s="174"/>
      <c r="B1725" s="8" t="str">
        <f t="shared" si="3"/>
        <v/>
      </c>
      <c r="C1725" s="175"/>
      <c r="D1725" s="175"/>
      <c r="E1725" s="175"/>
      <c r="F1725" s="174"/>
      <c r="G1725" s="174"/>
      <c r="H1725" s="174"/>
      <c r="I1725" s="174"/>
      <c r="J1725" s="174"/>
      <c r="K1725" s="174"/>
      <c r="L1725" s="174"/>
      <c r="M1725" s="174"/>
      <c r="N1725" s="174"/>
      <c r="O1725" s="174"/>
      <c r="P1725" s="174"/>
      <c r="Q1725" s="174"/>
    </row>
    <row r="1726">
      <c r="A1726" s="174"/>
      <c r="B1726" s="8" t="str">
        <f t="shared" si="3"/>
        <v/>
      </c>
      <c r="C1726" s="175"/>
      <c r="D1726" s="175"/>
      <c r="E1726" s="175"/>
      <c r="F1726" s="174"/>
      <c r="G1726" s="174"/>
      <c r="H1726" s="174"/>
      <c r="I1726" s="174"/>
      <c r="J1726" s="174"/>
      <c r="K1726" s="174"/>
      <c r="L1726" s="174"/>
      <c r="M1726" s="174"/>
      <c r="N1726" s="174"/>
      <c r="O1726" s="174"/>
      <c r="P1726" s="174"/>
      <c r="Q1726" s="174"/>
    </row>
    <row r="1727">
      <c r="A1727" s="174"/>
      <c r="B1727" s="8" t="str">
        <f t="shared" si="3"/>
        <v/>
      </c>
      <c r="C1727" s="175"/>
      <c r="D1727" s="175"/>
      <c r="E1727" s="175"/>
      <c r="F1727" s="174"/>
      <c r="G1727" s="174"/>
      <c r="H1727" s="174"/>
      <c r="I1727" s="174"/>
      <c r="J1727" s="174"/>
      <c r="K1727" s="174"/>
      <c r="L1727" s="174"/>
      <c r="M1727" s="174"/>
      <c r="N1727" s="174"/>
      <c r="O1727" s="174"/>
      <c r="P1727" s="174"/>
      <c r="Q1727" s="174"/>
    </row>
    <row r="1728">
      <c r="A1728" s="174"/>
      <c r="B1728" s="8" t="str">
        <f t="shared" si="3"/>
        <v/>
      </c>
      <c r="C1728" s="175"/>
      <c r="D1728" s="175"/>
      <c r="E1728" s="175"/>
      <c r="F1728" s="174"/>
      <c r="G1728" s="174"/>
      <c r="H1728" s="174"/>
      <c r="I1728" s="174"/>
      <c r="J1728" s="174"/>
      <c r="K1728" s="174"/>
      <c r="L1728" s="174"/>
      <c r="M1728" s="174"/>
      <c r="N1728" s="174"/>
      <c r="O1728" s="174"/>
      <c r="P1728" s="174"/>
      <c r="Q1728" s="174"/>
    </row>
    <row r="1729">
      <c r="A1729" s="174"/>
      <c r="B1729" s="8" t="str">
        <f t="shared" si="3"/>
        <v/>
      </c>
      <c r="C1729" s="175"/>
      <c r="D1729" s="175"/>
      <c r="E1729" s="175"/>
      <c r="F1729" s="174"/>
      <c r="G1729" s="174"/>
      <c r="H1729" s="174"/>
      <c r="I1729" s="174"/>
      <c r="J1729" s="174"/>
      <c r="K1729" s="174"/>
      <c r="L1729" s="174"/>
      <c r="M1729" s="174"/>
      <c r="N1729" s="174"/>
      <c r="O1729" s="174"/>
      <c r="P1729" s="174"/>
      <c r="Q1729" s="174"/>
    </row>
    <row r="1730">
      <c r="A1730" s="174"/>
      <c r="B1730" s="8" t="str">
        <f t="shared" si="3"/>
        <v/>
      </c>
      <c r="C1730" s="175"/>
      <c r="D1730" s="175"/>
      <c r="E1730" s="175"/>
      <c r="F1730" s="174"/>
      <c r="G1730" s="174"/>
      <c r="H1730" s="174"/>
      <c r="I1730" s="174"/>
      <c r="J1730" s="174"/>
      <c r="K1730" s="174"/>
      <c r="L1730" s="174"/>
      <c r="M1730" s="174"/>
      <c r="N1730" s="174"/>
      <c r="O1730" s="174"/>
      <c r="P1730" s="174"/>
      <c r="Q1730" s="174"/>
    </row>
    <row r="1731">
      <c r="A1731" s="174"/>
      <c r="B1731" s="8" t="str">
        <f t="shared" si="3"/>
        <v/>
      </c>
      <c r="C1731" s="175"/>
      <c r="D1731" s="175"/>
      <c r="E1731" s="175"/>
      <c r="F1731" s="174"/>
      <c r="G1731" s="174"/>
      <c r="H1731" s="174"/>
      <c r="I1731" s="174"/>
      <c r="J1731" s="174"/>
      <c r="K1731" s="174"/>
      <c r="L1731" s="174"/>
      <c r="M1731" s="174"/>
      <c r="N1731" s="174"/>
      <c r="O1731" s="174"/>
      <c r="P1731" s="174"/>
      <c r="Q1731" s="174"/>
    </row>
    <row r="1732">
      <c r="A1732" s="174"/>
      <c r="B1732" s="8" t="str">
        <f t="shared" si="3"/>
        <v/>
      </c>
      <c r="C1732" s="175"/>
      <c r="D1732" s="175"/>
      <c r="E1732" s="175"/>
      <c r="F1732" s="174"/>
      <c r="G1732" s="174"/>
      <c r="H1732" s="174"/>
      <c r="I1732" s="174"/>
      <c r="J1732" s="174"/>
      <c r="K1732" s="174"/>
      <c r="L1732" s="174"/>
      <c r="M1732" s="174"/>
      <c r="N1732" s="174"/>
      <c r="O1732" s="174"/>
      <c r="P1732" s="174"/>
      <c r="Q1732" s="174"/>
    </row>
    <row r="1733">
      <c r="A1733" s="174"/>
      <c r="B1733" s="8" t="str">
        <f t="shared" si="3"/>
        <v/>
      </c>
      <c r="C1733" s="175"/>
      <c r="D1733" s="175"/>
      <c r="E1733" s="175"/>
      <c r="F1733" s="174"/>
      <c r="G1733" s="174"/>
      <c r="H1733" s="174"/>
      <c r="I1733" s="174"/>
      <c r="J1733" s="174"/>
      <c r="K1733" s="174"/>
      <c r="L1733" s="174"/>
      <c r="M1733" s="174"/>
      <c r="N1733" s="174"/>
      <c r="O1733" s="174"/>
      <c r="P1733" s="174"/>
      <c r="Q1733" s="174"/>
    </row>
    <row r="1734">
      <c r="A1734" s="174"/>
      <c r="B1734" s="8" t="str">
        <f t="shared" si="3"/>
        <v/>
      </c>
      <c r="C1734" s="175"/>
      <c r="D1734" s="175"/>
      <c r="E1734" s="175"/>
      <c r="F1734" s="174"/>
      <c r="G1734" s="174"/>
      <c r="H1734" s="174"/>
      <c r="I1734" s="174"/>
      <c r="J1734" s="174"/>
      <c r="K1734" s="174"/>
      <c r="L1734" s="174"/>
      <c r="M1734" s="174"/>
      <c r="N1734" s="174"/>
      <c r="O1734" s="174"/>
      <c r="P1734" s="174"/>
      <c r="Q1734" s="174"/>
    </row>
    <row r="1735">
      <c r="A1735" s="174"/>
      <c r="B1735" s="8" t="str">
        <f t="shared" si="3"/>
        <v/>
      </c>
      <c r="C1735" s="175"/>
      <c r="D1735" s="175"/>
      <c r="E1735" s="175"/>
      <c r="F1735" s="174"/>
      <c r="G1735" s="174"/>
      <c r="H1735" s="174"/>
      <c r="I1735" s="174"/>
      <c r="J1735" s="174"/>
      <c r="K1735" s="174"/>
      <c r="L1735" s="174"/>
      <c r="M1735" s="174"/>
      <c r="N1735" s="174"/>
      <c r="O1735" s="174"/>
      <c r="P1735" s="174"/>
      <c r="Q1735" s="174"/>
    </row>
    <row r="1736">
      <c r="A1736" s="174"/>
      <c r="B1736" s="8" t="str">
        <f t="shared" si="3"/>
        <v/>
      </c>
      <c r="C1736" s="175"/>
      <c r="D1736" s="175"/>
      <c r="E1736" s="175"/>
      <c r="F1736" s="174"/>
      <c r="G1736" s="174"/>
      <c r="H1736" s="174"/>
      <c r="I1736" s="174"/>
      <c r="J1736" s="174"/>
      <c r="K1736" s="174"/>
      <c r="L1736" s="174"/>
      <c r="M1736" s="174"/>
      <c r="N1736" s="174"/>
      <c r="O1736" s="174"/>
      <c r="P1736" s="174"/>
      <c r="Q1736" s="174"/>
    </row>
    <row r="1737">
      <c r="A1737" s="174"/>
      <c r="B1737" s="8" t="str">
        <f t="shared" si="3"/>
        <v/>
      </c>
      <c r="C1737" s="175"/>
      <c r="D1737" s="175"/>
      <c r="E1737" s="175"/>
      <c r="F1737" s="174"/>
      <c r="G1737" s="174"/>
      <c r="H1737" s="174"/>
      <c r="I1737" s="174"/>
      <c r="J1737" s="174"/>
      <c r="K1737" s="174"/>
      <c r="L1737" s="174"/>
      <c r="M1737" s="174"/>
      <c r="N1737" s="174"/>
      <c r="O1737" s="174"/>
      <c r="P1737" s="174"/>
      <c r="Q1737" s="174"/>
    </row>
    <row r="1738">
      <c r="A1738" s="174"/>
      <c r="B1738" s="8" t="str">
        <f t="shared" si="3"/>
        <v/>
      </c>
      <c r="C1738" s="175"/>
      <c r="D1738" s="175"/>
      <c r="E1738" s="175"/>
      <c r="F1738" s="174"/>
      <c r="G1738" s="174"/>
      <c r="H1738" s="174"/>
      <c r="I1738" s="174"/>
      <c r="J1738" s="174"/>
      <c r="K1738" s="174"/>
      <c r="L1738" s="174"/>
      <c r="M1738" s="174"/>
      <c r="N1738" s="174"/>
      <c r="O1738" s="174"/>
      <c r="P1738" s="174"/>
      <c r="Q1738" s="174"/>
    </row>
    <row r="1739">
      <c r="A1739" s="174"/>
      <c r="B1739" s="8" t="str">
        <f t="shared" si="3"/>
        <v/>
      </c>
      <c r="C1739" s="175"/>
      <c r="D1739" s="175"/>
      <c r="E1739" s="175"/>
      <c r="F1739" s="174"/>
      <c r="G1739" s="174"/>
      <c r="H1739" s="174"/>
      <c r="I1739" s="174"/>
      <c r="J1739" s="174"/>
      <c r="K1739" s="174"/>
      <c r="L1739" s="174"/>
      <c r="M1739" s="174"/>
      <c r="N1739" s="174"/>
      <c r="O1739" s="174"/>
      <c r="P1739" s="174"/>
      <c r="Q1739" s="174"/>
    </row>
    <row r="1740">
      <c r="A1740" s="174"/>
      <c r="B1740" s="8" t="str">
        <f t="shared" si="3"/>
        <v/>
      </c>
      <c r="C1740" s="175"/>
      <c r="D1740" s="175"/>
      <c r="E1740" s="175"/>
      <c r="F1740" s="174"/>
      <c r="G1740" s="174"/>
      <c r="H1740" s="174"/>
      <c r="I1740" s="174"/>
      <c r="J1740" s="174"/>
      <c r="K1740" s="174"/>
      <c r="L1740" s="174"/>
      <c r="M1740" s="174"/>
      <c r="N1740" s="174"/>
      <c r="O1740" s="174"/>
      <c r="P1740" s="174"/>
      <c r="Q1740" s="174"/>
    </row>
    <row r="1741">
      <c r="A1741" s="174"/>
      <c r="B1741" s="8" t="str">
        <f t="shared" si="3"/>
        <v/>
      </c>
      <c r="C1741" s="175"/>
      <c r="D1741" s="175"/>
      <c r="E1741" s="175"/>
      <c r="F1741" s="174"/>
      <c r="G1741" s="174"/>
      <c r="H1741" s="174"/>
      <c r="I1741" s="174"/>
      <c r="J1741" s="174"/>
      <c r="K1741" s="174"/>
      <c r="L1741" s="174"/>
      <c r="M1741" s="174"/>
      <c r="N1741" s="174"/>
      <c r="O1741" s="174"/>
      <c r="P1741" s="174"/>
      <c r="Q1741" s="174"/>
    </row>
    <row r="1742">
      <c r="A1742" s="174"/>
      <c r="B1742" s="8" t="str">
        <f t="shared" si="3"/>
        <v/>
      </c>
      <c r="C1742" s="175"/>
      <c r="D1742" s="175"/>
      <c r="E1742" s="175"/>
      <c r="F1742" s="174"/>
      <c r="G1742" s="174"/>
      <c r="H1742" s="174"/>
      <c r="I1742" s="174"/>
      <c r="J1742" s="174"/>
      <c r="K1742" s="174"/>
      <c r="L1742" s="174"/>
      <c r="M1742" s="174"/>
      <c r="N1742" s="174"/>
      <c r="O1742" s="174"/>
      <c r="P1742" s="174"/>
      <c r="Q1742" s="174"/>
    </row>
    <row r="1743">
      <c r="A1743" s="174"/>
      <c r="B1743" s="8" t="str">
        <f t="shared" si="3"/>
        <v/>
      </c>
      <c r="C1743" s="175"/>
      <c r="D1743" s="175"/>
      <c r="E1743" s="175"/>
      <c r="F1743" s="174"/>
      <c r="G1743" s="174"/>
      <c r="H1743" s="174"/>
      <c r="I1743" s="174"/>
      <c r="J1743" s="174"/>
      <c r="K1743" s="174"/>
      <c r="L1743" s="174"/>
      <c r="M1743" s="174"/>
      <c r="N1743" s="174"/>
      <c r="O1743" s="174"/>
      <c r="P1743" s="174"/>
      <c r="Q1743" s="174"/>
    </row>
    <row r="1744">
      <c r="A1744" s="174"/>
      <c r="B1744" s="8" t="str">
        <f t="shared" si="3"/>
        <v/>
      </c>
      <c r="C1744" s="175"/>
      <c r="D1744" s="175"/>
      <c r="E1744" s="175"/>
      <c r="F1744" s="174"/>
      <c r="G1744" s="174"/>
      <c r="H1744" s="174"/>
      <c r="I1744" s="174"/>
      <c r="J1744" s="174"/>
      <c r="K1744" s="174"/>
      <c r="L1744" s="174"/>
      <c r="M1744" s="174"/>
      <c r="N1744" s="174"/>
      <c r="O1744" s="174"/>
      <c r="P1744" s="174"/>
      <c r="Q1744" s="174"/>
    </row>
    <row r="1745">
      <c r="A1745" s="174"/>
      <c r="B1745" s="8" t="str">
        <f t="shared" si="3"/>
        <v/>
      </c>
      <c r="C1745" s="175"/>
      <c r="D1745" s="175"/>
      <c r="E1745" s="175"/>
      <c r="F1745" s="174"/>
      <c r="G1745" s="174"/>
      <c r="H1745" s="174"/>
      <c r="I1745" s="174"/>
      <c r="J1745" s="174"/>
      <c r="K1745" s="174"/>
      <c r="L1745" s="174"/>
      <c r="M1745" s="174"/>
      <c r="N1745" s="174"/>
      <c r="O1745" s="174"/>
      <c r="P1745" s="174"/>
      <c r="Q1745" s="174"/>
    </row>
    <row r="1746">
      <c r="A1746" s="174"/>
      <c r="B1746" s="8" t="str">
        <f t="shared" si="3"/>
        <v/>
      </c>
      <c r="C1746" s="175"/>
      <c r="D1746" s="175"/>
      <c r="E1746" s="175"/>
      <c r="F1746" s="174"/>
      <c r="G1746" s="174"/>
      <c r="H1746" s="174"/>
      <c r="I1746" s="174"/>
      <c r="J1746" s="174"/>
      <c r="K1746" s="174"/>
      <c r="L1746" s="174"/>
      <c r="M1746" s="174"/>
      <c r="N1746" s="174"/>
      <c r="O1746" s="174"/>
      <c r="P1746" s="174"/>
      <c r="Q1746" s="174"/>
    </row>
    <row r="1747">
      <c r="A1747" s="174"/>
      <c r="B1747" s="8" t="str">
        <f t="shared" si="3"/>
        <v/>
      </c>
      <c r="C1747" s="175"/>
      <c r="D1747" s="175"/>
      <c r="E1747" s="175"/>
      <c r="F1747" s="174"/>
      <c r="G1747" s="174"/>
      <c r="H1747" s="174"/>
      <c r="I1747" s="174"/>
      <c r="J1747" s="174"/>
      <c r="K1747" s="174"/>
      <c r="L1747" s="174"/>
      <c r="M1747" s="174"/>
      <c r="N1747" s="174"/>
      <c r="O1747" s="174"/>
      <c r="P1747" s="174"/>
      <c r="Q1747" s="174"/>
    </row>
    <row r="1748">
      <c r="A1748" s="174"/>
      <c r="B1748" s="8" t="str">
        <f t="shared" si="3"/>
        <v/>
      </c>
      <c r="C1748" s="175"/>
      <c r="D1748" s="175"/>
      <c r="E1748" s="175"/>
      <c r="F1748" s="174"/>
      <c r="G1748" s="174"/>
      <c r="H1748" s="174"/>
      <c r="I1748" s="174"/>
      <c r="J1748" s="174"/>
      <c r="K1748" s="174"/>
      <c r="L1748" s="174"/>
      <c r="M1748" s="174"/>
      <c r="N1748" s="174"/>
      <c r="O1748" s="174"/>
      <c r="P1748" s="174"/>
      <c r="Q1748" s="174"/>
    </row>
    <row r="1749">
      <c r="A1749" s="174"/>
      <c r="B1749" s="8" t="str">
        <f t="shared" si="3"/>
        <v/>
      </c>
      <c r="C1749" s="175"/>
      <c r="D1749" s="175"/>
      <c r="E1749" s="175"/>
      <c r="F1749" s="174"/>
      <c r="G1749" s="174"/>
      <c r="H1749" s="174"/>
      <c r="I1749" s="174"/>
      <c r="J1749" s="174"/>
      <c r="K1749" s="174"/>
      <c r="L1749" s="174"/>
      <c r="M1749" s="174"/>
      <c r="N1749" s="174"/>
      <c r="O1749" s="174"/>
      <c r="P1749" s="174"/>
      <c r="Q1749" s="174"/>
    </row>
    <row r="1750">
      <c r="A1750" s="174"/>
      <c r="B1750" s="8" t="str">
        <f t="shared" si="3"/>
        <v/>
      </c>
      <c r="C1750" s="175"/>
      <c r="D1750" s="175"/>
      <c r="E1750" s="175"/>
      <c r="F1750" s="174"/>
      <c r="G1750" s="174"/>
      <c r="H1750" s="174"/>
      <c r="I1750" s="174"/>
      <c r="J1750" s="174"/>
      <c r="K1750" s="174"/>
      <c r="L1750" s="174"/>
      <c r="M1750" s="174"/>
      <c r="N1750" s="174"/>
      <c r="O1750" s="174"/>
      <c r="P1750" s="174"/>
      <c r="Q1750" s="174"/>
    </row>
    <row r="1751">
      <c r="A1751" s="174"/>
      <c r="B1751" s="8" t="str">
        <f t="shared" si="3"/>
        <v/>
      </c>
      <c r="C1751" s="175"/>
      <c r="D1751" s="175"/>
      <c r="E1751" s="175"/>
      <c r="F1751" s="174"/>
      <c r="G1751" s="174"/>
      <c r="H1751" s="174"/>
      <c r="I1751" s="174"/>
      <c r="J1751" s="174"/>
      <c r="K1751" s="174"/>
      <c r="L1751" s="174"/>
      <c r="M1751" s="174"/>
      <c r="N1751" s="174"/>
      <c r="O1751" s="174"/>
      <c r="P1751" s="174"/>
      <c r="Q1751" s="174"/>
    </row>
    <row r="1752">
      <c r="A1752" s="174"/>
      <c r="B1752" s="8" t="str">
        <f t="shared" si="3"/>
        <v/>
      </c>
      <c r="C1752" s="175"/>
      <c r="D1752" s="175"/>
      <c r="E1752" s="175"/>
      <c r="F1752" s="174"/>
      <c r="G1752" s="174"/>
      <c r="H1752" s="174"/>
      <c r="I1752" s="174"/>
      <c r="J1752" s="174"/>
      <c r="K1752" s="174"/>
      <c r="L1752" s="174"/>
      <c r="M1752" s="174"/>
      <c r="N1752" s="174"/>
      <c r="O1752" s="174"/>
      <c r="P1752" s="174"/>
      <c r="Q1752" s="174"/>
    </row>
    <row r="1753">
      <c r="A1753" s="174"/>
      <c r="B1753" s="8" t="str">
        <f t="shared" si="3"/>
        <v/>
      </c>
      <c r="C1753" s="175"/>
      <c r="D1753" s="175"/>
      <c r="E1753" s="175"/>
      <c r="F1753" s="174"/>
      <c r="G1753" s="174"/>
      <c r="H1753" s="174"/>
      <c r="I1753" s="174"/>
      <c r="J1753" s="174"/>
      <c r="K1753" s="174"/>
      <c r="L1753" s="174"/>
      <c r="M1753" s="174"/>
      <c r="N1753" s="174"/>
      <c r="O1753" s="174"/>
      <c r="P1753" s="174"/>
      <c r="Q1753" s="174"/>
    </row>
    <row r="1754">
      <c r="A1754" s="174"/>
      <c r="B1754" s="8" t="str">
        <f t="shared" si="3"/>
        <v/>
      </c>
      <c r="C1754" s="175"/>
      <c r="D1754" s="175"/>
      <c r="E1754" s="175"/>
      <c r="F1754" s="174"/>
      <c r="G1754" s="174"/>
      <c r="H1754" s="174"/>
      <c r="I1754" s="174"/>
      <c r="J1754" s="174"/>
      <c r="K1754" s="174"/>
      <c r="L1754" s="174"/>
      <c r="M1754" s="174"/>
      <c r="N1754" s="174"/>
      <c r="O1754" s="174"/>
      <c r="P1754" s="174"/>
      <c r="Q1754" s="174"/>
    </row>
    <row r="1755">
      <c r="A1755" s="174"/>
      <c r="B1755" s="8" t="str">
        <f t="shared" si="3"/>
        <v/>
      </c>
      <c r="C1755" s="175"/>
      <c r="D1755" s="175"/>
      <c r="E1755" s="175"/>
      <c r="F1755" s="174"/>
      <c r="G1755" s="174"/>
      <c r="H1755" s="174"/>
      <c r="I1755" s="174"/>
      <c r="J1755" s="174"/>
      <c r="K1755" s="174"/>
      <c r="L1755" s="174"/>
      <c r="M1755" s="174"/>
      <c r="N1755" s="174"/>
      <c r="O1755" s="174"/>
      <c r="P1755" s="174"/>
      <c r="Q1755" s="174"/>
    </row>
    <row r="1756">
      <c r="A1756" s="174"/>
      <c r="B1756" s="8" t="str">
        <f t="shared" si="3"/>
        <v/>
      </c>
      <c r="C1756" s="175"/>
      <c r="D1756" s="175"/>
      <c r="E1756" s="175"/>
      <c r="F1756" s="174"/>
      <c r="G1756" s="174"/>
      <c r="H1756" s="174"/>
      <c r="I1756" s="174"/>
      <c r="J1756" s="174"/>
      <c r="K1756" s="174"/>
      <c r="L1756" s="174"/>
      <c r="M1756" s="174"/>
      <c r="N1756" s="174"/>
      <c r="O1756" s="174"/>
      <c r="P1756" s="174"/>
      <c r="Q1756" s="174"/>
    </row>
    <row r="1757">
      <c r="A1757" s="174"/>
      <c r="B1757" s="8" t="str">
        <f t="shared" si="3"/>
        <v/>
      </c>
      <c r="C1757" s="175"/>
      <c r="D1757" s="175"/>
      <c r="E1757" s="175"/>
      <c r="F1757" s="174"/>
      <c r="G1757" s="174"/>
      <c r="H1757" s="174"/>
      <c r="I1757" s="174"/>
      <c r="J1757" s="174"/>
      <c r="K1757" s="174"/>
      <c r="L1757" s="174"/>
      <c r="M1757" s="174"/>
      <c r="N1757" s="174"/>
      <c r="O1757" s="174"/>
      <c r="P1757" s="174"/>
      <c r="Q1757" s="174"/>
    </row>
    <row r="1758">
      <c r="A1758" s="174"/>
      <c r="B1758" s="8" t="str">
        <f t="shared" si="3"/>
        <v/>
      </c>
      <c r="C1758" s="175"/>
      <c r="D1758" s="175"/>
      <c r="E1758" s="175"/>
      <c r="F1758" s="174"/>
      <c r="G1758" s="174"/>
      <c r="H1758" s="174"/>
      <c r="I1758" s="174"/>
      <c r="J1758" s="174"/>
      <c r="K1758" s="174"/>
      <c r="L1758" s="174"/>
      <c r="M1758" s="174"/>
      <c r="N1758" s="174"/>
      <c r="O1758" s="174"/>
      <c r="P1758" s="174"/>
      <c r="Q1758" s="174"/>
    </row>
    <row r="1759">
      <c r="A1759" s="174"/>
      <c r="B1759" s="8" t="str">
        <f t="shared" si="3"/>
        <v/>
      </c>
      <c r="C1759" s="175"/>
      <c r="D1759" s="175"/>
      <c r="E1759" s="175"/>
      <c r="F1759" s="174"/>
      <c r="G1759" s="174"/>
      <c r="H1759" s="174"/>
      <c r="I1759" s="174"/>
      <c r="J1759" s="174"/>
      <c r="K1759" s="174"/>
      <c r="L1759" s="174"/>
      <c r="M1759" s="174"/>
      <c r="N1759" s="174"/>
      <c r="O1759" s="174"/>
      <c r="P1759" s="174"/>
      <c r="Q1759" s="174"/>
    </row>
    <row r="1760">
      <c r="A1760" s="174"/>
      <c r="B1760" s="8" t="str">
        <f t="shared" si="3"/>
        <v/>
      </c>
      <c r="C1760" s="175"/>
      <c r="D1760" s="175"/>
      <c r="E1760" s="175"/>
      <c r="F1760" s="174"/>
      <c r="G1760" s="174"/>
      <c r="H1760" s="174"/>
      <c r="I1760" s="174"/>
      <c r="J1760" s="174"/>
      <c r="K1760" s="174"/>
      <c r="L1760" s="174"/>
      <c r="M1760" s="174"/>
      <c r="N1760" s="174"/>
      <c r="O1760" s="174"/>
      <c r="P1760" s="174"/>
      <c r="Q1760" s="174"/>
    </row>
    <row r="1761">
      <c r="A1761" s="174"/>
      <c r="B1761" s="8" t="str">
        <f t="shared" si="3"/>
        <v/>
      </c>
      <c r="C1761" s="175"/>
      <c r="D1761" s="175"/>
      <c r="E1761" s="175"/>
      <c r="F1761" s="174"/>
      <c r="G1761" s="174"/>
      <c r="H1761" s="174"/>
      <c r="I1761" s="174"/>
      <c r="J1761" s="174"/>
      <c r="K1761" s="174"/>
      <c r="L1761" s="174"/>
      <c r="M1761" s="174"/>
      <c r="N1761" s="174"/>
      <c r="O1761" s="174"/>
      <c r="P1761" s="174"/>
      <c r="Q1761" s="174"/>
    </row>
    <row r="1762">
      <c r="A1762" s="174"/>
      <c r="B1762" s="8" t="str">
        <f t="shared" si="3"/>
        <v/>
      </c>
      <c r="C1762" s="175"/>
      <c r="D1762" s="175"/>
      <c r="E1762" s="175"/>
      <c r="F1762" s="174"/>
      <c r="G1762" s="174"/>
      <c r="H1762" s="174"/>
      <c r="I1762" s="174"/>
      <c r="J1762" s="174"/>
      <c r="K1762" s="174"/>
      <c r="L1762" s="174"/>
      <c r="M1762" s="174"/>
      <c r="N1762" s="174"/>
      <c r="O1762" s="174"/>
      <c r="P1762" s="174"/>
      <c r="Q1762" s="174"/>
    </row>
    <row r="1763">
      <c r="A1763" s="174"/>
      <c r="B1763" s="8" t="str">
        <f t="shared" si="3"/>
        <v/>
      </c>
      <c r="C1763" s="175"/>
      <c r="D1763" s="175"/>
      <c r="E1763" s="175"/>
      <c r="F1763" s="174"/>
      <c r="G1763" s="174"/>
      <c r="H1763" s="174"/>
      <c r="I1763" s="174"/>
      <c r="J1763" s="174"/>
      <c r="K1763" s="174"/>
      <c r="L1763" s="174"/>
      <c r="M1763" s="174"/>
      <c r="N1763" s="174"/>
      <c r="O1763" s="174"/>
      <c r="P1763" s="174"/>
      <c r="Q1763" s="174"/>
    </row>
    <row r="1764">
      <c r="A1764" s="174"/>
      <c r="B1764" s="8" t="str">
        <f t="shared" si="3"/>
        <v/>
      </c>
      <c r="C1764" s="175"/>
      <c r="D1764" s="175"/>
      <c r="E1764" s="175"/>
      <c r="F1764" s="174"/>
      <c r="G1764" s="174"/>
      <c r="H1764" s="174"/>
      <c r="I1764" s="174"/>
      <c r="J1764" s="174"/>
      <c r="K1764" s="174"/>
      <c r="L1764" s="174"/>
      <c r="M1764" s="174"/>
      <c r="N1764" s="174"/>
      <c r="O1764" s="174"/>
      <c r="P1764" s="174"/>
      <c r="Q1764" s="174"/>
    </row>
    <row r="1765">
      <c r="A1765" s="174"/>
      <c r="B1765" s="8" t="str">
        <f t="shared" si="3"/>
        <v/>
      </c>
      <c r="C1765" s="175"/>
      <c r="D1765" s="175"/>
      <c r="E1765" s="175"/>
      <c r="F1765" s="174"/>
      <c r="G1765" s="174"/>
      <c r="H1765" s="174"/>
      <c r="I1765" s="174"/>
      <c r="J1765" s="174"/>
      <c r="K1765" s="174"/>
      <c r="L1765" s="174"/>
      <c r="M1765" s="174"/>
      <c r="N1765" s="174"/>
      <c r="O1765" s="174"/>
      <c r="P1765" s="174"/>
      <c r="Q1765" s="174"/>
    </row>
    <row r="1766">
      <c r="A1766" s="174"/>
      <c r="B1766" s="8" t="str">
        <f t="shared" si="3"/>
        <v/>
      </c>
      <c r="C1766" s="175"/>
      <c r="D1766" s="175"/>
      <c r="E1766" s="175"/>
      <c r="F1766" s="174"/>
      <c r="G1766" s="174"/>
      <c r="H1766" s="174"/>
      <c r="I1766" s="174"/>
      <c r="J1766" s="174"/>
      <c r="K1766" s="174"/>
      <c r="L1766" s="174"/>
      <c r="M1766" s="174"/>
      <c r="N1766" s="174"/>
      <c r="O1766" s="174"/>
      <c r="P1766" s="174"/>
      <c r="Q1766" s="174"/>
    </row>
    <row r="1767">
      <c r="A1767" s="174"/>
      <c r="B1767" s="8" t="str">
        <f t="shared" si="3"/>
        <v/>
      </c>
      <c r="C1767" s="175"/>
      <c r="D1767" s="175"/>
      <c r="E1767" s="175"/>
      <c r="F1767" s="174"/>
      <c r="G1767" s="174"/>
      <c r="H1767" s="174"/>
      <c r="I1767" s="174"/>
      <c r="J1767" s="174"/>
      <c r="K1767" s="174"/>
      <c r="L1767" s="174"/>
      <c r="M1767" s="174"/>
      <c r="N1767" s="174"/>
      <c r="O1767" s="174"/>
      <c r="P1767" s="174"/>
      <c r="Q1767" s="174"/>
    </row>
    <row r="1768">
      <c r="A1768" s="174"/>
      <c r="B1768" s="8" t="str">
        <f t="shared" si="3"/>
        <v/>
      </c>
      <c r="C1768" s="175"/>
      <c r="D1768" s="175"/>
      <c r="E1768" s="175"/>
      <c r="F1768" s="174"/>
      <c r="G1768" s="174"/>
      <c r="H1768" s="174"/>
      <c r="I1768" s="174"/>
      <c r="J1768" s="174"/>
      <c r="K1768" s="174"/>
      <c r="L1768" s="174"/>
      <c r="M1768" s="174"/>
      <c r="N1768" s="174"/>
      <c r="O1768" s="174"/>
      <c r="P1768" s="174"/>
      <c r="Q1768" s="174"/>
    </row>
    <row r="1769">
      <c r="A1769" s="174"/>
      <c r="B1769" s="8" t="str">
        <f t="shared" si="3"/>
        <v/>
      </c>
      <c r="C1769" s="175"/>
      <c r="D1769" s="175"/>
      <c r="E1769" s="175"/>
      <c r="F1769" s="174"/>
      <c r="G1769" s="174"/>
      <c r="H1769" s="174"/>
      <c r="I1769" s="174"/>
      <c r="J1769" s="174"/>
      <c r="K1769" s="174"/>
      <c r="L1769" s="174"/>
      <c r="M1769" s="174"/>
      <c r="N1769" s="174"/>
      <c r="O1769" s="174"/>
      <c r="P1769" s="174"/>
      <c r="Q1769" s="174"/>
    </row>
    <row r="1770">
      <c r="A1770" s="174"/>
      <c r="B1770" s="8" t="str">
        <f t="shared" si="3"/>
        <v/>
      </c>
      <c r="C1770" s="175"/>
      <c r="D1770" s="175"/>
      <c r="E1770" s="175"/>
      <c r="F1770" s="174"/>
      <c r="G1770" s="174"/>
      <c r="H1770" s="174"/>
      <c r="I1770" s="174"/>
      <c r="J1770" s="174"/>
      <c r="K1770" s="174"/>
      <c r="L1770" s="174"/>
      <c r="M1770" s="174"/>
      <c r="N1770" s="174"/>
      <c r="O1770" s="174"/>
      <c r="P1770" s="174"/>
      <c r="Q1770" s="174"/>
    </row>
    <row r="1771">
      <c r="A1771" s="174"/>
      <c r="B1771" s="8" t="str">
        <f t="shared" si="3"/>
        <v/>
      </c>
      <c r="C1771" s="175"/>
      <c r="D1771" s="175"/>
      <c r="E1771" s="175"/>
      <c r="F1771" s="174"/>
      <c r="G1771" s="174"/>
      <c r="H1771" s="174"/>
      <c r="I1771" s="174"/>
      <c r="J1771" s="174"/>
      <c r="K1771" s="174"/>
      <c r="L1771" s="174"/>
      <c r="M1771" s="174"/>
      <c r="N1771" s="174"/>
      <c r="O1771" s="174"/>
      <c r="P1771" s="174"/>
      <c r="Q1771" s="174"/>
    </row>
    <row r="1772">
      <c r="A1772" s="174"/>
      <c r="B1772" s="8" t="str">
        <f t="shared" si="3"/>
        <v/>
      </c>
      <c r="C1772" s="175"/>
      <c r="D1772" s="175"/>
      <c r="E1772" s="175"/>
      <c r="F1772" s="174"/>
      <c r="G1772" s="174"/>
      <c r="H1772" s="174"/>
      <c r="I1772" s="174"/>
      <c r="J1772" s="174"/>
      <c r="K1772" s="174"/>
      <c r="L1772" s="174"/>
      <c r="M1772" s="174"/>
      <c r="N1772" s="174"/>
      <c r="O1772" s="174"/>
      <c r="P1772" s="174"/>
      <c r="Q1772" s="174"/>
    </row>
    <row r="1773">
      <c r="A1773" s="174"/>
      <c r="B1773" s="8" t="str">
        <f t="shared" si="3"/>
        <v/>
      </c>
      <c r="C1773" s="175"/>
      <c r="D1773" s="175"/>
      <c r="E1773" s="175"/>
      <c r="F1773" s="174"/>
      <c r="G1773" s="174"/>
      <c r="H1773" s="174"/>
      <c r="I1773" s="174"/>
      <c r="J1773" s="174"/>
      <c r="K1773" s="174"/>
      <c r="L1773" s="174"/>
      <c r="M1773" s="174"/>
      <c r="N1773" s="174"/>
      <c r="O1773" s="174"/>
      <c r="P1773" s="174"/>
      <c r="Q1773" s="174"/>
    </row>
    <row r="1774">
      <c r="A1774" s="174"/>
      <c r="B1774" s="8" t="str">
        <f t="shared" si="3"/>
        <v/>
      </c>
      <c r="C1774" s="175"/>
      <c r="D1774" s="175"/>
      <c r="E1774" s="175"/>
      <c r="F1774" s="174"/>
      <c r="G1774" s="174"/>
      <c r="H1774" s="174"/>
      <c r="I1774" s="174"/>
      <c r="J1774" s="174"/>
      <c r="K1774" s="174"/>
      <c r="L1774" s="174"/>
      <c r="M1774" s="174"/>
      <c r="N1774" s="174"/>
      <c r="O1774" s="174"/>
      <c r="P1774" s="174"/>
      <c r="Q1774" s="174"/>
    </row>
    <row r="1775">
      <c r="A1775" s="174"/>
      <c r="B1775" s="8" t="str">
        <f t="shared" si="3"/>
        <v/>
      </c>
      <c r="C1775" s="175"/>
      <c r="D1775" s="175"/>
      <c r="E1775" s="175"/>
      <c r="F1775" s="174"/>
      <c r="G1775" s="174"/>
      <c r="H1775" s="174"/>
      <c r="I1775" s="174"/>
      <c r="J1775" s="174"/>
      <c r="K1775" s="174"/>
      <c r="L1775" s="174"/>
      <c r="M1775" s="174"/>
      <c r="N1775" s="174"/>
      <c r="O1775" s="174"/>
      <c r="P1775" s="174"/>
      <c r="Q1775" s="174"/>
    </row>
    <row r="1776">
      <c r="A1776" s="174"/>
      <c r="B1776" s="8" t="str">
        <f t="shared" si="3"/>
        <v/>
      </c>
      <c r="C1776" s="175"/>
      <c r="D1776" s="175"/>
      <c r="E1776" s="175"/>
      <c r="F1776" s="174"/>
      <c r="G1776" s="174"/>
      <c r="H1776" s="174"/>
      <c r="I1776" s="174"/>
      <c r="J1776" s="174"/>
      <c r="K1776" s="174"/>
      <c r="L1776" s="174"/>
      <c r="M1776" s="174"/>
      <c r="N1776" s="174"/>
      <c r="O1776" s="174"/>
      <c r="P1776" s="174"/>
      <c r="Q1776" s="174"/>
    </row>
    <row r="1777">
      <c r="A1777" s="174"/>
      <c r="B1777" s="8" t="str">
        <f t="shared" si="3"/>
        <v/>
      </c>
      <c r="C1777" s="175"/>
      <c r="D1777" s="175"/>
      <c r="E1777" s="175"/>
      <c r="F1777" s="174"/>
      <c r="G1777" s="174"/>
      <c r="H1777" s="174"/>
      <c r="I1777" s="174"/>
      <c r="J1777" s="174"/>
      <c r="K1777" s="174"/>
      <c r="L1777" s="174"/>
      <c r="M1777" s="174"/>
      <c r="N1777" s="174"/>
      <c r="O1777" s="174"/>
      <c r="P1777" s="174"/>
      <c r="Q1777" s="174"/>
    </row>
    <row r="1778">
      <c r="A1778" s="174"/>
      <c r="B1778" s="8" t="str">
        <f t="shared" si="3"/>
        <v/>
      </c>
      <c r="C1778" s="175"/>
      <c r="D1778" s="175"/>
      <c r="E1778" s="175"/>
      <c r="F1778" s="174"/>
      <c r="G1778" s="174"/>
      <c r="H1778" s="174"/>
      <c r="I1778" s="174"/>
      <c r="J1778" s="174"/>
      <c r="K1778" s="174"/>
      <c r="L1778" s="174"/>
      <c r="M1778" s="174"/>
      <c r="N1778" s="174"/>
      <c r="O1778" s="174"/>
      <c r="P1778" s="174"/>
      <c r="Q1778" s="174"/>
    </row>
    <row r="1779">
      <c r="A1779" s="174"/>
      <c r="B1779" s="8" t="str">
        <f t="shared" si="3"/>
        <v/>
      </c>
      <c r="C1779" s="175"/>
      <c r="D1779" s="175"/>
      <c r="E1779" s="175"/>
      <c r="F1779" s="174"/>
      <c r="G1779" s="174"/>
      <c r="H1779" s="174"/>
      <c r="I1779" s="174"/>
      <c r="J1779" s="174"/>
      <c r="K1779" s="174"/>
      <c r="L1779" s="174"/>
      <c r="M1779" s="174"/>
      <c r="N1779" s="174"/>
      <c r="O1779" s="174"/>
      <c r="P1779" s="174"/>
      <c r="Q1779" s="174"/>
    </row>
    <row r="1780">
      <c r="A1780" s="174"/>
      <c r="B1780" s="8" t="str">
        <f t="shared" si="3"/>
        <v/>
      </c>
      <c r="C1780" s="175"/>
      <c r="D1780" s="175"/>
      <c r="E1780" s="175"/>
      <c r="F1780" s="174"/>
      <c r="G1780" s="174"/>
      <c r="H1780" s="174"/>
      <c r="I1780" s="174"/>
      <c r="J1780" s="174"/>
      <c r="K1780" s="174"/>
      <c r="L1780" s="174"/>
      <c r="M1780" s="174"/>
      <c r="N1780" s="174"/>
      <c r="O1780" s="174"/>
      <c r="P1780" s="174"/>
      <c r="Q1780" s="174"/>
    </row>
    <row r="1781">
      <c r="A1781" s="174"/>
      <c r="B1781" s="8" t="str">
        <f t="shared" si="3"/>
        <v/>
      </c>
      <c r="C1781" s="175"/>
      <c r="D1781" s="175"/>
      <c r="E1781" s="175"/>
      <c r="F1781" s="174"/>
      <c r="G1781" s="174"/>
      <c r="H1781" s="174"/>
      <c r="I1781" s="174"/>
      <c r="J1781" s="174"/>
      <c r="K1781" s="174"/>
      <c r="L1781" s="174"/>
      <c r="M1781" s="174"/>
      <c r="N1781" s="174"/>
      <c r="O1781" s="174"/>
      <c r="P1781" s="174"/>
      <c r="Q1781" s="174"/>
    </row>
    <row r="1782">
      <c r="A1782" s="174"/>
      <c r="B1782" s="8" t="str">
        <f t="shared" si="3"/>
        <v/>
      </c>
      <c r="C1782" s="175"/>
      <c r="D1782" s="175"/>
      <c r="E1782" s="175"/>
      <c r="F1782" s="174"/>
      <c r="G1782" s="174"/>
      <c r="H1782" s="174"/>
      <c r="I1782" s="174"/>
      <c r="J1782" s="174"/>
      <c r="K1782" s="174"/>
      <c r="L1782" s="174"/>
      <c r="M1782" s="174"/>
      <c r="N1782" s="174"/>
      <c r="O1782" s="174"/>
      <c r="P1782" s="174"/>
      <c r="Q1782" s="174"/>
    </row>
    <row r="1783">
      <c r="A1783" s="174"/>
      <c r="B1783" s="8" t="str">
        <f t="shared" si="3"/>
        <v/>
      </c>
      <c r="C1783" s="175"/>
      <c r="D1783" s="175"/>
      <c r="E1783" s="175"/>
      <c r="F1783" s="174"/>
      <c r="G1783" s="174"/>
      <c r="H1783" s="174"/>
      <c r="I1783" s="174"/>
      <c r="J1783" s="174"/>
      <c r="K1783" s="174"/>
      <c r="L1783" s="174"/>
      <c r="M1783" s="174"/>
      <c r="N1783" s="174"/>
      <c r="O1783" s="174"/>
      <c r="P1783" s="174"/>
      <c r="Q1783" s="174"/>
    </row>
    <row r="1784">
      <c r="A1784" s="174"/>
      <c r="B1784" s="8" t="str">
        <f t="shared" si="3"/>
        <v/>
      </c>
      <c r="C1784" s="175"/>
      <c r="D1784" s="175"/>
      <c r="E1784" s="175"/>
      <c r="F1784" s="174"/>
      <c r="G1784" s="174"/>
      <c r="H1784" s="174"/>
      <c r="I1784" s="174"/>
      <c r="J1784" s="174"/>
      <c r="K1784" s="174"/>
      <c r="L1784" s="174"/>
      <c r="M1784" s="174"/>
      <c r="N1784" s="174"/>
      <c r="O1784" s="174"/>
      <c r="P1784" s="174"/>
      <c r="Q1784" s="174"/>
    </row>
    <row r="1785">
      <c r="A1785" s="174"/>
      <c r="B1785" s="8" t="str">
        <f t="shared" si="3"/>
        <v/>
      </c>
      <c r="C1785" s="175"/>
      <c r="D1785" s="175"/>
      <c r="E1785" s="175"/>
      <c r="F1785" s="174"/>
      <c r="G1785" s="174"/>
      <c r="H1785" s="174"/>
      <c r="I1785" s="174"/>
      <c r="J1785" s="174"/>
      <c r="K1785" s="174"/>
      <c r="L1785" s="174"/>
      <c r="M1785" s="174"/>
      <c r="N1785" s="174"/>
      <c r="O1785" s="174"/>
      <c r="P1785" s="174"/>
      <c r="Q1785" s="174"/>
    </row>
    <row r="1786">
      <c r="A1786" s="174"/>
      <c r="B1786" s="8" t="str">
        <f t="shared" si="3"/>
        <v/>
      </c>
      <c r="C1786" s="175"/>
      <c r="D1786" s="175"/>
      <c r="E1786" s="175"/>
      <c r="F1786" s="174"/>
      <c r="G1786" s="174"/>
      <c r="H1786" s="174"/>
      <c r="I1786" s="174"/>
      <c r="J1786" s="174"/>
      <c r="K1786" s="174"/>
      <c r="L1786" s="174"/>
      <c r="M1786" s="174"/>
      <c r="N1786" s="174"/>
      <c r="O1786" s="174"/>
      <c r="P1786" s="174"/>
      <c r="Q1786" s="174"/>
    </row>
    <row r="1787">
      <c r="A1787" s="174"/>
      <c r="B1787" s="8" t="str">
        <f t="shared" si="3"/>
        <v/>
      </c>
      <c r="C1787" s="175"/>
      <c r="D1787" s="175"/>
      <c r="E1787" s="175"/>
      <c r="F1787" s="174"/>
      <c r="G1787" s="174"/>
      <c r="H1787" s="174"/>
      <c r="I1787" s="174"/>
      <c r="J1787" s="174"/>
      <c r="K1787" s="174"/>
      <c r="L1787" s="174"/>
      <c r="M1787" s="174"/>
      <c r="N1787" s="174"/>
      <c r="O1787" s="174"/>
      <c r="P1787" s="174"/>
      <c r="Q1787" s="174"/>
    </row>
    <row r="1788">
      <c r="A1788" s="174"/>
      <c r="B1788" s="8" t="str">
        <f t="shared" si="3"/>
        <v/>
      </c>
      <c r="C1788" s="175"/>
      <c r="D1788" s="175"/>
      <c r="E1788" s="175"/>
      <c r="F1788" s="174"/>
      <c r="G1788" s="174"/>
      <c r="H1788" s="174"/>
      <c r="I1788" s="174"/>
      <c r="J1788" s="174"/>
      <c r="K1788" s="174"/>
      <c r="L1788" s="174"/>
      <c r="M1788" s="174"/>
      <c r="N1788" s="174"/>
      <c r="O1788" s="174"/>
      <c r="P1788" s="174"/>
      <c r="Q1788" s="174"/>
    </row>
    <row r="1789">
      <c r="A1789" s="174"/>
      <c r="B1789" s="8" t="str">
        <f t="shared" si="3"/>
        <v/>
      </c>
      <c r="C1789" s="175"/>
      <c r="D1789" s="175"/>
      <c r="E1789" s="175"/>
      <c r="F1789" s="174"/>
      <c r="G1789" s="174"/>
      <c r="H1789" s="174"/>
      <c r="I1789" s="174"/>
      <c r="J1789" s="174"/>
      <c r="K1789" s="174"/>
      <c r="L1789" s="174"/>
      <c r="M1789" s="174"/>
      <c r="N1789" s="174"/>
      <c r="O1789" s="174"/>
      <c r="P1789" s="174"/>
      <c r="Q1789" s="174"/>
    </row>
    <row r="1790">
      <c r="A1790" s="174"/>
      <c r="B1790" s="8" t="str">
        <f t="shared" si="3"/>
        <v/>
      </c>
      <c r="C1790" s="175"/>
      <c r="D1790" s="175"/>
      <c r="E1790" s="175"/>
      <c r="F1790" s="174"/>
      <c r="G1790" s="174"/>
      <c r="H1790" s="174"/>
      <c r="I1790" s="174"/>
      <c r="J1790" s="174"/>
      <c r="K1790" s="174"/>
      <c r="L1790" s="174"/>
      <c r="M1790" s="174"/>
      <c r="N1790" s="174"/>
      <c r="O1790" s="174"/>
      <c r="P1790" s="174"/>
      <c r="Q1790" s="174"/>
    </row>
    <row r="1791">
      <c r="A1791" s="174"/>
      <c r="B1791" s="8" t="str">
        <f t="shared" si="3"/>
        <v/>
      </c>
      <c r="C1791" s="175"/>
      <c r="D1791" s="175"/>
      <c r="E1791" s="175"/>
      <c r="F1791" s="174"/>
      <c r="G1791" s="174"/>
      <c r="H1791" s="174"/>
      <c r="I1791" s="174"/>
      <c r="J1791" s="174"/>
      <c r="K1791" s="174"/>
      <c r="L1791" s="174"/>
      <c r="M1791" s="174"/>
      <c r="N1791" s="174"/>
      <c r="O1791" s="174"/>
      <c r="P1791" s="174"/>
      <c r="Q1791" s="174"/>
    </row>
    <row r="1792">
      <c r="A1792" s="174"/>
      <c r="B1792" s="8" t="str">
        <f t="shared" si="3"/>
        <v/>
      </c>
      <c r="C1792" s="175"/>
      <c r="D1792" s="175"/>
      <c r="E1792" s="175"/>
      <c r="F1792" s="174"/>
      <c r="G1792" s="174"/>
      <c r="H1792" s="174"/>
      <c r="I1792" s="174"/>
      <c r="J1792" s="174"/>
      <c r="K1792" s="174"/>
      <c r="L1792" s="174"/>
      <c r="M1792" s="174"/>
      <c r="N1792" s="174"/>
      <c r="O1792" s="174"/>
      <c r="P1792" s="174"/>
      <c r="Q1792" s="174"/>
    </row>
    <row r="1793">
      <c r="A1793" s="174"/>
      <c r="B1793" s="8" t="str">
        <f t="shared" si="3"/>
        <v/>
      </c>
      <c r="C1793" s="175"/>
      <c r="D1793" s="175"/>
      <c r="E1793" s="175"/>
      <c r="F1793" s="174"/>
      <c r="G1793" s="174"/>
      <c r="H1793" s="174"/>
      <c r="I1793" s="174"/>
      <c r="J1793" s="174"/>
      <c r="K1793" s="174"/>
      <c r="L1793" s="174"/>
      <c r="M1793" s="174"/>
      <c r="N1793" s="174"/>
      <c r="O1793" s="174"/>
      <c r="P1793" s="174"/>
      <c r="Q1793" s="174"/>
    </row>
    <row r="1794">
      <c r="A1794" s="174"/>
      <c r="B1794" s="8" t="str">
        <f t="shared" si="3"/>
        <v/>
      </c>
      <c r="C1794" s="175"/>
      <c r="D1794" s="175"/>
      <c r="E1794" s="175"/>
      <c r="F1794" s="174"/>
      <c r="G1794" s="174"/>
      <c r="H1794" s="174"/>
      <c r="I1794" s="174"/>
      <c r="J1794" s="174"/>
      <c r="K1794" s="174"/>
      <c r="L1794" s="174"/>
      <c r="M1794" s="174"/>
      <c r="N1794" s="174"/>
      <c r="O1794" s="174"/>
      <c r="P1794" s="174"/>
      <c r="Q1794" s="174"/>
    </row>
    <row r="1795">
      <c r="A1795" s="174"/>
      <c r="B1795" s="8" t="str">
        <f t="shared" si="3"/>
        <v/>
      </c>
      <c r="C1795" s="175"/>
      <c r="D1795" s="175"/>
      <c r="E1795" s="175"/>
      <c r="F1795" s="174"/>
      <c r="G1795" s="174"/>
      <c r="H1795" s="174"/>
      <c r="I1795" s="174"/>
      <c r="J1795" s="174"/>
      <c r="K1795" s="174"/>
      <c r="L1795" s="174"/>
      <c r="M1795" s="174"/>
      <c r="N1795" s="174"/>
      <c r="O1795" s="174"/>
      <c r="P1795" s="174"/>
      <c r="Q1795" s="174"/>
    </row>
    <row r="1796">
      <c r="A1796" s="174"/>
      <c r="B1796" s="8" t="str">
        <f t="shared" si="3"/>
        <v/>
      </c>
      <c r="C1796" s="175"/>
      <c r="D1796" s="175"/>
      <c r="E1796" s="175"/>
      <c r="F1796" s="174"/>
      <c r="G1796" s="174"/>
      <c r="H1796" s="174"/>
      <c r="I1796" s="174"/>
      <c r="J1796" s="174"/>
      <c r="K1796" s="174"/>
      <c r="L1796" s="174"/>
      <c r="M1796" s="174"/>
      <c r="N1796" s="174"/>
      <c r="O1796" s="174"/>
      <c r="P1796" s="174"/>
      <c r="Q1796" s="174"/>
    </row>
    <row r="1797">
      <c r="A1797" s="174"/>
      <c r="B1797" s="8" t="str">
        <f t="shared" si="3"/>
        <v/>
      </c>
      <c r="C1797" s="175"/>
      <c r="D1797" s="175"/>
      <c r="E1797" s="175"/>
      <c r="F1797" s="174"/>
      <c r="G1797" s="174"/>
      <c r="H1797" s="174"/>
      <c r="I1797" s="174"/>
      <c r="J1797" s="174"/>
      <c r="K1797" s="174"/>
      <c r="L1797" s="174"/>
      <c r="M1797" s="174"/>
      <c r="N1797" s="174"/>
      <c r="O1797" s="174"/>
      <c r="P1797" s="174"/>
      <c r="Q1797" s="174"/>
    </row>
    <row r="1798">
      <c r="A1798" s="174"/>
      <c r="B1798" s="8" t="str">
        <f t="shared" si="3"/>
        <v/>
      </c>
      <c r="C1798" s="175"/>
      <c r="D1798" s="175"/>
      <c r="E1798" s="175"/>
      <c r="F1798" s="174"/>
      <c r="G1798" s="174"/>
      <c r="H1798" s="174"/>
      <c r="I1798" s="174"/>
      <c r="J1798" s="174"/>
      <c r="K1798" s="174"/>
      <c r="L1798" s="174"/>
      <c r="M1798" s="174"/>
      <c r="N1798" s="174"/>
      <c r="O1798" s="174"/>
      <c r="P1798" s="174"/>
      <c r="Q1798" s="174"/>
    </row>
    <row r="1799">
      <c r="A1799" s="174"/>
      <c r="B1799" s="8" t="str">
        <f t="shared" si="3"/>
        <v/>
      </c>
      <c r="C1799" s="175"/>
      <c r="D1799" s="175"/>
      <c r="E1799" s="175"/>
      <c r="F1799" s="174"/>
      <c r="G1799" s="174"/>
      <c r="H1799" s="174"/>
      <c r="I1799" s="174"/>
      <c r="J1799" s="174"/>
      <c r="K1799" s="174"/>
      <c r="L1799" s="174"/>
      <c r="M1799" s="174"/>
      <c r="N1799" s="174"/>
      <c r="O1799" s="174"/>
      <c r="P1799" s="174"/>
      <c r="Q1799" s="174"/>
    </row>
    <row r="1800">
      <c r="A1800" s="174"/>
      <c r="B1800" s="8" t="str">
        <f t="shared" si="3"/>
        <v/>
      </c>
      <c r="C1800" s="175"/>
      <c r="D1800" s="175"/>
      <c r="E1800" s="175"/>
      <c r="F1800" s="174"/>
      <c r="G1800" s="174"/>
      <c r="H1800" s="174"/>
      <c r="I1800" s="174"/>
      <c r="J1800" s="174"/>
      <c r="K1800" s="174"/>
      <c r="L1800" s="174"/>
      <c r="M1800" s="174"/>
      <c r="N1800" s="174"/>
      <c r="O1800" s="174"/>
      <c r="P1800" s="174"/>
      <c r="Q1800" s="174"/>
    </row>
    <row r="1801">
      <c r="A1801" s="174"/>
      <c r="B1801" s="8" t="str">
        <f t="shared" si="3"/>
        <v/>
      </c>
      <c r="C1801" s="175"/>
      <c r="D1801" s="175"/>
      <c r="E1801" s="175"/>
      <c r="F1801" s="174"/>
      <c r="G1801" s="174"/>
      <c r="H1801" s="174"/>
      <c r="I1801" s="174"/>
      <c r="J1801" s="174"/>
      <c r="K1801" s="174"/>
      <c r="L1801" s="174"/>
      <c r="M1801" s="174"/>
      <c r="N1801" s="174"/>
      <c r="O1801" s="174"/>
      <c r="P1801" s="174"/>
      <c r="Q1801" s="174"/>
    </row>
    <row r="1802">
      <c r="A1802" s="174"/>
      <c r="B1802" s="8" t="str">
        <f t="shared" si="3"/>
        <v/>
      </c>
      <c r="C1802" s="175"/>
      <c r="D1802" s="175"/>
      <c r="E1802" s="175"/>
      <c r="F1802" s="174"/>
      <c r="G1802" s="174"/>
      <c r="H1802" s="174"/>
      <c r="I1802" s="174"/>
      <c r="J1802" s="174"/>
      <c r="K1802" s="174"/>
      <c r="L1802" s="174"/>
      <c r="M1802" s="174"/>
      <c r="N1802" s="174"/>
      <c r="O1802" s="174"/>
      <c r="P1802" s="174"/>
      <c r="Q1802" s="174"/>
    </row>
    <row r="1803">
      <c r="A1803" s="174"/>
      <c r="B1803" s="8" t="str">
        <f t="shared" si="3"/>
        <v/>
      </c>
      <c r="C1803" s="175"/>
      <c r="D1803" s="175"/>
      <c r="E1803" s="175"/>
      <c r="F1803" s="174"/>
      <c r="G1803" s="174"/>
      <c r="H1803" s="174"/>
      <c r="I1803" s="174"/>
      <c r="J1803" s="174"/>
      <c r="K1803" s="174"/>
      <c r="L1803" s="174"/>
      <c r="M1803" s="174"/>
      <c r="N1803" s="174"/>
      <c r="O1803" s="174"/>
      <c r="P1803" s="174"/>
      <c r="Q1803" s="174"/>
    </row>
    <row r="1804">
      <c r="A1804" s="174"/>
      <c r="B1804" s="8" t="str">
        <f t="shared" si="3"/>
        <v/>
      </c>
      <c r="C1804" s="175"/>
      <c r="D1804" s="175"/>
      <c r="E1804" s="175"/>
      <c r="F1804" s="174"/>
      <c r="G1804" s="174"/>
      <c r="H1804" s="174"/>
      <c r="I1804" s="174"/>
      <c r="J1804" s="174"/>
      <c r="K1804" s="174"/>
      <c r="L1804" s="174"/>
      <c r="M1804" s="174"/>
      <c r="N1804" s="174"/>
      <c r="O1804" s="174"/>
      <c r="P1804" s="174"/>
      <c r="Q1804" s="174"/>
    </row>
    <row r="1805">
      <c r="A1805" s="174"/>
      <c r="B1805" s="8" t="str">
        <f t="shared" si="3"/>
        <v/>
      </c>
      <c r="C1805" s="175"/>
      <c r="D1805" s="175"/>
      <c r="E1805" s="175"/>
      <c r="F1805" s="174"/>
      <c r="G1805" s="174"/>
      <c r="H1805" s="174"/>
      <c r="I1805" s="174"/>
      <c r="J1805" s="174"/>
      <c r="K1805" s="174"/>
      <c r="L1805" s="174"/>
      <c r="M1805" s="174"/>
      <c r="N1805" s="174"/>
      <c r="O1805" s="174"/>
      <c r="P1805" s="174"/>
      <c r="Q1805" s="174"/>
    </row>
    <row r="1806">
      <c r="A1806" s="174"/>
      <c r="B1806" s="8" t="str">
        <f t="shared" si="3"/>
        <v/>
      </c>
      <c r="C1806" s="175"/>
      <c r="D1806" s="175"/>
      <c r="E1806" s="175"/>
      <c r="F1806" s="174"/>
      <c r="G1806" s="174"/>
      <c r="H1806" s="174"/>
      <c r="I1806" s="174"/>
      <c r="J1806" s="174"/>
      <c r="K1806" s="174"/>
      <c r="L1806" s="174"/>
      <c r="M1806" s="174"/>
      <c r="N1806" s="174"/>
      <c r="O1806" s="174"/>
      <c r="P1806" s="174"/>
      <c r="Q1806" s="174"/>
    </row>
    <row r="1807">
      <c r="A1807" s="174"/>
      <c r="B1807" s="8" t="str">
        <f t="shared" si="3"/>
        <v/>
      </c>
      <c r="C1807" s="175"/>
      <c r="D1807" s="175"/>
      <c r="E1807" s="175"/>
      <c r="F1807" s="174"/>
      <c r="G1807" s="174"/>
      <c r="H1807" s="174"/>
      <c r="I1807" s="174"/>
      <c r="J1807" s="174"/>
      <c r="K1807" s="174"/>
      <c r="L1807" s="174"/>
      <c r="M1807" s="174"/>
      <c r="N1807" s="174"/>
      <c r="O1807" s="174"/>
      <c r="P1807" s="174"/>
      <c r="Q1807" s="174"/>
    </row>
    <row r="1808">
      <c r="A1808" s="174"/>
      <c r="B1808" s="8" t="str">
        <f t="shared" si="3"/>
        <v/>
      </c>
      <c r="C1808" s="175"/>
      <c r="D1808" s="175"/>
      <c r="E1808" s="175"/>
      <c r="F1808" s="174"/>
      <c r="G1808" s="174"/>
      <c r="H1808" s="174"/>
      <c r="I1808" s="174"/>
      <c r="J1808" s="174"/>
      <c r="K1808" s="174"/>
      <c r="L1808" s="174"/>
      <c r="M1808" s="174"/>
      <c r="N1808" s="174"/>
      <c r="O1808" s="174"/>
      <c r="P1808" s="174"/>
      <c r="Q1808" s="174"/>
    </row>
    <row r="1809">
      <c r="A1809" s="174"/>
      <c r="B1809" s="8" t="str">
        <f t="shared" si="3"/>
        <v/>
      </c>
      <c r="C1809" s="175"/>
      <c r="D1809" s="175"/>
      <c r="E1809" s="175"/>
      <c r="F1809" s="174"/>
      <c r="G1809" s="174"/>
      <c r="H1809" s="174"/>
      <c r="I1809" s="174"/>
      <c r="J1809" s="174"/>
      <c r="K1809" s="174"/>
      <c r="L1809" s="174"/>
      <c r="M1809" s="174"/>
      <c r="N1809" s="174"/>
      <c r="O1809" s="174"/>
      <c r="P1809" s="174"/>
      <c r="Q1809" s="174"/>
    </row>
    <row r="1810">
      <c r="A1810" s="174"/>
      <c r="B1810" s="8" t="str">
        <f t="shared" si="3"/>
        <v/>
      </c>
      <c r="C1810" s="175"/>
      <c r="D1810" s="175"/>
      <c r="E1810" s="175"/>
      <c r="F1810" s="174"/>
      <c r="G1810" s="174"/>
      <c r="H1810" s="174"/>
      <c r="I1810" s="174"/>
      <c r="J1810" s="174"/>
      <c r="K1810" s="174"/>
      <c r="L1810" s="174"/>
      <c r="M1810" s="174"/>
      <c r="N1810" s="174"/>
      <c r="O1810" s="174"/>
      <c r="P1810" s="174"/>
      <c r="Q1810" s="174"/>
    </row>
    <row r="1811">
      <c r="A1811" s="174"/>
      <c r="B1811" s="8" t="str">
        <f t="shared" si="3"/>
        <v/>
      </c>
      <c r="C1811" s="175"/>
      <c r="D1811" s="175"/>
      <c r="E1811" s="175"/>
      <c r="F1811" s="174"/>
      <c r="G1811" s="174"/>
      <c r="H1811" s="174"/>
      <c r="I1811" s="174"/>
      <c r="J1811" s="174"/>
      <c r="K1811" s="174"/>
      <c r="L1811" s="174"/>
      <c r="M1811" s="174"/>
      <c r="N1811" s="174"/>
      <c r="O1811" s="174"/>
      <c r="P1811" s="174"/>
      <c r="Q1811" s="174"/>
    </row>
    <row r="1812">
      <c r="A1812" s="174"/>
      <c r="B1812" s="8" t="str">
        <f t="shared" si="3"/>
        <v/>
      </c>
      <c r="C1812" s="175"/>
      <c r="D1812" s="175"/>
      <c r="E1812" s="175"/>
      <c r="F1812" s="174"/>
      <c r="G1812" s="174"/>
      <c r="H1812" s="174"/>
      <c r="I1812" s="174"/>
      <c r="J1812" s="174"/>
      <c r="K1812" s="174"/>
      <c r="L1812" s="174"/>
      <c r="M1812" s="174"/>
      <c r="N1812" s="174"/>
      <c r="O1812" s="174"/>
      <c r="P1812" s="174"/>
      <c r="Q1812" s="174"/>
    </row>
    <row r="1813">
      <c r="A1813" s="174"/>
      <c r="B1813" s="8" t="str">
        <f t="shared" si="3"/>
        <v/>
      </c>
      <c r="C1813" s="175"/>
      <c r="D1813" s="175"/>
      <c r="E1813" s="175"/>
      <c r="F1813" s="174"/>
      <c r="G1813" s="174"/>
      <c r="H1813" s="174"/>
      <c r="I1813" s="174"/>
      <c r="J1813" s="174"/>
      <c r="K1813" s="174"/>
      <c r="L1813" s="174"/>
      <c r="M1813" s="174"/>
      <c r="N1813" s="174"/>
      <c r="O1813" s="174"/>
      <c r="P1813" s="174"/>
      <c r="Q1813" s="174"/>
    </row>
    <row r="1814">
      <c r="A1814" s="174"/>
      <c r="B1814" s="8" t="str">
        <f t="shared" si="3"/>
        <v/>
      </c>
      <c r="C1814" s="175"/>
      <c r="D1814" s="175"/>
      <c r="E1814" s="175"/>
      <c r="F1814" s="174"/>
      <c r="G1814" s="174"/>
      <c r="H1814" s="174"/>
      <c r="I1814" s="174"/>
      <c r="J1814" s="174"/>
      <c r="K1814" s="174"/>
      <c r="L1814" s="174"/>
      <c r="M1814" s="174"/>
      <c r="N1814" s="174"/>
      <c r="O1814" s="174"/>
      <c r="P1814" s="174"/>
      <c r="Q1814" s="174"/>
    </row>
    <row r="1815">
      <c r="A1815" s="174"/>
      <c r="B1815" s="8" t="str">
        <f t="shared" si="3"/>
        <v/>
      </c>
      <c r="C1815" s="175"/>
      <c r="D1815" s="175"/>
      <c r="E1815" s="175"/>
      <c r="F1815" s="174"/>
      <c r="G1815" s="174"/>
      <c r="H1815" s="174"/>
      <c r="I1815" s="174"/>
      <c r="J1815" s="174"/>
      <c r="K1815" s="174"/>
      <c r="L1815" s="174"/>
      <c r="M1815" s="174"/>
      <c r="N1815" s="174"/>
      <c r="O1815" s="174"/>
      <c r="P1815" s="174"/>
      <c r="Q1815" s="174"/>
    </row>
    <row r="1816">
      <c r="A1816" s="174"/>
      <c r="B1816" s="8" t="str">
        <f t="shared" si="3"/>
        <v/>
      </c>
      <c r="C1816" s="175"/>
      <c r="D1816" s="175"/>
      <c r="E1816" s="175"/>
      <c r="F1816" s="174"/>
      <c r="G1816" s="174"/>
      <c r="H1816" s="174"/>
      <c r="I1816" s="174"/>
      <c r="J1816" s="174"/>
      <c r="K1816" s="174"/>
      <c r="L1816" s="174"/>
      <c r="M1816" s="174"/>
      <c r="N1816" s="174"/>
      <c r="O1816" s="174"/>
      <c r="P1816" s="174"/>
      <c r="Q1816" s="174"/>
    </row>
    <row r="1817">
      <c r="A1817" s="174"/>
      <c r="B1817" s="8" t="str">
        <f t="shared" si="3"/>
        <v/>
      </c>
      <c r="C1817" s="175"/>
      <c r="D1817" s="175"/>
      <c r="E1817" s="175"/>
      <c r="F1817" s="174"/>
      <c r="G1817" s="174"/>
      <c r="H1817" s="174"/>
      <c r="I1817" s="174"/>
      <c r="J1817" s="174"/>
      <c r="K1817" s="174"/>
      <c r="L1817" s="174"/>
      <c r="M1817" s="174"/>
      <c r="N1817" s="174"/>
      <c r="O1817" s="174"/>
      <c r="P1817" s="174"/>
      <c r="Q1817" s="174"/>
    </row>
    <row r="1818">
      <c r="A1818" s="174"/>
      <c r="B1818" s="8" t="str">
        <f t="shared" si="3"/>
        <v/>
      </c>
      <c r="C1818" s="175"/>
      <c r="D1818" s="175"/>
      <c r="E1818" s="175"/>
      <c r="F1818" s="174"/>
      <c r="G1818" s="174"/>
      <c r="H1818" s="174"/>
      <c r="I1818" s="174"/>
      <c r="J1818" s="174"/>
      <c r="K1818" s="174"/>
      <c r="L1818" s="174"/>
      <c r="M1818" s="174"/>
      <c r="N1818" s="174"/>
      <c r="O1818" s="174"/>
      <c r="P1818" s="174"/>
      <c r="Q1818" s="174"/>
    </row>
    <row r="1819">
      <c r="A1819" s="174"/>
      <c r="B1819" s="8" t="str">
        <f t="shared" si="3"/>
        <v/>
      </c>
      <c r="C1819" s="175"/>
      <c r="D1819" s="175"/>
      <c r="E1819" s="175"/>
      <c r="F1819" s="174"/>
      <c r="G1819" s="174"/>
      <c r="H1819" s="174"/>
      <c r="I1819" s="174"/>
      <c r="J1819" s="174"/>
      <c r="K1819" s="174"/>
      <c r="L1819" s="174"/>
      <c r="M1819" s="174"/>
      <c r="N1819" s="174"/>
      <c r="O1819" s="174"/>
      <c r="P1819" s="174"/>
      <c r="Q1819" s="174"/>
    </row>
    <row r="1820">
      <c r="A1820" s="174"/>
      <c r="B1820" s="8" t="str">
        <f t="shared" si="3"/>
        <v/>
      </c>
      <c r="C1820" s="175"/>
      <c r="D1820" s="175"/>
      <c r="E1820" s="175"/>
      <c r="F1820" s="174"/>
      <c r="G1820" s="174"/>
      <c r="H1820" s="174"/>
      <c r="I1820" s="174"/>
      <c r="J1820" s="174"/>
      <c r="K1820" s="174"/>
      <c r="L1820" s="174"/>
      <c r="M1820" s="174"/>
      <c r="N1820" s="174"/>
      <c r="O1820" s="174"/>
      <c r="P1820" s="174"/>
      <c r="Q1820" s="174"/>
    </row>
    <row r="1821">
      <c r="A1821" s="174"/>
      <c r="B1821" s="8" t="str">
        <f t="shared" si="3"/>
        <v/>
      </c>
      <c r="C1821" s="175"/>
      <c r="D1821" s="175"/>
      <c r="E1821" s="175"/>
      <c r="F1821" s="174"/>
      <c r="G1821" s="174"/>
      <c r="H1821" s="174"/>
      <c r="I1821" s="174"/>
      <c r="J1821" s="174"/>
      <c r="K1821" s="174"/>
      <c r="L1821" s="174"/>
      <c r="M1821" s="174"/>
      <c r="N1821" s="174"/>
      <c r="O1821" s="174"/>
      <c r="P1821" s="174"/>
      <c r="Q1821" s="174"/>
    </row>
    <row r="1822">
      <c r="A1822" s="174"/>
      <c r="B1822" s="8" t="str">
        <f t="shared" si="3"/>
        <v/>
      </c>
      <c r="C1822" s="175"/>
      <c r="D1822" s="175"/>
      <c r="E1822" s="175"/>
      <c r="F1822" s="174"/>
      <c r="G1822" s="174"/>
      <c r="H1822" s="174"/>
      <c r="I1822" s="174"/>
      <c r="J1822" s="174"/>
      <c r="K1822" s="174"/>
      <c r="L1822" s="174"/>
      <c r="M1822" s="174"/>
      <c r="N1822" s="174"/>
      <c r="O1822" s="174"/>
      <c r="P1822" s="174"/>
      <c r="Q1822" s="174"/>
    </row>
    <row r="1823">
      <c r="A1823" s="174"/>
      <c r="B1823" s="8" t="str">
        <f t="shared" si="3"/>
        <v/>
      </c>
      <c r="C1823" s="175"/>
      <c r="D1823" s="175"/>
      <c r="E1823" s="175"/>
      <c r="F1823" s="174"/>
      <c r="G1823" s="174"/>
      <c r="H1823" s="174"/>
      <c r="I1823" s="174"/>
      <c r="J1823" s="174"/>
      <c r="K1823" s="174"/>
      <c r="L1823" s="174"/>
      <c r="M1823" s="174"/>
      <c r="N1823" s="174"/>
      <c r="O1823" s="174"/>
      <c r="P1823" s="174"/>
      <c r="Q1823" s="174"/>
    </row>
    <row r="1824">
      <c r="A1824" s="174"/>
      <c r="B1824" s="8" t="str">
        <f t="shared" si="3"/>
        <v/>
      </c>
      <c r="C1824" s="175"/>
      <c r="D1824" s="175"/>
      <c r="E1824" s="175"/>
      <c r="F1824" s="174"/>
      <c r="G1824" s="174"/>
      <c r="H1824" s="174"/>
      <c r="I1824" s="174"/>
      <c r="J1824" s="174"/>
      <c r="K1824" s="174"/>
      <c r="L1824" s="174"/>
      <c r="M1824" s="174"/>
      <c r="N1824" s="174"/>
      <c r="O1824" s="174"/>
      <c r="P1824" s="174"/>
      <c r="Q1824" s="174"/>
    </row>
    <row r="1825">
      <c r="A1825" s="174"/>
      <c r="B1825" s="8" t="str">
        <f t="shared" si="3"/>
        <v/>
      </c>
      <c r="C1825" s="175"/>
      <c r="D1825" s="175"/>
      <c r="E1825" s="175"/>
      <c r="F1825" s="174"/>
      <c r="G1825" s="174"/>
      <c r="H1825" s="174"/>
      <c r="I1825" s="174"/>
      <c r="J1825" s="174"/>
      <c r="K1825" s="174"/>
      <c r="L1825" s="174"/>
      <c r="M1825" s="174"/>
      <c r="N1825" s="174"/>
      <c r="O1825" s="174"/>
      <c r="P1825" s="174"/>
      <c r="Q1825" s="174"/>
    </row>
    <row r="1826">
      <c r="A1826" s="174"/>
      <c r="B1826" s="8" t="str">
        <f t="shared" si="3"/>
        <v/>
      </c>
      <c r="C1826" s="175"/>
      <c r="D1826" s="175"/>
      <c r="E1826" s="175"/>
      <c r="F1826" s="174"/>
      <c r="G1826" s="174"/>
      <c r="H1826" s="174"/>
      <c r="I1826" s="174"/>
      <c r="J1826" s="174"/>
      <c r="K1826" s="174"/>
      <c r="L1826" s="174"/>
      <c r="M1826" s="174"/>
      <c r="N1826" s="174"/>
      <c r="O1826" s="174"/>
      <c r="P1826" s="174"/>
      <c r="Q1826" s="174"/>
    </row>
    <row r="1827">
      <c r="A1827" s="174"/>
      <c r="B1827" s="8" t="str">
        <f t="shared" si="3"/>
        <v/>
      </c>
      <c r="C1827" s="175"/>
      <c r="D1827" s="175"/>
      <c r="E1827" s="175"/>
      <c r="F1827" s="174"/>
      <c r="G1827" s="174"/>
      <c r="H1827" s="174"/>
      <c r="I1827" s="174"/>
      <c r="J1827" s="174"/>
      <c r="K1827" s="174"/>
      <c r="L1827" s="174"/>
      <c r="M1827" s="174"/>
      <c r="N1827" s="174"/>
      <c r="O1827" s="174"/>
      <c r="P1827" s="174"/>
      <c r="Q1827" s="174"/>
    </row>
    <row r="1828">
      <c r="A1828" s="174"/>
      <c r="B1828" s="8" t="str">
        <f t="shared" si="3"/>
        <v/>
      </c>
      <c r="C1828" s="175"/>
      <c r="D1828" s="175"/>
      <c r="E1828" s="175"/>
      <c r="F1828" s="174"/>
      <c r="G1828" s="174"/>
      <c r="H1828" s="174"/>
      <c r="I1828" s="174"/>
      <c r="J1828" s="174"/>
      <c r="K1828" s="174"/>
      <c r="L1828" s="174"/>
      <c r="M1828" s="174"/>
      <c r="N1828" s="174"/>
      <c r="O1828" s="174"/>
      <c r="P1828" s="174"/>
      <c r="Q1828" s="174"/>
    </row>
    <row r="1829">
      <c r="A1829" s="174"/>
      <c r="B1829" s="8" t="str">
        <f t="shared" si="3"/>
        <v/>
      </c>
      <c r="C1829" s="175"/>
      <c r="D1829" s="175"/>
      <c r="E1829" s="175"/>
      <c r="F1829" s="174"/>
      <c r="G1829" s="174"/>
      <c r="H1829" s="174"/>
      <c r="I1829" s="174"/>
      <c r="J1829" s="174"/>
      <c r="K1829" s="174"/>
      <c r="L1829" s="174"/>
      <c r="M1829" s="174"/>
      <c r="N1829" s="174"/>
      <c r="O1829" s="174"/>
      <c r="P1829" s="174"/>
      <c r="Q1829" s="174"/>
    </row>
    <row r="1830">
      <c r="A1830" s="174"/>
      <c r="B1830" s="8" t="str">
        <f t="shared" si="3"/>
        <v/>
      </c>
      <c r="C1830" s="175"/>
      <c r="D1830" s="175"/>
      <c r="E1830" s="175"/>
      <c r="F1830" s="174"/>
      <c r="G1830" s="174"/>
      <c r="H1830" s="174"/>
      <c r="I1830" s="174"/>
      <c r="J1830" s="174"/>
      <c r="K1830" s="174"/>
      <c r="L1830" s="174"/>
      <c r="M1830" s="174"/>
      <c r="N1830" s="174"/>
      <c r="O1830" s="174"/>
      <c r="P1830" s="174"/>
      <c r="Q1830" s="174"/>
    </row>
    <row r="1831">
      <c r="A1831" s="174"/>
      <c r="B1831" s="8" t="str">
        <f t="shared" si="3"/>
        <v/>
      </c>
      <c r="C1831" s="175"/>
      <c r="D1831" s="175"/>
      <c r="E1831" s="175"/>
      <c r="F1831" s="174"/>
      <c r="G1831" s="174"/>
      <c r="H1831" s="174"/>
      <c r="I1831" s="174"/>
      <c r="J1831" s="174"/>
      <c r="K1831" s="174"/>
      <c r="L1831" s="174"/>
      <c r="M1831" s="174"/>
      <c r="N1831" s="174"/>
      <c r="O1831" s="174"/>
      <c r="P1831" s="174"/>
      <c r="Q1831" s="174"/>
    </row>
    <row r="1832">
      <c r="A1832" s="174"/>
      <c r="B1832" s="8" t="str">
        <f t="shared" si="3"/>
        <v/>
      </c>
      <c r="C1832" s="175"/>
      <c r="D1832" s="175"/>
      <c r="E1832" s="175"/>
      <c r="F1832" s="174"/>
      <c r="G1832" s="174"/>
      <c r="H1832" s="174"/>
      <c r="I1832" s="174"/>
      <c r="J1832" s="174"/>
      <c r="K1832" s="174"/>
      <c r="L1832" s="174"/>
      <c r="M1832" s="174"/>
      <c r="N1832" s="174"/>
      <c r="O1832" s="174"/>
      <c r="P1832" s="174"/>
      <c r="Q1832" s="174"/>
    </row>
    <row r="1833">
      <c r="A1833" s="174"/>
      <c r="B1833" s="8" t="str">
        <f t="shared" si="3"/>
        <v/>
      </c>
      <c r="C1833" s="175"/>
      <c r="D1833" s="175"/>
      <c r="E1833" s="175"/>
      <c r="F1833" s="174"/>
      <c r="G1833" s="174"/>
      <c r="H1833" s="174"/>
      <c r="I1833" s="174"/>
      <c r="J1833" s="174"/>
      <c r="K1833" s="174"/>
      <c r="L1833" s="174"/>
      <c r="M1833" s="174"/>
      <c r="N1833" s="174"/>
      <c r="O1833" s="174"/>
      <c r="P1833" s="174"/>
      <c r="Q1833" s="174"/>
    </row>
    <row r="1834">
      <c r="A1834" s="174"/>
      <c r="B1834" s="8" t="str">
        <f t="shared" si="3"/>
        <v/>
      </c>
      <c r="C1834" s="175"/>
      <c r="D1834" s="175"/>
      <c r="E1834" s="175"/>
      <c r="F1834" s="174"/>
      <c r="G1834" s="174"/>
      <c r="H1834" s="174"/>
      <c r="I1834" s="174"/>
      <c r="J1834" s="174"/>
      <c r="K1834" s="174"/>
      <c r="L1834" s="174"/>
      <c r="M1834" s="174"/>
      <c r="N1834" s="174"/>
      <c r="O1834" s="174"/>
      <c r="P1834" s="174"/>
      <c r="Q1834" s="174"/>
    </row>
    <row r="1835">
      <c r="A1835" s="174"/>
      <c r="B1835" s="8" t="str">
        <f t="shared" si="3"/>
        <v/>
      </c>
      <c r="C1835" s="175"/>
      <c r="D1835" s="175"/>
      <c r="E1835" s="175"/>
      <c r="F1835" s="174"/>
      <c r="G1835" s="174"/>
      <c r="H1835" s="174"/>
      <c r="I1835" s="174"/>
      <c r="J1835" s="174"/>
      <c r="K1835" s="174"/>
      <c r="L1835" s="174"/>
      <c r="M1835" s="174"/>
      <c r="N1835" s="174"/>
      <c r="O1835" s="174"/>
      <c r="P1835" s="174"/>
      <c r="Q1835" s="174"/>
    </row>
    <row r="1836">
      <c r="A1836" s="174"/>
      <c r="B1836" s="8" t="str">
        <f t="shared" si="3"/>
        <v/>
      </c>
      <c r="C1836" s="175"/>
      <c r="D1836" s="175"/>
      <c r="E1836" s="175"/>
      <c r="F1836" s="174"/>
      <c r="G1836" s="174"/>
      <c r="H1836" s="174"/>
      <c r="I1836" s="174"/>
      <c r="J1836" s="174"/>
      <c r="K1836" s="174"/>
      <c r="L1836" s="174"/>
      <c r="M1836" s="174"/>
      <c r="N1836" s="174"/>
      <c r="O1836" s="174"/>
      <c r="P1836" s="174"/>
      <c r="Q1836" s="174"/>
    </row>
    <row r="1837">
      <c r="A1837" s="174"/>
      <c r="B1837" s="8" t="str">
        <f t="shared" si="3"/>
        <v/>
      </c>
      <c r="C1837" s="175"/>
      <c r="D1837" s="175"/>
      <c r="E1837" s="175"/>
      <c r="F1837" s="174"/>
      <c r="G1837" s="174"/>
      <c r="H1837" s="174"/>
      <c r="I1837" s="174"/>
      <c r="J1837" s="174"/>
      <c r="K1837" s="174"/>
      <c r="L1837" s="174"/>
      <c r="M1837" s="174"/>
      <c r="N1837" s="174"/>
      <c r="O1837" s="174"/>
      <c r="P1837" s="174"/>
      <c r="Q1837" s="174"/>
    </row>
    <row r="1838">
      <c r="A1838" s="174"/>
      <c r="B1838" s="8" t="str">
        <f t="shared" si="3"/>
        <v/>
      </c>
      <c r="C1838" s="175"/>
      <c r="D1838" s="175"/>
      <c r="E1838" s="175"/>
      <c r="F1838" s="174"/>
      <c r="G1838" s="174"/>
      <c r="H1838" s="174"/>
      <c r="I1838" s="174"/>
      <c r="J1838" s="174"/>
      <c r="K1838" s="174"/>
      <c r="L1838" s="174"/>
      <c r="M1838" s="174"/>
      <c r="N1838" s="174"/>
      <c r="O1838" s="174"/>
      <c r="P1838" s="174"/>
      <c r="Q1838" s="174"/>
    </row>
    <row r="1839">
      <c r="A1839" s="174"/>
      <c r="B1839" s="8" t="str">
        <f t="shared" si="3"/>
        <v/>
      </c>
      <c r="C1839" s="175"/>
      <c r="D1839" s="175"/>
      <c r="E1839" s="175"/>
      <c r="F1839" s="174"/>
      <c r="G1839" s="174"/>
      <c r="H1839" s="174"/>
      <c r="I1839" s="174"/>
      <c r="J1839" s="174"/>
      <c r="K1839" s="174"/>
      <c r="L1839" s="174"/>
      <c r="M1839" s="174"/>
      <c r="N1839" s="174"/>
      <c r="O1839" s="174"/>
      <c r="P1839" s="174"/>
      <c r="Q1839" s="174"/>
    </row>
    <row r="1840">
      <c r="A1840" s="174"/>
      <c r="B1840" s="8" t="str">
        <f t="shared" si="3"/>
        <v/>
      </c>
      <c r="C1840" s="175"/>
      <c r="D1840" s="175"/>
      <c r="E1840" s="175"/>
      <c r="F1840" s="174"/>
      <c r="G1840" s="174"/>
      <c r="H1840" s="174"/>
      <c r="I1840" s="174"/>
      <c r="J1840" s="174"/>
      <c r="K1840" s="174"/>
      <c r="L1840" s="174"/>
      <c r="M1840" s="174"/>
      <c r="N1840" s="174"/>
      <c r="O1840" s="174"/>
      <c r="P1840" s="174"/>
      <c r="Q1840" s="174"/>
    </row>
    <row r="1841">
      <c r="A1841" s="174"/>
      <c r="B1841" s="8" t="str">
        <f t="shared" si="3"/>
        <v/>
      </c>
      <c r="C1841" s="175"/>
      <c r="D1841" s="175"/>
      <c r="E1841" s="175"/>
      <c r="F1841" s="174"/>
      <c r="G1841" s="174"/>
      <c r="H1841" s="174"/>
      <c r="I1841" s="174"/>
      <c r="J1841" s="174"/>
      <c r="K1841" s="174"/>
      <c r="L1841" s="174"/>
      <c r="M1841" s="174"/>
      <c r="N1841" s="174"/>
      <c r="O1841" s="174"/>
      <c r="P1841" s="174"/>
      <c r="Q1841" s="174"/>
    </row>
    <row r="1842">
      <c r="A1842" s="174"/>
      <c r="B1842" s="8" t="str">
        <f t="shared" si="3"/>
        <v/>
      </c>
      <c r="C1842" s="175"/>
      <c r="D1842" s="175"/>
      <c r="E1842" s="175"/>
      <c r="F1842" s="174"/>
      <c r="G1842" s="174"/>
      <c r="H1842" s="174"/>
      <c r="I1842" s="174"/>
      <c r="J1842" s="174"/>
      <c r="K1842" s="174"/>
      <c r="L1842" s="174"/>
      <c r="M1842" s="174"/>
      <c r="N1842" s="174"/>
      <c r="O1842" s="174"/>
      <c r="P1842" s="174"/>
      <c r="Q1842" s="174"/>
    </row>
    <row r="1843">
      <c r="A1843" s="174"/>
      <c r="B1843" s="8" t="str">
        <f t="shared" si="3"/>
        <v/>
      </c>
      <c r="C1843" s="175"/>
      <c r="D1843" s="175"/>
      <c r="E1843" s="175"/>
      <c r="F1843" s="174"/>
      <c r="G1843" s="174"/>
      <c r="H1843" s="174"/>
      <c r="I1843" s="174"/>
      <c r="J1843" s="174"/>
      <c r="K1843" s="174"/>
      <c r="L1843" s="174"/>
      <c r="M1843" s="174"/>
      <c r="N1843" s="174"/>
      <c r="O1843" s="174"/>
      <c r="P1843" s="174"/>
      <c r="Q1843" s="174"/>
    </row>
    <row r="1844">
      <c r="A1844" s="174"/>
      <c r="B1844" s="8" t="str">
        <f t="shared" si="3"/>
        <v/>
      </c>
      <c r="C1844" s="175"/>
      <c r="D1844" s="175"/>
      <c r="E1844" s="175"/>
      <c r="F1844" s="174"/>
      <c r="G1844" s="174"/>
      <c r="H1844" s="174"/>
      <c r="I1844" s="174"/>
      <c r="J1844" s="174"/>
      <c r="K1844" s="174"/>
      <c r="L1844" s="174"/>
      <c r="M1844" s="174"/>
      <c r="N1844" s="174"/>
      <c r="O1844" s="174"/>
      <c r="P1844" s="174"/>
      <c r="Q1844" s="174"/>
    </row>
    <row r="1845">
      <c r="A1845" s="174"/>
      <c r="B1845" s="8" t="str">
        <f t="shared" si="3"/>
        <v/>
      </c>
      <c r="C1845" s="175"/>
      <c r="D1845" s="175"/>
      <c r="E1845" s="175"/>
      <c r="F1845" s="174"/>
      <c r="G1845" s="174"/>
      <c r="H1845" s="174"/>
      <c r="I1845" s="174"/>
      <c r="J1845" s="174"/>
      <c r="K1845" s="174"/>
      <c r="L1845" s="174"/>
      <c r="M1845" s="174"/>
      <c r="N1845" s="174"/>
      <c r="O1845" s="174"/>
      <c r="P1845" s="174"/>
      <c r="Q1845" s="174"/>
    </row>
    <row r="1846">
      <c r="A1846" s="174"/>
      <c r="B1846" s="8" t="str">
        <f t="shared" si="3"/>
        <v/>
      </c>
      <c r="C1846" s="175"/>
      <c r="D1846" s="175"/>
      <c r="E1846" s="175"/>
      <c r="F1846" s="174"/>
      <c r="G1846" s="174"/>
      <c r="H1846" s="174"/>
      <c r="I1846" s="174"/>
      <c r="J1846" s="174"/>
      <c r="K1846" s="174"/>
      <c r="L1846" s="174"/>
      <c r="M1846" s="174"/>
      <c r="N1846" s="174"/>
      <c r="O1846" s="174"/>
      <c r="P1846" s="174"/>
      <c r="Q1846" s="174"/>
    </row>
    <row r="1847">
      <c r="A1847" s="174"/>
      <c r="B1847" s="8" t="str">
        <f t="shared" si="3"/>
        <v/>
      </c>
      <c r="C1847" s="175"/>
      <c r="D1847" s="175"/>
      <c r="E1847" s="175"/>
      <c r="F1847" s="174"/>
      <c r="G1847" s="174"/>
      <c r="H1847" s="174"/>
      <c r="I1847" s="174"/>
      <c r="J1847" s="174"/>
      <c r="K1847" s="174"/>
      <c r="L1847" s="174"/>
      <c r="M1847" s="174"/>
      <c r="N1847" s="174"/>
      <c r="O1847" s="174"/>
      <c r="P1847" s="174"/>
      <c r="Q1847" s="174"/>
    </row>
    <row r="1848">
      <c r="A1848" s="174"/>
      <c r="B1848" s="8" t="str">
        <f t="shared" si="3"/>
        <v/>
      </c>
      <c r="C1848" s="175"/>
      <c r="D1848" s="175"/>
      <c r="E1848" s="175"/>
      <c r="F1848" s="174"/>
      <c r="G1848" s="174"/>
      <c r="H1848" s="174"/>
      <c r="I1848" s="174"/>
      <c r="J1848" s="174"/>
      <c r="K1848" s="174"/>
      <c r="L1848" s="174"/>
      <c r="M1848" s="174"/>
      <c r="N1848" s="174"/>
      <c r="O1848" s="174"/>
      <c r="P1848" s="174"/>
      <c r="Q1848" s="174"/>
    </row>
    <row r="1849">
      <c r="A1849" s="174"/>
      <c r="B1849" s="8" t="str">
        <f t="shared" si="3"/>
        <v/>
      </c>
      <c r="C1849" s="175"/>
      <c r="D1849" s="175"/>
      <c r="E1849" s="175"/>
      <c r="F1849" s="174"/>
      <c r="G1849" s="174"/>
      <c r="H1849" s="174"/>
      <c r="I1849" s="174"/>
      <c r="J1849" s="174"/>
      <c r="K1849" s="174"/>
      <c r="L1849" s="174"/>
      <c r="M1849" s="174"/>
      <c r="N1849" s="174"/>
      <c r="O1849" s="174"/>
      <c r="P1849" s="174"/>
      <c r="Q1849" s="174"/>
    </row>
    <row r="1850">
      <c r="A1850" s="174"/>
      <c r="B1850" s="8" t="str">
        <f t="shared" si="3"/>
        <v/>
      </c>
      <c r="C1850" s="175"/>
      <c r="D1850" s="175"/>
      <c r="E1850" s="175"/>
      <c r="F1850" s="174"/>
      <c r="G1850" s="174"/>
      <c r="H1850" s="174"/>
      <c r="I1850" s="174"/>
      <c r="J1850" s="174"/>
      <c r="K1850" s="174"/>
      <c r="L1850" s="174"/>
      <c r="M1850" s="174"/>
      <c r="N1850" s="174"/>
      <c r="O1850" s="174"/>
      <c r="P1850" s="174"/>
      <c r="Q1850" s="174"/>
    </row>
    <row r="1851">
      <c r="A1851" s="174"/>
      <c r="B1851" s="8" t="str">
        <f t="shared" si="3"/>
        <v/>
      </c>
      <c r="C1851" s="175"/>
      <c r="D1851" s="175"/>
      <c r="E1851" s="175"/>
      <c r="F1851" s="174"/>
      <c r="G1851" s="174"/>
      <c r="H1851" s="174"/>
      <c r="I1851" s="174"/>
      <c r="J1851" s="174"/>
      <c r="K1851" s="174"/>
      <c r="L1851" s="174"/>
      <c r="M1851" s="174"/>
      <c r="N1851" s="174"/>
      <c r="O1851" s="174"/>
      <c r="P1851" s="174"/>
      <c r="Q1851" s="174"/>
    </row>
    <row r="1852">
      <c r="A1852" s="174"/>
      <c r="B1852" s="8" t="str">
        <f t="shared" si="3"/>
        <v/>
      </c>
      <c r="C1852" s="175"/>
      <c r="D1852" s="175"/>
      <c r="E1852" s="175"/>
      <c r="F1852" s="174"/>
      <c r="G1852" s="174"/>
      <c r="H1852" s="174"/>
      <c r="I1852" s="174"/>
      <c r="J1852" s="174"/>
      <c r="K1852" s="174"/>
      <c r="L1852" s="174"/>
      <c r="M1852" s="174"/>
      <c r="N1852" s="174"/>
      <c r="O1852" s="174"/>
      <c r="P1852" s="174"/>
      <c r="Q1852" s="174"/>
    </row>
    <row r="1853">
      <c r="A1853" s="174"/>
      <c r="B1853" s="8" t="str">
        <f t="shared" si="3"/>
        <v/>
      </c>
      <c r="C1853" s="175"/>
      <c r="D1853" s="175"/>
      <c r="E1853" s="175"/>
      <c r="F1853" s="174"/>
      <c r="G1853" s="174"/>
      <c r="H1853" s="174"/>
      <c r="I1853" s="174"/>
      <c r="J1853" s="174"/>
      <c r="K1853" s="174"/>
      <c r="L1853" s="174"/>
      <c r="M1853" s="174"/>
      <c r="N1853" s="174"/>
      <c r="O1853" s="174"/>
      <c r="P1853" s="174"/>
      <c r="Q1853" s="174"/>
    </row>
    <row r="1854">
      <c r="A1854" s="174"/>
      <c r="B1854" s="8" t="str">
        <f t="shared" si="3"/>
        <v/>
      </c>
      <c r="C1854" s="175"/>
      <c r="D1854" s="175"/>
      <c r="E1854" s="175"/>
      <c r="F1854" s="174"/>
      <c r="G1854" s="174"/>
      <c r="H1854" s="174"/>
      <c r="I1854" s="174"/>
      <c r="J1854" s="174"/>
      <c r="K1854" s="174"/>
      <c r="L1854" s="174"/>
      <c r="M1854" s="174"/>
      <c r="N1854" s="174"/>
      <c r="O1854" s="174"/>
      <c r="P1854" s="174"/>
      <c r="Q1854" s="174"/>
    </row>
    <row r="1855">
      <c r="A1855" s="174"/>
      <c r="B1855" s="8" t="str">
        <f t="shared" si="3"/>
        <v/>
      </c>
      <c r="C1855" s="175"/>
      <c r="D1855" s="175"/>
      <c r="E1855" s="175"/>
      <c r="F1855" s="174"/>
      <c r="G1855" s="174"/>
      <c r="H1855" s="174"/>
      <c r="I1855" s="174"/>
      <c r="J1855" s="174"/>
      <c r="K1855" s="174"/>
      <c r="L1855" s="174"/>
      <c r="M1855" s="174"/>
      <c r="N1855" s="174"/>
      <c r="O1855" s="174"/>
      <c r="P1855" s="174"/>
      <c r="Q1855" s="174"/>
    </row>
    <row r="1856">
      <c r="A1856" s="174"/>
      <c r="B1856" s="8" t="str">
        <f t="shared" si="3"/>
        <v/>
      </c>
      <c r="C1856" s="175"/>
      <c r="D1856" s="175"/>
      <c r="E1856" s="175"/>
      <c r="F1856" s="174"/>
      <c r="G1856" s="174"/>
      <c r="H1856" s="174"/>
      <c r="I1856" s="174"/>
      <c r="J1856" s="174"/>
      <c r="K1856" s="174"/>
      <c r="L1856" s="174"/>
      <c r="M1856" s="174"/>
      <c r="N1856" s="174"/>
      <c r="O1856" s="174"/>
      <c r="P1856" s="174"/>
      <c r="Q1856" s="174"/>
    </row>
    <row r="1857">
      <c r="A1857" s="174"/>
      <c r="B1857" s="8" t="str">
        <f t="shared" si="3"/>
        <v/>
      </c>
      <c r="C1857" s="175"/>
      <c r="D1857" s="175"/>
      <c r="E1857" s="175"/>
      <c r="F1857" s="174"/>
      <c r="G1857" s="174"/>
      <c r="H1857" s="174"/>
      <c r="I1857" s="174"/>
      <c r="J1857" s="174"/>
      <c r="K1857" s="174"/>
      <c r="L1857" s="174"/>
      <c r="M1857" s="174"/>
      <c r="N1857" s="174"/>
      <c r="O1857" s="174"/>
      <c r="P1857" s="174"/>
      <c r="Q1857" s="174"/>
    </row>
    <row r="1858">
      <c r="A1858" s="174"/>
      <c r="B1858" s="8" t="str">
        <f t="shared" si="3"/>
        <v/>
      </c>
      <c r="C1858" s="175"/>
      <c r="D1858" s="175"/>
      <c r="E1858" s="175"/>
      <c r="F1858" s="174"/>
      <c r="G1858" s="174"/>
      <c r="H1858" s="174"/>
      <c r="I1858" s="174"/>
      <c r="J1858" s="174"/>
      <c r="K1858" s="174"/>
      <c r="L1858" s="174"/>
      <c r="M1858" s="174"/>
      <c r="N1858" s="174"/>
      <c r="O1858" s="174"/>
      <c r="P1858" s="174"/>
      <c r="Q1858" s="174"/>
    </row>
    <row r="1859">
      <c r="A1859" s="174"/>
      <c r="B1859" s="8" t="str">
        <f t="shared" si="3"/>
        <v/>
      </c>
      <c r="C1859" s="175"/>
      <c r="D1859" s="175"/>
      <c r="E1859" s="175"/>
      <c r="F1859" s="174"/>
      <c r="G1859" s="174"/>
      <c r="H1859" s="174"/>
      <c r="I1859" s="174"/>
      <c r="J1859" s="174"/>
      <c r="K1859" s="174"/>
      <c r="L1859" s="174"/>
      <c r="M1859" s="174"/>
      <c r="N1859" s="174"/>
      <c r="O1859" s="174"/>
      <c r="P1859" s="174"/>
      <c r="Q1859" s="174"/>
    </row>
    <row r="1860">
      <c r="A1860" s="174"/>
      <c r="B1860" s="8" t="str">
        <f t="shared" si="3"/>
        <v/>
      </c>
      <c r="C1860" s="175"/>
      <c r="D1860" s="175"/>
      <c r="E1860" s="175"/>
      <c r="F1860" s="174"/>
      <c r="G1860" s="174"/>
      <c r="H1860" s="174"/>
      <c r="I1860" s="174"/>
      <c r="J1860" s="174"/>
      <c r="K1860" s="174"/>
      <c r="L1860" s="174"/>
      <c r="M1860" s="174"/>
      <c r="N1860" s="174"/>
      <c r="O1860" s="174"/>
      <c r="P1860" s="174"/>
      <c r="Q1860" s="174"/>
    </row>
    <row r="1861">
      <c r="A1861" s="174"/>
      <c r="B1861" s="8" t="str">
        <f t="shared" si="3"/>
        <v/>
      </c>
      <c r="C1861" s="175"/>
      <c r="D1861" s="175"/>
      <c r="E1861" s="175"/>
      <c r="F1861" s="174"/>
      <c r="G1861" s="174"/>
      <c r="H1861" s="174"/>
      <c r="I1861" s="174"/>
      <c r="J1861" s="174"/>
      <c r="K1861" s="174"/>
      <c r="L1861" s="174"/>
      <c r="M1861" s="174"/>
      <c r="N1861" s="174"/>
      <c r="O1861" s="174"/>
      <c r="P1861" s="174"/>
      <c r="Q1861" s="174"/>
    </row>
    <row r="1862">
      <c r="A1862" s="174"/>
      <c r="B1862" s="8" t="str">
        <f t="shared" si="3"/>
        <v/>
      </c>
      <c r="C1862" s="175"/>
      <c r="D1862" s="175"/>
      <c r="E1862" s="175"/>
      <c r="F1862" s="174"/>
      <c r="G1862" s="174"/>
      <c r="H1862" s="174"/>
      <c r="I1862" s="174"/>
      <c r="J1862" s="174"/>
      <c r="K1862" s="174"/>
      <c r="L1862" s="174"/>
      <c r="M1862" s="174"/>
      <c r="N1862" s="174"/>
      <c r="O1862" s="174"/>
      <c r="P1862" s="174"/>
      <c r="Q1862" s="174"/>
    </row>
    <row r="1863">
      <c r="A1863" s="174"/>
      <c r="B1863" s="8" t="str">
        <f t="shared" si="3"/>
        <v/>
      </c>
      <c r="C1863" s="175"/>
      <c r="D1863" s="175"/>
      <c r="E1863" s="175"/>
      <c r="F1863" s="174"/>
      <c r="G1863" s="174"/>
      <c r="H1863" s="174"/>
      <c r="I1863" s="174"/>
      <c r="J1863" s="174"/>
      <c r="K1863" s="174"/>
      <c r="L1863" s="174"/>
      <c r="M1863" s="174"/>
      <c r="N1863" s="174"/>
      <c r="O1863" s="174"/>
      <c r="P1863" s="174"/>
      <c r="Q1863" s="174"/>
    </row>
    <row r="1864">
      <c r="A1864" s="174"/>
      <c r="B1864" s="8" t="str">
        <f t="shared" si="3"/>
        <v/>
      </c>
      <c r="C1864" s="175"/>
      <c r="D1864" s="175"/>
      <c r="E1864" s="175"/>
      <c r="F1864" s="174"/>
      <c r="G1864" s="174"/>
      <c r="H1864" s="174"/>
      <c r="I1864" s="174"/>
      <c r="J1864" s="174"/>
      <c r="K1864" s="174"/>
      <c r="L1864" s="174"/>
      <c r="M1864" s="174"/>
      <c r="N1864" s="174"/>
      <c r="O1864" s="174"/>
      <c r="P1864" s="174"/>
      <c r="Q1864" s="174"/>
    </row>
    <row r="1865">
      <c r="A1865" s="174"/>
      <c r="B1865" s="8" t="str">
        <f t="shared" si="3"/>
        <v/>
      </c>
      <c r="C1865" s="175"/>
      <c r="D1865" s="175"/>
      <c r="E1865" s="175"/>
      <c r="F1865" s="174"/>
      <c r="G1865" s="174"/>
      <c r="H1865" s="174"/>
      <c r="I1865" s="174"/>
      <c r="J1865" s="174"/>
      <c r="K1865" s="174"/>
      <c r="L1865" s="174"/>
      <c r="M1865" s="174"/>
      <c r="N1865" s="174"/>
      <c r="O1865" s="174"/>
      <c r="P1865" s="174"/>
      <c r="Q1865" s="174"/>
    </row>
    <row r="1866">
      <c r="A1866" s="174"/>
      <c r="B1866" s="8" t="str">
        <f t="shared" si="3"/>
        <v/>
      </c>
      <c r="C1866" s="175"/>
      <c r="D1866" s="175"/>
      <c r="E1866" s="175"/>
      <c r="F1866" s="174"/>
      <c r="G1866" s="174"/>
      <c r="H1866" s="174"/>
      <c r="I1866" s="174"/>
      <c r="J1866" s="174"/>
      <c r="K1866" s="174"/>
      <c r="L1866" s="174"/>
      <c r="M1866" s="174"/>
      <c r="N1866" s="174"/>
      <c r="O1866" s="174"/>
      <c r="P1866" s="174"/>
      <c r="Q1866" s="174"/>
    </row>
    <row r="1867">
      <c r="A1867" s="174"/>
      <c r="B1867" s="8" t="str">
        <f t="shared" si="3"/>
        <v/>
      </c>
      <c r="C1867" s="175"/>
      <c r="D1867" s="175"/>
      <c r="E1867" s="175"/>
      <c r="F1867" s="174"/>
      <c r="G1867" s="174"/>
      <c r="H1867" s="174"/>
      <c r="I1867" s="174"/>
      <c r="J1867" s="174"/>
      <c r="K1867" s="174"/>
      <c r="L1867" s="174"/>
      <c r="M1867" s="174"/>
      <c r="N1867" s="174"/>
      <c r="O1867" s="174"/>
      <c r="P1867" s="174"/>
      <c r="Q1867" s="174"/>
    </row>
    <row r="1868">
      <c r="A1868" s="174"/>
      <c r="B1868" s="8" t="str">
        <f t="shared" si="3"/>
        <v/>
      </c>
      <c r="C1868" s="175"/>
      <c r="D1868" s="175"/>
      <c r="E1868" s="175"/>
      <c r="F1868" s="174"/>
      <c r="G1868" s="174"/>
      <c r="H1868" s="174"/>
      <c r="I1868" s="174"/>
      <c r="J1868" s="174"/>
      <c r="K1868" s="174"/>
      <c r="L1868" s="174"/>
      <c r="M1868" s="174"/>
      <c r="N1868" s="174"/>
      <c r="O1868" s="174"/>
      <c r="P1868" s="174"/>
      <c r="Q1868" s="174"/>
    </row>
    <row r="1869">
      <c r="A1869" s="174"/>
      <c r="B1869" s="8" t="str">
        <f t="shared" si="3"/>
        <v/>
      </c>
      <c r="C1869" s="175"/>
      <c r="D1869" s="175"/>
      <c r="E1869" s="175"/>
      <c r="F1869" s="174"/>
      <c r="G1869" s="174"/>
      <c r="H1869" s="174"/>
      <c r="I1869" s="174"/>
      <c r="J1869" s="174"/>
      <c r="K1869" s="174"/>
      <c r="L1869" s="174"/>
      <c r="M1869" s="174"/>
      <c r="N1869" s="174"/>
      <c r="O1869" s="174"/>
      <c r="P1869" s="174"/>
      <c r="Q1869" s="174"/>
    </row>
    <row r="1870">
      <c r="A1870" s="174"/>
      <c r="B1870" s="8" t="str">
        <f t="shared" si="3"/>
        <v/>
      </c>
      <c r="C1870" s="175"/>
      <c r="D1870" s="175"/>
      <c r="E1870" s="175"/>
      <c r="F1870" s="174"/>
      <c r="G1870" s="174"/>
      <c r="H1870" s="174"/>
      <c r="I1870" s="174"/>
      <c r="J1870" s="174"/>
      <c r="K1870" s="174"/>
      <c r="L1870" s="174"/>
      <c r="M1870" s="174"/>
      <c r="N1870" s="174"/>
      <c r="O1870" s="174"/>
      <c r="P1870" s="174"/>
      <c r="Q1870" s="174"/>
    </row>
    <row r="1871">
      <c r="A1871" s="174"/>
      <c r="B1871" s="8" t="str">
        <f t="shared" si="3"/>
        <v/>
      </c>
      <c r="C1871" s="175"/>
      <c r="D1871" s="175"/>
      <c r="E1871" s="175"/>
      <c r="F1871" s="174"/>
      <c r="G1871" s="174"/>
      <c r="H1871" s="174"/>
      <c r="I1871" s="174"/>
      <c r="J1871" s="174"/>
      <c r="K1871" s="174"/>
      <c r="L1871" s="174"/>
      <c r="M1871" s="174"/>
      <c r="N1871" s="174"/>
      <c r="O1871" s="174"/>
      <c r="P1871" s="174"/>
      <c r="Q1871" s="174"/>
    </row>
    <row r="1872">
      <c r="A1872" s="174"/>
      <c r="B1872" s="8" t="str">
        <f t="shared" si="3"/>
        <v/>
      </c>
      <c r="C1872" s="175"/>
      <c r="D1872" s="175"/>
      <c r="E1872" s="175"/>
      <c r="F1872" s="174"/>
      <c r="G1872" s="174"/>
      <c r="H1872" s="174"/>
      <c r="I1872" s="174"/>
      <c r="J1872" s="174"/>
      <c r="K1872" s="174"/>
      <c r="L1872" s="174"/>
      <c r="M1872" s="174"/>
      <c r="N1872" s="174"/>
      <c r="O1872" s="174"/>
      <c r="P1872" s="174"/>
      <c r="Q1872" s="174"/>
    </row>
    <row r="1873">
      <c r="A1873" s="174"/>
      <c r="B1873" s="8" t="str">
        <f t="shared" si="3"/>
        <v/>
      </c>
      <c r="C1873" s="175"/>
      <c r="D1873" s="175"/>
      <c r="E1873" s="175"/>
      <c r="F1873" s="174"/>
      <c r="G1873" s="174"/>
      <c r="H1873" s="174"/>
      <c r="I1873" s="174"/>
      <c r="J1873" s="174"/>
      <c r="K1873" s="174"/>
      <c r="L1873" s="174"/>
      <c r="M1873" s="174"/>
      <c r="N1873" s="174"/>
      <c r="O1873" s="174"/>
      <c r="P1873" s="174"/>
      <c r="Q1873" s="174"/>
    </row>
    <row r="1874">
      <c r="A1874" s="174"/>
      <c r="B1874" s="8" t="str">
        <f t="shared" si="3"/>
        <v/>
      </c>
      <c r="C1874" s="175"/>
      <c r="D1874" s="175"/>
      <c r="E1874" s="175"/>
      <c r="F1874" s="174"/>
      <c r="G1874" s="174"/>
      <c r="H1874" s="174"/>
      <c r="I1874" s="174"/>
      <c r="J1874" s="174"/>
      <c r="K1874" s="174"/>
      <c r="L1874" s="174"/>
      <c r="M1874" s="174"/>
      <c r="N1874" s="174"/>
      <c r="O1874" s="174"/>
      <c r="P1874" s="174"/>
      <c r="Q1874" s="174"/>
    </row>
    <row r="1875">
      <c r="A1875" s="174"/>
      <c r="B1875" s="8" t="str">
        <f t="shared" si="3"/>
        <v/>
      </c>
      <c r="C1875" s="175"/>
      <c r="D1875" s="175"/>
      <c r="E1875" s="175"/>
      <c r="F1875" s="174"/>
      <c r="G1875" s="174"/>
      <c r="H1875" s="174"/>
      <c r="I1875" s="174"/>
      <c r="J1875" s="174"/>
      <c r="K1875" s="174"/>
      <c r="L1875" s="174"/>
      <c r="M1875" s="174"/>
      <c r="N1875" s="174"/>
      <c r="O1875" s="174"/>
      <c r="P1875" s="174"/>
      <c r="Q1875" s="174"/>
    </row>
    <row r="1876">
      <c r="A1876" s="174"/>
      <c r="B1876" s="8" t="str">
        <f t="shared" si="3"/>
        <v/>
      </c>
      <c r="C1876" s="175"/>
      <c r="D1876" s="175"/>
      <c r="E1876" s="175"/>
      <c r="F1876" s="174"/>
      <c r="G1876" s="174"/>
      <c r="H1876" s="174"/>
      <c r="I1876" s="174"/>
      <c r="J1876" s="174"/>
      <c r="K1876" s="174"/>
      <c r="L1876" s="174"/>
      <c r="M1876" s="174"/>
      <c r="N1876" s="174"/>
      <c r="O1876" s="174"/>
      <c r="P1876" s="174"/>
      <c r="Q1876" s="174"/>
    </row>
    <row r="1877">
      <c r="A1877" s="174"/>
      <c r="B1877" s="8" t="str">
        <f t="shared" si="3"/>
        <v/>
      </c>
      <c r="C1877" s="175"/>
      <c r="D1877" s="175"/>
      <c r="E1877" s="175"/>
      <c r="F1877" s="174"/>
      <c r="G1877" s="174"/>
      <c r="H1877" s="174"/>
      <c r="I1877" s="174"/>
      <c r="J1877" s="174"/>
      <c r="K1877" s="174"/>
      <c r="L1877" s="174"/>
      <c r="M1877" s="174"/>
      <c r="N1877" s="174"/>
      <c r="O1877" s="174"/>
      <c r="P1877" s="174"/>
      <c r="Q1877" s="174"/>
    </row>
    <row r="1878">
      <c r="A1878" s="174"/>
      <c r="B1878" s="8" t="str">
        <f t="shared" si="3"/>
        <v/>
      </c>
      <c r="C1878" s="175"/>
      <c r="D1878" s="175"/>
      <c r="E1878" s="175"/>
      <c r="F1878" s="174"/>
      <c r="G1878" s="174"/>
      <c r="H1878" s="174"/>
      <c r="I1878" s="174"/>
      <c r="J1878" s="174"/>
      <c r="K1878" s="174"/>
      <c r="L1878" s="174"/>
      <c r="M1878" s="174"/>
      <c r="N1878" s="174"/>
      <c r="O1878" s="174"/>
      <c r="P1878" s="174"/>
      <c r="Q1878" s="174"/>
    </row>
    <row r="1879">
      <c r="A1879" s="174"/>
      <c r="B1879" s="8" t="str">
        <f t="shared" si="3"/>
        <v/>
      </c>
      <c r="C1879" s="175"/>
      <c r="D1879" s="175"/>
      <c r="E1879" s="175"/>
      <c r="F1879" s="174"/>
      <c r="G1879" s="174"/>
      <c r="H1879" s="174"/>
      <c r="I1879" s="174"/>
      <c r="J1879" s="174"/>
      <c r="K1879" s="174"/>
      <c r="L1879" s="174"/>
      <c r="M1879" s="174"/>
      <c r="N1879" s="174"/>
      <c r="O1879" s="174"/>
      <c r="P1879" s="174"/>
      <c r="Q1879" s="174"/>
    </row>
    <row r="1880">
      <c r="A1880" s="174"/>
      <c r="B1880" s="8" t="str">
        <f t="shared" si="3"/>
        <v/>
      </c>
      <c r="C1880" s="175"/>
      <c r="D1880" s="175"/>
      <c r="E1880" s="175"/>
      <c r="F1880" s="174"/>
      <c r="G1880" s="174"/>
      <c r="H1880" s="174"/>
      <c r="I1880" s="174"/>
      <c r="J1880" s="174"/>
      <c r="K1880" s="174"/>
      <c r="L1880" s="174"/>
      <c r="M1880" s="174"/>
      <c r="N1880" s="174"/>
      <c r="O1880" s="174"/>
      <c r="P1880" s="174"/>
      <c r="Q1880" s="174"/>
    </row>
    <row r="1881">
      <c r="A1881" s="174"/>
      <c r="B1881" s="8" t="str">
        <f t="shared" si="3"/>
        <v/>
      </c>
      <c r="C1881" s="175"/>
      <c r="D1881" s="175"/>
      <c r="E1881" s="175"/>
      <c r="F1881" s="174"/>
      <c r="G1881" s="174"/>
      <c r="H1881" s="174"/>
      <c r="I1881" s="174"/>
      <c r="J1881" s="174"/>
      <c r="K1881" s="174"/>
      <c r="L1881" s="174"/>
      <c r="M1881" s="174"/>
      <c r="N1881" s="174"/>
      <c r="O1881" s="174"/>
      <c r="P1881" s="174"/>
      <c r="Q1881" s="174"/>
    </row>
    <row r="1882">
      <c r="A1882" s="174"/>
      <c r="B1882" s="8" t="str">
        <f t="shared" si="3"/>
        <v/>
      </c>
      <c r="C1882" s="175"/>
      <c r="D1882" s="175"/>
      <c r="E1882" s="175"/>
      <c r="F1882" s="174"/>
      <c r="G1882" s="174"/>
      <c r="H1882" s="174"/>
      <c r="I1882" s="174"/>
      <c r="J1882" s="174"/>
      <c r="K1882" s="174"/>
      <c r="L1882" s="174"/>
      <c r="M1882" s="174"/>
      <c r="N1882" s="174"/>
      <c r="O1882" s="174"/>
      <c r="P1882" s="174"/>
      <c r="Q1882" s="174"/>
    </row>
    <row r="1883">
      <c r="A1883" s="174"/>
      <c r="B1883" s="8" t="str">
        <f t="shared" si="3"/>
        <v/>
      </c>
      <c r="C1883" s="175"/>
      <c r="D1883" s="175"/>
      <c r="E1883" s="175"/>
      <c r="F1883" s="174"/>
      <c r="G1883" s="174"/>
      <c r="H1883" s="174"/>
      <c r="I1883" s="174"/>
      <c r="J1883" s="174"/>
      <c r="K1883" s="174"/>
      <c r="L1883" s="174"/>
      <c r="M1883" s="174"/>
      <c r="N1883" s="174"/>
      <c r="O1883" s="174"/>
      <c r="P1883" s="174"/>
      <c r="Q1883" s="174"/>
    </row>
    <row r="1884">
      <c r="A1884" s="174"/>
      <c r="B1884" s="8" t="str">
        <f t="shared" si="3"/>
        <v/>
      </c>
      <c r="C1884" s="175"/>
      <c r="D1884" s="175"/>
      <c r="E1884" s="175"/>
      <c r="F1884" s="174"/>
      <c r="G1884" s="174"/>
      <c r="H1884" s="174"/>
      <c r="I1884" s="174"/>
      <c r="J1884" s="174"/>
      <c r="K1884" s="174"/>
      <c r="L1884" s="174"/>
      <c r="M1884" s="174"/>
      <c r="N1884" s="174"/>
      <c r="O1884" s="174"/>
      <c r="P1884" s="174"/>
      <c r="Q1884" s="174"/>
    </row>
    <row r="1885">
      <c r="A1885" s="174"/>
      <c r="B1885" s="8" t="str">
        <f t="shared" si="3"/>
        <v/>
      </c>
      <c r="C1885" s="175"/>
      <c r="D1885" s="175"/>
      <c r="E1885" s="175"/>
      <c r="F1885" s="174"/>
      <c r="G1885" s="174"/>
      <c r="H1885" s="174"/>
      <c r="I1885" s="174"/>
      <c r="J1885" s="174"/>
      <c r="K1885" s="174"/>
      <c r="L1885" s="174"/>
      <c r="M1885" s="174"/>
      <c r="N1885" s="174"/>
      <c r="O1885" s="174"/>
      <c r="P1885" s="174"/>
      <c r="Q1885" s="174"/>
    </row>
    <row r="1886">
      <c r="A1886" s="174"/>
      <c r="B1886" s="8" t="str">
        <f t="shared" si="3"/>
        <v/>
      </c>
      <c r="C1886" s="175"/>
      <c r="D1886" s="175"/>
      <c r="E1886" s="175"/>
      <c r="F1886" s="174"/>
      <c r="G1886" s="174"/>
      <c r="H1886" s="174"/>
      <c r="I1886" s="174"/>
      <c r="J1886" s="174"/>
      <c r="K1886" s="174"/>
      <c r="L1886" s="174"/>
      <c r="M1886" s="174"/>
      <c r="N1886" s="174"/>
      <c r="O1886" s="174"/>
      <c r="P1886" s="174"/>
      <c r="Q1886" s="174"/>
    </row>
    <row r="1887">
      <c r="A1887" s="174"/>
      <c r="B1887" s="8" t="str">
        <f t="shared" si="3"/>
        <v/>
      </c>
      <c r="C1887" s="175"/>
      <c r="D1887" s="175"/>
      <c r="E1887" s="175"/>
      <c r="F1887" s="174"/>
      <c r="G1887" s="174"/>
      <c r="H1887" s="174"/>
      <c r="I1887" s="174"/>
      <c r="J1887" s="174"/>
      <c r="K1887" s="174"/>
      <c r="L1887" s="174"/>
      <c r="M1887" s="174"/>
      <c r="N1887" s="174"/>
      <c r="O1887" s="174"/>
      <c r="P1887" s="174"/>
      <c r="Q1887" s="174"/>
    </row>
    <row r="1888">
      <c r="A1888" s="174"/>
      <c r="B1888" s="8" t="str">
        <f t="shared" si="3"/>
        <v/>
      </c>
      <c r="C1888" s="175"/>
      <c r="D1888" s="175"/>
      <c r="E1888" s="175"/>
      <c r="F1888" s="174"/>
      <c r="G1888" s="174"/>
      <c r="H1888" s="174"/>
      <c r="I1888" s="174"/>
      <c r="J1888" s="174"/>
      <c r="K1888" s="174"/>
      <c r="L1888" s="174"/>
      <c r="M1888" s="174"/>
      <c r="N1888" s="174"/>
      <c r="O1888" s="174"/>
      <c r="P1888" s="174"/>
      <c r="Q1888" s="174"/>
    </row>
    <row r="1889">
      <c r="A1889" s="174"/>
      <c r="B1889" s="8" t="str">
        <f t="shared" si="3"/>
        <v/>
      </c>
      <c r="C1889" s="175"/>
      <c r="D1889" s="175"/>
      <c r="E1889" s="175"/>
      <c r="F1889" s="174"/>
      <c r="G1889" s="174"/>
      <c r="H1889" s="174"/>
      <c r="I1889" s="174"/>
      <c r="J1889" s="174"/>
      <c r="K1889" s="174"/>
      <c r="L1889" s="174"/>
      <c r="M1889" s="174"/>
      <c r="N1889" s="174"/>
      <c r="O1889" s="174"/>
      <c r="P1889" s="174"/>
      <c r="Q1889" s="174"/>
    </row>
    <row r="1890">
      <c r="A1890" s="174"/>
      <c r="B1890" s="8" t="str">
        <f t="shared" si="3"/>
        <v/>
      </c>
      <c r="C1890" s="175"/>
      <c r="D1890" s="175"/>
      <c r="E1890" s="175"/>
      <c r="F1890" s="174"/>
      <c r="G1890" s="174"/>
      <c r="H1890" s="174"/>
      <c r="I1890" s="174"/>
      <c r="J1890" s="174"/>
      <c r="K1890" s="174"/>
      <c r="L1890" s="174"/>
      <c r="M1890" s="174"/>
      <c r="N1890" s="174"/>
      <c r="O1890" s="174"/>
      <c r="P1890" s="174"/>
      <c r="Q1890" s="174"/>
    </row>
    <row r="1891">
      <c r="A1891" s="174"/>
      <c r="B1891" s="8" t="str">
        <f t="shared" si="3"/>
        <v/>
      </c>
      <c r="C1891" s="175"/>
      <c r="D1891" s="175"/>
      <c r="E1891" s="175"/>
      <c r="F1891" s="174"/>
      <c r="G1891" s="174"/>
      <c r="H1891" s="174"/>
      <c r="I1891" s="174"/>
      <c r="J1891" s="174"/>
      <c r="K1891" s="174"/>
      <c r="L1891" s="174"/>
      <c r="M1891" s="174"/>
      <c r="N1891" s="174"/>
      <c r="O1891" s="174"/>
      <c r="P1891" s="174"/>
      <c r="Q1891" s="174"/>
    </row>
    <row r="1892">
      <c r="A1892" s="174"/>
      <c r="B1892" s="8" t="str">
        <f t="shared" si="3"/>
        <v/>
      </c>
      <c r="C1892" s="175"/>
      <c r="D1892" s="175"/>
      <c r="E1892" s="175"/>
      <c r="F1892" s="174"/>
      <c r="G1892" s="174"/>
      <c r="H1892" s="174"/>
      <c r="I1892" s="174"/>
      <c r="J1892" s="174"/>
      <c r="K1892" s="174"/>
      <c r="L1892" s="174"/>
      <c r="M1892" s="174"/>
      <c r="N1892" s="174"/>
      <c r="O1892" s="174"/>
      <c r="P1892" s="174"/>
      <c r="Q1892" s="174"/>
    </row>
    <row r="1893">
      <c r="A1893" s="174"/>
      <c r="B1893" s="8" t="str">
        <f t="shared" si="3"/>
        <v/>
      </c>
      <c r="C1893" s="175"/>
      <c r="D1893" s="175"/>
      <c r="E1893" s="175"/>
      <c r="F1893" s="174"/>
      <c r="G1893" s="174"/>
      <c r="H1893" s="174"/>
      <c r="I1893" s="174"/>
      <c r="J1893" s="174"/>
      <c r="K1893" s="174"/>
      <c r="L1893" s="174"/>
      <c r="M1893" s="174"/>
      <c r="N1893" s="174"/>
      <c r="O1893" s="174"/>
      <c r="P1893" s="174"/>
      <c r="Q1893" s="174"/>
    </row>
  </sheetData>
  <autoFilter ref="$A$1:$Q$109"/>
  <mergeCells count="18">
    <mergeCell ref="G335:P335"/>
    <mergeCell ref="G636:O636"/>
    <mergeCell ref="G733:O733"/>
    <mergeCell ref="G735:O735"/>
    <mergeCell ref="G792:P792"/>
    <mergeCell ref="G889:O889"/>
    <mergeCell ref="G891:J891"/>
    <mergeCell ref="G972:O972"/>
    <mergeCell ref="G973:O973"/>
    <mergeCell ref="L979:O979"/>
    <mergeCell ref="G984:O984"/>
    <mergeCell ref="G892:J892"/>
    <mergeCell ref="G893:J893"/>
    <mergeCell ref="G899:P899"/>
    <mergeCell ref="G905:P905"/>
    <mergeCell ref="G918:O918"/>
    <mergeCell ref="G960:O960"/>
    <mergeCell ref="G962:O962"/>
  </mergeCells>
  <dataValidations>
    <dataValidation type="list" allowBlank="1" showErrorMessage="1" sqref="F2:F1893">
      <formula1>"FULL RIM,HALF RIM,RIMLESS"</formula1>
    </dataValidation>
    <dataValidation type="list" allowBlank="1" showErrorMessage="1" sqref="Q2:Q1893">
      <formula1>"AMIRUN,DHAVAL,DEVENDRA,GITANJALI,ADITI,Mukul,DEEPANSHU,JATIN,VIVEK"</formula1>
    </dataValidation>
    <dataValidation type="list" allowBlank="1" showErrorMessage="1" sqref="K2:K334 K336:K635 K637:K732 K734 K736:K791 K793:K888 K890:K898 K900:K904 K906:K917 K919:K959 K961 K963:K971 K974:K983 K985:K1893">
      <formula1>"MANUAL,TRACING"</formula1>
    </dataValidation>
  </dataValidations>
  <hyperlinks>
    <hyperlink r:id="rId1" ref="R210"/>
    <hyperlink r:id="rId2" ref="R211"/>
    <hyperlink r:id="rId3" ref="R212"/>
    <hyperlink r:id="rId4" ref="C570"/>
    <hyperlink r:id="rId5" ref="C572"/>
    <hyperlink r:id="rId6" ref="C581"/>
    <hyperlink r:id="rId7" ref="C709"/>
    <hyperlink r:id="rId8" ref="C1008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1">
        <v>134577.0</v>
      </c>
      <c r="B1" s="141" t="s">
        <v>847</v>
      </c>
    </row>
    <row r="2">
      <c r="A2" s="141">
        <v>145907.0</v>
      </c>
      <c r="B2" s="141" t="s">
        <v>847</v>
      </c>
    </row>
    <row r="3">
      <c r="A3" s="141">
        <v>150414.0</v>
      </c>
      <c r="B3" s="141" t="s">
        <v>847</v>
      </c>
    </row>
    <row r="4">
      <c r="A4" s="141">
        <v>229220.0</v>
      </c>
      <c r="B4" s="141" t="s">
        <v>847</v>
      </c>
    </row>
    <row r="5">
      <c r="A5" s="141">
        <v>229208.0</v>
      </c>
      <c r="B5" s="141" t="s">
        <v>847</v>
      </c>
    </row>
    <row r="6">
      <c r="A6" s="141">
        <v>134576.0</v>
      </c>
      <c r="B6" s="141" t="s">
        <v>847</v>
      </c>
    </row>
    <row r="7">
      <c r="A7" s="141">
        <v>152659.0</v>
      </c>
      <c r="B7" s="141" t="s">
        <v>847</v>
      </c>
    </row>
    <row r="8">
      <c r="A8" s="141">
        <v>211051.0</v>
      </c>
      <c r="B8" s="141" t="s">
        <v>847</v>
      </c>
    </row>
    <row r="9">
      <c r="A9" s="141">
        <v>233581.0</v>
      </c>
      <c r="B9" s="141" t="s">
        <v>847</v>
      </c>
    </row>
    <row r="10">
      <c r="A10" s="141">
        <v>217716.0</v>
      </c>
      <c r="B10" s="141" t="s">
        <v>847</v>
      </c>
    </row>
    <row r="11">
      <c r="A11" s="141">
        <v>211043.0</v>
      </c>
      <c r="B11" s="141" t="s">
        <v>847</v>
      </c>
    </row>
    <row r="12">
      <c r="A12" s="141">
        <v>217745.0</v>
      </c>
      <c r="B12" s="141" t="s">
        <v>847</v>
      </c>
    </row>
    <row r="13">
      <c r="A13" s="141">
        <v>136606.0</v>
      </c>
      <c r="B13" s="141" t="s">
        <v>847</v>
      </c>
    </row>
    <row r="14">
      <c r="A14" s="141">
        <v>231505.0</v>
      </c>
      <c r="B14" s="141" t="s">
        <v>847</v>
      </c>
    </row>
    <row r="15">
      <c r="A15" s="141">
        <v>233584.0</v>
      </c>
      <c r="B15" s="141" t="s">
        <v>847</v>
      </c>
    </row>
    <row r="16">
      <c r="A16" s="141">
        <v>218254.0</v>
      </c>
      <c r="B16" s="141" t="s">
        <v>847</v>
      </c>
    </row>
    <row r="17">
      <c r="A17" s="141">
        <v>229214.0</v>
      </c>
      <c r="B17" s="141" t="s">
        <v>847</v>
      </c>
    </row>
    <row r="18">
      <c r="A18" s="141">
        <v>213501.0</v>
      </c>
      <c r="B18" s="141" t="s">
        <v>847</v>
      </c>
    </row>
    <row r="19">
      <c r="A19" s="141">
        <v>213503.0</v>
      </c>
      <c r="B19" s="141" t="s">
        <v>847</v>
      </c>
    </row>
    <row r="20">
      <c r="A20" s="141">
        <v>217721.0</v>
      </c>
      <c r="B20" s="141" t="s">
        <v>847</v>
      </c>
    </row>
    <row r="21">
      <c r="A21" s="141">
        <v>217717.0</v>
      </c>
      <c r="B21" s="141" t="s">
        <v>847</v>
      </c>
    </row>
    <row r="22">
      <c r="A22" s="141">
        <v>217721.0</v>
      </c>
      <c r="B22" s="141" t="s">
        <v>847</v>
      </c>
    </row>
    <row r="23">
      <c r="A23" s="141">
        <v>217744.0</v>
      </c>
      <c r="B23" s="141" t="s">
        <v>847</v>
      </c>
    </row>
    <row r="24">
      <c r="A24" s="141">
        <v>236606.0</v>
      </c>
      <c r="B24" s="141" t="s">
        <v>847</v>
      </c>
    </row>
    <row r="25">
      <c r="A25" s="141">
        <v>233163.0</v>
      </c>
      <c r="B25" s="141" t="s">
        <v>847</v>
      </c>
    </row>
    <row r="26">
      <c r="A26" s="141">
        <v>221151.0</v>
      </c>
      <c r="B26" s="141" t="s">
        <v>847</v>
      </c>
    </row>
    <row r="27">
      <c r="A27" s="141">
        <v>223335.0</v>
      </c>
      <c r="B27" s="141" t="s">
        <v>847</v>
      </c>
    </row>
    <row r="28">
      <c r="A28" s="141">
        <v>240530.0</v>
      </c>
      <c r="B28" s="141" t="s">
        <v>847</v>
      </c>
    </row>
    <row r="29">
      <c r="A29" s="141">
        <v>228055.0</v>
      </c>
      <c r="B29" s="141" t="s">
        <v>847</v>
      </c>
    </row>
    <row r="30">
      <c r="A30" s="141">
        <v>218255.0</v>
      </c>
      <c r="B30" s="141" t="s">
        <v>847</v>
      </c>
    </row>
    <row r="31">
      <c r="A31" s="141">
        <v>223335.0</v>
      </c>
      <c r="B31" s="141" t="s">
        <v>847</v>
      </c>
    </row>
    <row r="32">
      <c r="A32" s="141">
        <v>211056.0</v>
      </c>
      <c r="B32" s="141" t="s">
        <v>847</v>
      </c>
    </row>
    <row r="33">
      <c r="A33" s="141">
        <v>217749.0</v>
      </c>
      <c r="B33" s="141" t="s">
        <v>847</v>
      </c>
    </row>
    <row r="34">
      <c r="A34" s="141">
        <v>228055.0</v>
      </c>
      <c r="B34" s="141" t="s">
        <v>847</v>
      </c>
    </row>
    <row r="35">
      <c r="A35" s="174"/>
      <c r="B35" s="141"/>
    </row>
    <row r="36">
      <c r="A36" s="174"/>
    </row>
    <row r="37">
      <c r="A37" s="174"/>
    </row>
    <row r="38">
      <c r="A38" s="174"/>
    </row>
  </sheetData>
  <mergeCells count="35"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9:C29"/>
    <mergeCell ref="B30:C30"/>
    <mergeCell ref="B31:C31"/>
    <mergeCell ref="B32:C32"/>
    <mergeCell ref="B33:C33"/>
    <mergeCell ref="B34:C34"/>
    <mergeCell ref="B35:C35"/>
    <mergeCell ref="B22:C22"/>
    <mergeCell ref="B23:C23"/>
    <mergeCell ref="B24:C24"/>
    <mergeCell ref="B25:C25"/>
    <mergeCell ref="B26:C26"/>
    <mergeCell ref="B27:C27"/>
    <mergeCell ref="B28:C2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4" max="14" width="20.63"/>
  </cols>
  <sheetData>
    <row r="1">
      <c r="A1" s="176" t="s">
        <v>848</v>
      </c>
      <c r="B1" s="176" t="s">
        <v>849</v>
      </c>
      <c r="C1" s="176" t="s">
        <v>850</v>
      </c>
      <c r="D1" s="176" t="s">
        <v>851</v>
      </c>
      <c r="E1" s="176" t="s">
        <v>852</v>
      </c>
      <c r="F1" s="176" t="s">
        <v>853</v>
      </c>
      <c r="G1" s="176" t="s">
        <v>32</v>
      </c>
      <c r="H1" s="176" t="s">
        <v>17</v>
      </c>
      <c r="I1" s="176" t="s">
        <v>124</v>
      </c>
      <c r="J1" s="176" t="s">
        <v>392</v>
      </c>
      <c r="K1" s="176" t="s">
        <v>402</v>
      </c>
      <c r="L1" s="176" t="s">
        <v>3</v>
      </c>
      <c r="M1" s="177" t="s">
        <v>854</v>
      </c>
    </row>
    <row r="2">
      <c r="A2" s="178" t="s">
        <v>672</v>
      </c>
      <c r="B2" s="179">
        <v>36.0</v>
      </c>
      <c r="C2" s="179">
        <v>34.0</v>
      </c>
      <c r="D2" s="179">
        <v>6.0</v>
      </c>
      <c r="E2" s="180">
        <v>0.176</v>
      </c>
      <c r="F2" s="178" t="s">
        <v>855</v>
      </c>
      <c r="G2" s="180">
        <v>0.1111</v>
      </c>
      <c r="H2" s="180">
        <v>0.0278</v>
      </c>
      <c r="I2" s="180">
        <v>0.0278</v>
      </c>
      <c r="J2" s="180">
        <v>0.0</v>
      </c>
      <c r="K2" s="180">
        <v>0.0</v>
      </c>
      <c r="L2" s="178" t="s">
        <v>32</v>
      </c>
      <c r="M2" s="181">
        <v>0.1111</v>
      </c>
      <c r="N2" s="182" t="str">
        <f>VLOOKUP(A:A,'Tracing New Correction'!C792:C846,1,0)</f>
        <v>242174.LSK26091601-A9</v>
      </c>
    </row>
    <row r="3">
      <c r="A3" s="183" t="s">
        <v>704</v>
      </c>
      <c r="B3" s="184">
        <v>21.0</v>
      </c>
      <c r="C3" s="184">
        <v>20.0</v>
      </c>
      <c r="D3" s="184">
        <v>3.0</v>
      </c>
      <c r="E3" s="185">
        <v>0.15</v>
      </c>
      <c r="F3" s="183" t="s">
        <v>855</v>
      </c>
      <c r="G3" s="185">
        <v>0.1</v>
      </c>
      <c r="H3" s="185">
        <v>0.0</v>
      </c>
      <c r="I3" s="185">
        <v>0.05</v>
      </c>
      <c r="J3" s="185">
        <v>0.05</v>
      </c>
      <c r="K3" s="185">
        <v>0.0</v>
      </c>
      <c r="L3" s="183" t="s">
        <v>32</v>
      </c>
      <c r="M3" s="186">
        <v>0.1</v>
      </c>
      <c r="N3" s="182" t="str">
        <f>VLOOKUP(A:A,'Tracing New Correction'!C793:C847,1,0)</f>
        <v>#N/A</v>
      </c>
    </row>
    <row r="4">
      <c r="A4" s="178" t="s">
        <v>705</v>
      </c>
      <c r="B4" s="179">
        <v>10.0</v>
      </c>
      <c r="C4" s="179">
        <v>10.0</v>
      </c>
      <c r="D4" s="179">
        <v>3.0</v>
      </c>
      <c r="E4" s="180">
        <v>0.3</v>
      </c>
      <c r="F4" s="178" t="s">
        <v>855</v>
      </c>
      <c r="G4" s="180">
        <v>0.2</v>
      </c>
      <c r="H4" s="180">
        <v>0.0</v>
      </c>
      <c r="I4" s="180">
        <v>0.1</v>
      </c>
      <c r="J4" s="180">
        <v>0.0</v>
      </c>
      <c r="K4" s="180">
        <v>0.0</v>
      </c>
      <c r="L4" s="178" t="s">
        <v>32</v>
      </c>
      <c r="M4" s="181">
        <v>0.2</v>
      </c>
      <c r="N4" s="182" t="str">
        <f>VLOOKUP(A:A,'Tracing New Correction'!C794:C848,1,0)</f>
        <v>#N/A</v>
      </c>
    </row>
    <row r="5">
      <c r="A5" s="187" t="s">
        <v>488</v>
      </c>
      <c r="B5" s="179">
        <v>20.0</v>
      </c>
      <c r="C5" s="179">
        <v>14.0</v>
      </c>
      <c r="D5" s="179">
        <v>8.0</v>
      </c>
      <c r="E5" s="180">
        <v>0.571</v>
      </c>
      <c r="F5" s="178" t="s">
        <v>855</v>
      </c>
      <c r="G5" s="180">
        <v>0.0</v>
      </c>
      <c r="H5" s="180">
        <v>0.05</v>
      </c>
      <c r="I5" s="180">
        <v>0.3</v>
      </c>
      <c r="J5" s="180">
        <v>0.0</v>
      </c>
      <c r="K5" s="180">
        <v>0.05</v>
      </c>
      <c r="L5" s="178" t="s">
        <v>124</v>
      </c>
      <c r="M5" s="181">
        <v>0.3</v>
      </c>
      <c r="N5" s="182" t="str">
        <f>VLOOKUP(A:A,'Tracing New Correction'!C796:C850,1,0)</f>
        <v>#N/A</v>
      </c>
    </row>
    <row r="6">
      <c r="A6" s="183" t="s">
        <v>298</v>
      </c>
      <c r="B6" s="184">
        <v>64.0</v>
      </c>
      <c r="C6" s="184">
        <v>62.0</v>
      </c>
      <c r="D6" s="184">
        <v>5.0</v>
      </c>
      <c r="E6" s="185">
        <v>0.081</v>
      </c>
      <c r="F6" s="183" t="s">
        <v>855</v>
      </c>
      <c r="G6" s="185">
        <v>0.0</v>
      </c>
      <c r="H6" s="185">
        <v>0.0</v>
      </c>
      <c r="I6" s="185">
        <v>0.0806</v>
      </c>
      <c r="J6" s="185">
        <v>0.0484</v>
      </c>
      <c r="K6" s="185">
        <v>0.0</v>
      </c>
      <c r="L6" s="183" t="s">
        <v>124</v>
      </c>
      <c r="M6" s="186">
        <v>0.0806</v>
      </c>
      <c r="N6" s="182" t="str">
        <f>VLOOKUP(A:A,'Tracing New Correction'!C797:C851,1,0)</f>
        <v>#N/A</v>
      </c>
    </row>
    <row r="7">
      <c r="A7" s="178" t="s">
        <v>856</v>
      </c>
      <c r="B7" s="179">
        <v>14.0</v>
      </c>
      <c r="C7" s="179">
        <v>15.0</v>
      </c>
      <c r="D7" s="179">
        <v>3.0</v>
      </c>
      <c r="E7" s="180">
        <v>0.2</v>
      </c>
      <c r="F7" s="178" t="s">
        <v>855</v>
      </c>
      <c r="G7" s="180">
        <v>0.0625</v>
      </c>
      <c r="H7" s="180">
        <v>0.0</v>
      </c>
      <c r="I7" s="180">
        <v>0.125</v>
      </c>
      <c r="J7" s="180">
        <v>0.0</v>
      </c>
      <c r="K7" s="180">
        <v>0.0</v>
      </c>
      <c r="L7" s="178" t="s">
        <v>124</v>
      </c>
      <c r="M7" s="181">
        <v>0.125</v>
      </c>
      <c r="N7" s="182" t="str">
        <f>VLOOKUP(A:A,'Tracing New Correction'!C798:C852,1,0)</f>
        <v>#N/A</v>
      </c>
    </row>
    <row r="8">
      <c r="A8" s="183" t="s">
        <v>706</v>
      </c>
      <c r="B8" s="184">
        <v>23.0</v>
      </c>
      <c r="C8" s="184">
        <v>20.0</v>
      </c>
      <c r="D8" s="184">
        <v>5.0</v>
      </c>
      <c r="E8" s="185">
        <v>0.25</v>
      </c>
      <c r="F8" s="183" t="s">
        <v>855</v>
      </c>
      <c r="G8" s="185">
        <v>0.1</v>
      </c>
      <c r="H8" s="185">
        <v>0.05</v>
      </c>
      <c r="I8" s="185">
        <v>0.1</v>
      </c>
      <c r="J8" s="185">
        <v>0.05</v>
      </c>
      <c r="K8" s="185">
        <v>0.0</v>
      </c>
      <c r="L8" s="183" t="s">
        <v>439</v>
      </c>
      <c r="M8" s="186">
        <v>0.1</v>
      </c>
      <c r="N8" s="182" t="str">
        <f>VLOOKUP(A:A,'Tracing New Correction'!C799:C853,1,0)</f>
        <v>207551.FKS26183D</v>
      </c>
    </row>
    <row r="9">
      <c r="A9" s="178" t="s">
        <v>788</v>
      </c>
      <c r="B9" s="179">
        <v>24.0</v>
      </c>
      <c r="C9" s="179">
        <v>25.0</v>
      </c>
      <c r="D9" s="179">
        <v>3.0</v>
      </c>
      <c r="E9" s="180">
        <v>0.12</v>
      </c>
      <c r="F9" s="178" t="s">
        <v>855</v>
      </c>
      <c r="G9" s="180">
        <v>0.04</v>
      </c>
      <c r="H9" s="180">
        <v>0.0</v>
      </c>
      <c r="I9" s="180">
        <v>0.08</v>
      </c>
      <c r="J9" s="180">
        <v>0.08</v>
      </c>
      <c r="K9" s="180">
        <v>0.0</v>
      </c>
      <c r="L9" s="178" t="s">
        <v>857</v>
      </c>
      <c r="M9" s="181">
        <v>0.08</v>
      </c>
      <c r="N9" s="182" t="str">
        <f>VLOOKUP(A:A,'Tracing New Correction'!C800:C854,1,0)</f>
        <v>#N/A</v>
      </c>
    </row>
    <row r="10">
      <c r="A10" s="183" t="s">
        <v>747</v>
      </c>
      <c r="B10" s="184">
        <v>33.0</v>
      </c>
      <c r="C10" s="184">
        <v>33.0</v>
      </c>
      <c r="D10" s="184">
        <v>6.0</v>
      </c>
      <c r="E10" s="185">
        <v>0.182</v>
      </c>
      <c r="F10" s="183" t="s">
        <v>855</v>
      </c>
      <c r="G10" s="185">
        <v>0.0606</v>
      </c>
      <c r="H10" s="185">
        <v>0.0606</v>
      </c>
      <c r="I10" s="185">
        <v>0.0606</v>
      </c>
      <c r="J10" s="185">
        <v>0.1212</v>
      </c>
      <c r="K10" s="185">
        <v>0.0303</v>
      </c>
      <c r="L10" s="183" t="s">
        <v>392</v>
      </c>
      <c r="M10" s="186">
        <v>0.1212</v>
      </c>
      <c r="N10" s="182" t="str">
        <f>VLOOKUP(A:A,'Tracing New Correction'!C801:C855,1,0)</f>
        <v>#N/A</v>
      </c>
    </row>
    <row r="11">
      <c r="A11" s="178" t="s">
        <v>858</v>
      </c>
      <c r="B11" s="179">
        <v>47.0</v>
      </c>
      <c r="C11" s="179">
        <v>46.0</v>
      </c>
      <c r="D11" s="179">
        <v>5.0</v>
      </c>
      <c r="E11" s="180">
        <v>0.109</v>
      </c>
      <c r="F11" s="178" t="s">
        <v>855</v>
      </c>
      <c r="G11" s="180">
        <v>0.0426</v>
      </c>
      <c r="H11" s="180">
        <v>0.0638</v>
      </c>
      <c r="I11" s="180">
        <v>0.0</v>
      </c>
      <c r="J11" s="180">
        <v>0.0851</v>
      </c>
      <c r="K11" s="180">
        <v>0.0</v>
      </c>
      <c r="L11" s="178" t="s">
        <v>392</v>
      </c>
      <c r="M11" s="181">
        <v>0.0851</v>
      </c>
      <c r="N11" s="182" t="str">
        <f>VLOOKUP(A:A,'Tracing New Correction'!C802:C856,1,0)</f>
        <v>#N/A</v>
      </c>
    </row>
    <row r="12">
      <c r="A12" s="183" t="s">
        <v>804</v>
      </c>
      <c r="B12" s="184">
        <v>51.0</v>
      </c>
      <c r="C12" s="184">
        <v>50.0</v>
      </c>
      <c r="D12" s="184">
        <v>5.0</v>
      </c>
      <c r="E12" s="185">
        <v>0.1</v>
      </c>
      <c r="F12" s="183" t="s">
        <v>855</v>
      </c>
      <c r="G12" s="185">
        <v>0.0588</v>
      </c>
      <c r="H12" s="185">
        <v>0.0196</v>
      </c>
      <c r="I12" s="185">
        <v>0.0</v>
      </c>
      <c r="J12" s="185">
        <v>0.0784</v>
      </c>
      <c r="K12" s="185">
        <v>0.0196</v>
      </c>
      <c r="L12" s="183" t="s">
        <v>392</v>
      </c>
      <c r="M12" s="186">
        <v>0.0784</v>
      </c>
      <c r="N12" s="182" t="str">
        <f>VLOOKUP(A:A,'Tracing New Correction'!C803:C857,1,0)</f>
        <v>#N/A</v>
      </c>
    </row>
    <row r="13">
      <c r="A13" s="178" t="s">
        <v>552</v>
      </c>
      <c r="B13" s="179">
        <v>23.0</v>
      </c>
      <c r="C13" s="179">
        <v>21.0</v>
      </c>
      <c r="D13" s="179">
        <v>5.0</v>
      </c>
      <c r="E13" s="180">
        <v>0.238</v>
      </c>
      <c r="F13" s="178" t="s">
        <v>855</v>
      </c>
      <c r="G13" s="180">
        <v>0.087</v>
      </c>
      <c r="H13" s="180">
        <v>0.087</v>
      </c>
      <c r="I13" s="180">
        <v>0.0435</v>
      </c>
      <c r="J13" s="180">
        <v>0.1739</v>
      </c>
      <c r="K13" s="180">
        <v>0.0</v>
      </c>
      <c r="L13" s="178" t="s">
        <v>392</v>
      </c>
      <c r="M13" s="181">
        <v>0.1739</v>
      </c>
      <c r="N13" s="182" t="str">
        <f>VLOOKUP(A:A,'Tracing New Correction'!C804:C858,1,0)</f>
        <v>#N/A</v>
      </c>
    </row>
    <row r="14">
      <c r="A14" s="183" t="s">
        <v>735</v>
      </c>
      <c r="B14" s="184">
        <v>45.0</v>
      </c>
      <c r="C14" s="184">
        <v>45.0</v>
      </c>
      <c r="D14" s="184">
        <v>4.0</v>
      </c>
      <c r="E14" s="185">
        <v>0.089</v>
      </c>
      <c r="F14" s="183" t="s">
        <v>855</v>
      </c>
      <c r="G14" s="185">
        <v>0.04</v>
      </c>
      <c r="H14" s="185">
        <v>0.0</v>
      </c>
      <c r="I14" s="185">
        <v>0.04</v>
      </c>
      <c r="J14" s="185">
        <v>0.2</v>
      </c>
      <c r="K14" s="185">
        <v>0.0</v>
      </c>
      <c r="L14" s="183" t="s">
        <v>392</v>
      </c>
      <c r="M14" s="186">
        <v>0.2</v>
      </c>
      <c r="N14" s="182" t="str">
        <f>VLOOKUP(A:A,'Tracing New Correction'!C805:C859,1,0)</f>
        <v>#N/A</v>
      </c>
    </row>
    <row r="15">
      <c r="A15" s="178" t="s">
        <v>615</v>
      </c>
      <c r="B15" s="179">
        <v>48.0</v>
      </c>
      <c r="C15" s="179">
        <v>44.0</v>
      </c>
      <c r="D15" s="179">
        <v>4.0</v>
      </c>
      <c r="E15" s="180">
        <v>0.091</v>
      </c>
      <c r="F15" s="178" t="s">
        <v>855</v>
      </c>
      <c r="G15" s="180">
        <v>0.04</v>
      </c>
      <c r="H15" s="180">
        <v>0.02</v>
      </c>
      <c r="I15" s="180">
        <v>0.0</v>
      </c>
      <c r="J15" s="180">
        <v>0.16</v>
      </c>
      <c r="K15" s="180">
        <v>0.04</v>
      </c>
      <c r="L15" s="178" t="s">
        <v>392</v>
      </c>
      <c r="M15" s="181">
        <v>0.16</v>
      </c>
      <c r="N15" s="182" t="str">
        <f>VLOOKUP(A:A,'Tracing New Correction'!C806:C860,1,0)</f>
        <v>#N/A</v>
      </c>
    </row>
    <row r="16">
      <c r="A16" s="183" t="s">
        <v>859</v>
      </c>
      <c r="B16" s="184">
        <v>5.0</v>
      </c>
      <c r="C16" s="184">
        <v>4.0</v>
      </c>
      <c r="D16" s="184">
        <v>3.0</v>
      </c>
      <c r="E16" s="185">
        <v>0.75</v>
      </c>
      <c r="F16" s="183" t="s">
        <v>855</v>
      </c>
      <c r="G16" s="185">
        <v>0.5</v>
      </c>
      <c r="H16" s="185">
        <v>0.0</v>
      </c>
      <c r="I16" s="185">
        <v>0.0</v>
      </c>
      <c r="J16" s="185">
        <v>0.5</v>
      </c>
      <c r="K16" s="185">
        <v>0.0</v>
      </c>
      <c r="L16" s="183" t="s">
        <v>392</v>
      </c>
      <c r="M16" s="186">
        <v>0.5</v>
      </c>
      <c r="N16" s="182" t="str">
        <f>VLOOKUP(A:A,'Tracing New Correction'!C807:C861,1,0)</f>
        <v>#N/A</v>
      </c>
    </row>
    <row r="17">
      <c r="A17" s="178" t="s">
        <v>860</v>
      </c>
      <c r="B17" s="179">
        <v>43.0</v>
      </c>
      <c r="C17" s="179">
        <v>37.0</v>
      </c>
      <c r="D17" s="179">
        <v>3.0</v>
      </c>
      <c r="E17" s="180">
        <v>0.081</v>
      </c>
      <c r="F17" s="178" t="s">
        <v>861</v>
      </c>
      <c r="G17" s="180">
        <v>0.0</v>
      </c>
      <c r="H17" s="180">
        <v>0.0</v>
      </c>
      <c r="I17" s="180">
        <v>0.0789</v>
      </c>
      <c r="J17" s="180">
        <v>0.1316</v>
      </c>
      <c r="K17" s="180">
        <v>0.0</v>
      </c>
      <c r="L17" s="178" t="s">
        <v>392</v>
      </c>
      <c r="M17" s="181">
        <v>0.1316</v>
      </c>
      <c r="N17" s="182" t="str">
        <f>VLOOKUP(A:A,'Tracing New Correction'!C808:C862,1,0)</f>
        <v>#N/A</v>
      </c>
    </row>
    <row r="18">
      <c r="A18" s="183" t="s">
        <v>586</v>
      </c>
      <c r="B18" s="184">
        <v>29.0</v>
      </c>
      <c r="C18" s="184">
        <v>29.0</v>
      </c>
      <c r="D18" s="184">
        <v>3.0</v>
      </c>
      <c r="E18" s="185">
        <v>0.103</v>
      </c>
      <c r="F18" s="183" t="s">
        <v>855</v>
      </c>
      <c r="G18" s="185">
        <v>0.069</v>
      </c>
      <c r="H18" s="185">
        <v>0.0345</v>
      </c>
      <c r="I18" s="185">
        <v>0.0</v>
      </c>
      <c r="J18" s="185">
        <v>0.1034</v>
      </c>
      <c r="K18" s="185">
        <v>0.0</v>
      </c>
      <c r="L18" s="183" t="s">
        <v>392</v>
      </c>
      <c r="M18" s="186">
        <v>0.1034</v>
      </c>
      <c r="N18" s="182" t="str">
        <f>VLOOKUP(A:A,'Tracing New Correction'!C809:C863,1,0)</f>
        <v>#N/A</v>
      </c>
    </row>
    <row r="19">
      <c r="A19" s="178" t="s">
        <v>862</v>
      </c>
      <c r="B19" s="179">
        <v>43.0</v>
      </c>
      <c r="C19" s="179">
        <v>43.0</v>
      </c>
      <c r="D19" s="179">
        <v>3.0</v>
      </c>
      <c r="E19" s="180">
        <v>0.07</v>
      </c>
      <c r="F19" s="178" t="s">
        <v>855</v>
      </c>
      <c r="G19" s="180">
        <v>0.0465</v>
      </c>
      <c r="H19" s="180">
        <v>0.0</v>
      </c>
      <c r="I19" s="180">
        <v>0.0233</v>
      </c>
      <c r="J19" s="180">
        <v>0.093</v>
      </c>
      <c r="K19" s="180">
        <v>0.0</v>
      </c>
      <c r="L19" s="178" t="s">
        <v>392</v>
      </c>
      <c r="M19" s="181">
        <v>0.093</v>
      </c>
      <c r="N19" s="182" t="str">
        <f>VLOOKUP(A:A,'Tracing New Correction'!C810:C864,1,0)</f>
        <v>#N/A</v>
      </c>
    </row>
    <row r="20">
      <c r="A20" s="183" t="s">
        <v>707</v>
      </c>
      <c r="B20" s="184">
        <v>40.0</v>
      </c>
      <c r="C20" s="184">
        <v>41.0</v>
      </c>
      <c r="D20" s="184">
        <v>4.0</v>
      </c>
      <c r="E20" s="185">
        <v>0.098</v>
      </c>
      <c r="F20" s="183" t="s">
        <v>855</v>
      </c>
      <c r="G20" s="185">
        <v>0.0732</v>
      </c>
      <c r="H20" s="185">
        <v>0.0</v>
      </c>
      <c r="I20" s="185">
        <v>0.0244</v>
      </c>
      <c r="J20" s="185">
        <v>0.0732</v>
      </c>
      <c r="K20" s="185">
        <v>0.0</v>
      </c>
      <c r="L20" s="183" t="s">
        <v>588</v>
      </c>
      <c r="M20" s="186">
        <v>0.0732</v>
      </c>
      <c r="N20" s="182" t="str">
        <f>VLOOKUP(A:A,'Tracing New Correction'!C811:C865,1,0)</f>
        <v>241097.IRJ127B2C0002926</v>
      </c>
    </row>
    <row r="21">
      <c r="A21" s="178" t="s">
        <v>708</v>
      </c>
      <c r="B21" s="179">
        <v>34.0</v>
      </c>
      <c r="C21" s="179">
        <v>29.0</v>
      </c>
      <c r="D21" s="179">
        <v>3.0</v>
      </c>
      <c r="E21" s="180">
        <v>0.103</v>
      </c>
      <c r="F21" s="178" t="s">
        <v>855</v>
      </c>
      <c r="G21" s="180">
        <v>0.069</v>
      </c>
      <c r="H21" s="180">
        <v>0.0</v>
      </c>
      <c r="I21" s="180">
        <v>0.0345</v>
      </c>
      <c r="J21" s="180">
        <v>0.069</v>
      </c>
      <c r="K21" s="180">
        <v>0.0</v>
      </c>
      <c r="L21" s="178" t="s">
        <v>588</v>
      </c>
      <c r="M21" s="181">
        <v>0.069</v>
      </c>
      <c r="N21" s="182" t="str">
        <f>VLOOKUP(A:A,'Tracing New Correction'!C812:C866,1,0)</f>
        <v>224444.LKT26039-3</v>
      </c>
    </row>
    <row r="22">
      <c r="A22" s="183" t="s">
        <v>614</v>
      </c>
      <c r="B22" s="184">
        <v>19.0</v>
      </c>
      <c r="C22" s="184">
        <v>11.0</v>
      </c>
      <c r="D22" s="184">
        <v>9.0</v>
      </c>
      <c r="E22" s="185">
        <v>0.818</v>
      </c>
      <c r="F22" s="183" t="s">
        <v>855</v>
      </c>
      <c r="G22" s="185">
        <v>0.0625</v>
      </c>
      <c r="H22" s="185">
        <v>0.5</v>
      </c>
      <c r="I22" s="185">
        <v>0.0</v>
      </c>
      <c r="J22" s="185">
        <v>0.0</v>
      </c>
      <c r="K22" s="185">
        <v>0.0625</v>
      </c>
      <c r="L22" s="183" t="s">
        <v>17</v>
      </c>
      <c r="M22" s="186">
        <v>0.5</v>
      </c>
      <c r="N22" s="182" t="str">
        <f>VLOOKUP(A:A,'Tracing New Correction'!C813:C867,1,0)</f>
        <v>234765.IRJ127B2C0001833</v>
      </c>
    </row>
    <row r="23">
      <c r="A23" s="187" t="s">
        <v>642</v>
      </c>
      <c r="B23" s="179">
        <v>10.0</v>
      </c>
      <c r="C23" s="179">
        <v>3.0</v>
      </c>
      <c r="D23" s="179">
        <v>3.0</v>
      </c>
      <c r="E23" s="180">
        <v>1.0</v>
      </c>
      <c r="F23" s="178" t="s">
        <v>855</v>
      </c>
      <c r="G23" s="180">
        <v>0.0</v>
      </c>
      <c r="H23" s="180">
        <v>0.4286</v>
      </c>
      <c r="I23" s="180">
        <v>0.0</v>
      </c>
      <c r="J23" s="180">
        <v>0.0</v>
      </c>
      <c r="K23" s="180">
        <v>0.0</v>
      </c>
      <c r="L23" s="178" t="s">
        <v>17</v>
      </c>
      <c r="M23" s="181">
        <v>0.4286</v>
      </c>
      <c r="N23" s="182" t="str">
        <f>VLOOKUP(A:A,'Tracing New Correction'!C816:C870,1,0)</f>
        <v>234792.IRJ127B2C0003071</v>
      </c>
    </row>
    <row r="24">
      <c r="A24" s="188">
        <v>238761.0</v>
      </c>
      <c r="B24" s="184">
        <v>5.0</v>
      </c>
      <c r="C24" s="184">
        <v>6.0</v>
      </c>
      <c r="D24" s="184">
        <v>3.0</v>
      </c>
      <c r="E24" s="185">
        <v>0.5</v>
      </c>
      <c r="F24" s="183" t="s">
        <v>855</v>
      </c>
      <c r="G24" s="185">
        <v>0.0</v>
      </c>
      <c r="H24" s="185">
        <v>0.5</v>
      </c>
      <c r="I24" s="185">
        <v>0.0</v>
      </c>
      <c r="J24" s="185">
        <v>0.0</v>
      </c>
      <c r="K24" s="185">
        <v>0.0</v>
      </c>
      <c r="L24" s="183" t="s">
        <v>17</v>
      </c>
      <c r="M24" s="186">
        <v>0.5</v>
      </c>
      <c r="N24" s="182">
        <f>VLOOKUP(A:A,'Tracing New Correction'!C817:C870,1,0)</f>
        <v>238761</v>
      </c>
    </row>
    <row r="25">
      <c r="A25" s="187" t="s">
        <v>702</v>
      </c>
      <c r="B25" s="179">
        <v>7.0</v>
      </c>
      <c r="C25" s="179">
        <v>6.0</v>
      </c>
      <c r="D25" s="179">
        <v>3.0</v>
      </c>
      <c r="E25" s="180">
        <v>0.5</v>
      </c>
      <c r="F25" s="178" t="s">
        <v>855</v>
      </c>
      <c r="G25" s="180">
        <v>0.0</v>
      </c>
      <c r="H25" s="180">
        <v>0.3</v>
      </c>
      <c r="I25" s="180">
        <v>0.2</v>
      </c>
      <c r="J25" s="180">
        <v>0.2</v>
      </c>
      <c r="K25" s="180">
        <v>0.1</v>
      </c>
      <c r="L25" s="178" t="s">
        <v>17</v>
      </c>
      <c r="M25" s="181">
        <v>0.3</v>
      </c>
      <c r="N25" s="182" t="str">
        <f>VLOOKUP(A:A,'Tracing New Correction'!C818:C871,1,0)</f>
        <v>240000.IN026082301H</v>
      </c>
    </row>
    <row r="26">
      <c r="A26" s="183" t="s">
        <v>622</v>
      </c>
      <c r="B26" s="184">
        <v>24.0</v>
      </c>
      <c r="C26" s="184">
        <v>23.0</v>
      </c>
      <c r="D26" s="184">
        <v>3.0</v>
      </c>
      <c r="E26" s="185">
        <v>0.13</v>
      </c>
      <c r="F26" s="183" t="s">
        <v>855</v>
      </c>
      <c r="G26" s="185">
        <v>0.0</v>
      </c>
      <c r="H26" s="185">
        <v>0.1304</v>
      </c>
      <c r="I26" s="185">
        <v>0.0</v>
      </c>
      <c r="J26" s="185">
        <v>0.0435</v>
      </c>
      <c r="K26" s="185">
        <v>0.0</v>
      </c>
      <c r="L26" s="183" t="s">
        <v>17</v>
      </c>
      <c r="M26" s="186">
        <v>0.1304</v>
      </c>
      <c r="N26" s="182" t="str">
        <f>VLOOKUP(A:A,'Tracing New Correction'!C819:C872,1,0)</f>
        <v>241387.IN26075D</v>
      </c>
    </row>
    <row r="27">
      <c r="A27" s="178" t="s">
        <v>709</v>
      </c>
      <c r="B27" s="179">
        <v>25.0</v>
      </c>
      <c r="C27" s="179">
        <v>17.0</v>
      </c>
      <c r="D27" s="179">
        <v>3.0</v>
      </c>
      <c r="E27" s="180">
        <v>0.176</v>
      </c>
      <c r="F27" s="178" t="s">
        <v>855</v>
      </c>
      <c r="G27" s="180">
        <v>0.0</v>
      </c>
      <c r="H27" s="180">
        <v>0.15</v>
      </c>
      <c r="I27" s="180">
        <v>0.0</v>
      </c>
      <c r="J27" s="180">
        <v>0.05</v>
      </c>
      <c r="K27" s="180">
        <v>0.0</v>
      </c>
      <c r="L27" s="178" t="s">
        <v>17</v>
      </c>
      <c r="M27" s="181">
        <v>0.15</v>
      </c>
      <c r="N27" s="182" t="str">
        <f>VLOOKUP(A:A,'Tracing New Correction'!C820:C873,1,0)</f>
        <v>242598.FKS26354N</v>
      </c>
    </row>
    <row r="28">
      <c r="A28" s="187" t="s">
        <v>670</v>
      </c>
      <c r="B28" s="184">
        <v>25.0</v>
      </c>
      <c r="C28" s="184">
        <v>18.0</v>
      </c>
      <c r="D28" s="184">
        <v>11.0</v>
      </c>
      <c r="E28" s="185">
        <v>0.611</v>
      </c>
      <c r="F28" s="183" t="s">
        <v>855</v>
      </c>
      <c r="G28" s="185">
        <v>0.1379</v>
      </c>
      <c r="H28" s="185">
        <v>0.0345</v>
      </c>
      <c r="I28" s="185">
        <v>0.0</v>
      </c>
      <c r="J28" s="185">
        <v>0.1034</v>
      </c>
      <c r="K28" s="185">
        <v>0.2414</v>
      </c>
      <c r="L28" s="183" t="s">
        <v>402</v>
      </c>
      <c r="M28" s="186">
        <v>0.2414</v>
      </c>
      <c r="N28" s="182" t="str">
        <f>VLOOKUP(A:A,'Tracing New Correction'!C821:C874,1,0)</f>
        <v>#N/A</v>
      </c>
    </row>
    <row r="29">
      <c r="A29" s="178" t="s">
        <v>863</v>
      </c>
      <c r="B29" s="179">
        <v>48.0</v>
      </c>
      <c r="C29" s="179">
        <v>46.0</v>
      </c>
      <c r="D29" s="179">
        <v>3.0</v>
      </c>
      <c r="E29" s="180">
        <v>0.065</v>
      </c>
      <c r="F29" s="178" t="s">
        <v>855</v>
      </c>
      <c r="G29" s="180">
        <v>0.0213</v>
      </c>
      <c r="H29" s="180">
        <v>0.0213</v>
      </c>
      <c r="I29" s="180">
        <v>0.0213</v>
      </c>
      <c r="J29" s="180">
        <v>0.0</v>
      </c>
      <c r="K29" s="180">
        <v>0.0</v>
      </c>
      <c r="L29" s="178" t="s">
        <v>402</v>
      </c>
      <c r="M29" s="181">
        <v>0.0213</v>
      </c>
      <c r="N29" s="182" t="str">
        <f>VLOOKUP(A:A,'Tracing New Correction'!C822:C875,1,0)</f>
        <v>#N/A</v>
      </c>
    </row>
    <row r="30">
      <c r="A30" s="183" t="s">
        <v>864</v>
      </c>
      <c r="B30" s="184">
        <v>7.0</v>
      </c>
      <c r="C30" s="184">
        <v>8.0</v>
      </c>
      <c r="D30" s="184">
        <v>3.0</v>
      </c>
      <c r="E30" s="185">
        <v>0.375</v>
      </c>
      <c r="F30" s="183" t="s">
        <v>855</v>
      </c>
      <c r="G30" s="185">
        <v>0.125</v>
      </c>
      <c r="H30" s="185">
        <v>0.0</v>
      </c>
      <c r="I30" s="185">
        <v>0.125</v>
      </c>
      <c r="J30" s="185">
        <v>0.125</v>
      </c>
      <c r="K30" s="185">
        <v>0.125</v>
      </c>
      <c r="L30" s="183" t="s">
        <v>402</v>
      </c>
      <c r="M30" s="186">
        <v>0.125</v>
      </c>
      <c r="N30" s="182" t="str">
        <f>VLOOKUP(A:A,'Tracing New Correction'!C823:C876,1,0)</f>
        <v>#N/A</v>
      </c>
    </row>
  </sheetData>
  <autoFilter ref="$A$1:$N$3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8.0"/>
  </cols>
  <sheetData>
    <row r="1">
      <c r="A1" s="189" t="s">
        <v>865</v>
      </c>
      <c r="B1" s="176" t="s">
        <v>866</v>
      </c>
      <c r="C1" s="176" t="s">
        <v>867</v>
      </c>
      <c r="D1" s="176" t="s">
        <v>849</v>
      </c>
      <c r="E1" s="176" t="s">
        <v>868</v>
      </c>
      <c r="F1" s="176" t="s">
        <v>869</v>
      </c>
      <c r="G1" s="176" t="s">
        <v>870</v>
      </c>
      <c r="H1" s="176" t="s">
        <v>850</v>
      </c>
      <c r="I1" s="176" t="s">
        <v>851</v>
      </c>
      <c r="J1" s="176" t="s">
        <v>852</v>
      </c>
      <c r="K1" s="176" t="s">
        <v>871</v>
      </c>
      <c r="L1" s="177" t="s">
        <v>848</v>
      </c>
    </row>
    <row r="2">
      <c r="A2" s="190">
        <v>245914.0</v>
      </c>
      <c r="B2" s="178" t="s">
        <v>872</v>
      </c>
      <c r="C2" s="178" t="s">
        <v>872</v>
      </c>
      <c r="D2" s="179">
        <v>143.0</v>
      </c>
      <c r="E2" s="191">
        <v>1.0</v>
      </c>
      <c r="F2" s="180">
        <v>1.0</v>
      </c>
      <c r="G2" s="192"/>
      <c r="H2" s="179">
        <v>134.0</v>
      </c>
      <c r="I2" s="179">
        <v>24.0</v>
      </c>
      <c r="J2" s="180">
        <v>0.179</v>
      </c>
      <c r="K2" s="192"/>
      <c r="L2" s="193" t="s">
        <v>329</v>
      </c>
    </row>
    <row r="3">
      <c r="A3" s="194">
        <v>222262.0</v>
      </c>
      <c r="B3" s="183" t="s">
        <v>873</v>
      </c>
      <c r="C3" s="183" t="s">
        <v>873</v>
      </c>
      <c r="D3" s="184">
        <v>33.0</v>
      </c>
      <c r="E3" s="195">
        <v>0.19</v>
      </c>
      <c r="F3" s="185">
        <v>1.0</v>
      </c>
      <c r="G3" s="196"/>
      <c r="H3" s="184">
        <v>28.0</v>
      </c>
      <c r="I3" s="184">
        <v>17.0</v>
      </c>
      <c r="J3" s="185">
        <v>0.607</v>
      </c>
      <c r="K3" s="196"/>
      <c r="L3" s="197" t="s">
        <v>773</v>
      </c>
    </row>
    <row r="4">
      <c r="A4" s="190">
        <v>224484.0</v>
      </c>
      <c r="B4" s="178" t="s">
        <v>874</v>
      </c>
      <c r="C4" s="178" t="s">
        <v>874</v>
      </c>
      <c r="D4" s="179">
        <v>130.0</v>
      </c>
      <c r="E4" s="191">
        <v>0.55</v>
      </c>
      <c r="F4" s="180">
        <v>1.0</v>
      </c>
      <c r="G4" s="192"/>
      <c r="H4" s="179">
        <v>122.0</v>
      </c>
      <c r="I4" s="179">
        <v>17.0</v>
      </c>
      <c r="J4" s="180">
        <v>0.139</v>
      </c>
      <c r="K4" s="180">
        <v>0.0082</v>
      </c>
      <c r="L4" s="193" t="s">
        <v>753</v>
      </c>
    </row>
    <row r="5">
      <c r="A5" s="194">
        <v>225336.0</v>
      </c>
      <c r="B5" s="183" t="s">
        <v>875</v>
      </c>
      <c r="C5" s="183" t="s">
        <v>875</v>
      </c>
      <c r="D5" s="184">
        <v>20.0</v>
      </c>
      <c r="E5" s="195">
        <v>0.14</v>
      </c>
      <c r="F5" s="185">
        <v>1.0</v>
      </c>
      <c r="G5" s="196"/>
      <c r="H5" s="184">
        <v>17.0</v>
      </c>
      <c r="I5" s="184">
        <v>12.0</v>
      </c>
      <c r="J5" s="185">
        <v>0.706</v>
      </c>
      <c r="K5" s="196"/>
      <c r="L5" s="197" t="s">
        <v>770</v>
      </c>
    </row>
    <row r="6">
      <c r="A6" s="190">
        <v>245915.0</v>
      </c>
      <c r="B6" s="178" t="s">
        <v>876</v>
      </c>
      <c r="C6" s="178" t="s">
        <v>876</v>
      </c>
      <c r="D6" s="179">
        <v>162.0</v>
      </c>
      <c r="E6" s="191">
        <v>0.95</v>
      </c>
      <c r="F6" s="180">
        <v>1.0</v>
      </c>
      <c r="G6" s="192"/>
      <c r="H6" s="179">
        <v>154.0</v>
      </c>
      <c r="I6" s="179">
        <v>12.0</v>
      </c>
      <c r="J6" s="180">
        <v>0.078</v>
      </c>
      <c r="K6" s="192"/>
      <c r="L6" s="193" t="s">
        <v>298</v>
      </c>
    </row>
    <row r="7">
      <c r="A7" s="194">
        <v>223230.0</v>
      </c>
      <c r="B7" s="183" t="s">
        <v>877</v>
      </c>
      <c r="C7" s="183" t="s">
        <v>877</v>
      </c>
      <c r="D7" s="184">
        <v>99.0</v>
      </c>
      <c r="E7" s="195">
        <v>0.64</v>
      </c>
      <c r="F7" s="185">
        <v>1.0</v>
      </c>
      <c r="G7" s="196"/>
      <c r="H7" s="184">
        <v>90.0</v>
      </c>
      <c r="I7" s="184">
        <v>10.0</v>
      </c>
      <c r="J7" s="185">
        <v>0.111</v>
      </c>
      <c r="K7" s="185">
        <v>0.0111</v>
      </c>
      <c r="L7" s="197" t="s">
        <v>599</v>
      </c>
    </row>
    <row r="8">
      <c r="A8" s="190">
        <v>241114.0</v>
      </c>
      <c r="B8" s="178" t="s">
        <v>878</v>
      </c>
      <c r="C8" s="178" t="s">
        <v>878</v>
      </c>
      <c r="D8" s="179">
        <v>48.0</v>
      </c>
      <c r="E8" s="191">
        <v>0.38</v>
      </c>
      <c r="F8" s="180">
        <v>1.0</v>
      </c>
      <c r="G8" s="192"/>
      <c r="H8" s="179">
        <v>48.0</v>
      </c>
      <c r="I8" s="179">
        <v>10.0</v>
      </c>
      <c r="J8" s="180">
        <v>0.208</v>
      </c>
      <c r="K8" s="180">
        <v>0.0625</v>
      </c>
      <c r="L8" s="193" t="s">
        <v>771</v>
      </c>
    </row>
    <row r="9">
      <c r="A9" s="194">
        <v>241117.0</v>
      </c>
      <c r="B9" s="183" t="s">
        <v>879</v>
      </c>
      <c r="C9" s="183" t="s">
        <v>879</v>
      </c>
      <c r="D9" s="184">
        <v>98.0</v>
      </c>
      <c r="E9" s="195">
        <v>0.72</v>
      </c>
      <c r="F9" s="185">
        <v>1.0</v>
      </c>
      <c r="G9" s="196"/>
      <c r="H9" s="184">
        <v>92.0</v>
      </c>
      <c r="I9" s="184">
        <v>10.0</v>
      </c>
      <c r="J9" s="185">
        <v>0.109</v>
      </c>
      <c r="K9" s="185">
        <v>0.0217</v>
      </c>
      <c r="L9" s="197" t="s">
        <v>820</v>
      </c>
    </row>
    <row r="10">
      <c r="A10" s="190">
        <v>234791.0</v>
      </c>
      <c r="B10" s="178" t="s">
        <v>880</v>
      </c>
      <c r="C10" s="178" t="s">
        <v>880</v>
      </c>
      <c r="D10" s="179">
        <v>26.0</v>
      </c>
      <c r="E10" s="191">
        <v>0.12</v>
      </c>
      <c r="F10" s="180">
        <v>1.0</v>
      </c>
      <c r="G10" s="192"/>
      <c r="H10" s="179">
        <v>17.0</v>
      </c>
      <c r="I10" s="179">
        <v>8.0</v>
      </c>
      <c r="J10" s="180">
        <v>0.471</v>
      </c>
      <c r="K10" s="192"/>
      <c r="L10" s="193" t="s">
        <v>670</v>
      </c>
    </row>
    <row r="11">
      <c r="A11" s="194">
        <v>239999.0</v>
      </c>
      <c r="B11" s="183" t="s">
        <v>881</v>
      </c>
      <c r="C11" s="183" t="s">
        <v>881</v>
      </c>
      <c r="D11" s="184">
        <v>21.0</v>
      </c>
      <c r="E11" s="195">
        <v>0.37</v>
      </c>
      <c r="F11" s="185">
        <v>1.0</v>
      </c>
      <c r="G11" s="196"/>
      <c r="H11" s="184">
        <v>19.0</v>
      </c>
      <c r="I11" s="184">
        <v>8.0</v>
      </c>
      <c r="J11" s="185">
        <v>0.421</v>
      </c>
      <c r="K11" s="185">
        <v>0.1053</v>
      </c>
      <c r="L11" s="197" t="s">
        <v>426</v>
      </c>
    </row>
    <row r="12">
      <c r="A12" s="190">
        <v>240000.0</v>
      </c>
      <c r="B12" s="178" t="s">
        <v>882</v>
      </c>
      <c r="C12" s="178" t="s">
        <v>882</v>
      </c>
      <c r="D12" s="179">
        <v>35.0</v>
      </c>
      <c r="E12" s="191">
        <v>0.39</v>
      </c>
      <c r="F12" s="180">
        <v>1.0</v>
      </c>
      <c r="G12" s="192"/>
      <c r="H12" s="179">
        <v>31.0</v>
      </c>
      <c r="I12" s="179">
        <v>7.0</v>
      </c>
      <c r="J12" s="180">
        <v>0.226</v>
      </c>
      <c r="K12" s="180">
        <v>0.0645</v>
      </c>
      <c r="L12" s="193" t="s">
        <v>387</v>
      </c>
    </row>
    <row r="13">
      <c r="A13" s="194">
        <v>244799.0</v>
      </c>
      <c r="B13" s="183" t="s">
        <v>883</v>
      </c>
      <c r="C13" s="183" t="s">
        <v>883</v>
      </c>
      <c r="D13" s="184">
        <v>32.0</v>
      </c>
      <c r="E13" s="195">
        <v>1.0</v>
      </c>
      <c r="F13" s="185">
        <v>1.0</v>
      </c>
      <c r="G13" s="196"/>
      <c r="H13" s="184">
        <v>30.0</v>
      </c>
      <c r="I13" s="184">
        <v>7.0</v>
      </c>
      <c r="J13" s="185">
        <v>0.233</v>
      </c>
      <c r="K13" s="185">
        <v>0.2667</v>
      </c>
      <c r="L13" s="197" t="s">
        <v>775</v>
      </c>
    </row>
    <row r="14">
      <c r="A14" s="190">
        <v>207551.0</v>
      </c>
      <c r="B14" s="178" t="s">
        <v>884</v>
      </c>
      <c r="C14" s="178" t="s">
        <v>884</v>
      </c>
      <c r="D14" s="179">
        <v>84.0</v>
      </c>
      <c r="E14" s="191">
        <v>0.86</v>
      </c>
      <c r="F14" s="180">
        <v>1.0</v>
      </c>
      <c r="G14" s="192"/>
      <c r="H14" s="179">
        <v>82.0</v>
      </c>
      <c r="I14" s="179">
        <v>6.0</v>
      </c>
      <c r="J14" s="180">
        <v>0.073</v>
      </c>
      <c r="K14" s="192"/>
      <c r="L14" s="193" t="s">
        <v>885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</cols>
  <sheetData>
    <row r="1">
      <c r="A1" s="176" t="s">
        <v>886</v>
      </c>
      <c r="B1" s="176" t="s">
        <v>849</v>
      </c>
      <c r="C1" s="176" t="s">
        <v>868</v>
      </c>
      <c r="D1" s="176" t="s">
        <v>869</v>
      </c>
      <c r="E1" s="176" t="s">
        <v>870</v>
      </c>
      <c r="F1" s="176" t="s">
        <v>850</v>
      </c>
      <c r="G1" s="176" t="s">
        <v>851</v>
      </c>
      <c r="H1" s="176" t="s">
        <v>852</v>
      </c>
      <c r="I1" s="176" t="s">
        <v>5</v>
      </c>
      <c r="J1" s="176" t="s">
        <v>887</v>
      </c>
      <c r="K1" s="176" t="s">
        <v>32</v>
      </c>
      <c r="L1" s="176" t="s">
        <v>17</v>
      </c>
      <c r="M1" s="176" t="s">
        <v>402</v>
      </c>
      <c r="N1" s="176" t="s">
        <v>392</v>
      </c>
      <c r="O1" s="176" t="s">
        <v>124</v>
      </c>
      <c r="P1" s="198" t="s">
        <v>3</v>
      </c>
      <c r="Q1" s="177" t="s">
        <v>4</v>
      </c>
    </row>
    <row r="2">
      <c r="A2" s="183" t="s">
        <v>670</v>
      </c>
      <c r="B2" s="184">
        <v>67.0</v>
      </c>
      <c r="C2" s="195">
        <v>0.2</v>
      </c>
      <c r="D2" s="185">
        <v>1.0</v>
      </c>
      <c r="E2" s="196"/>
      <c r="F2" s="184">
        <v>63.0</v>
      </c>
      <c r="G2" s="184">
        <v>25.0</v>
      </c>
      <c r="H2" s="185">
        <v>0.397</v>
      </c>
      <c r="I2" s="183" t="s">
        <v>855</v>
      </c>
      <c r="J2" s="196"/>
      <c r="K2" s="185">
        <v>0.0123</v>
      </c>
      <c r="L2" s="185">
        <v>0.358</v>
      </c>
      <c r="M2" s="185">
        <v>0.0494</v>
      </c>
      <c r="N2" s="185">
        <v>0.037</v>
      </c>
      <c r="O2" s="185">
        <v>0.0</v>
      </c>
      <c r="P2" s="183" t="s">
        <v>17</v>
      </c>
      <c r="Q2" s="186">
        <v>0.358</v>
      </c>
    </row>
    <row r="3">
      <c r="A3" s="178" t="s">
        <v>486</v>
      </c>
      <c r="B3" s="179">
        <v>300.0</v>
      </c>
      <c r="C3" s="191">
        <v>0.09</v>
      </c>
      <c r="D3" s="180">
        <v>1.0</v>
      </c>
      <c r="E3" s="192"/>
      <c r="F3" s="179">
        <v>303.0</v>
      </c>
      <c r="G3" s="179">
        <v>19.0</v>
      </c>
      <c r="H3" s="180">
        <v>0.063</v>
      </c>
      <c r="I3" s="178" t="s">
        <v>855</v>
      </c>
      <c r="J3" s="192"/>
      <c r="K3" s="180">
        <v>0.0354</v>
      </c>
      <c r="L3" s="180">
        <v>0.0096</v>
      </c>
      <c r="M3" s="180">
        <v>0.0</v>
      </c>
      <c r="N3" s="180">
        <v>0.0482</v>
      </c>
      <c r="O3" s="180">
        <v>0.0193</v>
      </c>
      <c r="P3" s="178" t="s">
        <v>32</v>
      </c>
      <c r="Q3" s="181">
        <v>0.0482</v>
      </c>
    </row>
    <row r="4" hidden="1">
      <c r="A4" s="183" t="s">
        <v>671</v>
      </c>
      <c r="B4" s="184">
        <v>45.0</v>
      </c>
      <c r="C4" s="195">
        <v>0.83</v>
      </c>
      <c r="D4" s="185">
        <v>1.0</v>
      </c>
      <c r="E4" s="196"/>
      <c r="F4" s="184">
        <v>36.0</v>
      </c>
      <c r="G4" s="184">
        <v>16.0</v>
      </c>
      <c r="H4" s="185">
        <v>0.444</v>
      </c>
      <c r="I4" s="183" t="s">
        <v>855</v>
      </c>
      <c r="J4" s="196"/>
      <c r="K4" s="185">
        <v>0.0682</v>
      </c>
      <c r="L4" s="185">
        <v>0.3636</v>
      </c>
      <c r="M4" s="185">
        <v>0.0</v>
      </c>
      <c r="N4" s="185">
        <v>0.0909</v>
      </c>
      <c r="O4" s="185">
        <v>0.0</v>
      </c>
      <c r="P4" s="183" t="s">
        <v>17</v>
      </c>
      <c r="Q4" s="186">
        <v>0.3636</v>
      </c>
    </row>
    <row r="5">
      <c r="A5" s="178" t="s">
        <v>298</v>
      </c>
      <c r="B5" s="179">
        <v>217.0</v>
      </c>
      <c r="C5" s="191">
        <v>0.94</v>
      </c>
      <c r="D5" s="180">
        <v>1.0</v>
      </c>
      <c r="E5" s="192"/>
      <c r="F5" s="179">
        <v>211.0</v>
      </c>
      <c r="G5" s="179">
        <v>16.0</v>
      </c>
      <c r="H5" s="180">
        <v>0.076</v>
      </c>
      <c r="I5" s="178" t="s">
        <v>855</v>
      </c>
      <c r="J5" s="180">
        <v>0.0047</v>
      </c>
      <c r="K5" s="180">
        <v>0.0326</v>
      </c>
      <c r="L5" s="180">
        <v>0.0047</v>
      </c>
      <c r="M5" s="180">
        <v>0.0</v>
      </c>
      <c r="N5" s="180">
        <v>0.0372</v>
      </c>
      <c r="O5" s="180">
        <v>0.0512</v>
      </c>
      <c r="P5" s="178" t="s">
        <v>124</v>
      </c>
      <c r="Q5" s="181">
        <v>0.0512</v>
      </c>
    </row>
    <row r="6" hidden="1">
      <c r="A6" s="178" t="s">
        <v>354</v>
      </c>
      <c r="B6" s="179">
        <v>42.0</v>
      </c>
      <c r="C6" s="191">
        <v>0.25</v>
      </c>
      <c r="D6" s="180">
        <v>1.0</v>
      </c>
      <c r="E6" s="192"/>
      <c r="F6" s="179">
        <v>31.0</v>
      </c>
      <c r="G6" s="179">
        <v>14.0</v>
      </c>
      <c r="H6" s="180">
        <v>0.452</v>
      </c>
      <c r="I6" s="178" t="s">
        <v>855</v>
      </c>
      <c r="J6" s="192"/>
      <c r="K6" s="180">
        <v>0.0204</v>
      </c>
      <c r="L6" s="180">
        <v>0.0</v>
      </c>
      <c r="M6" s="180">
        <v>0.0408</v>
      </c>
      <c r="N6" s="180">
        <v>0.0816</v>
      </c>
      <c r="O6" s="180">
        <v>0.2857</v>
      </c>
      <c r="P6" s="178" t="s">
        <v>392</v>
      </c>
      <c r="Q6" s="181">
        <v>0.2857</v>
      </c>
    </row>
    <row r="7" hidden="1">
      <c r="A7" s="183" t="s">
        <v>488</v>
      </c>
      <c r="B7" s="184">
        <v>40.0</v>
      </c>
      <c r="C7" s="195">
        <v>0.24</v>
      </c>
      <c r="D7" s="185">
        <v>1.0</v>
      </c>
      <c r="E7" s="196"/>
      <c r="F7" s="184">
        <v>27.0</v>
      </c>
      <c r="G7" s="184">
        <v>11.0</v>
      </c>
      <c r="H7" s="185">
        <v>0.407</v>
      </c>
      <c r="I7" s="183" t="s">
        <v>855</v>
      </c>
      <c r="J7" s="196"/>
      <c r="K7" s="185">
        <v>0.0</v>
      </c>
      <c r="L7" s="185">
        <v>0.0</v>
      </c>
      <c r="M7" s="185">
        <v>0.0303</v>
      </c>
      <c r="N7" s="185">
        <v>0.0909</v>
      </c>
      <c r="O7" s="185">
        <v>0.3333</v>
      </c>
      <c r="P7" s="183" t="s">
        <v>392</v>
      </c>
      <c r="Q7" s="186">
        <v>0.3333</v>
      </c>
    </row>
    <row r="8">
      <c r="A8" s="178" t="s">
        <v>672</v>
      </c>
      <c r="B8" s="179">
        <v>102.0</v>
      </c>
      <c r="C8" s="191">
        <v>0.94</v>
      </c>
      <c r="D8" s="180">
        <v>1.0</v>
      </c>
      <c r="E8" s="192"/>
      <c r="F8" s="179">
        <v>92.0</v>
      </c>
      <c r="G8" s="179">
        <v>11.0</v>
      </c>
      <c r="H8" s="180">
        <v>0.12</v>
      </c>
      <c r="I8" s="178" t="s">
        <v>855</v>
      </c>
      <c r="J8" s="192"/>
      <c r="K8" s="180">
        <v>0.068</v>
      </c>
      <c r="L8" s="180">
        <v>0.0</v>
      </c>
      <c r="M8" s="180">
        <v>0.0194</v>
      </c>
      <c r="N8" s="180">
        <v>0.068</v>
      </c>
      <c r="O8" s="180">
        <v>0.0194</v>
      </c>
      <c r="P8" s="178" t="s">
        <v>588</v>
      </c>
      <c r="Q8" s="181">
        <v>0.068</v>
      </c>
    </row>
    <row r="9">
      <c r="A9" s="183" t="s">
        <v>888</v>
      </c>
      <c r="B9" s="184">
        <v>148.0</v>
      </c>
      <c r="C9" s="195">
        <v>0.64</v>
      </c>
      <c r="D9" s="185">
        <v>1.0</v>
      </c>
      <c r="E9" s="196"/>
      <c r="F9" s="184">
        <v>135.0</v>
      </c>
      <c r="G9" s="184">
        <v>10.0</v>
      </c>
      <c r="H9" s="185">
        <v>0.074</v>
      </c>
      <c r="I9" s="183" t="s">
        <v>855</v>
      </c>
      <c r="J9" s="185">
        <v>0.0172</v>
      </c>
      <c r="K9" s="185">
        <v>0.0138</v>
      </c>
      <c r="L9" s="185">
        <v>0.0069</v>
      </c>
      <c r="M9" s="185">
        <v>0.0</v>
      </c>
      <c r="N9" s="185">
        <v>0.0414</v>
      </c>
      <c r="O9" s="185">
        <v>0.0483</v>
      </c>
      <c r="P9" s="183" t="s">
        <v>392</v>
      </c>
      <c r="Q9" s="186">
        <v>0.0483</v>
      </c>
    </row>
    <row r="10">
      <c r="A10" s="178" t="s">
        <v>361</v>
      </c>
      <c r="B10" s="179">
        <v>99.0</v>
      </c>
      <c r="C10" s="191">
        <v>0.98</v>
      </c>
      <c r="D10" s="180">
        <v>1.0</v>
      </c>
      <c r="E10" s="192"/>
      <c r="F10" s="179">
        <v>96.0</v>
      </c>
      <c r="G10" s="179">
        <v>10.0</v>
      </c>
      <c r="H10" s="180">
        <v>0.104</v>
      </c>
      <c r="I10" s="178" t="s">
        <v>855</v>
      </c>
      <c r="J10" s="192"/>
      <c r="K10" s="180">
        <v>0.0</v>
      </c>
      <c r="L10" s="180">
        <v>0.0097</v>
      </c>
      <c r="M10" s="180">
        <v>0.0</v>
      </c>
      <c r="N10" s="180">
        <v>0.0291</v>
      </c>
      <c r="O10" s="180">
        <v>0.1068</v>
      </c>
      <c r="P10" s="178" t="s">
        <v>124</v>
      </c>
      <c r="Q10" s="181">
        <v>0.1068</v>
      </c>
    </row>
    <row r="11">
      <c r="A11" s="178" t="s">
        <v>599</v>
      </c>
      <c r="B11" s="179">
        <v>126.0</v>
      </c>
      <c r="C11" s="191">
        <v>0.6</v>
      </c>
      <c r="D11" s="180">
        <v>1.0</v>
      </c>
      <c r="E11" s="192"/>
      <c r="F11" s="179">
        <v>126.0</v>
      </c>
      <c r="G11" s="179">
        <v>9.0</v>
      </c>
      <c r="H11" s="180">
        <v>0.071</v>
      </c>
      <c r="I11" s="178" t="s">
        <v>855</v>
      </c>
      <c r="J11" s="180">
        <v>0.0556</v>
      </c>
      <c r="K11" s="180">
        <v>0.0556</v>
      </c>
      <c r="L11" s="180">
        <v>0.0</v>
      </c>
      <c r="M11" s="180">
        <v>0.0</v>
      </c>
      <c r="N11" s="180">
        <v>0.0556</v>
      </c>
      <c r="O11" s="180">
        <v>0.0238</v>
      </c>
      <c r="P11" s="178" t="s">
        <v>588</v>
      </c>
      <c r="Q11" s="181">
        <v>0.0556</v>
      </c>
    </row>
    <row r="12" hidden="1">
      <c r="A12" s="183" t="s">
        <v>503</v>
      </c>
      <c r="B12" s="184">
        <v>30.0</v>
      </c>
      <c r="C12" s="195">
        <v>0.94</v>
      </c>
      <c r="D12" s="185">
        <v>1.0</v>
      </c>
      <c r="E12" s="196"/>
      <c r="F12" s="184">
        <v>23.0</v>
      </c>
      <c r="G12" s="184">
        <v>9.0</v>
      </c>
      <c r="H12" s="185">
        <v>0.391</v>
      </c>
      <c r="I12" s="183" t="s">
        <v>855</v>
      </c>
      <c r="J12" s="185">
        <v>0.08</v>
      </c>
      <c r="K12" s="185">
        <v>0.1667</v>
      </c>
      <c r="L12" s="185">
        <v>0.0278</v>
      </c>
      <c r="M12" s="185">
        <v>0.1111</v>
      </c>
      <c r="N12" s="185">
        <v>0.1111</v>
      </c>
      <c r="O12" s="185">
        <v>0.0278</v>
      </c>
      <c r="P12" s="183" t="s">
        <v>402</v>
      </c>
      <c r="Q12" s="186">
        <v>0.1667</v>
      </c>
    </row>
    <row r="13" hidden="1">
      <c r="A13" s="178" t="s">
        <v>673</v>
      </c>
      <c r="B13" s="179">
        <v>32.0</v>
      </c>
      <c r="C13" s="191">
        <v>0.23</v>
      </c>
      <c r="D13" s="180">
        <v>1.0</v>
      </c>
      <c r="E13" s="192"/>
      <c r="F13" s="179">
        <v>32.0</v>
      </c>
      <c r="G13" s="179">
        <v>9.0</v>
      </c>
      <c r="H13" s="180">
        <v>0.281</v>
      </c>
      <c r="I13" s="178" t="s">
        <v>855</v>
      </c>
      <c r="J13" s="192"/>
      <c r="K13" s="180">
        <v>0.1944</v>
      </c>
      <c r="L13" s="180">
        <v>0.0</v>
      </c>
      <c r="M13" s="180">
        <v>0.0</v>
      </c>
      <c r="N13" s="180">
        <v>0.1389</v>
      </c>
      <c r="O13" s="180">
        <v>0.0556</v>
      </c>
      <c r="P13" s="178" t="s">
        <v>32</v>
      </c>
      <c r="Q13" s="181">
        <v>0.1944</v>
      </c>
    </row>
    <row r="14">
      <c r="A14" s="183" t="s">
        <v>329</v>
      </c>
      <c r="B14" s="184">
        <v>119.0</v>
      </c>
      <c r="C14" s="195">
        <v>0.8</v>
      </c>
      <c r="D14" s="185">
        <v>1.0</v>
      </c>
      <c r="E14" s="196"/>
      <c r="F14" s="184">
        <v>112.0</v>
      </c>
      <c r="G14" s="184">
        <v>9.0</v>
      </c>
      <c r="H14" s="185">
        <v>0.08</v>
      </c>
      <c r="I14" s="183" t="s">
        <v>855</v>
      </c>
      <c r="J14" s="196"/>
      <c r="K14" s="185">
        <v>0.0345</v>
      </c>
      <c r="L14" s="185">
        <v>0.0</v>
      </c>
      <c r="M14" s="185">
        <v>0.0</v>
      </c>
      <c r="N14" s="185">
        <v>0.0345</v>
      </c>
      <c r="O14" s="185">
        <v>0.0431</v>
      </c>
      <c r="P14" s="183" t="s">
        <v>124</v>
      </c>
      <c r="Q14" s="186">
        <v>0.0431</v>
      </c>
    </row>
    <row r="15" hidden="1">
      <c r="A15" s="178" t="s">
        <v>426</v>
      </c>
      <c r="B15" s="179">
        <v>29.0</v>
      </c>
      <c r="C15" s="191">
        <v>0.32</v>
      </c>
      <c r="D15" s="180">
        <v>1.0</v>
      </c>
      <c r="E15" s="192"/>
      <c r="F15" s="179">
        <v>21.0</v>
      </c>
      <c r="G15" s="179">
        <v>8.0</v>
      </c>
      <c r="H15" s="180">
        <v>0.381</v>
      </c>
      <c r="I15" s="178" t="s">
        <v>855</v>
      </c>
      <c r="J15" s="192"/>
      <c r="K15" s="180">
        <v>0.0714</v>
      </c>
      <c r="L15" s="180">
        <v>0.0714</v>
      </c>
      <c r="M15" s="180">
        <v>0.0</v>
      </c>
      <c r="N15" s="180">
        <v>0.1429</v>
      </c>
      <c r="O15" s="180">
        <v>0.2143</v>
      </c>
      <c r="P15" s="178" t="s">
        <v>124</v>
      </c>
      <c r="Q15" s="181">
        <v>0.2143</v>
      </c>
    </row>
    <row r="16" hidden="1">
      <c r="A16" s="183" t="s">
        <v>889</v>
      </c>
      <c r="B16" s="184">
        <v>28.0</v>
      </c>
      <c r="C16" s="195">
        <v>0.25</v>
      </c>
      <c r="D16" s="185">
        <v>1.0</v>
      </c>
      <c r="E16" s="196"/>
      <c r="F16" s="184">
        <v>23.0</v>
      </c>
      <c r="G16" s="184">
        <v>7.0</v>
      </c>
      <c r="H16" s="185">
        <v>0.304</v>
      </c>
      <c r="I16" s="183" t="s">
        <v>855</v>
      </c>
      <c r="J16" s="196"/>
      <c r="K16" s="185">
        <v>0.069</v>
      </c>
      <c r="L16" s="185">
        <v>0.0</v>
      </c>
      <c r="M16" s="185">
        <v>0.0345</v>
      </c>
      <c r="N16" s="185">
        <v>0.1724</v>
      </c>
      <c r="O16" s="185">
        <v>0.1379</v>
      </c>
      <c r="P16" s="183" t="s">
        <v>392</v>
      </c>
      <c r="Q16" s="186">
        <v>0.1724</v>
      </c>
    </row>
    <row r="17">
      <c r="A17" s="178" t="s">
        <v>890</v>
      </c>
      <c r="B17" s="179">
        <v>60.0</v>
      </c>
      <c r="C17" s="191">
        <v>0.41</v>
      </c>
      <c r="D17" s="180">
        <v>1.0</v>
      </c>
      <c r="E17" s="192"/>
      <c r="F17" s="179">
        <v>54.0</v>
      </c>
      <c r="G17" s="179">
        <v>6.0</v>
      </c>
      <c r="H17" s="180">
        <v>0.111</v>
      </c>
      <c r="I17" s="178" t="s">
        <v>855</v>
      </c>
      <c r="J17" s="180">
        <v>0.0328</v>
      </c>
      <c r="K17" s="180">
        <v>0.0492</v>
      </c>
      <c r="L17" s="180">
        <v>0.0</v>
      </c>
      <c r="M17" s="180">
        <v>0.0492</v>
      </c>
      <c r="N17" s="180">
        <v>0.1148</v>
      </c>
      <c r="O17" s="180">
        <v>0.0164</v>
      </c>
      <c r="P17" s="178" t="s">
        <v>392</v>
      </c>
      <c r="Q17" s="181">
        <v>0.1148</v>
      </c>
    </row>
    <row r="18">
      <c r="A18" s="178" t="s">
        <v>326</v>
      </c>
      <c r="B18" s="179">
        <v>92.0</v>
      </c>
      <c r="C18" s="191">
        <v>0.27</v>
      </c>
      <c r="D18" s="180">
        <v>1.0</v>
      </c>
      <c r="E18" s="192"/>
      <c r="F18" s="179">
        <v>91.0</v>
      </c>
      <c r="G18" s="179">
        <v>5.0</v>
      </c>
      <c r="H18" s="180">
        <v>0.055</v>
      </c>
      <c r="I18" s="178" t="s">
        <v>855</v>
      </c>
      <c r="J18" s="192"/>
      <c r="K18" s="180">
        <v>0.0594</v>
      </c>
      <c r="L18" s="180">
        <v>0.0396</v>
      </c>
      <c r="M18" s="180">
        <v>0.0099</v>
      </c>
      <c r="N18" s="180">
        <v>0.0495</v>
      </c>
      <c r="O18" s="180">
        <v>0.0</v>
      </c>
      <c r="P18" s="178" t="s">
        <v>32</v>
      </c>
      <c r="Q18" s="181">
        <v>0.0594</v>
      </c>
    </row>
    <row r="19">
      <c r="A19" s="183" t="s">
        <v>674</v>
      </c>
      <c r="B19" s="184">
        <v>100.0</v>
      </c>
      <c r="C19" s="195">
        <v>0.68</v>
      </c>
      <c r="D19" s="185">
        <v>1.0</v>
      </c>
      <c r="E19" s="196"/>
      <c r="F19" s="184">
        <v>97.0</v>
      </c>
      <c r="G19" s="184">
        <v>5.0</v>
      </c>
      <c r="H19" s="185">
        <v>0.052</v>
      </c>
      <c r="I19" s="183" t="s">
        <v>855</v>
      </c>
      <c r="J19" s="196"/>
      <c r="K19" s="185">
        <v>0.0202</v>
      </c>
      <c r="L19" s="185">
        <v>0.0303</v>
      </c>
      <c r="M19" s="185">
        <v>0.0</v>
      </c>
      <c r="N19" s="185">
        <v>0.0202</v>
      </c>
      <c r="O19" s="185">
        <v>0.0</v>
      </c>
      <c r="P19" s="183" t="s">
        <v>17</v>
      </c>
      <c r="Q19" s="186">
        <v>0.0303</v>
      </c>
    </row>
    <row r="20" hidden="1">
      <c r="A20" s="178" t="s">
        <v>675</v>
      </c>
      <c r="B20" s="179">
        <v>37.0</v>
      </c>
      <c r="C20" s="191">
        <v>0.13</v>
      </c>
      <c r="D20" s="180">
        <v>1.0</v>
      </c>
      <c r="E20" s="192"/>
      <c r="F20" s="179">
        <v>38.0</v>
      </c>
      <c r="G20" s="179">
        <v>5.0</v>
      </c>
      <c r="H20" s="180">
        <v>0.132</v>
      </c>
      <c r="I20" s="178" t="s">
        <v>855</v>
      </c>
      <c r="J20" s="180">
        <v>0.0317</v>
      </c>
      <c r="K20" s="180">
        <v>0.0476</v>
      </c>
      <c r="L20" s="180">
        <v>0.0714</v>
      </c>
      <c r="M20" s="180">
        <v>0.0</v>
      </c>
      <c r="N20" s="180">
        <v>0.0714</v>
      </c>
      <c r="O20" s="180">
        <v>0.0</v>
      </c>
      <c r="P20" s="178" t="s">
        <v>17</v>
      </c>
      <c r="Q20" s="181">
        <v>0.0714</v>
      </c>
    </row>
    <row r="21">
      <c r="A21" s="183" t="s">
        <v>891</v>
      </c>
      <c r="B21" s="184">
        <v>100.0</v>
      </c>
      <c r="C21" s="195">
        <v>0.24</v>
      </c>
      <c r="D21" s="185">
        <v>1.0</v>
      </c>
      <c r="E21" s="196"/>
      <c r="F21" s="184">
        <v>99.0</v>
      </c>
      <c r="G21" s="184">
        <v>5.0</v>
      </c>
      <c r="H21" s="185">
        <v>0.051</v>
      </c>
      <c r="I21" s="183" t="s">
        <v>855</v>
      </c>
      <c r="J21" s="196"/>
      <c r="K21" s="185">
        <v>0.0202</v>
      </c>
      <c r="L21" s="185">
        <v>0.0</v>
      </c>
      <c r="M21" s="185">
        <v>0.0</v>
      </c>
      <c r="N21" s="185">
        <v>0.0303</v>
      </c>
      <c r="O21" s="185">
        <v>0.0303</v>
      </c>
      <c r="P21" s="183" t="s">
        <v>392</v>
      </c>
      <c r="Q21" s="186">
        <v>0.0303</v>
      </c>
    </row>
    <row r="22" hidden="1">
      <c r="A22" s="178" t="s">
        <v>892</v>
      </c>
      <c r="B22" s="179">
        <v>50.0</v>
      </c>
      <c r="C22" s="191">
        <v>0.12</v>
      </c>
      <c r="D22" s="180">
        <v>1.0</v>
      </c>
      <c r="E22" s="192"/>
      <c r="F22" s="179">
        <v>47.0</v>
      </c>
      <c r="G22" s="179">
        <v>5.0</v>
      </c>
      <c r="H22" s="180">
        <v>0.106</v>
      </c>
      <c r="I22" s="178" t="s">
        <v>855</v>
      </c>
      <c r="J22" s="192"/>
      <c r="K22" s="180">
        <v>0.06</v>
      </c>
      <c r="L22" s="180">
        <v>0.0</v>
      </c>
      <c r="M22" s="180">
        <v>0.0</v>
      </c>
      <c r="N22" s="180">
        <v>0.1</v>
      </c>
      <c r="O22" s="180">
        <v>0.04</v>
      </c>
      <c r="P22" s="178" t="s">
        <v>392</v>
      </c>
      <c r="Q22" s="181">
        <v>0.1</v>
      </c>
    </row>
    <row r="23" hidden="1">
      <c r="A23" s="183" t="s">
        <v>321</v>
      </c>
      <c r="B23" s="184">
        <v>32.0</v>
      </c>
      <c r="C23" s="195">
        <v>0.2</v>
      </c>
      <c r="D23" s="185">
        <v>1.0</v>
      </c>
      <c r="E23" s="196"/>
      <c r="F23" s="184">
        <v>28.0</v>
      </c>
      <c r="G23" s="184">
        <v>5.0</v>
      </c>
      <c r="H23" s="185">
        <v>0.179</v>
      </c>
      <c r="I23" s="183" t="s">
        <v>855</v>
      </c>
      <c r="J23" s="196"/>
      <c r="K23" s="185">
        <v>0.0625</v>
      </c>
      <c r="L23" s="185">
        <v>0.0938</v>
      </c>
      <c r="M23" s="185">
        <v>0.0</v>
      </c>
      <c r="N23" s="185">
        <v>0.0</v>
      </c>
      <c r="O23" s="185">
        <v>0.0</v>
      </c>
      <c r="P23" s="183" t="s">
        <v>17</v>
      </c>
      <c r="Q23" s="186">
        <v>0.0938</v>
      </c>
    </row>
    <row r="24" hidden="1">
      <c r="A24" s="178" t="s">
        <v>893</v>
      </c>
      <c r="B24" s="179">
        <v>15.0</v>
      </c>
      <c r="C24" s="191">
        <v>0.79</v>
      </c>
      <c r="D24" s="180">
        <v>1.0</v>
      </c>
      <c r="E24" s="192"/>
      <c r="F24" s="179">
        <v>15.0</v>
      </c>
      <c r="G24" s="179">
        <v>5.0</v>
      </c>
      <c r="H24" s="180">
        <v>0.333</v>
      </c>
      <c r="I24" s="178" t="s">
        <v>855</v>
      </c>
      <c r="J24" s="180">
        <v>0.013</v>
      </c>
      <c r="K24" s="180">
        <v>0.0667</v>
      </c>
      <c r="L24" s="180">
        <v>0.0</v>
      </c>
      <c r="M24" s="180">
        <v>0.0</v>
      </c>
      <c r="N24" s="180">
        <v>0.0</v>
      </c>
      <c r="O24" s="180">
        <v>0.2667</v>
      </c>
      <c r="P24" s="178" t="s">
        <v>124</v>
      </c>
      <c r="Q24" s="181">
        <v>0.2667</v>
      </c>
    </row>
    <row r="25" hidden="1">
      <c r="A25" s="178" t="s">
        <v>676</v>
      </c>
      <c r="B25" s="179">
        <v>13.0</v>
      </c>
      <c r="C25" s="191">
        <v>0.08</v>
      </c>
      <c r="D25" s="180">
        <v>1.0</v>
      </c>
      <c r="E25" s="192"/>
      <c r="F25" s="179">
        <v>9.0</v>
      </c>
      <c r="G25" s="179">
        <v>5.0</v>
      </c>
      <c r="H25" s="180">
        <v>0.556</v>
      </c>
      <c r="I25" s="178" t="s">
        <v>855</v>
      </c>
      <c r="J25" s="180">
        <v>0.1538</v>
      </c>
      <c r="K25" s="180">
        <v>0.0</v>
      </c>
      <c r="L25" s="180">
        <v>0.3</v>
      </c>
      <c r="M25" s="180">
        <v>0.0</v>
      </c>
      <c r="N25" s="180">
        <v>0.15</v>
      </c>
      <c r="O25" s="180">
        <v>0.3</v>
      </c>
      <c r="P25" s="178" t="s">
        <v>17</v>
      </c>
      <c r="Q25" s="181">
        <v>0.3</v>
      </c>
    </row>
    <row r="26" hidden="1">
      <c r="A26" s="183" t="s">
        <v>702</v>
      </c>
      <c r="B26" s="184">
        <v>7.0</v>
      </c>
      <c r="C26" s="195">
        <v>0.04</v>
      </c>
      <c r="D26" s="185">
        <v>1.0</v>
      </c>
      <c r="E26" s="196"/>
      <c r="F26" s="184">
        <v>7.0</v>
      </c>
      <c r="G26" s="184">
        <v>5.0</v>
      </c>
      <c r="H26" s="185">
        <v>0.714</v>
      </c>
      <c r="I26" s="183" t="s">
        <v>855</v>
      </c>
      <c r="J26" s="196"/>
      <c r="K26" s="185">
        <v>0.1</v>
      </c>
      <c r="L26" s="185">
        <v>0.1</v>
      </c>
      <c r="M26" s="185">
        <v>0.1</v>
      </c>
      <c r="N26" s="185">
        <v>0.1</v>
      </c>
      <c r="O26" s="185">
        <v>0.3</v>
      </c>
      <c r="P26" s="183" t="s">
        <v>402</v>
      </c>
      <c r="Q26" s="186">
        <v>0.3</v>
      </c>
    </row>
    <row r="27" hidden="1">
      <c r="A27" s="178" t="s">
        <v>677</v>
      </c>
      <c r="B27" s="179">
        <v>40.0</v>
      </c>
      <c r="C27" s="191">
        <v>0.17</v>
      </c>
      <c r="D27" s="180">
        <v>1.0</v>
      </c>
      <c r="E27" s="192"/>
      <c r="F27" s="179">
        <v>40.0</v>
      </c>
      <c r="G27" s="179">
        <v>5.0</v>
      </c>
      <c r="H27" s="180">
        <v>0.125</v>
      </c>
      <c r="I27" s="178" t="s">
        <v>855</v>
      </c>
      <c r="J27" s="192"/>
      <c r="K27" s="180">
        <v>0.075</v>
      </c>
      <c r="L27" s="180">
        <v>0.0</v>
      </c>
      <c r="M27" s="180">
        <v>0.0</v>
      </c>
      <c r="N27" s="180">
        <v>0.05</v>
      </c>
      <c r="O27" s="180">
        <v>0.05</v>
      </c>
      <c r="P27" s="178" t="s">
        <v>32</v>
      </c>
      <c r="Q27" s="181">
        <v>0.075</v>
      </c>
    </row>
    <row r="28">
      <c r="A28" s="178" t="s">
        <v>678</v>
      </c>
      <c r="B28" s="179">
        <v>60.0</v>
      </c>
      <c r="C28" s="191">
        <v>0.36</v>
      </c>
      <c r="D28" s="180">
        <v>1.0</v>
      </c>
      <c r="E28" s="192"/>
      <c r="F28" s="179">
        <v>61.0</v>
      </c>
      <c r="G28" s="179">
        <v>5.0</v>
      </c>
      <c r="H28" s="180">
        <v>0.082</v>
      </c>
      <c r="I28" s="178" t="s">
        <v>855</v>
      </c>
      <c r="J28" s="192"/>
      <c r="K28" s="180">
        <v>0.0154</v>
      </c>
      <c r="L28" s="180">
        <v>0.0462</v>
      </c>
      <c r="M28" s="180">
        <v>0.0</v>
      </c>
      <c r="N28" s="180">
        <v>0.0308</v>
      </c>
      <c r="O28" s="180">
        <v>0.0308</v>
      </c>
      <c r="P28" s="178" t="s">
        <v>17</v>
      </c>
      <c r="Q28" s="181">
        <v>0.0462</v>
      </c>
    </row>
    <row r="29" hidden="1">
      <c r="A29" s="183" t="s">
        <v>688</v>
      </c>
      <c r="B29" s="184">
        <v>7.0</v>
      </c>
      <c r="C29" s="195">
        <v>0.29</v>
      </c>
      <c r="D29" s="185">
        <v>1.0</v>
      </c>
      <c r="E29" s="196"/>
      <c r="F29" s="184">
        <v>6.0</v>
      </c>
      <c r="G29" s="184">
        <v>5.0</v>
      </c>
      <c r="H29" s="185">
        <v>0.833</v>
      </c>
      <c r="I29" s="183" t="s">
        <v>855</v>
      </c>
      <c r="J29" s="185">
        <v>0.0137</v>
      </c>
      <c r="K29" s="185">
        <v>0.0</v>
      </c>
      <c r="L29" s="185">
        <v>0.25</v>
      </c>
      <c r="M29" s="185">
        <v>0.375</v>
      </c>
      <c r="N29" s="185">
        <v>0.0</v>
      </c>
      <c r="O29" s="185">
        <v>0.0</v>
      </c>
      <c r="P29" s="183" t="s">
        <v>402</v>
      </c>
      <c r="Q29" s="186">
        <v>0.375</v>
      </c>
    </row>
    <row r="30">
      <c r="A30" s="178" t="s">
        <v>679</v>
      </c>
      <c r="B30" s="179">
        <v>64.0</v>
      </c>
      <c r="C30" s="191">
        <v>0.97</v>
      </c>
      <c r="D30" s="180">
        <v>1.0</v>
      </c>
      <c r="E30" s="192"/>
      <c r="F30" s="179">
        <v>64.0</v>
      </c>
      <c r="G30" s="179">
        <v>5.0</v>
      </c>
      <c r="H30" s="180">
        <v>0.078</v>
      </c>
      <c r="I30" s="178" t="s">
        <v>855</v>
      </c>
      <c r="J30" s="180">
        <v>0.0135</v>
      </c>
      <c r="K30" s="180">
        <v>0.0469</v>
      </c>
      <c r="L30" s="180">
        <v>0.0156</v>
      </c>
      <c r="M30" s="180">
        <v>0.0</v>
      </c>
      <c r="N30" s="180">
        <v>0.0156</v>
      </c>
      <c r="O30" s="180">
        <v>0.0156</v>
      </c>
      <c r="P30" s="178" t="s">
        <v>32</v>
      </c>
      <c r="Q30" s="181">
        <v>0.0469</v>
      </c>
    </row>
    <row r="31" hidden="1">
      <c r="A31" s="183" t="s">
        <v>167</v>
      </c>
      <c r="B31" s="184">
        <v>49.0</v>
      </c>
      <c r="C31" s="195">
        <v>0.8</v>
      </c>
      <c r="D31" s="185">
        <v>1.0</v>
      </c>
      <c r="E31" s="196"/>
      <c r="F31" s="184">
        <v>48.0</v>
      </c>
      <c r="G31" s="184">
        <v>5.0</v>
      </c>
      <c r="H31" s="185">
        <v>0.104</v>
      </c>
      <c r="I31" s="183" t="s">
        <v>855</v>
      </c>
      <c r="J31" s="196"/>
      <c r="K31" s="185">
        <v>0.0204</v>
      </c>
      <c r="L31" s="185">
        <v>0.0408</v>
      </c>
      <c r="M31" s="185">
        <v>0.0204</v>
      </c>
      <c r="N31" s="185">
        <v>0.0816</v>
      </c>
      <c r="O31" s="185">
        <v>0.0204</v>
      </c>
      <c r="P31" s="183" t="s">
        <v>392</v>
      </c>
      <c r="Q31" s="186">
        <v>0.0816</v>
      </c>
    </row>
    <row r="32" hidden="1">
      <c r="A32" s="183" t="s">
        <v>680</v>
      </c>
      <c r="B32" s="184">
        <v>26.0</v>
      </c>
      <c r="C32" s="195">
        <v>0.53</v>
      </c>
      <c r="D32" s="185">
        <v>1.0</v>
      </c>
      <c r="E32" s="196"/>
      <c r="F32" s="184">
        <v>25.0</v>
      </c>
      <c r="G32" s="184">
        <v>5.0</v>
      </c>
      <c r="H32" s="185">
        <v>0.2</v>
      </c>
      <c r="I32" s="183" t="s">
        <v>855</v>
      </c>
      <c r="J32" s="196"/>
      <c r="K32" s="185">
        <v>0.1538</v>
      </c>
      <c r="L32" s="185">
        <v>0.0</v>
      </c>
      <c r="M32" s="185">
        <v>0.0</v>
      </c>
      <c r="N32" s="185">
        <v>0.0769</v>
      </c>
      <c r="O32" s="185">
        <v>0.0385</v>
      </c>
      <c r="P32" s="183" t="s">
        <v>32</v>
      </c>
      <c r="Q32" s="186">
        <v>0.1538</v>
      </c>
    </row>
    <row r="33">
      <c r="A33" s="178" t="s">
        <v>894</v>
      </c>
      <c r="B33" s="179">
        <v>56.0</v>
      </c>
      <c r="C33" s="191">
        <v>0.6</v>
      </c>
      <c r="D33" s="180">
        <v>1.0</v>
      </c>
      <c r="E33" s="192"/>
      <c r="F33" s="179">
        <v>55.0</v>
      </c>
      <c r="G33" s="179">
        <v>4.0</v>
      </c>
      <c r="H33" s="180">
        <v>0.073</v>
      </c>
      <c r="I33" s="178" t="s">
        <v>855</v>
      </c>
      <c r="J33" s="192"/>
      <c r="K33" s="180">
        <v>0.0175</v>
      </c>
      <c r="L33" s="180">
        <v>0.0</v>
      </c>
      <c r="M33" s="180">
        <v>0.0</v>
      </c>
      <c r="N33" s="180">
        <v>0.1053</v>
      </c>
      <c r="O33" s="180">
        <v>0.0526</v>
      </c>
      <c r="P33" s="178" t="s">
        <v>392</v>
      </c>
      <c r="Q33" s="181">
        <v>0.1053</v>
      </c>
    </row>
    <row r="34">
      <c r="A34" s="183" t="s">
        <v>519</v>
      </c>
      <c r="B34" s="184">
        <v>76.0</v>
      </c>
      <c r="C34" s="195">
        <v>0.34</v>
      </c>
      <c r="D34" s="185">
        <v>1.0</v>
      </c>
      <c r="E34" s="196"/>
      <c r="F34" s="184">
        <v>74.0</v>
      </c>
      <c r="G34" s="184">
        <v>4.0</v>
      </c>
      <c r="H34" s="185">
        <v>0.054</v>
      </c>
      <c r="I34" s="183" t="s">
        <v>855</v>
      </c>
      <c r="J34" s="196"/>
      <c r="K34" s="185">
        <v>0.0395</v>
      </c>
      <c r="L34" s="185">
        <v>0.0</v>
      </c>
      <c r="M34" s="185">
        <v>0.0132</v>
      </c>
      <c r="N34" s="185">
        <v>0.0395</v>
      </c>
      <c r="O34" s="185">
        <v>0.0</v>
      </c>
      <c r="P34" s="183" t="s">
        <v>32</v>
      </c>
      <c r="Q34" s="186">
        <v>0.0395</v>
      </c>
    </row>
    <row r="35">
      <c r="A35" s="178" t="s">
        <v>681</v>
      </c>
      <c r="B35" s="179">
        <v>79.0</v>
      </c>
      <c r="C35" s="191">
        <v>0.2</v>
      </c>
      <c r="D35" s="180">
        <v>1.0</v>
      </c>
      <c r="E35" s="192"/>
      <c r="F35" s="179">
        <v>79.0</v>
      </c>
      <c r="G35" s="179">
        <v>4.0</v>
      </c>
      <c r="H35" s="180">
        <v>0.051</v>
      </c>
      <c r="I35" s="178" t="s">
        <v>855</v>
      </c>
      <c r="J35" s="192"/>
      <c r="K35" s="180">
        <v>0.0315</v>
      </c>
      <c r="L35" s="180">
        <v>0.0</v>
      </c>
      <c r="M35" s="180">
        <v>0.0</v>
      </c>
      <c r="N35" s="180">
        <v>0.0236</v>
      </c>
      <c r="O35" s="180">
        <v>0.0157</v>
      </c>
      <c r="P35" s="178" t="s">
        <v>32</v>
      </c>
      <c r="Q35" s="181">
        <v>0.0315</v>
      </c>
    </row>
    <row r="36">
      <c r="A36" s="183" t="s">
        <v>618</v>
      </c>
      <c r="B36" s="184">
        <v>58.0</v>
      </c>
      <c r="C36" s="195">
        <v>0.25</v>
      </c>
      <c r="D36" s="185">
        <v>1.0</v>
      </c>
      <c r="E36" s="196"/>
      <c r="F36" s="184">
        <v>51.0</v>
      </c>
      <c r="G36" s="184">
        <v>4.0</v>
      </c>
      <c r="H36" s="185">
        <v>0.078</v>
      </c>
      <c r="I36" s="183" t="s">
        <v>855</v>
      </c>
      <c r="J36" s="196"/>
      <c r="K36" s="185">
        <v>0.0175</v>
      </c>
      <c r="L36" s="185">
        <v>0.0175</v>
      </c>
      <c r="M36" s="185">
        <v>0.0175</v>
      </c>
      <c r="N36" s="185">
        <v>0.0702</v>
      </c>
      <c r="O36" s="185">
        <v>0.0351</v>
      </c>
      <c r="P36" s="183" t="s">
        <v>392</v>
      </c>
      <c r="Q36" s="186">
        <v>0.0702</v>
      </c>
    </row>
    <row r="37">
      <c r="A37" s="178" t="s">
        <v>895</v>
      </c>
      <c r="B37" s="179">
        <v>67.0</v>
      </c>
      <c r="C37" s="191">
        <v>0.15</v>
      </c>
      <c r="D37" s="180">
        <v>1.0</v>
      </c>
      <c r="E37" s="192"/>
      <c r="F37" s="179">
        <v>65.0</v>
      </c>
      <c r="G37" s="179">
        <v>4.0</v>
      </c>
      <c r="H37" s="180">
        <v>0.062</v>
      </c>
      <c r="I37" s="178" t="s">
        <v>855</v>
      </c>
      <c r="J37" s="192"/>
      <c r="K37" s="180">
        <v>0.0149</v>
      </c>
      <c r="L37" s="180">
        <v>0.0</v>
      </c>
      <c r="M37" s="180">
        <v>0.0</v>
      </c>
      <c r="N37" s="180">
        <v>0.0448</v>
      </c>
      <c r="O37" s="180">
        <v>0.0448</v>
      </c>
      <c r="P37" s="178" t="s">
        <v>392</v>
      </c>
      <c r="Q37" s="181">
        <v>0.0448</v>
      </c>
    </row>
    <row r="38" hidden="1">
      <c r="A38" s="183" t="s">
        <v>896</v>
      </c>
      <c r="B38" s="184">
        <v>39.0</v>
      </c>
      <c r="C38" s="195">
        <v>0.25</v>
      </c>
      <c r="D38" s="185">
        <v>1.0</v>
      </c>
      <c r="E38" s="196"/>
      <c r="F38" s="184">
        <v>39.0</v>
      </c>
      <c r="G38" s="184">
        <v>4.0</v>
      </c>
      <c r="H38" s="185">
        <v>0.103</v>
      </c>
      <c r="I38" s="183" t="s">
        <v>855</v>
      </c>
      <c r="J38" s="196"/>
      <c r="K38" s="185">
        <v>0.0465</v>
      </c>
      <c r="L38" s="185">
        <v>0.0233</v>
      </c>
      <c r="M38" s="185">
        <v>0.0233</v>
      </c>
      <c r="N38" s="185">
        <v>0.093</v>
      </c>
      <c r="O38" s="185">
        <v>0.0233</v>
      </c>
      <c r="P38" s="183" t="s">
        <v>392</v>
      </c>
      <c r="Q38" s="186">
        <v>0.093</v>
      </c>
    </row>
    <row r="39">
      <c r="A39" s="178" t="s">
        <v>682</v>
      </c>
      <c r="B39" s="179">
        <v>63.0</v>
      </c>
      <c r="C39" s="191">
        <v>0.19</v>
      </c>
      <c r="D39" s="180">
        <v>1.0</v>
      </c>
      <c r="E39" s="192"/>
      <c r="F39" s="179">
        <v>63.0</v>
      </c>
      <c r="G39" s="179">
        <v>4.0</v>
      </c>
      <c r="H39" s="180">
        <v>0.063</v>
      </c>
      <c r="I39" s="178" t="s">
        <v>855</v>
      </c>
      <c r="J39" s="192"/>
      <c r="K39" s="180">
        <v>0.0159</v>
      </c>
      <c r="L39" s="180">
        <v>0.0317</v>
      </c>
      <c r="M39" s="180">
        <v>0.0</v>
      </c>
      <c r="N39" s="180">
        <v>0.0159</v>
      </c>
      <c r="O39" s="180">
        <v>0.0159</v>
      </c>
      <c r="P39" s="178" t="s">
        <v>17</v>
      </c>
      <c r="Q39" s="181">
        <v>0.0317</v>
      </c>
    </row>
    <row r="40" hidden="1">
      <c r="A40" s="183" t="s">
        <v>357</v>
      </c>
      <c r="B40" s="184">
        <v>22.0</v>
      </c>
      <c r="C40" s="195">
        <v>0.24</v>
      </c>
      <c r="D40" s="185">
        <v>1.0</v>
      </c>
      <c r="E40" s="196"/>
      <c r="F40" s="184">
        <v>15.0</v>
      </c>
      <c r="G40" s="184">
        <v>4.0</v>
      </c>
      <c r="H40" s="185">
        <v>0.267</v>
      </c>
      <c r="I40" s="183" t="s">
        <v>855</v>
      </c>
      <c r="J40" s="196"/>
      <c r="K40" s="185">
        <v>0.0</v>
      </c>
      <c r="L40" s="185">
        <v>0.0</v>
      </c>
      <c r="M40" s="185">
        <v>0.1667</v>
      </c>
      <c r="N40" s="185">
        <v>0.0833</v>
      </c>
      <c r="O40" s="185">
        <v>0.125</v>
      </c>
      <c r="P40" s="183" t="s">
        <v>402</v>
      </c>
      <c r="Q40" s="186">
        <v>0.1667</v>
      </c>
    </row>
    <row r="41" hidden="1">
      <c r="A41" s="178" t="s">
        <v>387</v>
      </c>
      <c r="B41" s="179">
        <v>34.0</v>
      </c>
      <c r="C41" s="191">
        <v>0.2</v>
      </c>
      <c r="D41" s="180">
        <v>1.0</v>
      </c>
      <c r="E41" s="192"/>
      <c r="F41" s="179">
        <v>25.0</v>
      </c>
      <c r="G41" s="179">
        <v>4.0</v>
      </c>
      <c r="H41" s="180">
        <v>0.16</v>
      </c>
      <c r="I41" s="178" t="s">
        <v>855</v>
      </c>
      <c r="J41" s="192"/>
      <c r="K41" s="180">
        <v>0.0</v>
      </c>
      <c r="L41" s="180">
        <v>0.0645</v>
      </c>
      <c r="M41" s="180">
        <v>0.0</v>
      </c>
      <c r="N41" s="180">
        <v>0.0323</v>
      </c>
      <c r="O41" s="180">
        <v>0.1935</v>
      </c>
      <c r="P41" s="178" t="s">
        <v>124</v>
      </c>
      <c r="Q41" s="181">
        <v>0.1935</v>
      </c>
    </row>
    <row r="42" hidden="1">
      <c r="A42" s="183" t="s">
        <v>607</v>
      </c>
      <c r="B42" s="184">
        <v>20.0</v>
      </c>
      <c r="C42" s="195">
        <v>1.0</v>
      </c>
      <c r="D42" s="185">
        <v>1.0</v>
      </c>
      <c r="E42" s="196"/>
      <c r="F42" s="184">
        <v>20.0</v>
      </c>
      <c r="G42" s="184">
        <v>4.0</v>
      </c>
      <c r="H42" s="185">
        <v>0.2</v>
      </c>
      <c r="I42" s="183" t="s">
        <v>855</v>
      </c>
      <c r="J42" s="196"/>
      <c r="K42" s="185">
        <v>0.0476</v>
      </c>
      <c r="L42" s="185">
        <v>0.1429</v>
      </c>
      <c r="M42" s="185">
        <v>0.0</v>
      </c>
      <c r="N42" s="185">
        <v>0.0952</v>
      </c>
      <c r="O42" s="185">
        <v>0.0</v>
      </c>
      <c r="P42" s="183" t="s">
        <v>17</v>
      </c>
      <c r="Q42" s="186">
        <v>0.1429</v>
      </c>
    </row>
    <row r="43">
      <c r="A43" s="178" t="s">
        <v>683</v>
      </c>
      <c r="B43" s="179">
        <v>76.0</v>
      </c>
      <c r="C43" s="191">
        <v>0.52</v>
      </c>
      <c r="D43" s="180">
        <v>1.0</v>
      </c>
      <c r="E43" s="192"/>
      <c r="F43" s="179">
        <v>77.0</v>
      </c>
      <c r="G43" s="179">
        <v>4.0</v>
      </c>
      <c r="H43" s="180">
        <v>0.052</v>
      </c>
      <c r="I43" s="178" t="s">
        <v>855</v>
      </c>
      <c r="J43" s="192"/>
      <c r="K43" s="180">
        <v>0.038</v>
      </c>
      <c r="L43" s="180">
        <v>0.0</v>
      </c>
      <c r="M43" s="180">
        <v>0.0</v>
      </c>
      <c r="N43" s="180">
        <v>0.0253</v>
      </c>
      <c r="O43" s="180">
        <v>0.0127</v>
      </c>
      <c r="P43" s="178" t="s">
        <v>32</v>
      </c>
      <c r="Q43" s="181">
        <v>0.038</v>
      </c>
    </row>
    <row r="44" hidden="1">
      <c r="A44" s="183" t="s">
        <v>897</v>
      </c>
      <c r="B44" s="184">
        <v>7.0</v>
      </c>
      <c r="C44" s="195">
        <v>0.24</v>
      </c>
      <c r="D44" s="185">
        <v>1.0</v>
      </c>
      <c r="E44" s="196"/>
      <c r="F44" s="184">
        <v>7.0</v>
      </c>
      <c r="G44" s="184">
        <v>4.0</v>
      </c>
      <c r="H44" s="185">
        <v>0.571</v>
      </c>
      <c r="I44" s="183" t="s">
        <v>855</v>
      </c>
      <c r="J44" s="196"/>
      <c r="K44" s="185">
        <v>0.1429</v>
      </c>
      <c r="L44" s="185">
        <v>0.0</v>
      </c>
      <c r="M44" s="185">
        <v>0.1429</v>
      </c>
      <c r="N44" s="185">
        <v>0.0</v>
      </c>
      <c r="O44" s="185">
        <v>0.2857</v>
      </c>
      <c r="P44" s="183" t="s">
        <v>124</v>
      </c>
      <c r="Q44" s="186">
        <v>0.2857</v>
      </c>
    </row>
    <row r="45" hidden="1">
      <c r="A45" s="178" t="s">
        <v>898</v>
      </c>
      <c r="B45" s="179">
        <v>32.0</v>
      </c>
      <c r="C45" s="191">
        <v>0.3</v>
      </c>
      <c r="D45" s="180">
        <v>1.0</v>
      </c>
      <c r="E45" s="192"/>
      <c r="F45" s="179">
        <v>32.0</v>
      </c>
      <c r="G45" s="179">
        <v>4.0</v>
      </c>
      <c r="H45" s="180">
        <v>0.125</v>
      </c>
      <c r="I45" s="178" t="s">
        <v>855</v>
      </c>
      <c r="J45" s="192"/>
      <c r="K45" s="180">
        <v>0.0313</v>
      </c>
      <c r="L45" s="180">
        <v>0.0</v>
      </c>
      <c r="M45" s="180">
        <v>0.0</v>
      </c>
      <c r="N45" s="180">
        <v>0.0625</v>
      </c>
      <c r="O45" s="180">
        <v>0.0938</v>
      </c>
      <c r="P45" s="178" t="s">
        <v>124</v>
      </c>
      <c r="Q45" s="181">
        <v>0.0938</v>
      </c>
    </row>
    <row r="46" hidden="1">
      <c r="A46" s="183" t="s">
        <v>684</v>
      </c>
      <c r="B46" s="184">
        <v>9.0</v>
      </c>
      <c r="C46" s="195">
        <v>0.08</v>
      </c>
      <c r="D46" s="185">
        <v>1.0</v>
      </c>
      <c r="E46" s="196"/>
      <c r="F46" s="184">
        <v>8.0</v>
      </c>
      <c r="G46" s="184">
        <v>4.0</v>
      </c>
      <c r="H46" s="185">
        <v>0.5</v>
      </c>
      <c r="I46" s="183" t="s">
        <v>855</v>
      </c>
      <c r="J46" s="196"/>
      <c r="K46" s="185">
        <v>0.4615</v>
      </c>
      <c r="L46" s="185">
        <v>0.0</v>
      </c>
      <c r="M46" s="185">
        <v>0.0</v>
      </c>
      <c r="N46" s="185">
        <v>0.2308</v>
      </c>
      <c r="O46" s="185">
        <v>0.0</v>
      </c>
      <c r="P46" s="183" t="s">
        <v>32</v>
      </c>
      <c r="Q46" s="186">
        <v>0.4615</v>
      </c>
    </row>
    <row r="47" hidden="1">
      <c r="A47" s="178" t="s">
        <v>685</v>
      </c>
      <c r="B47" s="179">
        <v>27.0</v>
      </c>
      <c r="C47" s="191">
        <v>0.18</v>
      </c>
      <c r="D47" s="180">
        <v>1.0</v>
      </c>
      <c r="E47" s="192"/>
      <c r="F47" s="179">
        <v>26.0</v>
      </c>
      <c r="G47" s="179">
        <v>4.0</v>
      </c>
      <c r="H47" s="180">
        <v>0.154</v>
      </c>
      <c r="I47" s="178" t="s">
        <v>855</v>
      </c>
      <c r="J47" s="192"/>
      <c r="K47" s="180">
        <v>0.1034</v>
      </c>
      <c r="L47" s="180">
        <v>0.0</v>
      </c>
      <c r="M47" s="180">
        <v>0.069</v>
      </c>
      <c r="N47" s="180">
        <v>0.069</v>
      </c>
      <c r="O47" s="180">
        <v>0.0345</v>
      </c>
      <c r="P47" s="178" t="s">
        <v>32</v>
      </c>
      <c r="Q47" s="181">
        <v>0.1034</v>
      </c>
    </row>
    <row r="48" hidden="1">
      <c r="A48" s="183" t="s">
        <v>899</v>
      </c>
      <c r="B48" s="184">
        <v>29.0</v>
      </c>
      <c r="C48" s="195">
        <v>0.17</v>
      </c>
      <c r="D48" s="185">
        <v>1.0</v>
      </c>
      <c r="E48" s="196"/>
      <c r="F48" s="184">
        <v>28.0</v>
      </c>
      <c r="G48" s="184">
        <v>4.0</v>
      </c>
      <c r="H48" s="185">
        <v>0.143</v>
      </c>
      <c r="I48" s="183" t="s">
        <v>855</v>
      </c>
      <c r="J48" s="196"/>
      <c r="K48" s="185">
        <v>0.0333</v>
      </c>
      <c r="L48" s="185">
        <v>0.0</v>
      </c>
      <c r="M48" s="185">
        <v>0.0333</v>
      </c>
      <c r="N48" s="185">
        <v>0.0333</v>
      </c>
      <c r="O48" s="185">
        <v>0.0667</v>
      </c>
      <c r="P48" s="183" t="s">
        <v>124</v>
      </c>
      <c r="Q48" s="186">
        <v>0.0667</v>
      </c>
    </row>
    <row r="49">
      <c r="A49" s="178" t="s">
        <v>900</v>
      </c>
      <c r="B49" s="179">
        <v>56.0</v>
      </c>
      <c r="C49" s="191">
        <v>0.86</v>
      </c>
      <c r="D49" s="180">
        <v>1.0</v>
      </c>
      <c r="E49" s="192"/>
      <c r="F49" s="179">
        <v>55.0</v>
      </c>
      <c r="G49" s="179">
        <v>4.0</v>
      </c>
      <c r="H49" s="180">
        <v>0.073</v>
      </c>
      <c r="I49" s="178" t="s">
        <v>855</v>
      </c>
      <c r="J49" s="192"/>
      <c r="K49" s="180">
        <v>0.0345</v>
      </c>
      <c r="L49" s="180">
        <v>0.0</v>
      </c>
      <c r="M49" s="180">
        <v>0.0</v>
      </c>
      <c r="N49" s="180">
        <v>0.0517</v>
      </c>
      <c r="O49" s="180">
        <v>0.0345</v>
      </c>
      <c r="P49" s="178" t="s">
        <v>392</v>
      </c>
      <c r="Q49" s="181">
        <v>0.0517</v>
      </c>
    </row>
    <row r="50" hidden="1">
      <c r="A50" s="183" t="s">
        <v>552</v>
      </c>
      <c r="B50" s="184">
        <v>37.0</v>
      </c>
      <c r="C50" s="195">
        <v>0.84</v>
      </c>
      <c r="D50" s="185">
        <v>1.0</v>
      </c>
      <c r="E50" s="196"/>
      <c r="F50" s="184">
        <v>35.0</v>
      </c>
      <c r="G50" s="184">
        <v>4.0</v>
      </c>
      <c r="H50" s="185">
        <v>0.114</v>
      </c>
      <c r="I50" s="183" t="s">
        <v>855</v>
      </c>
      <c r="J50" s="196"/>
      <c r="K50" s="185">
        <v>0.0263</v>
      </c>
      <c r="L50" s="185">
        <v>0.0263</v>
      </c>
      <c r="M50" s="185">
        <v>0.0263</v>
      </c>
      <c r="N50" s="185">
        <v>0.0526</v>
      </c>
      <c r="O50" s="185">
        <v>0.0263</v>
      </c>
      <c r="P50" s="183" t="s">
        <v>392</v>
      </c>
      <c r="Q50" s="186">
        <v>0.0526</v>
      </c>
    </row>
    <row r="51">
      <c r="A51" s="178" t="s">
        <v>901</v>
      </c>
      <c r="B51" s="179">
        <v>53.0</v>
      </c>
      <c r="C51" s="191">
        <v>0.32</v>
      </c>
      <c r="D51" s="180">
        <v>1.0</v>
      </c>
      <c r="E51" s="192"/>
      <c r="F51" s="179">
        <v>55.0</v>
      </c>
      <c r="G51" s="179">
        <v>4.0</v>
      </c>
      <c r="H51" s="180">
        <v>0.073</v>
      </c>
      <c r="I51" s="178" t="s">
        <v>855</v>
      </c>
      <c r="J51" s="192"/>
      <c r="K51" s="180">
        <v>0.0182</v>
      </c>
      <c r="L51" s="180">
        <v>0.0182</v>
      </c>
      <c r="M51" s="180">
        <v>0.0</v>
      </c>
      <c r="N51" s="180">
        <v>0.0364</v>
      </c>
      <c r="O51" s="180">
        <v>0.0364</v>
      </c>
      <c r="P51" s="178" t="s">
        <v>392</v>
      </c>
      <c r="Q51" s="181">
        <v>0.0364</v>
      </c>
    </row>
    <row r="52">
      <c r="A52" s="183" t="s">
        <v>709</v>
      </c>
      <c r="B52" s="184">
        <v>76.0</v>
      </c>
      <c r="C52" s="195">
        <v>0.46</v>
      </c>
      <c r="D52" s="185">
        <v>1.0</v>
      </c>
      <c r="E52" s="196"/>
      <c r="F52" s="184">
        <v>73.0</v>
      </c>
      <c r="G52" s="184">
        <v>4.0</v>
      </c>
      <c r="H52" s="185">
        <v>0.055</v>
      </c>
      <c r="I52" s="183" t="s">
        <v>855</v>
      </c>
      <c r="J52" s="196"/>
      <c r="K52" s="185">
        <v>0.013</v>
      </c>
      <c r="L52" s="185">
        <v>0.039</v>
      </c>
      <c r="M52" s="185">
        <v>0.0</v>
      </c>
      <c r="N52" s="185">
        <v>0.0779</v>
      </c>
      <c r="O52" s="185">
        <v>0.013</v>
      </c>
      <c r="P52" s="183" t="s">
        <v>392</v>
      </c>
      <c r="Q52" s="186">
        <v>0.0779</v>
      </c>
    </row>
    <row r="53">
      <c r="A53" s="178" t="s">
        <v>902</v>
      </c>
      <c r="B53" s="179">
        <v>75.0</v>
      </c>
      <c r="C53" s="191">
        <v>0.97</v>
      </c>
      <c r="D53" s="180">
        <v>1.0</v>
      </c>
      <c r="E53" s="192"/>
      <c r="F53" s="179">
        <v>74.0</v>
      </c>
      <c r="G53" s="179">
        <v>4.0</v>
      </c>
      <c r="H53" s="180">
        <v>0.054</v>
      </c>
      <c r="I53" s="178" t="s">
        <v>855</v>
      </c>
      <c r="J53" s="192"/>
      <c r="K53" s="180">
        <v>0.0385</v>
      </c>
      <c r="L53" s="180">
        <v>0.0128</v>
      </c>
      <c r="M53" s="180">
        <v>0.0128</v>
      </c>
      <c r="N53" s="180">
        <v>0.1154</v>
      </c>
      <c r="O53" s="180">
        <v>0.0</v>
      </c>
      <c r="P53" s="178" t="s">
        <v>392</v>
      </c>
      <c r="Q53" s="181">
        <v>0.1154</v>
      </c>
    </row>
  </sheetData>
  <autoFilter ref="$A$1:$Q$53">
    <filterColumn colId="1">
      <customFilters>
        <customFilter operator="greaterThan" val="50"/>
      </customFilters>
    </filterColumn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</cols>
  <sheetData>
    <row r="1">
      <c r="A1" s="176" t="s">
        <v>903</v>
      </c>
      <c r="B1" s="199" t="s">
        <v>904</v>
      </c>
      <c r="C1" s="176" t="s">
        <v>849</v>
      </c>
      <c r="D1" s="176" t="s">
        <v>868</v>
      </c>
      <c r="E1" s="176" t="s">
        <v>905</v>
      </c>
      <c r="F1" s="176" t="s">
        <v>850</v>
      </c>
      <c r="G1" s="176" t="s">
        <v>851</v>
      </c>
      <c r="H1" s="176" t="s">
        <v>852</v>
      </c>
      <c r="I1" s="176" t="s">
        <v>853</v>
      </c>
      <c r="J1" s="176" t="s">
        <v>120</v>
      </c>
      <c r="K1" s="176" t="s">
        <v>77</v>
      </c>
      <c r="L1" s="176" t="s">
        <v>493</v>
      </c>
      <c r="M1" s="176" t="s">
        <v>374</v>
      </c>
      <c r="N1" s="176" t="s">
        <v>906</v>
      </c>
      <c r="O1" s="176" t="s">
        <v>907</v>
      </c>
      <c r="P1" s="177" t="s">
        <v>908</v>
      </c>
    </row>
    <row r="2">
      <c r="A2" s="200" t="s">
        <v>503</v>
      </c>
      <c r="B2" s="201" t="s">
        <v>909</v>
      </c>
      <c r="C2" s="202">
        <v>14.0</v>
      </c>
      <c r="D2" s="203">
        <v>1.0</v>
      </c>
      <c r="E2" s="204" t="s">
        <v>910</v>
      </c>
      <c r="F2" s="202">
        <v>11.0</v>
      </c>
      <c r="G2" s="202">
        <v>4.0</v>
      </c>
      <c r="H2" s="205">
        <v>0.364</v>
      </c>
      <c r="I2" s="206" t="s">
        <v>855</v>
      </c>
      <c r="J2" s="205">
        <v>0.25</v>
      </c>
      <c r="K2" s="205">
        <v>0.0833</v>
      </c>
      <c r="L2" s="205">
        <v>0.1667</v>
      </c>
      <c r="M2" s="205">
        <v>0.0</v>
      </c>
      <c r="N2" s="205">
        <v>0.0</v>
      </c>
      <c r="O2" s="206" t="s">
        <v>32</v>
      </c>
      <c r="P2" s="205">
        <v>0.25</v>
      </c>
    </row>
    <row r="3">
      <c r="A3" s="200" t="s">
        <v>534</v>
      </c>
      <c r="B3" s="201" t="s">
        <v>909</v>
      </c>
      <c r="C3" s="202">
        <v>72.0</v>
      </c>
      <c r="D3" s="203">
        <v>0.9</v>
      </c>
      <c r="E3" s="204" t="s">
        <v>910</v>
      </c>
      <c r="F3" s="202">
        <v>43.0</v>
      </c>
      <c r="G3" s="202">
        <v>17.0</v>
      </c>
      <c r="H3" s="205">
        <v>0.395</v>
      </c>
      <c r="I3" s="206" t="s">
        <v>855</v>
      </c>
      <c r="J3" s="205">
        <v>0.1111</v>
      </c>
      <c r="K3" s="205">
        <v>0.1481</v>
      </c>
      <c r="L3" s="205">
        <v>0.0185</v>
      </c>
      <c r="M3" s="205">
        <v>0.037</v>
      </c>
      <c r="N3" s="205">
        <v>0.0741</v>
      </c>
      <c r="O3" s="206" t="s">
        <v>17</v>
      </c>
      <c r="P3" s="205">
        <v>0.1481</v>
      </c>
    </row>
    <row r="4">
      <c r="A4" s="207" t="s">
        <v>426</v>
      </c>
      <c r="B4" s="201" t="s">
        <v>909</v>
      </c>
      <c r="C4" s="202">
        <v>15.0</v>
      </c>
      <c r="D4" s="203">
        <v>0.5</v>
      </c>
      <c r="E4" s="204" t="s">
        <v>910</v>
      </c>
      <c r="F4" s="202">
        <v>9.0</v>
      </c>
      <c r="G4" s="202">
        <v>3.0</v>
      </c>
      <c r="H4" s="205">
        <v>0.333</v>
      </c>
      <c r="I4" s="206" t="s">
        <v>855</v>
      </c>
      <c r="J4" s="205">
        <v>0.1</v>
      </c>
      <c r="K4" s="205">
        <v>0.1</v>
      </c>
      <c r="L4" s="205">
        <v>0.2</v>
      </c>
      <c r="M4" s="205">
        <v>0.0</v>
      </c>
      <c r="N4" s="205">
        <v>0.1</v>
      </c>
      <c r="O4" s="206" t="s">
        <v>588</v>
      </c>
      <c r="P4" s="208">
        <v>0.2</v>
      </c>
    </row>
    <row r="5">
      <c r="A5" s="209" t="s">
        <v>354</v>
      </c>
      <c r="B5" s="201" t="s">
        <v>909</v>
      </c>
      <c r="C5" s="202">
        <v>12.0</v>
      </c>
      <c r="D5" s="203">
        <v>0.29</v>
      </c>
      <c r="E5" s="204" t="s">
        <v>910</v>
      </c>
      <c r="F5" s="202">
        <v>8.0</v>
      </c>
      <c r="G5" s="202">
        <v>4.0</v>
      </c>
      <c r="H5" s="205">
        <v>0.5</v>
      </c>
      <c r="I5" s="206" t="s">
        <v>855</v>
      </c>
      <c r="J5" s="205">
        <v>0.0</v>
      </c>
      <c r="K5" s="205">
        <v>0.0</v>
      </c>
      <c r="L5" s="205">
        <v>0.1</v>
      </c>
      <c r="M5" s="205">
        <v>0.0</v>
      </c>
      <c r="N5" s="205">
        <v>0.4</v>
      </c>
      <c r="O5" s="206" t="s">
        <v>124</v>
      </c>
      <c r="P5" s="208">
        <v>0.4</v>
      </c>
    </row>
    <row r="6">
      <c r="A6" s="200" t="s">
        <v>503</v>
      </c>
      <c r="B6" s="201" t="s">
        <v>909</v>
      </c>
      <c r="C6" s="210">
        <v>26.0</v>
      </c>
      <c r="D6" s="211">
        <v>1.0</v>
      </c>
      <c r="E6" s="212" t="s">
        <v>911</v>
      </c>
      <c r="F6" s="210">
        <v>16.0</v>
      </c>
      <c r="G6" s="210">
        <v>5.0</v>
      </c>
      <c r="H6" s="213">
        <v>0.313</v>
      </c>
      <c r="I6" s="214" t="s">
        <v>855</v>
      </c>
      <c r="J6" s="213">
        <v>0.1818</v>
      </c>
      <c r="K6" s="213">
        <v>0.0</v>
      </c>
      <c r="L6" s="213">
        <v>0.0455</v>
      </c>
      <c r="M6" s="213">
        <v>0.0455</v>
      </c>
      <c r="N6" s="213">
        <v>0.0909</v>
      </c>
      <c r="O6" s="214" t="s">
        <v>32</v>
      </c>
      <c r="P6" s="215">
        <v>0.1818</v>
      </c>
    </row>
    <row r="7">
      <c r="A7" s="200" t="s">
        <v>534</v>
      </c>
      <c r="B7" s="201" t="s">
        <v>909</v>
      </c>
      <c r="C7" s="210">
        <v>154.0</v>
      </c>
      <c r="D7" s="211">
        <v>0.6</v>
      </c>
      <c r="E7" s="212" t="s">
        <v>911</v>
      </c>
      <c r="F7" s="210">
        <v>125.0</v>
      </c>
      <c r="G7" s="210">
        <v>44.0</v>
      </c>
      <c r="H7" s="213">
        <v>0.352</v>
      </c>
      <c r="I7" s="214" t="s">
        <v>855</v>
      </c>
      <c r="J7" s="213">
        <v>0.0314</v>
      </c>
      <c r="K7" s="213">
        <v>0.3019</v>
      </c>
      <c r="L7" s="213">
        <v>0.0629</v>
      </c>
      <c r="M7" s="213">
        <v>0.0252</v>
      </c>
      <c r="N7" s="213">
        <v>0.0063</v>
      </c>
      <c r="O7" s="214" t="s">
        <v>17</v>
      </c>
      <c r="P7" s="215">
        <v>0.3019</v>
      </c>
    </row>
    <row r="8">
      <c r="A8" s="207" t="s">
        <v>426</v>
      </c>
      <c r="B8" s="201" t="s">
        <v>909</v>
      </c>
      <c r="C8" s="216">
        <v>21.0</v>
      </c>
      <c r="D8" s="217">
        <v>0.33</v>
      </c>
      <c r="E8" s="212" t="s">
        <v>911</v>
      </c>
      <c r="F8" s="216">
        <v>12.0</v>
      </c>
      <c r="G8" s="216">
        <v>4.0</v>
      </c>
      <c r="H8" s="218">
        <v>0.333</v>
      </c>
      <c r="I8" s="219" t="s">
        <v>855</v>
      </c>
      <c r="J8" s="218">
        <v>0.1</v>
      </c>
      <c r="K8" s="218">
        <v>0.1</v>
      </c>
      <c r="L8" s="218">
        <v>0.25</v>
      </c>
      <c r="M8" s="218">
        <v>0.25</v>
      </c>
      <c r="N8" s="218">
        <v>0.05</v>
      </c>
      <c r="O8" s="219" t="s">
        <v>392</v>
      </c>
      <c r="P8" s="220">
        <v>0.25</v>
      </c>
    </row>
    <row r="9">
      <c r="A9" s="209" t="s">
        <v>354</v>
      </c>
      <c r="B9" s="201" t="s">
        <v>909</v>
      </c>
      <c r="C9" s="216">
        <v>16.0</v>
      </c>
      <c r="D9" s="217">
        <v>0.23</v>
      </c>
      <c r="E9" s="212" t="s">
        <v>911</v>
      </c>
      <c r="F9" s="216">
        <v>11.0</v>
      </c>
      <c r="G9" s="216">
        <v>7.0</v>
      </c>
      <c r="H9" s="218">
        <v>0.636</v>
      </c>
      <c r="I9" s="219" t="s">
        <v>855</v>
      </c>
      <c r="J9" s="218">
        <v>0.1053</v>
      </c>
      <c r="K9" s="218">
        <v>0.0</v>
      </c>
      <c r="L9" s="218">
        <v>0.1579</v>
      </c>
      <c r="M9" s="218">
        <v>0.3158</v>
      </c>
      <c r="N9" s="218">
        <v>0.0</v>
      </c>
      <c r="O9" s="219" t="s">
        <v>124</v>
      </c>
      <c r="P9" s="220">
        <v>0.3158</v>
      </c>
    </row>
    <row r="10">
      <c r="A10" s="209" t="s">
        <v>363</v>
      </c>
      <c r="B10" s="201" t="s">
        <v>909</v>
      </c>
      <c r="C10" s="216">
        <v>13.0</v>
      </c>
      <c r="D10" s="217">
        <v>0.19</v>
      </c>
      <c r="E10" s="212" t="s">
        <v>911</v>
      </c>
      <c r="F10" s="216">
        <v>11.0</v>
      </c>
      <c r="G10" s="216">
        <v>6.0</v>
      </c>
      <c r="H10" s="218">
        <v>0.545</v>
      </c>
      <c r="I10" s="219" t="s">
        <v>855</v>
      </c>
      <c r="J10" s="218">
        <v>0.125</v>
      </c>
      <c r="K10" s="218">
        <v>0.25</v>
      </c>
      <c r="L10" s="218">
        <v>0.0625</v>
      </c>
      <c r="M10" s="218">
        <v>0.1875</v>
      </c>
      <c r="N10" s="218">
        <v>0.0625</v>
      </c>
      <c r="O10" s="219" t="s">
        <v>17</v>
      </c>
      <c r="P10" s="220">
        <v>0.25</v>
      </c>
    </row>
    <row r="11">
      <c r="A11" s="200" t="s">
        <v>618</v>
      </c>
      <c r="B11" s="201" t="s">
        <v>909</v>
      </c>
      <c r="C11" s="221">
        <v>61.0</v>
      </c>
      <c r="D11" s="222">
        <v>0.32</v>
      </c>
      <c r="E11" s="223" t="s">
        <v>912</v>
      </c>
      <c r="F11" s="221">
        <v>54.0</v>
      </c>
      <c r="G11" s="221">
        <v>8.0</v>
      </c>
      <c r="H11" s="224">
        <v>0.148</v>
      </c>
      <c r="I11" s="225" t="s">
        <v>855</v>
      </c>
      <c r="J11" s="224">
        <v>0.0862</v>
      </c>
      <c r="K11" s="224">
        <v>0.0</v>
      </c>
      <c r="L11" s="224">
        <v>0.0172</v>
      </c>
      <c r="M11" s="224">
        <v>0.069</v>
      </c>
      <c r="N11" s="224">
        <v>0.0345</v>
      </c>
      <c r="O11" s="225" t="s">
        <v>307</v>
      </c>
      <c r="P11" s="224">
        <v>0.0862</v>
      </c>
    </row>
    <row r="12">
      <c r="A12" s="200" t="s">
        <v>888</v>
      </c>
      <c r="B12" s="201" t="s">
        <v>909</v>
      </c>
      <c r="C12" s="226">
        <v>101.0</v>
      </c>
      <c r="D12" s="227">
        <v>0.58</v>
      </c>
      <c r="E12" s="228" t="s">
        <v>913</v>
      </c>
      <c r="F12" s="226">
        <v>94.0</v>
      </c>
      <c r="G12" s="226">
        <v>6.0</v>
      </c>
      <c r="H12" s="229">
        <v>0.064</v>
      </c>
      <c r="I12" s="230" t="s">
        <v>855</v>
      </c>
      <c r="J12" s="229">
        <v>0.0286</v>
      </c>
      <c r="K12" s="229">
        <v>0.0</v>
      </c>
      <c r="L12" s="229">
        <v>0.0381</v>
      </c>
      <c r="M12" s="229">
        <v>0.0476</v>
      </c>
      <c r="N12" s="229">
        <v>0.0</v>
      </c>
      <c r="O12" s="230" t="s">
        <v>392</v>
      </c>
      <c r="P12" s="231">
        <v>0.0476</v>
      </c>
    </row>
    <row r="13">
      <c r="A13" s="200" t="s">
        <v>888</v>
      </c>
      <c r="B13" s="201" t="s">
        <v>909</v>
      </c>
      <c r="C13" s="232">
        <v>148.0</v>
      </c>
      <c r="D13" s="233">
        <v>0.64</v>
      </c>
      <c r="E13" s="234" t="s">
        <v>914</v>
      </c>
      <c r="F13" s="232">
        <v>135.0</v>
      </c>
      <c r="G13" s="232">
        <v>10.0</v>
      </c>
      <c r="H13" s="235">
        <v>0.074</v>
      </c>
      <c r="I13" s="236" t="s">
        <v>855</v>
      </c>
      <c r="J13" s="235">
        <v>0.0138</v>
      </c>
      <c r="K13" s="235">
        <v>0.0069</v>
      </c>
      <c r="L13" s="235">
        <v>0.0</v>
      </c>
      <c r="M13" s="235">
        <v>0.0414</v>
      </c>
      <c r="N13" s="235">
        <v>0.0483</v>
      </c>
      <c r="O13" s="236" t="s">
        <v>392</v>
      </c>
      <c r="P13" s="237">
        <v>0.0483</v>
      </c>
    </row>
    <row r="14">
      <c r="A14" s="200" t="s">
        <v>503</v>
      </c>
      <c r="B14" s="201" t="s">
        <v>909</v>
      </c>
      <c r="C14" s="232">
        <v>30.0</v>
      </c>
      <c r="D14" s="233">
        <v>0.94</v>
      </c>
      <c r="E14" s="234" t="s">
        <v>914</v>
      </c>
      <c r="F14" s="232">
        <v>23.0</v>
      </c>
      <c r="G14" s="232">
        <v>9.0</v>
      </c>
      <c r="H14" s="235">
        <v>0.391</v>
      </c>
      <c r="I14" s="236" t="s">
        <v>855</v>
      </c>
      <c r="J14" s="235">
        <v>0.1667</v>
      </c>
      <c r="K14" s="235">
        <v>0.0278</v>
      </c>
      <c r="L14" s="235">
        <v>0.1111</v>
      </c>
      <c r="M14" s="235">
        <v>0.1111</v>
      </c>
      <c r="N14" s="235">
        <v>0.0278</v>
      </c>
      <c r="O14" s="236" t="s">
        <v>402</v>
      </c>
      <c r="P14" s="235">
        <v>0.1667</v>
      </c>
    </row>
    <row r="15">
      <c r="A15" s="200" t="s">
        <v>618</v>
      </c>
      <c r="B15" s="201" t="s">
        <v>909</v>
      </c>
      <c r="C15" s="232">
        <v>58.0</v>
      </c>
      <c r="D15" s="233">
        <v>0.25</v>
      </c>
      <c r="E15" s="234" t="s">
        <v>914</v>
      </c>
      <c r="F15" s="232">
        <v>51.0</v>
      </c>
      <c r="G15" s="232">
        <v>4.0</v>
      </c>
      <c r="H15" s="235">
        <v>0.078</v>
      </c>
      <c r="I15" s="236" t="s">
        <v>855</v>
      </c>
      <c r="J15" s="235">
        <v>0.0175</v>
      </c>
      <c r="K15" s="235">
        <v>0.0175</v>
      </c>
      <c r="L15" s="235">
        <v>0.0175</v>
      </c>
      <c r="M15" s="235">
        <v>0.0702</v>
      </c>
      <c r="N15" s="235">
        <v>0.0351</v>
      </c>
      <c r="O15" s="236" t="s">
        <v>392</v>
      </c>
      <c r="P15" s="237">
        <v>0.0702</v>
      </c>
    </row>
    <row r="16">
      <c r="A16" s="207" t="s">
        <v>426</v>
      </c>
      <c r="B16" s="201" t="s">
        <v>909</v>
      </c>
      <c r="C16" s="232">
        <v>29.0</v>
      </c>
      <c r="D16" s="233">
        <v>0.32</v>
      </c>
      <c r="E16" s="234" t="s">
        <v>914</v>
      </c>
      <c r="F16" s="232">
        <v>21.0</v>
      </c>
      <c r="G16" s="232">
        <v>8.0</v>
      </c>
      <c r="H16" s="235">
        <v>0.381</v>
      </c>
      <c r="I16" s="236" t="s">
        <v>855</v>
      </c>
      <c r="J16" s="235">
        <v>0.0714</v>
      </c>
      <c r="K16" s="235">
        <v>0.0714</v>
      </c>
      <c r="L16" s="235">
        <v>0.0</v>
      </c>
      <c r="M16" s="235">
        <v>0.1429</v>
      </c>
      <c r="N16" s="235">
        <v>0.2143</v>
      </c>
      <c r="O16" s="236" t="s">
        <v>124</v>
      </c>
      <c r="P16" s="237">
        <v>0.2143</v>
      </c>
    </row>
    <row r="17">
      <c r="A17" s="207" t="s">
        <v>357</v>
      </c>
      <c r="B17" s="201" t="s">
        <v>909</v>
      </c>
      <c r="C17" s="232">
        <v>22.0</v>
      </c>
      <c r="D17" s="233">
        <v>0.24</v>
      </c>
      <c r="E17" s="234" t="s">
        <v>914</v>
      </c>
      <c r="F17" s="232">
        <v>15.0</v>
      </c>
      <c r="G17" s="232">
        <v>4.0</v>
      </c>
      <c r="H17" s="235">
        <v>0.267</v>
      </c>
      <c r="I17" s="236" t="s">
        <v>855</v>
      </c>
      <c r="J17" s="235">
        <v>0.0</v>
      </c>
      <c r="K17" s="235">
        <v>0.0</v>
      </c>
      <c r="L17" s="235">
        <v>0.1667</v>
      </c>
      <c r="M17" s="235">
        <v>0.0833</v>
      </c>
      <c r="N17" s="235">
        <v>0.125</v>
      </c>
      <c r="O17" s="236" t="s">
        <v>402</v>
      </c>
      <c r="P17" s="237">
        <v>0.1667</v>
      </c>
    </row>
    <row r="18">
      <c r="A18" s="209" t="s">
        <v>354</v>
      </c>
      <c r="B18" s="201" t="s">
        <v>909</v>
      </c>
      <c r="C18" s="232">
        <v>42.0</v>
      </c>
      <c r="D18" s="233">
        <v>0.25</v>
      </c>
      <c r="E18" s="234" t="s">
        <v>914</v>
      </c>
      <c r="F18" s="232">
        <v>31.0</v>
      </c>
      <c r="G18" s="232">
        <v>14.0</v>
      </c>
      <c r="H18" s="235">
        <v>0.452</v>
      </c>
      <c r="I18" s="236" t="s">
        <v>855</v>
      </c>
      <c r="J18" s="235">
        <v>0.0204</v>
      </c>
      <c r="K18" s="235">
        <v>0.0</v>
      </c>
      <c r="L18" s="235">
        <v>0.0408</v>
      </c>
      <c r="M18" s="235">
        <v>0.0816</v>
      </c>
      <c r="N18" s="235">
        <v>0.2857</v>
      </c>
      <c r="O18" s="236" t="s">
        <v>392</v>
      </c>
      <c r="P18" s="237">
        <v>0.2857</v>
      </c>
    </row>
    <row r="19">
      <c r="A19" s="209" t="s">
        <v>676</v>
      </c>
      <c r="B19" s="201" t="s">
        <v>909</v>
      </c>
      <c r="C19" s="232">
        <v>13.0</v>
      </c>
      <c r="D19" s="233">
        <v>0.08</v>
      </c>
      <c r="E19" s="234" t="s">
        <v>914</v>
      </c>
      <c r="F19" s="232">
        <v>9.0</v>
      </c>
      <c r="G19" s="232">
        <v>5.0</v>
      </c>
      <c r="H19" s="235">
        <v>0.556</v>
      </c>
      <c r="I19" s="236" t="s">
        <v>855</v>
      </c>
      <c r="J19" s="235">
        <v>0.0</v>
      </c>
      <c r="K19" s="235">
        <v>0.3</v>
      </c>
      <c r="L19" s="235">
        <v>0.0</v>
      </c>
      <c r="M19" s="235">
        <v>0.15</v>
      </c>
      <c r="N19" s="235">
        <v>0.3</v>
      </c>
      <c r="O19" s="236" t="s">
        <v>17</v>
      </c>
      <c r="P19" s="237">
        <v>0.3</v>
      </c>
    </row>
    <row r="20">
      <c r="A20" s="209" t="s">
        <v>702</v>
      </c>
      <c r="B20" s="201" t="s">
        <v>909</v>
      </c>
      <c r="C20" s="232">
        <v>7.0</v>
      </c>
      <c r="D20" s="233">
        <v>0.04</v>
      </c>
      <c r="E20" s="234" t="s">
        <v>914</v>
      </c>
      <c r="F20" s="232">
        <v>7.0</v>
      </c>
      <c r="G20" s="232">
        <v>5.0</v>
      </c>
      <c r="H20" s="235">
        <v>0.714</v>
      </c>
      <c r="I20" s="236" t="s">
        <v>855</v>
      </c>
      <c r="J20" s="235">
        <v>0.1</v>
      </c>
      <c r="K20" s="235">
        <v>0.1</v>
      </c>
      <c r="L20" s="235">
        <v>0.1</v>
      </c>
      <c r="M20" s="235">
        <v>0.1</v>
      </c>
      <c r="N20" s="235">
        <v>0.3</v>
      </c>
      <c r="O20" s="236" t="s">
        <v>402</v>
      </c>
      <c r="P20" s="237">
        <v>0.3</v>
      </c>
    </row>
    <row r="21">
      <c r="B21" s="238"/>
    </row>
    <row r="22">
      <c r="B22" s="238"/>
    </row>
    <row r="23">
      <c r="B23" s="238"/>
    </row>
    <row r="24">
      <c r="B24" s="238"/>
    </row>
    <row r="25">
      <c r="B25" s="238"/>
    </row>
    <row r="26">
      <c r="B26" s="238"/>
    </row>
    <row r="27">
      <c r="B27" s="238"/>
    </row>
    <row r="28">
      <c r="B28" s="238"/>
    </row>
    <row r="29">
      <c r="B29" s="238"/>
    </row>
    <row r="30">
      <c r="B30" s="238"/>
    </row>
    <row r="31">
      <c r="B31" s="238"/>
    </row>
    <row r="32">
      <c r="B32" s="238"/>
    </row>
    <row r="33">
      <c r="B33" s="238"/>
    </row>
    <row r="34">
      <c r="B34" s="238"/>
    </row>
    <row r="35">
      <c r="B35" s="238"/>
    </row>
    <row r="36">
      <c r="B36" s="238"/>
    </row>
    <row r="37">
      <c r="B37" s="238"/>
    </row>
    <row r="38">
      <c r="B38" s="238"/>
    </row>
    <row r="39">
      <c r="B39" s="238"/>
    </row>
    <row r="40">
      <c r="B40" s="238"/>
    </row>
    <row r="41">
      <c r="B41" s="238"/>
    </row>
    <row r="42">
      <c r="B42" s="238"/>
    </row>
    <row r="43">
      <c r="B43" s="238"/>
    </row>
    <row r="44">
      <c r="B44" s="238"/>
    </row>
    <row r="45">
      <c r="B45" s="238"/>
    </row>
    <row r="46">
      <c r="B46" s="238"/>
    </row>
    <row r="47">
      <c r="B47" s="238"/>
    </row>
    <row r="48">
      <c r="B48" s="238"/>
    </row>
    <row r="49">
      <c r="B49" s="238"/>
    </row>
    <row r="50">
      <c r="B50" s="238"/>
    </row>
    <row r="51">
      <c r="B51" s="238"/>
    </row>
    <row r="52">
      <c r="B52" s="238"/>
    </row>
    <row r="53">
      <c r="B53" s="238"/>
    </row>
    <row r="54">
      <c r="B54" s="238"/>
    </row>
    <row r="55">
      <c r="B55" s="238"/>
    </row>
    <row r="56">
      <c r="B56" s="238"/>
    </row>
    <row r="57">
      <c r="B57" s="238"/>
    </row>
    <row r="58">
      <c r="B58" s="238"/>
    </row>
    <row r="59">
      <c r="B59" s="238"/>
    </row>
    <row r="60">
      <c r="B60" s="238"/>
    </row>
    <row r="61">
      <c r="B61" s="238"/>
    </row>
    <row r="62">
      <c r="B62" s="238"/>
    </row>
    <row r="63">
      <c r="B63" s="238"/>
    </row>
    <row r="64">
      <c r="B64" s="238"/>
    </row>
    <row r="65">
      <c r="B65" s="238"/>
    </row>
    <row r="66">
      <c r="B66" s="238"/>
    </row>
    <row r="67">
      <c r="B67" s="238"/>
    </row>
    <row r="68">
      <c r="B68" s="238"/>
    </row>
    <row r="69">
      <c r="B69" s="238"/>
    </row>
    <row r="70">
      <c r="B70" s="238"/>
    </row>
    <row r="71">
      <c r="B71" s="238"/>
    </row>
    <row r="72">
      <c r="B72" s="238"/>
    </row>
    <row r="73">
      <c r="B73" s="238"/>
    </row>
    <row r="74">
      <c r="B74" s="238"/>
    </row>
    <row r="75">
      <c r="B75" s="238"/>
    </row>
    <row r="76">
      <c r="B76" s="238"/>
    </row>
    <row r="77">
      <c r="B77" s="238"/>
    </row>
    <row r="78">
      <c r="B78" s="238"/>
    </row>
    <row r="79">
      <c r="B79" s="238"/>
    </row>
    <row r="80">
      <c r="B80" s="238"/>
    </row>
    <row r="81">
      <c r="B81" s="238"/>
    </row>
    <row r="82">
      <c r="B82" s="238"/>
    </row>
    <row r="83">
      <c r="B83" s="238"/>
    </row>
    <row r="84">
      <c r="B84" s="238"/>
    </row>
    <row r="85">
      <c r="B85" s="238"/>
    </row>
    <row r="86">
      <c r="B86" s="238"/>
    </row>
    <row r="87">
      <c r="B87" s="238"/>
    </row>
    <row r="88">
      <c r="B88" s="238"/>
    </row>
    <row r="89">
      <c r="B89" s="238"/>
    </row>
    <row r="90">
      <c r="B90" s="238"/>
    </row>
    <row r="91">
      <c r="B91" s="238"/>
    </row>
    <row r="92">
      <c r="B92" s="238"/>
    </row>
    <row r="93">
      <c r="B93" s="238"/>
    </row>
    <row r="94">
      <c r="B94" s="238"/>
    </row>
    <row r="95">
      <c r="B95" s="238"/>
    </row>
    <row r="96">
      <c r="B96" s="238"/>
    </row>
    <row r="97">
      <c r="B97" s="238"/>
    </row>
    <row r="98">
      <c r="B98" s="238"/>
    </row>
    <row r="99">
      <c r="B99" s="238"/>
    </row>
    <row r="100">
      <c r="B100" s="238"/>
    </row>
    <row r="101">
      <c r="B101" s="238"/>
    </row>
    <row r="102">
      <c r="B102" s="238"/>
    </row>
    <row r="103">
      <c r="B103" s="238"/>
    </row>
    <row r="104">
      <c r="B104" s="238"/>
    </row>
    <row r="105">
      <c r="B105" s="238"/>
    </row>
    <row r="106">
      <c r="B106" s="238"/>
    </row>
    <row r="107">
      <c r="B107" s="238"/>
    </row>
    <row r="108">
      <c r="B108" s="238"/>
    </row>
    <row r="109">
      <c r="B109" s="238"/>
    </row>
    <row r="110">
      <c r="B110" s="238"/>
    </row>
    <row r="111">
      <c r="B111" s="238"/>
    </row>
    <row r="112">
      <c r="B112" s="238"/>
    </row>
    <row r="113">
      <c r="B113" s="238"/>
    </row>
    <row r="114">
      <c r="B114" s="238"/>
    </row>
    <row r="115">
      <c r="B115" s="238"/>
    </row>
    <row r="116">
      <c r="B116" s="238"/>
    </row>
    <row r="117">
      <c r="B117" s="238"/>
    </row>
    <row r="118">
      <c r="B118" s="238"/>
    </row>
    <row r="119">
      <c r="B119" s="238"/>
    </row>
    <row r="120">
      <c r="B120" s="238"/>
    </row>
    <row r="121">
      <c r="B121" s="238"/>
    </row>
    <row r="122">
      <c r="B122" s="238"/>
    </row>
    <row r="123">
      <c r="B123" s="238"/>
    </row>
    <row r="124">
      <c r="B124" s="238"/>
    </row>
    <row r="125">
      <c r="B125" s="238"/>
    </row>
    <row r="126">
      <c r="B126" s="238"/>
    </row>
    <row r="127">
      <c r="B127" s="238"/>
    </row>
    <row r="128">
      <c r="B128" s="238"/>
    </row>
    <row r="129">
      <c r="B129" s="238"/>
    </row>
    <row r="130">
      <c r="B130" s="238"/>
    </row>
    <row r="131">
      <c r="B131" s="238"/>
    </row>
    <row r="132">
      <c r="B132" s="238"/>
    </row>
    <row r="133">
      <c r="B133" s="238"/>
    </row>
    <row r="134">
      <c r="B134" s="238"/>
    </row>
    <row r="135">
      <c r="B135" s="238"/>
    </row>
    <row r="136">
      <c r="B136" s="238"/>
    </row>
    <row r="137">
      <c r="B137" s="238"/>
    </row>
    <row r="138">
      <c r="B138" s="238"/>
    </row>
    <row r="139">
      <c r="B139" s="238"/>
    </row>
    <row r="140">
      <c r="B140" s="238"/>
    </row>
    <row r="141">
      <c r="B141" s="238"/>
    </row>
    <row r="142">
      <c r="B142" s="238"/>
    </row>
    <row r="143">
      <c r="B143" s="238"/>
    </row>
    <row r="144">
      <c r="B144" s="238"/>
    </row>
    <row r="145">
      <c r="B145" s="238"/>
    </row>
    <row r="146">
      <c r="B146" s="238"/>
    </row>
    <row r="147">
      <c r="B147" s="238"/>
    </row>
    <row r="148">
      <c r="B148" s="238"/>
    </row>
    <row r="149">
      <c r="B149" s="238"/>
    </row>
    <row r="150">
      <c r="B150" s="238"/>
    </row>
    <row r="151">
      <c r="B151" s="238"/>
    </row>
    <row r="152">
      <c r="B152" s="238"/>
    </row>
    <row r="153">
      <c r="B153" s="238"/>
    </row>
    <row r="154">
      <c r="B154" s="238"/>
    </row>
    <row r="155">
      <c r="B155" s="238"/>
    </row>
    <row r="156">
      <c r="B156" s="238"/>
    </row>
    <row r="157">
      <c r="B157" s="238"/>
    </row>
    <row r="158">
      <c r="B158" s="238"/>
    </row>
    <row r="159">
      <c r="B159" s="238"/>
    </row>
    <row r="160">
      <c r="B160" s="238"/>
    </row>
    <row r="161">
      <c r="B161" s="238"/>
    </row>
    <row r="162">
      <c r="B162" s="238"/>
    </row>
    <row r="163">
      <c r="B163" s="238"/>
    </row>
    <row r="164">
      <c r="B164" s="238"/>
    </row>
    <row r="165">
      <c r="B165" s="238"/>
    </row>
    <row r="166">
      <c r="B166" s="238"/>
    </row>
    <row r="167">
      <c r="B167" s="238"/>
    </row>
    <row r="168">
      <c r="B168" s="238"/>
    </row>
    <row r="169">
      <c r="B169" s="238"/>
    </row>
    <row r="170">
      <c r="B170" s="238"/>
    </row>
    <row r="171">
      <c r="B171" s="238"/>
    </row>
    <row r="172">
      <c r="B172" s="238"/>
    </row>
    <row r="173">
      <c r="B173" s="238"/>
    </row>
    <row r="174">
      <c r="B174" s="238"/>
    </row>
    <row r="175">
      <c r="B175" s="238"/>
    </row>
    <row r="176">
      <c r="B176" s="238"/>
    </row>
    <row r="177">
      <c r="B177" s="238"/>
    </row>
    <row r="178">
      <c r="B178" s="238"/>
    </row>
    <row r="179">
      <c r="B179" s="238"/>
    </row>
    <row r="180">
      <c r="B180" s="238"/>
    </row>
    <row r="181">
      <c r="B181" s="238"/>
    </row>
    <row r="182">
      <c r="B182" s="238"/>
    </row>
    <row r="183">
      <c r="B183" s="238"/>
    </row>
    <row r="184">
      <c r="B184" s="238"/>
    </row>
    <row r="185">
      <c r="B185" s="238"/>
    </row>
    <row r="186">
      <c r="B186" s="238"/>
    </row>
    <row r="187">
      <c r="B187" s="238"/>
    </row>
    <row r="188">
      <c r="B188" s="238"/>
    </row>
    <row r="189">
      <c r="B189" s="238"/>
    </row>
    <row r="190">
      <c r="B190" s="238"/>
    </row>
    <row r="191">
      <c r="B191" s="238"/>
    </row>
    <row r="192">
      <c r="B192" s="238"/>
    </row>
    <row r="193">
      <c r="B193" s="238"/>
    </row>
    <row r="194">
      <c r="B194" s="238"/>
    </row>
    <row r="195">
      <c r="B195" s="238"/>
    </row>
    <row r="196">
      <c r="B196" s="238"/>
    </row>
    <row r="197">
      <c r="B197" s="238"/>
    </row>
    <row r="198">
      <c r="B198" s="238"/>
    </row>
    <row r="199">
      <c r="B199" s="238"/>
    </row>
    <row r="200">
      <c r="B200" s="238"/>
    </row>
    <row r="201">
      <c r="B201" s="238"/>
    </row>
    <row r="202">
      <c r="B202" s="238"/>
    </row>
    <row r="203">
      <c r="B203" s="238"/>
    </row>
    <row r="204">
      <c r="B204" s="238"/>
    </row>
    <row r="205">
      <c r="B205" s="238"/>
    </row>
    <row r="206">
      <c r="B206" s="238"/>
    </row>
    <row r="207">
      <c r="B207" s="238"/>
    </row>
    <row r="208">
      <c r="B208" s="238"/>
    </row>
    <row r="209">
      <c r="B209" s="238"/>
    </row>
    <row r="210">
      <c r="B210" s="238"/>
    </row>
    <row r="211">
      <c r="B211" s="238"/>
    </row>
    <row r="212">
      <c r="B212" s="238"/>
    </row>
    <row r="213">
      <c r="B213" s="238"/>
    </row>
    <row r="214">
      <c r="B214" s="238"/>
    </row>
    <row r="215">
      <c r="B215" s="238"/>
    </row>
    <row r="216">
      <c r="B216" s="238"/>
    </row>
    <row r="217">
      <c r="B217" s="238"/>
    </row>
    <row r="218">
      <c r="B218" s="238"/>
    </row>
    <row r="219">
      <c r="B219" s="238"/>
    </row>
    <row r="220">
      <c r="B220" s="238"/>
    </row>
    <row r="221">
      <c r="B221" s="238"/>
    </row>
    <row r="222">
      <c r="B222" s="238"/>
    </row>
    <row r="223">
      <c r="B223" s="238"/>
    </row>
    <row r="224">
      <c r="B224" s="238"/>
    </row>
    <row r="225">
      <c r="B225" s="238"/>
    </row>
    <row r="226">
      <c r="B226" s="238"/>
    </row>
    <row r="227">
      <c r="B227" s="238"/>
    </row>
    <row r="228">
      <c r="B228" s="238"/>
    </row>
    <row r="229">
      <c r="B229" s="238"/>
    </row>
    <row r="230">
      <c r="B230" s="238"/>
    </row>
    <row r="231">
      <c r="B231" s="238"/>
    </row>
    <row r="232">
      <c r="B232" s="238"/>
    </row>
    <row r="233">
      <c r="B233" s="238"/>
    </row>
    <row r="234">
      <c r="B234" s="238"/>
    </row>
    <row r="235">
      <c r="B235" s="238"/>
    </row>
    <row r="236">
      <c r="B236" s="238"/>
    </row>
    <row r="237">
      <c r="B237" s="238"/>
    </row>
    <row r="238">
      <c r="B238" s="238"/>
    </row>
    <row r="239">
      <c r="B239" s="238"/>
    </row>
    <row r="240">
      <c r="B240" s="238"/>
    </row>
    <row r="241">
      <c r="B241" s="238"/>
    </row>
    <row r="242">
      <c r="B242" s="238"/>
    </row>
    <row r="243">
      <c r="B243" s="238"/>
    </row>
    <row r="244">
      <c r="B244" s="238"/>
    </row>
    <row r="245">
      <c r="B245" s="238"/>
    </row>
    <row r="246">
      <c r="B246" s="238"/>
    </row>
    <row r="247">
      <c r="B247" s="238"/>
    </row>
    <row r="248">
      <c r="B248" s="238"/>
    </row>
    <row r="249">
      <c r="B249" s="238"/>
    </row>
    <row r="250">
      <c r="B250" s="238"/>
    </row>
    <row r="251">
      <c r="B251" s="238"/>
    </row>
    <row r="252">
      <c r="B252" s="238"/>
    </row>
    <row r="253">
      <c r="B253" s="238"/>
    </row>
    <row r="254">
      <c r="B254" s="238"/>
    </row>
    <row r="255">
      <c r="B255" s="238"/>
    </row>
    <row r="256">
      <c r="B256" s="238"/>
    </row>
    <row r="257">
      <c r="B257" s="238"/>
    </row>
    <row r="258">
      <c r="B258" s="238"/>
    </row>
    <row r="259">
      <c r="B259" s="238"/>
    </row>
    <row r="260">
      <c r="B260" s="238"/>
    </row>
    <row r="261">
      <c r="B261" s="238"/>
    </row>
    <row r="262">
      <c r="B262" s="238"/>
    </row>
    <row r="263">
      <c r="B263" s="238"/>
    </row>
    <row r="264">
      <c r="B264" s="238"/>
    </row>
    <row r="265">
      <c r="B265" s="238"/>
    </row>
    <row r="266">
      <c r="B266" s="238"/>
    </row>
    <row r="267">
      <c r="B267" s="238"/>
    </row>
    <row r="268">
      <c r="B268" s="238"/>
    </row>
    <row r="269">
      <c r="B269" s="238"/>
    </row>
    <row r="270">
      <c r="B270" s="238"/>
    </row>
    <row r="271">
      <c r="B271" s="238"/>
    </row>
    <row r="272">
      <c r="B272" s="238"/>
    </row>
    <row r="273">
      <c r="B273" s="238"/>
    </row>
    <row r="274">
      <c r="B274" s="238"/>
    </row>
    <row r="275">
      <c r="B275" s="238"/>
    </row>
    <row r="276">
      <c r="B276" s="238"/>
    </row>
    <row r="277">
      <c r="B277" s="238"/>
    </row>
    <row r="278">
      <c r="B278" s="238"/>
    </row>
    <row r="279">
      <c r="B279" s="238"/>
    </row>
    <row r="280">
      <c r="B280" s="238"/>
    </row>
    <row r="281">
      <c r="B281" s="238"/>
    </row>
    <row r="282">
      <c r="B282" s="238"/>
    </row>
    <row r="283">
      <c r="B283" s="238"/>
    </row>
    <row r="284">
      <c r="B284" s="238"/>
    </row>
    <row r="285">
      <c r="B285" s="238"/>
    </row>
    <row r="286">
      <c r="B286" s="238"/>
    </row>
    <row r="287">
      <c r="B287" s="238"/>
    </row>
    <row r="288">
      <c r="B288" s="238"/>
    </row>
    <row r="289">
      <c r="B289" s="238"/>
    </row>
    <row r="290">
      <c r="B290" s="238"/>
    </row>
    <row r="291">
      <c r="B291" s="238"/>
    </row>
    <row r="292">
      <c r="B292" s="238"/>
    </row>
    <row r="293">
      <c r="B293" s="238"/>
    </row>
    <row r="294">
      <c r="B294" s="238"/>
    </row>
    <row r="295">
      <c r="B295" s="238"/>
    </row>
    <row r="296">
      <c r="B296" s="238"/>
    </row>
    <row r="297">
      <c r="B297" s="238"/>
    </row>
    <row r="298">
      <c r="B298" s="238"/>
    </row>
    <row r="299">
      <c r="B299" s="238"/>
    </row>
    <row r="300">
      <c r="B300" s="238"/>
    </row>
    <row r="301">
      <c r="B301" s="238"/>
    </row>
    <row r="302">
      <c r="B302" s="238"/>
    </row>
    <row r="303">
      <c r="B303" s="238"/>
    </row>
    <row r="304">
      <c r="B304" s="238"/>
    </row>
    <row r="305">
      <c r="B305" s="238"/>
    </row>
    <row r="306">
      <c r="B306" s="238"/>
    </row>
    <row r="307">
      <c r="B307" s="238"/>
    </row>
    <row r="308">
      <c r="B308" s="238"/>
    </row>
    <row r="309">
      <c r="B309" s="238"/>
    </row>
    <row r="310">
      <c r="B310" s="238"/>
    </row>
    <row r="311">
      <c r="B311" s="238"/>
    </row>
    <row r="312">
      <c r="B312" s="238"/>
    </row>
    <row r="313">
      <c r="B313" s="238"/>
    </row>
    <row r="314">
      <c r="B314" s="238"/>
    </row>
    <row r="315">
      <c r="B315" s="238"/>
    </row>
    <row r="316">
      <c r="B316" s="238"/>
    </row>
    <row r="317">
      <c r="B317" s="238"/>
    </row>
    <row r="318">
      <c r="B318" s="238"/>
    </row>
    <row r="319">
      <c r="B319" s="238"/>
    </row>
    <row r="320">
      <c r="B320" s="238"/>
    </row>
    <row r="321">
      <c r="B321" s="238"/>
    </row>
    <row r="322">
      <c r="B322" s="238"/>
    </row>
    <row r="323">
      <c r="B323" s="238"/>
    </row>
    <row r="324">
      <c r="B324" s="238"/>
    </row>
    <row r="325">
      <c r="B325" s="238"/>
    </row>
    <row r="326">
      <c r="B326" s="238"/>
    </row>
    <row r="327">
      <c r="B327" s="238"/>
    </row>
    <row r="328">
      <c r="B328" s="238"/>
    </row>
    <row r="329">
      <c r="B329" s="238"/>
    </row>
    <row r="330">
      <c r="B330" s="238"/>
    </row>
    <row r="331">
      <c r="B331" s="238"/>
    </row>
    <row r="332">
      <c r="B332" s="238"/>
    </row>
    <row r="333">
      <c r="B333" s="238"/>
    </row>
    <row r="334">
      <c r="B334" s="238"/>
    </row>
    <row r="335">
      <c r="B335" s="238"/>
    </row>
    <row r="336">
      <c r="B336" s="238"/>
    </row>
    <row r="337">
      <c r="B337" s="238"/>
    </row>
    <row r="338">
      <c r="B338" s="238"/>
    </row>
    <row r="339">
      <c r="B339" s="238"/>
    </row>
    <row r="340">
      <c r="B340" s="238"/>
    </row>
    <row r="341">
      <c r="B341" s="238"/>
    </row>
    <row r="342">
      <c r="B342" s="238"/>
    </row>
    <row r="343">
      <c r="B343" s="238"/>
    </row>
    <row r="344">
      <c r="B344" s="238"/>
    </row>
    <row r="345">
      <c r="B345" s="238"/>
    </row>
    <row r="346">
      <c r="B346" s="238"/>
    </row>
    <row r="347">
      <c r="B347" s="238"/>
    </row>
    <row r="348">
      <c r="B348" s="238"/>
    </row>
    <row r="349">
      <c r="B349" s="238"/>
    </row>
    <row r="350">
      <c r="B350" s="238"/>
    </row>
    <row r="351">
      <c r="B351" s="238"/>
    </row>
    <row r="352">
      <c r="B352" s="238"/>
    </row>
    <row r="353">
      <c r="B353" s="238"/>
    </row>
    <row r="354">
      <c r="B354" s="238"/>
    </row>
    <row r="355">
      <c r="B355" s="238"/>
    </row>
    <row r="356">
      <c r="B356" s="238"/>
    </row>
    <row r="357">
      <c r="B357" s="238"/>
    </row>
    <row r="358">
      <c r="B358" s="238"/>
    </row>
    <row r="359">
      <c r="B359" s="238"/>
    </row>
    <row r="360">
      <c r="B360" s="238"/>
    </row>
    <row r="361">
      <c r="B361" s="238"/>
    </row>
    <row r="362">
      <c r="B362" s="238"/>
    </row>
    <row r="363">
      <c r="B363" s="238"/>
    </row>
    <row r="364">
      <c r="B364" s="238"/>
    </row>
    <row r="365">
      <c r="B365" s="238"/>
    </row>
    <row r="366">
      <c r="B366" s="238"/>
    </row>
    <row r="367">
      <c r="B367" s="238"/>
    </row>
    <row r="368">
      <c r="B368" s="238"/>
    </row>
    <row r="369">
      <c r="B369" s="238"/>
    </row>
    <row r="370">
      <c r="B370" s="238"/>
    </row>
    <row r="371">
      <c r="B371" s="238"/>
    </row>
    <row r="372">
      <c r="B372" s="238"/>
    </row>
    <row r="373">
      <c r="B373" s="238"/>
    </row>
    <row r="374">
      <c r="B374" s="238"/>
    </row>
    <row r="375">
      <c r="B375" s="238"/>
    </row>
    <row r="376">
      <c r="B376" s="238"/>
    </row>
    <row r="377">
      <c r="B377" s="238"/>
    </row>
    <row r="378">
      <c r="B378" s="238"/>
    </row>
    <row r="379">
      <c r="B379" s="238"/>
    </row>
    <row r="380">
      <c r="B380" s="238"/>
    </row>
    <row r="381">
      <c r="B381" s="238"/>
    </row>
    <row r="382">
      <c r="B382" s="238"/>
    </row>
    <row r="383">
      <c r="B383" s="238"/>
    </row>
    <row r="384">
      <c r="B384" s="238"/>
    </row>
    <row r="385">
      <c r="B385" s="238"/>
    </row>
    <row r="386">
      <c r="B386" s="238"/>
    </row>
    <row r="387">
      <c r="B387" s="238"/>
    </row>
    <row r="388">
      <c r="B388" s="238"/>
    </row>
    <row r="389">
      <c r="B389" s="238"/>
    </row>
    <row r="390">
      <c r="B390" s="238"/>
    </row>
    <row r="391">
      <c r="B391" s="238"/>
    </row>
    <row r="392">
      <c r="B392" s="238"/>
    </row>
    <row r="393">
      <c r="B393" s="238"/>
    </row>
    <row r="394">
      <c r="B394" s="238"/>
    </row>
    <row r="395">
      <c r="B395" s="238"/>
    </row>
    <row r="396">
      <c r="B396" s="238"/>
    </row>
    <row r="397">
      <c r="B397" s="238"/>
    </row>
    <row r="398">
      <c r="B398" s="238"/>
    </row>
    <row r="399">
      <c r="B399" s="238"/>
    </row>
    <row r="400">
      <c r="B400" s="238"/>
    </row>
    <row r="401">
      <c r="B401" s="238"/>
    </row>
    <row r="402">
      <c r="B402" s="238"/>
    </row>
    <row r="403">
      <c r="B403" s="238"/>
    </row>
    <row r="404">
      <c r="B404" s="238"/>
    </row>
    <row r="405">
      <c r="B405" s="238"/>
    </row>
    <row r="406">
      <c r="B406" s="238"/>
    </row>
    <row r="407">
      <c r="B407" s="238"/>
    </row>
    <row r="408">
      <c r="B408" s="238"/>
    </row>
    <row r="409">
      <c r="B409" s="238"/>
    </row>
    <row r="410">
      <c r="B410" s="238"/>
    </row>
    <row r="411">
      <c r="B411" s="238"/>
    </row>
    <row r="412">
      <c r="B412" s="238"/>
    </row>
    <row r="413">
      <c r="B413" s="238"/>
    </row>
    <row r="414">
      <c r="B414" s="238"/>
    </row>
    <row r="415">
      <c r="B415" s="238"/>
    </row>
    <row r="416">
      <c r="B416" s="238"/>
    </row>
    <row r="417">
      <c r="B417" s="238"/>
    </row>
    <row r="418">
      <c r="B418" s="238"/>
    </row>
    <row r="419">
      <c r="B419" s="238"/>
    </row>
    <row r="420">
      <c r="B420" s="238"/>
    </row>
    <row r="421">
      <c r="B421" s="238"/>
    </row>
    <row r="422">
      <c r="B422" s="238"/>
    </row>
    <row r="423">
      <c r="B423" s="238"/>
    </row>
    <row r="424">
      <c r="B424" s="238"/>
    </row>
    <row r="425">
      <c r="B425" s="238"/>
    </row>
    <row r="426">
      <c r="B426" s="238"/>
    </row>
    <row r="427">
      <c r="B427" s="238"/>
    </row>
    <row r="428">
      <c r="B428" s="238"/>
    </row>
    <row r="429">
      <c r="B429" s="238"/>
    </row>
    <row r="430">
      <c r="B430" s="238"/>
    </row>
    <row r="431">
      <c r="B431" s="238"/>
    </row>
    <row r="432">
      <c r="B432" s="238"/>
    </row>
    <row r="433">
      <c r="B433" s="238"/>
    </row>
    <row r="434">
      <c r="B434" s="238"/>
    </row>
    <row r="435">
      <c r="B435" s="238"/>
    </row>
    <row r="436">
      <c r="B436" s="238"/>
    </row>
    <row r="437">
      <c r="B437" s="238"/>
    </row>
    <row r="438">
      <c r="B438" s="238"/>
    </row>
    <row r="439">
      <c r="B439" s="238"/>
    </row>
    <row r="440">
      <c r="B440" s="238"/>
    </row>
    <row r="441">
      <c r="B441" s="238"/>
    </row>
    <row r="442">
      <c r="B442" s="238"/>
    </row>
    <row r="443">
      <c r="B443" s="238"/>
    </row>
    <row r="444">
      <c r="B444" s="238"/>
    </row>
    <row r="445">
      <c r="B445" s="238"/>
    </row>
    <row r="446">
      <c r="B446" s="238"/>
    </row>
    <row r="447">
      <c r="B447" s="238"/>
    </row>
    <row r="448">
      <c r="B448" s="238"/>
    </row>
    <row r="449">
      <c r="B449" s="238"/>
    </row>
    <row r="450">
      <c r="B450" s="238"/>
    </row>
    <row r="451">
      <c r="B451" s="238"/>
    </row>
    <row r="452">
      <c r="B452" s="238"/>
    </row>
    <row r="453">
      <c r="B453" s="238"/>
    </row>
    <row r="454">
      <c r="B454" s="238"/>
    </row>
    <row r="455">
      <c r="B455" s="238"/>
    </row>
    <row r="456">
      <c r="B456" s="238"/>
    </row>
    <row r="457">
      <c r="B457" s="238"/>
    </row>
    <row r="458">
      <c r="B458" s="238"/>
    </row>
    <row r="459">
      <c r="B459" s="238"/>
    </row>
    <row r="460">
      <c r="B460" s="238"/>
    </row>
    <row r="461">
      <c r="B461" s="238"/>
    </row>
    <row r="462">
      <c r="B462" s="238"/>
    </row>
    <row r="463">
      <c r="B463" s="238"/>
    </row>
    <row r="464">
      <c r="B464" s="238"/>
    </row>
    <row r="465">
      <c r="B465" s="238"/>
    </row>
    <row r="466">
      <c r="B466" s="238"/>
    </row>
    <row r="467">
      <c r="B467" s="238"/>
    </row>
    <row r="468">
      <c r="B468" s="238"/>
    </row>
    <row r="469">
      <c r="B469" s="238"/>
    </row>
    <row r="470">
      <c r="B470" s="238"/>
    </row>
    <row r="471">
      <c r="B471" s="238"/>
    </row>
    <row r="472">
      <c r="B472" s="238"/>
    </row>
    <row r="473">
      <c r="B473" s="238"/>
    </row>
    <row r="474">
      <c r="B474" s="238"/>
    </row>
    <row r="475">
      <c r="B475" s="238"/>
    </row>
    <row r="476">
      <c r="B476" s="238"/>
    </row>
    <row r="477">
      <c r="B477" s="238"/>
    </row>
    <row r="478">
      <c r="B478" s="238"/>
    </row>
    <row r="479">
      <c r="B479" s="238"/>
    </row>
    <row r="480">
      <c r="B480" s="238"/>
    </row>
    <row r="481">
      <c r="B481" s="238"/>
    </row>
    <row r="482">
      <c r="B482" s="238"/>
    </row>
    <row r="483">
      <c r="B483" s="238"/>
    </row>
    <row r="484">
      <c r="B484" s="238"/>
    </row>
    <row r="485">
      <c r="B485" s="238"/>
    </row>
    <row r="486">
      <c r="B486" s="238"/>
    </row>
    <row r="487">
      <c r="B487" s="238"/>
    </row>
    <row r="488">
      <c r="B488" s="238"/>
    </row>
    <row r="489">
      <c r="B489" s="238"/>
    </row>
    <row r="490">
      <c r="B490" s="238"/>
    </row>
    <row r="491">
      <c r="B491" s="238"/>
    </row>
    <row r="492">
      <c r="B492" s="238"/>
    </row>
    <row r="493">
      <c r="B493" s="238"/>
    </row>
    <row r="494">
      <c r="B494" s="238"/>
    </row>
    <row r="495">
      <c r="B495" s="238"/>
    </row>
    <row r="496">
      <c r="B496" s="238"/>
    </row>
    <row r="497">
      <c r="B497" s="238"/>
    </row>
    <row r="498">
      <c r="B498" s="238"/>
    </row>
    <row r="499">
      <c r="B499" s="238"/>
    </row>
    <row r="500">
      <c r="B500" s="238"/>
    </row>
    <row r="501">
      <c r="B501" s="238"/>
    </row>
    <row r="502">
      <c r="B502" s="238"/>
    </row>
    <row r="503">
      <c r="B503" s="238"/>
    </row>
    <row r="504">
      <c r="B504" s="238"/>
    </row>
    <row r="505">
      <c r="B505" s="238"/>
    </row>
    <row r="506">
      <c r="B506" s="238"/>
    </row>
    <row r="507">
      <c r="B507" s="238"/>
    </row>
    <row r="508">
      <c r="B508" s="238"/>
    </row>
    <row r="509">
      <c r="B509" s="238"/>
    </row>
    <row r="510">
      <c r="B510" s="238"/>
    </row>
    <row r="511">
      <c r="B511" s="238"/>
    </row>
    <row r="512">
      <c r="B512" s="238"/>
    </row>
    <row r="513">
      <c r="B513" s="238"/>
    </row>
    <row r="514">
      <c r="B514" s="238"/>
    </row>
    <row r="515">
      <c r="B515" s="238"/>
    </row>
    <row r="516">
      <c r="B516" s="238"/>
    </row>
    <row r="517">
      <c r="B517" s="238"/>
    </row>
    <row r="518">
      <c r="B518" s="238"/>
    </row>
    <row r="519">
      <c r="B519" s="238"/>
    </row>
    <row r="520">
      <c r="B520" s="238"/>
    </row>
    <row r="521">
      <c r="B521" s="238"/>
    </row>
    <row r="522">
      <c r="B522" s="238"/>
    </row>
    <row r="523">
      <c r="B523" s="238"/>
    </row>
    <row r="524">
      <c r="B524" s="238"/>
    </row>
    <row r="525">
      <c r="B525" s="238"/>
    </row>
    <row r="526">
      <c r="B526" s="238"/>
    </row>
    <row r="527">
      <c r="B527" s="238"/>
    </row>
    <row r="528">
      <c r="B528" s="238"/>
    </row>
    <row r="529">
      <c r="B529" s="238"/>
    </row>
    <row r="530">
      <c r="B530" s="238"/>
    </row>
    <row r="531">
      <c r="B531" s="238"/>
    </row>
    <row r="532">
      <c r="B532" s="238"/>
    </row>
    <row r="533">
      <c r="B533" s="238"/>
    </row>
    <row r="534">
      <c r="B534" s="238"/>
    </row>
    <row r="535">
      <c r="B535" s="238"/>
    </row>
    <row r="536">
      <c r="B536" s="238"/>
    </row>
    <row r="537">
      <c r="B537" s="238"/>
    </row>
    <row r="538">
      <c r="B538" s="238"/>
    </row>
    <row r="539">
      <c r="B539" s="238"/>
    </row>
    <row r="540">
      <c r="B540" s="238"/>
    </row>
    <row r="541">
      <c r="B541" s="238"/>
    </row>
    <row r="542">
      <c r="B542" s="238"/>
    </row>
    <row r="543">
      <c r="B543" s="238"/>
    </row>
    <row r="544">
      <c r="B544" s="238"/>
    </row>
    <row r="545">
      <c r="B545" s="238"/>
    </row>
    <row r="546">
      <c r="B546" s="238"/>
    </row>
    <row r="547">
      <c r="B547" s="238"/>
    </row>
    <row r="548">
      <c r="B548" s="238"/>
    </row>
    <row r="549">
      <c r="B549" s="238"/>
    </row>
    <row r="550">
      <c r="B550" s="238"/>
    </row>
    <row r="551">
      <c r="B551" s="238"/>
    </row>
    <row r="552">
      <c r="B552" s="238"/>
    </row>
    <row r="553">
      <c r="B553" s="238"/>
    </row>
    <row r="554">
      <c r="B554" s="238"/>
    </row>
    <row r="555">
      <c r="B555" s="238"/>
    </row>
    <row r="556">
      <c r="B556" s="238"/>
    </row>
    <row r="557">
      <c r="B557" s="238"/>
    </row>
    <row r="558">
      <c r="B558" s="238"/>
    </row>
    <row r="559">
      <c r="B559" s="238"/>
    </row>
    <row r="560">
      <c r="B560" s="238"/>
    </row>
    <row r="561">
      <c r="B561" s="238"/>
    </row>
    <row r="562">
      <c r="B562" s="238"/>
    </row>
    <row r="563">
      <c r="B563" s="238"/>
    </row>
    <row r="564">
      <c r="B564" s="238"/>
    </row>
    <row r="565">
      <c r="B565" s="238"/>
    </row>
    <row r="566">
      <c r="B566" s="238"/>
    </row>
    <row r="567">
      <c r="B567" s="238"/>
    </row>
    <row r="568">
      <c r="B568" s="238"/>
    </row>
    <row r="569">
      <c r="B569" s="238"/>
    </row>
    <row r="570">
      <c r="B570" s="238"/>
    </row>
    <row r="571">
      <c r="B571" s="238"/>
    </row>
    <row r="572">
      <c r="B572" s="238"/>
    </row>
    <row r="573">
      <c r="B573" s="238"/>
    </row>
    <row r="574">
      <c r="B574" s="238"/>
    </row>
    <row r="575">
      <c r="B575" s="238"/>
    </row>
    <row r="576">
      <c r="B576" s="238"/>
    </row>
    <row r="577">
      <c r="B577" s="238"/>
    </row>
    <row r="578">
      <c r="B578" s="238"/>
    </row>
    <row r="579">
      <c r="B579" s="238"/>
    </row>
    <row r="580">
      <c r="B580" s="238"/>
    </row>
    <row r="581">
      <c r="B581" s="238"/>
    </row>
    <row r="582">
      <c r="B582" s="238"/>
    </row>
    <row r="583">
      <c r="B583" s="238"/>
    </row>
    <row r="584">
      <c r="B584" s="238"/>
    </row>
    <row r="585">
      <c r="B585" s="238"/>
    </row>
    <row r="586">
      <c r="B586" s="238"/>
    </row>
    <row r="587">
      <c r="B587" s="238"/>
    </row>
    <row r="588">
      <c r="B588" s="238"/>
    </row>
    <row r="589">
      <c r="B589" s="238"/>
    </row>
    <row r="590">
      <c r="B590" s="238"/>
    </row>
    <row r="591">
      <c r="B591" s="238"/>
    </row>
    <row r="592">
      <c r="B592" s="238"/>
    </row>
    <row r="593">
      <c r="B593" s="238"/>
    </row>
    <row r="594">
      <c r="B594" s="238"/>
    </row>
    <row r="595">
      <c r="B595" s="238"/>
    </row>
    <row r="596">
      <c r="B596" s="238"/>
    </row>
    <row r="597">
      <c r="B597" s="238"/>
    </row>
    <row r="598">
      <c r="B598" s="238"/>
    </row>
    <row r="599">
      <c r="B599" s="238"/>
    </row>
    <row r="600">
      <c r="B600" s="238"/>
    </row>
    <row r="601">
      <c r="B601" s="238"/>
    </row>
    <row r="602">
      <c r="B602" s="238"/>
    </row>
    <row r="603">
      <c r="B603" s="238"/>
    </row>
    <row r="604">
      <c r="B604" s="238"/>
    </row>
    <row r="605">
      <c r="B605" s="238"/>
    </row>
    <row r="606">
      <c r="B606" s="238"/>
    </row>
    <row r="607">
      <c r="B607" s="238"/>
    </row>
    <row r="608">
      <c r="B608" s="238"/>
    </row>
    <row r="609">
      <c r="B609" s="238"/>
    </row>
    <row r="610">
      <c r="B610" s="238"/>
    </row>
    <row r="611">
      <c r="B611" s="238"/>
    </row>
    <row r="612">
      <c r="B612" s="238"/>
    </row>
    <row r="613">
      <c r="B613" s="238"/>
    </row>
    <row r="614">
      <c r="B614" s="238"/>
    </row>
    <row r="615">
      <c r="B615" s="238"/>
    </row>
    <row r="616">
      <c r="B616" s="238"/>
    </row>
    <row r="617">
      <c r="B617" s="238"/>
    </row>
    <row r="618">
      <c r="B618" s="238"/>
    </row>
    <row r="619">
      <c r="B619" s="238"/>
    </row>
    <row r="620">
      <c r="B620" s="238"/>
    </row>
    <row r="621">
      <c r="B621" s="238"/>
    </row>
    <row r="622">
      <c r="B622" s="238"/>
    </row>
    <row r="623">
      <c r="B623" s="238"/>
    </row>
    <row r="624">
      <c r="B624" s="238"/>
    </row>
    <row r="625">
      <c r="B625" s="238"/>
    </row>
    <row r="626">
      <c r="B626" s="238"/>
    </row>
    <row r="627">
      <c r="B627" s="238"/>
    </row>
    <row r="628">
      <c r="B628" s="238"/>
    </row>
    <row r="629">
      <c r="B629" s="238"/>
    </row>
    <row r="630">
      <c r="B630" s="238"/>
    </row>
    <row r="631">
      <c r="B631" s="238"/>
    </row>
    <row r="632">
      <c r="B632" s="238"/>
    </row>
    <row r="633">
      <c r="B633" s="238"/>
    </row>
    <row r="634">
      <c r="B634" s="238"/>
    </row>
    <row r="635">
      <c r="B635" s="238"/>
    </row>
    <row r="636">
      <c r="B636" s="238"/>
    </row>
    <row r="637">
      <c r="B637" s="238"/>
    </row>
    <row r="638">
      <c r="B638" s="238"/>
    </row>
    <row r="639">
      <c r="B639" s="238"/>
    </row>
    <row r="640">
      <c r="B640" s="238"/>
    </row>
    <row r="641">
      <c r="B641" s="238"/>
    </row>
    <row r="642">
      <c r="B642" s="238"/>
    </row>
    <row r="643">
      <c r="B643" s="238"/>
    </row>
    <row r="644">
      <c r="B644" s="238"/>
    </row>
    <row r="645">
      <c r="B645" s="238"/>
    </row>
    <row r="646">
      <c r="B646" s="238"/>
    </row>
    <row r="647">
      <c r="B647" s="238"/>
    </row>
    <row r="648">
      <c r="B648" s="238"/>
    </row>
    <row r="649">
      <c r="B649" s="238"/>
    </row>
    <row r="650">
      <c r="B650" s="238"/>
    </row>
    <row r="651">
      <c r="B651" s="238"/>
    </row>
    <row r="652">
      <c r="B652" s="238"/>
    </row>
    <row r="653">
      <c r="B653" s="238"/>
    </row>
    <row r="654">
      <c r="B654" s="238"/>
    </row>
    <row r="655">
      <c r="B655" s="238"/>
    </row>
    <row r="656">
      <c r="B656" s="238"/>
    </row>
    <row r="657">
      <c r="B657" s="238"/>
    </row>
    <row r="658">
      <c r="B658" s="238"/>
    </row>
    <row r="659">
      <c r="B659" s="238"/>
    </row>
    <row r="660">
      <c r="B660" s="238"/>
    </row>
    <row r="661">
      <c r="B661" s="238"/>
    </row>
    <row r="662">
      <c r="B662" s="238"/>
    </row>
    <row r="663">
      <c r="B663" s="238"/>
    </row>
    <row r="664">
      <c r="B664" s="238"/>
    </row>
    <row r="665">
      <c r="B665" s="238"/>
    </row>
    <row r="666">
      <c r="B666" s="238"/>
    </row>
    <row r="667">
      <c r="B667" s="238"/>
    </row>
    <row r="668">
      <c r="B668" s="238"/>
    </row>
    <row r="669">
      <c r="B669" s="238"/>
    </row>
    <row r="670">
      <c r="B670" s="238"/>
    </row>
    <row r="671">
      <c r="B671" s="238"/>
    </row>
    <row r="672">
      <c r="B672" s="238"/>
    </row>
    <row r="673">
      <c r="B673" s="238"/>
    </row>
    <row r="674">
      <c r="B674" s="238"/>
    </row>
    <row r="675">
      <c r="B675" s="238"/>
    </row>
    <row r="676">
      <c r="B676" s="238"/>
    </row>
    <row r="677">
      <c r="B677" s="238"/>
    </row>
    <row r="678">
      <c r="B678" s="238"/>
    </row>
    <row r="679">
      <c r="B679" s="238"/>
    </row>
    <row r="680">
      <c r="B680" s="238"/>
    </row>
    <row r="681">
      <c r="B681" s="238"/>
    </row>
    <row r="682">
      <c r="B682" s="238"/>
    </row>
    <row r="683">
      <c r="B683" s="238"/>
    </row>
    <row r="684">
      <c r="B684" s="238"/>
    </row>
    <row r="685">
      <c r="B685" s="238"/>
    </row>
    <row r="686">
      <c r="B686" s="238"/>
    </row>
    <row r="687">
      <c r="B687" s="238"/>
    </row>
    <row r="688">
      <c r="B688" s="238"/>
    </row>
    <row r="689">
      <c r="B689" s="238"/>
    </row>
    <row r="690">
      <c r="B690" s="238"/>
    </row>
    <row r="691">
      <c r="B691" s="238"/>
    </row>
    <row r="692">
      <c r="B692" s="238"/>
    </row>
    <row r="693">
      <c r="B693" s="238"/>
    </row>
    <row r="694">
      <c r="B694" s="238"/>
    </row>
    <row r="695">
      <c r="B695" s="238"/>
    </row>
    <row r="696">
      <c r="B696" s="238"/>
    </row>
    <row r="697">
      <c r="B697" s="238"/>
    </row>
    <row r="698">
      <c r="B698" s="238"/>
    </row>
    <row r="699">
      <c r="B699" s="238"/>
    </row>
    <row r="700">
      <c r="B700" s="238"/>
    </row>
    <row r="701">
      <c r="B701" s="238"/>
    </row>
    <row r="702">
      <c r="B702" s="238"/>
    </row>
    <row r="703">
      <c r="B703" s="238"/>
    </row>
    <row r="704">
      <c r="B704" s="238"/>
    </row>
    <row r="705">
      <c r="B705" s="238"/>
    </row>
    <row r="706">
      <c r="B706" s="238"/>
    </row>
    <row r="707">
      <c r="B707" s="238"/>
    </row>
    <row r="708">
      <c r="B708" s="238"/>
    </row>
    <row r="709">
      <c r="B709" s="238"/>
    </row>
    <row r="710">
      <c r="B710" s="238"/>
    </row>
    <row r="711">
      <c r="B711" s="238"/>
    </row>
    <row r="712">
      <c r="B712" s="238"/>
    </row>
    <row r="713">
      <c r="B713" s="238"/>
    </row>
    <row r="714">
      <c r="B714" s="238"/>
    </row>
    <row r="715">
      <c r="B715" s="238"/>
    </row>
    <row r="716">
      <c r="B716" s="238"/>
    </row>
    <row r="717">
      <c r="B717" s="238"/>
    </row>
    <row r="718">
      <c r="B718" s="238"/>
    </row>
    <row r="719">
      <c r="B719" s="238"/>
    </row>
    <row r="720">
      <c r="B720" s="238"/>
    </row>
    <row r="721">
      <c r="B721" s="238"/>
    </row>
    <row r="722">
      <c r="B722" s="238"/>
    </row>
    <row r="723">
      <c r="B723" s="238"/>
    </row>
    <row r="724">
      <c r="B724" s="238"/>
    </row>
    <row r="725">
      <c r="B725" s="238"/>
    </row>
    <row r="726">
      <c r="B726" s="238"/>
    </row>
    <row r="727">
      <c r="B727" s="238"/>
    </row>
    <row r="728">
      <c r="B728" s="238"/>
    </row>
    <row r="729">
      <c r="B729" s="238"/>
    </row>
    <row r="730">
      <c r="B730" s="238"/>
    </row>
    <row r="731">
      <c r="B731" s="238"/>
    </row>
    <row r="732">
      <c r="B732" s="238"/>
    </row>
    <row r="733">
      <c r="B733" s="238"/>
    </row>
    <row r="734">
      <c r="B734" s="238"/>
    </row>
    <row r="735">
      <c r="B735" s="238"/>
    </row>
    <row r="736">
      <c r="B736" s="238"/>
    </row>
    <row r="737">
      <c r="B737" s="238"/>
    </row>
    <row r="738">
      <c r="B738" s="238"/>
    </row>
    <row r="739">
      <c r="B739" s="238"/>
    </row>
    <row r="740">
      <c r="B740" s="238"/>
    </row>
    <row r="741">
      <c r="B741" s="238"/>
    </row>
    <row r="742">
      <c r="B742" s="238"/>
    </row>
    <row r="743">
      <c r="B743" s="238"/>
    </row>
    <row r="744">
      <c r="B744" s="238"/>
    </row>
    <row r="745">
      <c r="B745" s="238"/>
    </row>
    <row r="746">
      <c r="B746" s="238"/>
    </row>
    <row r="747">
      <c r="B747" s="238"/>
    </row>
    <row r="748">
      <c r="B748" s="238"/>
    </row>
    <row r="749">
      <c r="B749" s="238"/>
    </row>
    <row r="750">
      <c r="B750" s="238"/>
    </row>
    <row r="751">
      <c r="B751" s="238"/>
    </row>
    <row r="752">
      <c r="B752" s="238"/>
    </row>
    <row r="753">
      <c r="B753" s="238"/>
    </row>
    <row r="754">
      <c r="B754" s="238"/>
    </row>
    <row r="755">
      <c r="B755" s="238"/>
    </row>
    <row r="756">
      <c r="B756" s="238"/>
    </row>
    <row r="757">
      <c r="B757" s="238"/>
    </row>
    <row r="758">
      <c r="B758" s="238"/>
    </row>
    <row r="759">
      <c r="B759" s="238"/>
    </row>
    <row r="760">
      <c r="B760" s="238"/>
    </row>
    <row r="761">
      <c r="B761" s="238"/>
    </row>
    <row r="762">
      <c r="B762" s="238"/>
    </row>
    <row r="763">
      <c r="B763" s="238"/>
    </row>
    <row r="764">
      <c r="B764" s="238"/>
    </row>
    <row r="765">
      <c r="B765" s="238"/>
    </row>
    <row r="766">
      <c r="B766" s="238"/>
    </row>
    <row r="767">
      <c r="B767" s="238"/>
    </row>
    <row r="768">
      <c r="B768" s="238"/>
    </row>
    <row r="769">
      <c r="B769" s="238"/>
    </row>
    <row r="770">
      <c r="B770" s="238"/>
    </row>
    <row r="771">
      <c r="B771" s="238"/>
    </row>
    <row r="772">
      <c r="B772" s="238"/>
    </row>
    <row r="773">
      <c r="B773" s="238"/>
    </row>
    <row r="774">
      <c r="B774" s="238"/>
    </row>
    <row r="775">
      <c r="B775" s="238"/>
    </row>
    <row r="776">
      <c r="B776" s="238"/>
    </row>
    <row r="777">
      <c r="B777" s="238"/>
    </row>
    <row r="778">
      <c r="B778" s="238"/>
    </row>
    <row r="779">
      <c r="B779" s="238"/>
    </row>
    <row r="780">
      <c r="B780" s="238"/>
    </row>
    <row r="781">
      <c r="B781" s="238"/>
    </row>
    <row r="782">
      <c r="B782" s="238"/>
    </row>
    <row r="783">
      <c r="B783" s="238"/>
    </row>
    <row r="784">
      <c r="B784" s="238"/>
    </row>
    <row r="785">
      <c r="B785" s="238"/>
    </row>
    <row r="786">
      <c r="B786" s="238"/>
    </row>
    <row r="787">
      <c r="B787" s="238"/>
    </row>
    <row r="788">
      <c r="B788" s="238"/>
    </row>
    <row r="789">
      <c r="B789" s="238"/>
    </row>
    <row r="790">
      <c r="B790" s="238"/>
    </row>
    <row r="791">
      <c r="B791" s="238"/>
    </row>
    <row r="792">
      <c r="B792" s="238"/>
    </row>
    <row r="793">
      <c r="B793" s="238"/>
    </row>
    <row r="794">
      <c r="B794" s="238"/>
    </row>
    <row r="795">
      <c r="B795" s="238"/>
    </row>
    <row r="796">
      <c r="B796" s="238"/>
    </row>
    <row r="797">
      <c r="B797" s="238"/>
    </row>
    <row r="798">
      <c r="B798" s="238"/>
    </row>
    <row r="799">
      <c r="B799" s="238"/>
    </row>
    <row r="800">
      <c r="B800" s="238"/>
    </row>
    <row r="801">
      <c r="B801" s="238"/>
    </row>
    <row r="802">
      <c r="B802" s="238"/>
    </row>
    <row r="803">
      <c r="B803" s="238"/>
    </row>
    <row r="804">
      <c r="B804" s="238"/>
    </row>
    <row r="805">
      <c r="B805" s="238"/>
    </row>
    <row r="806">
      <c r="B806" s="238"/>
    </row>
    <row r="807">
      <c r="B807" s="238"/>
    </row>
    <row r="808">
      <c r="B808" s="238"/>
    </row>
    <row r="809">
      <c r="B809" s="238"/>
    </row>
    <row r="810">
      <c r="B810" s="238"/>
    </row>
    <row r="811">
      <c r="B811" s="238"/>
    </row>
    <row r="812">
      <c r="B812" s="238"/>
    </row>
    <row r="813">
      <c r="B813" s="238"/>
    </row>
    <row r="814">
      <c r="B814" s="238"/>
    </row>
    <row r="815">
      <c r="B815" s="238"/>
    </row>
    <row r="816">
      <c r="B816" s="238"/>
    </row>
    <row r="817">
      <c r="B817" s="238"/>
    </row>
    <row r="818">
      <c r="B818" s="238"/>
    </row>
    <row r="819">
      <c r="B819" s="238"/>
    </row>
    <row r="820">
      <c r="B820" s="238"/>
    </row>
    <row r="821">
      <c r="B821" s="238"/>
    </row>
    <row r="822">
      <c r="B822" s="238"/>
    </row>
    <row r="823">
      <c r="B823" s="238"/>
    </row>
    <row r="824">
      <c r="B824" s="238"/>
    </row>
    <row r="825">
      <c r="B825" s="238"/>
    </row>
    <row r="826">
      <c r="B826" s="238"/>
    </row>
    <row r="827">
      <c r="B827" s="238"/>
    </row>
    <row r="828">
      <c r="B828" s="238"/>
    </row>
    <row r="829">
      <c r="B829" s="238"/>
    </row>
    <row r="830">
      <c r="B830" s="238"/>
    </row>
    <row r="831">
      <c r="B831" s="238"/>
    </row>
    <row r="832">
      <c r="B832" s="238"/>
    </row>
    <row r="833">
      <c r="B833" s="238"/>
    </row>
    <row r="834">
      <c r="B834" s="238"/>
    </row>
    <row r="835">
      <c r="B835" s="238"/>
    </row>
    <row r="836">
      <c r="B836" s="238"/>
    </row>
    <row r="837">
      <c r="B837" s="238"/>
    </row>
    <row r="838">
      <c r="B838" s="238"/>
    </row>
    <row r="839">
      <c r="B839" s="238"/>
    </row>
    <row r="840">
      <c r="B840" s="238"/>
    </row>
    <row r="841">
      <c r="B841" s="238"/>
    </row>
    <row r="842">
      <c r="B842" s="238"/>
    </row>
    <row r="843">
      <c r="B843" s="238"/>
    </row>
    <row r="844">
      <c r="B844" s="238"/>
    </row>
    <row r="845">
      <c r="B845" s="238"/>
    </row>
    <row r="846">
      <c r="B846" s="238"/>
    </row>
    <row r="847">
      <c r="B847" s="238"/>
    </row>
    <row r="848">
      <c r="B848" s="238"/>
    </row>
    <row r="849">
      <c r="B849" s="238"/>
    </row>
    <row r="850">
      <c r="B850" s="238"/>
    </row>
    <row r="851">
      <c r="B851" s="238"/>
    </row>
    <row r="852">
      <c r="B852" s="238"/>
    </row>
    <row r="853">
      <c r="B853" s="238"/>
    </row>
    <row r="854">
      <c r="B854" s="238"/>
    </row>
    <row r="855">
      <c r="B855" s="238"/>
    </row>
    <row r="856">
      <c r="B856" s="238"/>
    </row>
    <row r="857">
      <c r="B857" s="238"/>
    </row>
    <row r="858">
      <c r="B858" s="238"/>
    </row>
    <row r="859">
      <c r="B859" s="238"/>
    </row>
    <row r="860">
      <c r="B860" s="238"/>
    </row>
    <row r="861">
      <c r="B861" s="238"/>
    </row>
    <row r="862">
      <c r="B862" s="238"/>
    </row>
    <row r="863">
      <c r="B863" s="238"/>
    </row>
    <row r="864">
      <c r="B864" s="238"/>
    </row>
    <row r="865">
      <c r="B865" s="238"/>
    </row>
    <row r="866">
      <c r="B866" s="238"/>
    </row>
    <row r="867">
      <c r="B867" s="238"/>
    </row>
    <row r="868">
      <c r="B868" s="238"/>
    </row>
    <row r="869">
      <c r="B869" s="238"/>
    </row>
    <row r="870">
      <c r="B870" s="238"/>
    </row>
    <row r="871">
      <c r="B871" s="238"/>
    </row>
    <row r="872">
      <c r="B872" s="238"/>
    </row>
    <row r="873">
      <c r="B873" s="238"/>
    </row>
    <row r="874">
      <c r="B874" s="238"/>
    </row>
    <row r="875">
      <c r="B875" s="238"/>
    </row>
    <row r="876">
      <c r="B876" s="238"/>
    </row>
    <row r="877">
      <c r="B877" s="238"/>
    </row>
    <row r="878">
      <c r="B878" s="238"/>
    </row>
    <row r="879">
      <c r="B879" s="238"/>
    </row>
    <row r="880">
      <c r="B880" s="238"/>
    </row>
    <row r="881">
      <c r="B881" s="238"/>
    </row>
    <row r="882">
      <c r="B882" s="238"/>
    </row>
    <row r="883">
      <c r="B883" s="238"/>
    </row>
    <row r="884">
      <c r="B884" s="238"/>
    </row>
    <row r="885">
      <c r="B885" s="238"/>
    </row>
    <row r="886">
      <c r="B886" s="238"/>
    </row>
    <row r="887">
      <c r="B887" s="238"/>
    </row>
    <row r="888">
      <c r="B888" s="238"/>
    </row>
    <row r="889">
      <c r="B889" s="238"/>
    </row>
    <row r="890">
      <c r="B890" s="238"/>
    </row>
    <row r="891">
      <c r="B891" s="238"/>
    </row>
    <row r="892">
      <c r="B892" s="238"/>
    </row>
    <row r="893">
      <c r="B893" s="238"/>
    </row>
    <row r="894">
      <c r="B894" s="238"/>
    </row>
    <row r="895">
      <c r="B895" s="238"/>
    </row>
    <row r="896">
      <c r="B896" s="238"/>
    </row>
    <row r="897">
      <c r="B897" s="238"/>
    </row>
    <row r="898">
      <c r="B898" s="238"/>
    </row>
    <row r="899">
      <c r="B899" s="238"/>
    </row>
    <row r="900">
      <c r="B900" s="238"/>
    </row>
    <row r="901">
      <c r="B901" s="238"/>
    </row>
    <row r="902">
      <c r="B902" s="238"/>
    </row>
    <row r="903">
      <c r="B903" s="238"/>
    </row>
    <row r="904">
      <c r="B904" s="238"/>
    </row>
    <row r="905">
      <c r="B905" s="238"/>
    </row>
    <row r="906">
      <c r="B906" s="238"/>
    </row>
    <row r="907">
      <c r="B907" s="238"/>
    </row>
    <row r="908">
      <c r="B908" s="238"/>
    </row>
    <row r="909">
      <c r="B909" s="238"/>
    </row>
    <row r="910">
      <c r="B910" s="238"/>
    </row>
    <row r="911">
      <c r="B911" s="238"/>
    </row>
    <row r="912">
      <c r="B912" s="238"/>
    </row>
    <row r="913">
      <c r="B913" s="238"/>
    </row>
    <row r="914">
      <c r="B914" s="238"/>
    </row>
    <row r="915">
      <c r="B915" s="238"/>
    </row>
    <row r="916">
      <c r="B916" s="238"/>
    </row>
    <row r="917">
      <c r="B917" s="238"/>
    </row>
    <row r="918">
      <c r="B918" s="238"/>
    </row>
    <row r="919">
      <c r="B919" s="238"/>
    </row>
    <row r="920">
      <c r="B920" s="238"/>
    </row>
    <row r="921">
      <c r="B921" s="238"/>
    </row>
    <row r="922">
      <c r="B922" s="238"/>
    </row>
    <row r="923">
      <c r="B923" s="238"/>
    </row>
    <row r="924">
      <c r="B924" s="238"/>
    </row>
    <row r="925">
      <c r="B925" s="238"/>
    </row>
    <row r="926">
      <c r="B926" s="238"/>
    </row>
    <row r="927">
      <c r="B927" s="238"/>
    </row>
    <row r="928">
      <c r="B928" s="238"/>
    </row>
    <row r="929">
      <c r="B929" s="238"/>
    </row>
    <row r="930">
      <c r="B930" s="238"/>
    </row>
    <row r="931">
      <c r="B931" s="238"/>
    </row>
    <row r="932">
      <c r="B932" s="238"/>
    </row>
    <row r="933">
      <c r="B933" s="238"/>
    </row>
    <row r="934">
      <c r="B934" s="238"/>
    </row>
    <row r="935">
      <c r="B935" s="238"/>
    </row>
    <row r="936">
      <c r="B936" s="238"/>
    </row>
    <row r="937">
      <c r="B937" s="238"/>
    </row>
    <row r="938">
      <c r="B938" s="238"/>
    </row>
    <row r="939">
      <c r="B939" s="238"/>
    </row>
    <row r="940">
      <c r="B940" s="238"/>
    </row>
    <row r="941">
      <c r="B941" s="238"/>
    </row>
    <row r="942">
      <c r="B942" s="238"/>
    </row>
    <row r="943">
      <c r="B943" s="238"/>
    </row>
    <row r="944">
      <c r="B944" s="238"/>
    </row>
    <row r="945">
      <c r="B945" s="238"/>
    </row>
    <row r="946">
      <c r="B946" s="238"/>
    </row>
    <row r="947">
      <c r="B947" s="238"/>
    </row>
    <row r="948">
      <c r="B948" s="238"/>
    </row>
    <row r="949">
      <c r="B949" s="238"/>
    </row>
    <row r="950">
      <c r="B950" s="238"/>
    </row>
    <row r="951">
      <c r="B951" s="238"/>
    </row>
    <row r="952">
      <c r="B952" s="238"/>
    </row>
    <row r="953">
      <c r="B953" s="238"/>
    </row>
    <row r="954">
      <c r="B954" s="238"/>
    </row>
    <row r="955">
      <c r="B955" s="238"/>
    </row>
    <row r="956">
      <c r="B956" s="238"/>
    </row>
    <row r="957">
      <c r="B957" s="238"/>
    </row>
    <row r="958">
      <c r="B958" s="238"/>
    </row>
    <row r="959">
      <c r="B959" s="238"/>
    </row>
    <row r="960">
      <c r="B960" s="238"/>
    </row>
    <row r="961">
      <c r="B961" s="238"/>
    </row>
    <row r="962">
      <c r="B962" s="238"/>
    </row>
    <row r="963">
      <c r="B963" s="238"/>
    </row>
    <row r="964">
      <c r="B964" s="238"/>
    </row>
    <row r="965">
      <c r="B965" s="238"/>
    </row>
    <row r="966">
      <c r="B966" s="238"/>
    </row>
    <row r="967">
      <c r="B967" s="238"/>
    </row>
    <row r="968">
      <c r="B968" s="238"/>
    </row>
    <row r="969">
      <c r="B969" s="238"/>
    </row>
    <row r="970">
      <c r="B970" s="238"/>
    </row>
    <row r="971">
      <c r="B971" s="238"/>
    </row>
    <row r="972">
      <c r="B972" s="238"/>
    </row>
    <row r="973">
      <c r="B973" s="238"/>
    </row>
    <row r="974">
      <c r="B974" s="238"/>
    </row>
    <row r="975">
      <c r="B975" s="238"/>
    </row>
    <row r="976">
      <c r="B976" s="238"/>
    </row>
    <row r="977">
      <c r="B977" s="238"/>
    </row>
    <row r="978">
      <c r="B978" s="238"/>
    </row>
    <row r="979">
      <c r="B979" s="238"/>
    </row>
    <row r="980">
      <c r="B980" s="238"/>
    </row>
    <row r="981">
      <c r="B981" s="238"/>
    </row>
    <row r="982">
      <c r="B982" s="238"/>
    </row>
    <row r="983">
      <c r="B983" s="238"/>
    </row>
    <row r="984">
      <c r="B984" s="238"/>
    </row>
    <row r="985">
      <c r="B985" s="238"/>
    </row>
    <row r="986">
      <c r="B986" s="238"/>
    </row>
    <row r="987">
      <c r="B987" s="238"/>
    </row>
    <row r="988">
      <c r="B988" s="238"/>
    </row>
    <row r="989">
      <c r="B989" s="238"/>
    </row>
    <row r="990">
      <c r="B990" s="238"/>
    </row>
    <row r="991">
      <c r="B991" s="238"/>
    </row>
    <row r="992">
      <c r="B992" s="238"/>
    </row>
    <row r="993">
      <c r="B993" s="2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6" t="s">
        <v>848</v>
      </c>
      <c r="B1" s="176" t="s">
        <v>849</v>
      </c>
      <c r="C1" s="176" t="s">
        <v>868</v>
      </c>
      <c r="D1" s="176" t="s">
        <v>869</v>
      </c>
      <c r="E1" s="176" t="s">
        <v>870</v>
      </c>
      <c r="F1" s="176" t="s">
        <v>850</v>
      </c>
      <c r="G1" s="176" t="s">
        <v>851</v>
      </c>
      <c r="H1" s="176" t="s">
        <v>852</v>
      </c>
      <c r="I1" s="176" t="s">
        <v>853</v>
      </c>
      <c r="J1" s="176" t="s">
        <v>32</v>
      </c>
      <c r="K1" s="176" t="s">
        <v>17</v>
      </c>
      <c r="L1" s="176" t="s">
        <v>124</v>
      </c>
      <c r="M1" s="176" t="s">
        <v>392</v>
      </c>
      <c r="N1" s="176" t="s">
        <v>402</v>
      </c>
      <c r="O1" s="176" t="s">
        <v>3</v>
      </c>
      <c r="P1" s="177" t="s">
        <v>854</v>
      </c>
      <c r="Q1" s="239" t="s">
        <v>915</v>
      </c>
    </row>
    <row r="2" hidden="1">
      <c r="A2" s="240" t="s">
        <v>503</v>
      </c>
      <c r="B2" s="241">
        <v>26.0</v>
      </c>
      <c r="C2" s="242">
        <v>0.93</v>
      </c>
      <c r="D2" s="243">
        <v>1.0</v>
      </c>
      <c r="E2" s="244"/>
      <c r="F2" s="241">
        <v>20.0</v>
      </c>
      <c r="G2" s="241">
        <v>6.0</v>
      </c>
      <c r="H2" s="243">
        <v>0.3</v>
      </c>
      <c r="I2" s="240" t="s">
        <v>855</v>
      </c>
      <c r="J2" s="243">
        <v>0.2857</v>
      </c>
      <c r="K2" s="243">
        <v>0.0286</v>
      </c>
      <c r="L2" s="243">
        <v>0.0571</v>
      </c>
      <c r="M2" s="243">
        <v>0.1714</v>
      </c>
      <c r="N2" s="243">
        <v>0.0571</v>
      </c>
      <c r="O2" s="240" t="s">
        <v>32</v>
      </c>
      <c r="P2" s="245">
        <v>0.2857</v>
      </c>
      <c r="Q2" s="182" t="str">
        <f>VLOOKUP(A:A,'Tracing New Correction'!C686:C771,1,0)</f>
        <v>225339.IRJ127B2C0002575-CH01</v>
      </c>
    </row>
    <row r="3">
      <c r="A3" s="246" t="s">
        <v>643</v>
      </c>
      <c r="B3" s="184">
        <v>15.0</v>
      </c>
      <c r="C3" s="195">
        <v>0.54</v>
      </c>
      <c r="D3" s="185">
        <v>1.0</v>
      </c>
      <c r="E3" s="196"/>
      <c r="F3" s="184">
        <v>14.0</v>
      </c>
      <c r="G3" s="184">
        <v>4.0</v>
      </c>
      <c r="H3" s="185">
        <v>0.286</v>
      </c>
      <c r="I3" s="183" t="s">
        <v>855</v>
      </c>
      <c r="J3" s="185">
        <v>0.2857</v>
      </c>
      <c r="K3" s="185">
        <v>0.0</v>
      </c>
      <c r="L3" s="185">
        <v>0.0</v>
      </c>
      <c r="M3" s="185">
        <v>0.0</v>
      </c>
      <c r="N3" s="185">
        <v>0.0</v>
      </c>
      <c r="O3" s="183" t="s">
        <v>32</v>
      </c>
      <c r="P3" s="186">
        <v>0.2857</v>
      </c>
      <c r="Q3" s="182" t="str">
        <f>VLOOKUP(A:A,'Tracing New Correction'!C687:C772,1,0)</f>
        <v>247077.IRJ127B2C0002918</v>
      </c>
    </row>
    <row r="4">
      <c r="A4" s="246" t="s">
        <v>644</v>
      </c>
      <c r="B4" s="179">
        <v>16.0</v>
      </c>
      <c r="C4" s="191">
        <v>0.36</v>
      </c>
      <c r="D4" s="180">
        <v>1.0</v>
      </c>
      <c r="E4" s="192"/>
      <c r="F4" s="179">
        <v>16.0</v>
      </c>
      <c r="G4" s="179">
        <v>9.0</v>
      </c>
      <c r="H4" s="180">
        <v>0.563</v>
      </c>
      <c r="I4" s="178" t="s">
        <v>855</v>
      </c>
      <c r="J4" s="180">
        <v>0.2727</v>
      </c>
      <c r="K4" s="180">
        <v>0.0909</v>
      </c>
      <c r="L4" s="180">
        <v>0.0455</v>
      </c>
      <c r="M4" s="180">
        <v>0.0909</v>
      </c>
      <c r="N4" s="180">
        <v>0.0</v>
      </c>
      <c r="O4" s="178" t="s">
        <v>32</v>
      </c>
      <c r="P4" s="181">
        <v>0.2727</v>
      </c>
      <c r="Q4" s="182" t="str">
        <f>VLOOKUP(A:A,'Tracing New Correction'!C688:C773,1,0)</f>
        <v>241115.IRJ127B2C0002813</v>
      </c>
    </row>
    <row r="5">
      <c r="A5" s="246" t="s">
        <v>645</v>
      </c>
      <c r="B5" s="184">
        <v>16.0</v>
      </c>
      <c r="C5" s="195">
        <v>0.35</v>
      </c>
      <c r="D5" s="185">
        <v>1.0</v>
      </c>
      <c r="E5" s="196"/>
      <c r="F5" s="184">
        <v>12.0</v>
      </c>
      <c r="G5" s="184">
        <v>4.0</v>
      </c>
      <c r="H5" s="185">
        <v>0.333</v>
      </c>
      <c r="I5" s="183" t="s">
        <v>855</v>
      </c>
      <c r="J5" s="185">
        <v>0.2308</v>
      </c>
      <c r="K5" s="185">
        <v>0.0</v>
      </c>
      <c r="L5" s="185">
        <v>0.0769</v>
      </c>
      <c r="M5" s="185">
        <v>0.0769</v>
      </c>
      <c r="N5" s="185">
        <v>0.0</v>
      </c>
      <c r="O5" s="183" t="s">
        <v>32</v>
      </c>
      <c r="P5" s="186">
        <v>0.2308</v>
      </c>
      <c r="Q5" s="182" t="str">
        <f>VLOOKUP(A:A,'Tracing New Correction'!C689:C774,1,0)</f>
        <v>239839.IRJ127B2C0002534</v>
      </c>
    </row>
    <row r="6">
      <c r="A6" s="246" t="s">
        <v>646</v>
      </c>
      <c r="B6" s="179">
        <v>22.0</v>
      </c>
      <c r="C6" s="191">
        <v>1.0</v>
      </c>
      <c r="D6" s="180">
        <v>1.0</v>
      </c>
      <c r="E6" s="192"/>
      <c r="F6" s="179">
        <v>19.0</v>
      </c>
      <c r="G6" s="179">
        <v>6.0</v>
      </c>
      <c r="H6" s="180">
        <v>0.316</v>
      </c>
      <c r="I6" s="178" t="s">
        <v>855</v>
      </c>
      <c r="J6" s="180">
        <v>0.1818</v>
      </c>
      <c r="K6" s="180">
        <v>0.0</v>
      </c>
      <c r="L6" s="180">
        <v>0.0455</v>
      </c>
      <c r="M6" s="180">
        <v>0.0909</v>
      </c>
      <c r="N6" s="180">
        <v>0.0455</v>
      </c>
      <c r="O6" s="178" t="s">
        <v>32</v>
      </c>
      <c r="P6" s="181">
        <v>0.1818</v>
      </c>
      <c r="Q6" s="182" t="str">
        <f>VLOOKUP(A:A,'Tracing New Correction'!C690:C775,1,0)</f>
        <v>247065.IRJ127B2C0002420</v>
      </c>
    </row>
    <row r="7">
      <c r="A7" s="246" t="s">
        <v>647</v>
      </c>
      <c r="B7" s="184">
        <v>30.0</v>
      </c>
      <c r="C7" s="195">
        <v>0.53</v>
      </c>
      <c r="D7" s="185">
        <v>1.0</v>
      </c>
      <c r="E7" s="196"/>
      <c r="F7" s="184">
        <v>28.0</v>
      </c>
      <c r="G7" s="184">
        <v>4.0</v>
      </c>
      <c r="H7" s="185">
        <v>0.143</v>
      </c>
      <c r="I7" s="183" t="s">
        <v>855</v>
      </c>
      <c r="J7" s="185">
        <v>0.1333</v>
      </c>
      <c r="K7" s="185">
        <v>0.0</v>
      </c>
      <c r="L7" s="185">
        <v>0.0333</v>
      </c>
      <c r="M7" s="185">
        <v>0.1</v>
      </c>
      <c r="N7" s="185">
        <v>0.0</v>
      </c>
      <c r="O7" s="183" t="s">
        <v>32</v>
      </c>
      <c r="P7" s="186">
        <v>0.1333</v>
      </c>
      <c r="Q7" s="182" t="str">
        <f>VLOOKUP(A:A,'Tracing New Correction'!C691:C776,1,0)</f>
        <v>241095.IRJ127B2C0002020-CH01</v>
      </c>
    </row>
    <row r="8">
      <c r="A8" s="246" t="s">
        <v>648</v>
      </c>
      <c r="B8" s="179">
        <v>34.0</v>
      </c>
      <c r="C8" s="191">
        <v>0.94</v>
      </c>
      <c r="D8" s="180">
        <v>1.0</v>
      </c>
      <c r="E8" s="192"/>
      <c r="F8" s="179">
        <v>32.0</v>
      </c>
      <c r="G8" s="179">
        <v>6.0</v>
      </c>
      <c r="H8" s="180">
        <v>0.188</v>
      </c>
      <c r="I8" s="178" t="s">
        <v>855</v>
      </c>
      <c r="J8" s="180">
        <v>0.125</v>
      </c>
      <c r="K8" s="180">
        <v>0.0313</v>
      </c>
      <c r="L8" s="180">
        <v>0.0</v>
      </c>
      <c r="M8" s="180">
        <v>0.0313</v>
      </c>
      <c r="N8" s="180">
        <v>0.0313</v>
      </c>
      <c r="O8" s="178" t="s">
        <v>32</v>
      </c>
      <c r="P8" s="181">
        <v>0.125</v>
      </c>
      <c r="Q8" s="182" t="str">
        <f>VLOOKUP(A:A,'Tracing New Correction'!C692:C777,1,0)</f>
        <v>254395.FKS26340J</v>
      </c>
    </row>
    <row r="9">
      <c r="A9" s="246" t="s">
        <v>649</v>
      </c>
      <c r="B9" s="184">
        <v>33.0</v>
      </c>
      <c r="C9" s="195">
        <v>0.85</v>
      </c>
      <c r="D9" s="185">
        <v>1.0</v>
      </c>
      <c r="E9" s="196"/>
      <c r="F9" s="184">
        <v>32.0</v>
      </c>
      <c r="G9" s="184">
        <v>6.0</v>
      </c>
      <c r="H9" s="185">
        <v>0.188</v>
      </c>
      <c r="I9" s="183" t="s">
        <v>855</v>
      </c>
      <c r="J9" s="185">
        <v>0.1143</v>
      </c>
      <c r="K9" s="185">
        <v>0.0286</v>
      </c>
      <c r="L9" s="185">
        <v>0.0</v>
      </c>
      <c r="M9" s="185">
        <v>0.0286</v>
      </c>
      <c r="N9" s="185">
        <v>0.0286</v>
      </c>
      <c r="O9" s="183" t="s">
        <v>32</v>
      </c>
      <c r="P9" s="186">
        <v>0.1143</v>
      </c>
      <c r="Q9" s="182" t="str">
        <f>VLOOKUP(A:A,'Tracing New Correction'!C693:C778,1,0)</f>
        <v>237934.IRJ127B2C0002934</v>
      </c>
    </row>
    <row r="10">
      <c r="A10" s="246" t="s">
        <v>650</v>
      </c>
      <c r="B10" s="179">
        <v>70.0</v>
      </c>
      <c r="C10" s="191">
        <v>0.68</v>
      </c>
      <c r="D10" s="180">
        <v>1.0</v>
      </c>
      <c r="E10" s="192"/>
      <c r="F10" s="179">
        <v>69.0</v>
      </c>
      <c r="G10" s="179">
        <v>8.0</v>
      </c>
      <c r="H10" s="180">
        <v>0.116</v>
      </c>
      <c r="I10" s="178" t="s">
        <v>855</v>
      </c>
      <c r="J10" s="180">
        <v>0.1</v>
      </c>
      <c r="K10" s="180">
        <v>0.0</v>
      </c>
      <c r="L10" s="180">
        <v>0.0286</v>
      </c>
      <c r="M10" s="180">
        <v>0.0571</v>
      </c>
      <c r="N10" s="180">
        <v>0.0</v>
      </c>
      <c r="O10" s="178" t="s">
        <v>32</v>
      </c>
      <c r="P10" s="181">
        <v>0.1</v>
      </c>
      <c r="Q10" s="182" t="str">
        <f>VLOOKUP(A:A,'Tracing New Correction'!C694:C779,1,0)</f>
        <v>241117.IRJ127B2C0002872</v>
      </c>
    </row>
    <row r="11">
      <c r="A11" s="246" t="s">
        <v>651</v>
      </c>
      <c r="B11" s="184">
        <v>60.0</v>
      </c>
      <c r="C11" s="195">
        <v>0.58</v>
      </c>
      <c r="D11" s="185">
        <v>1.0</v>
      </c>
      <c r="E11" s="196"/>
      <c r="F11" s="184">
        <v>58.0</v>
      </c>
      <c r="G11" s="184">
        <v>6.0</v>
      </c>
      <c r="H11" s="185">
        <v>0.103</v>
      </c>
      <c r="I11" s="183" t="s">
        <v>855</v>
      </c>
      <c r="J11" s="185">
        <v>0.0833</v>
      </c>
      <c r="K11" s="185">
        <v>0.0</v>
      </c>
      <c r="L11" s="185">
        <v>0.0167</v>
      </c>
      <c r="M11" s="185">
        <v>0.0667</v>
      </c>
      <c r="N11" s="185">
        <v>0.0</v>
      </c>
      <c r="O11" s="183" t="s">
        <v>32</v>
      </c>
      <c r="P11" s="186">
        <v>0.0833</v>
      </c>
      <c r="Q11" s="182" t="str">
        <f>VLOOKUP(A:A,'Tracing New Correction'!C695:C780,1,0)</f>
        <v>241106.IRJ127B2C0002276</v>
      </c>
    </row>
    <row r="12">
      <c r="A12" s="246" t="s">
        <v>652</v>
      </c>
      <c r="B12" s="179">
        <v>54.0</v>
      </c>
      <c r="C12" s="191">
        <v>0.47</v>
      </c>
      <c r="D12" s="180">
        <v>1.0</v>
      </c>
      <c r="E12" s="192"/>
      <c r="F12" s="179">
        <v>47.0</v>
      </c>
      <c r="G12" s="179">
        <v>4.0</v>
      </c>
      <c r="H12" s="180">
        <v>0.085</v>
      </c>
      <c r="I12" s="178" t="s">
        <v>855</v>
      </c>
      <c r="J12" s="180">
        <v>0.0816</v>
      </c>
      <c r="K12" s="180">
        <v>0.0</v>
      </c>
      <c r="L12" s="180">
        <v>0.0</v>
      </c>
      <c r="M12" s="180">
        <v>0.0408</v>
      </c>
      <c r="N12" s="180">
        <v>0.0</v>
      </c>
      <c r="O12" s="178" t="s">
        <v>32</v>
      </c>
      <c r="P12" s="181">
        <v>0.0816</v>
      </c>
      <c r="Q12" s="182" t="str">
        <f>VLOOKUP(A:A,'Tracing New Correction'!C696:C781,1,0)</f>
        <v>241089.IRJ127B2C0003157</v>
      </c>
    </row>
    <row r="13">
      <c r="A13" s="246" t="s">
        <v>338</v>
      </c>
      <c r="B13" s="184">
        <v>78.0</v>
      </c>
      <c r="C13" s="195">
        <v>1.0</v>
      </c>
      <c r="D13" s="185">
        <v>1.0</v>
      </c>
      <c r="E13" s="196"/>
      <c r="F13" s="184">
        <v>73.0</v>
      </c>
      <c r="G13" s="184">
        <v>7.0</v>
      </c>
      <c r="H13" s="185">
        <v>0.096</v>
      </c>
      <c r="I13" s="183" t="s">
        <v>855</v>
      </c>
      <c r="J13" s="185">
        <v>0.0633</v>
      </c>
      <c r="K13" s="185">
        <v>0.0</v>
      </c>
      <c r="L13" s="185">
        <v>0.0</v>
      </c>
      <c r="M13" s="185">
        <v>0.0506</v>
      </c>
      <c r="N13" s="185">
        <v>0.0253</v>
      </c>
      <c r="O13" s="183" t="s">
        <v>32</v>
      </c>
      <c r="P13" s="186">
        <v>0.0633</v>
      </c>
      <c r="Q13" s="182" t="str">
        <f>VLOOKUP(A:A,'Tracing New Correction'!C697:C782,1,0)</f>
        <v>245912.FKS26218I</v>
      </c>
    </row>
    <row r="14">
      <c r="A14" s="246" t="s">
        <v>653</v>
      </c>
      <c r="B14" s="179">
        <v>54.0</v>
      </c>
      <c r="C14" s="191">
        <v>0.27</v>
      </c>
      <c r="D14" s="180">
        <v>1.0</v>
      </c>
      <c r="E14" s="192"/>
      <c r="F14" s="179">
        <v>52.0</v>
      </c>
      <c r="G14" s="179">
        <v>4.0</v>
      </c>
      <c r="H14" s="180">
        <v>0.077</v>
      </c>
      <c r="I14" s="178" t="s">
        <v>855</v>
      </c>
      <c r="J14" s="180">
        <v>0.0556</v>
      </c>
      <c r="K14" s="180">
        <v>0.0185</v>
      </c>
      <c r="L14" s="180">
        <v>0.0</v>
      </c>
      <c r="M14" s="180">
        <v>0.0</v>
      </c>
      <c r="N14" s="180">
        <v>0.0</v>
      </c>
      <c r="O14" s="178" t="s">
        <v>32</v>
      </c>
      <c r="P14" s="181">
        <v>0.0556</v>
      </c>
      <c r="Q14" s="182" t="str">
        <f>VLOOKUP(A:A,'Tracing New Correction'!C698:C783,1,0)</f>
        <v>241188.IN26062I</v>
      </c>
    </row>
    <row r="15">
      <c r="A15" s="246" t="s">
        <v>916</v>
      </c>
      <c r="B15" s="184">
        <v>75.0</v>
      </c>
      <c r="C15" s="195">
        <v>0.88</v>
      </c>
      <c r="D15" s="185">
        <v>1.0</v>
      </c>
      <c r="E15" s="196"/>
      <c r="F15" s="184">
        <v>72.0</v>
      </c>
      <c r="G15" s="184">
        <v>4.0</v>
      </c>
      <c r="H15" s="185">
        <v>0.056</v>
      </c>
      <c r="I15" s="183" t="s">
        <v>855</v>
      </c>
      <c r="J15" s="185">
        <v>0.0548</v>
      </c>
      <c r="K15" s="185">
        <v>0.0</v>
      </c>
      <c r="L15" s="185">
        <v>0.0</v>
      </c>
      <c r="M15" s="185">
        <v>0.0137</v>
      </c>
      <c r="N15" s="185">
        <v>0.0</v>
      </c>
      <c r="O15" s="183" t="s">
        <v>32</v>
      </c>
      <c r="P15" s="186">
        <v>0.0548</v>
      </c>
      <c r="Q15" s="182" t="str">
        <f>VLOOKUP(A:A,'Tracing New Correction'!C699:C783,1,0)</f>
        <v>#N/A</v>
      </c>
    </row>
    <row r="16">
      <c r="A16" s="246" t="s">
        <v>654</v>
      </c>
      <c r="B16" s="179">
        <v>107.0</v>
      </c>
      <c r="C16" s="191">
        <v>0.56</v>
      </c>
      <c r="D16" s="180">
        <v>1.0</v>
      </c>
      <c r="E16" s="192"/>
      <c r="F16" s="179">
        <v>100.0</v>
      </c>
      <c r="G16" s="179">
        <v>6.0</v>
      </c>
      <c r="H16" s="180">
        <v>0.06</v>
      </c>
      <c r="I16" s="178" t="s">
        <v>855</v>
      </c>
      <c r="J16" s="180">
        <v>0.049</v>
      </c>
      <c r="K16" s="180">
        <v>0.0</v>
      </c>
      <c r="L16" s="180">
        <v>0.0098</v>
      </c>
      <c r="M16" s="180">
        <v>0.0392</v>
      </c>
      <c r="N16" s="180">
        <v>0.0</v>
      </c>
      <c r="O16" s="178" t="s">
        <v>32</v>
      </c>
      <c r="P16" s="181">
        <v>0.049</v>
      </c>
      <c r="Q16" s="182" t="str">
        <f>VLOOKUP(A:A,'Tracing New Correction'!C700:C784,1,0)</f>
        <v>201557.FKS26325A</v>
      </c>
    </row>
    <row r="17">
      <c r="A17" s="246" t="s">
        <v>917</v>
      </c>
      <c r="B17" s="184">
        <v>62.0</v>
      </c>
      <c r="C17" s="195">
        <v>0.2</v>
      </c>
      <c r="D17" s="185">
        <v>1.0</v>
      </c>
      <c r="E17" s="196"/>
      <c r="F17" s="184">
        <v>60.0</v>
      </c>
      <c r="G17" s="184">
        <v>5.0</v>
      </c>
      <c r="H17" s="185">
        <v>0.083</v>
      </c>
      <c r="I17" s="183" t="s">
        <v>855</v>
      </c>
      <c r="J17" s="185">
        <v>0.0476</v>
      </c>
      <c r="K17" s="185">
        <v>0.0159</v>
      </c>
      <c r="L17" s="185">
        <v>0.0159</v>
      </c>
      <c r="M17" s="185">
        <v>0.0159</v>
      </c>
      <c r="N17" s="185">
        <v>0.0159</v>
      </c>
      <c r="O17" s="183" t="s">
        <v>32</v>
      </c>
      <c r="P17" s="186">
        <v>0.0476</v>
      </c>
      <c r="Q17" s="182" t="str">
        <f>VLOOKUP(A:A,'Tracing New Correction'!C701:C784,1,0)</f>
        <v>#N/A</v>
      </c>
    </row>
    <row r="18">
      <c r="A18" s="246" t="s">
        <v>596</v>
      </c>
      <c r="B18" s="179">
        <v>187.0</v>
      </c>
      <c r="C18" s="191">
        <v>0.44</v>
      </c>
      <c r="D18" s="180">
        <v>1.0</v>
      </c>
      <c r="E18" s="192"/>
      <c r="F18" s="179">
        <v>185.0</v>
      </c>
      <c r="G18" s="179">
        <v>11.0</v>
      </c>
      <c r="H18" s="180">
        <v>0.059</v>
      </c>
      <c r="I18" s="178" t="s">
        <v>855</v>
      </c>
      <c r="J18" s="180">
        <v>0.0423</v>
      </c>
      <c r="K18" s="180">
        <v>0.0</v>
      </c>
      <c r="L18" s="180">
        <v>0.0106</v>
      </c>
      <c r="M18" s="180">
        <v>0.0317</v>
      </c>
      <c r="N18" s="180">
        <v>0.0053</v>
      </c>
      <c r="O18" s="178" t="s">
        <v>32</v>
      </c>
      <c r="P18" s="181">
        <v>0.0423</v>
      </c>
      <c r="Q18" s="182" t="str">
        <f>VLOOKUP(A:A,'Tracing New Correction'!C702:C784,1,0)</f>
        <v>#N/A</v>
      </c>
    </row>
    <row r="19">
      <c r="A19" s="246" t="s">
        <v>655</v>
      </c>
      <c r="B19" s="184">
        <v>66.0</v>
      </c>
      <c r="C19" s="195">
        <v>0.29</v>
      </c>
      <c r="D19" s="185">
        <v>1.0</v>
      </c>
      <c r="E19" s="196"/>
      <c r="F19" s="184">
        <v>59.0</v>
      </c>
      <c r="G19" s="184">
        <v>4.0</v>
      </c>
      <c r="H19" s="185">
        <v>0.068</v>
      </c>
      <c r="I19" s="183" t="s">
        <v>855</v>
      </c>
      <c r="J19" s="185">
        <v>0.0645</v>
      </c>
      <c r="K19" s="185">
        <v>0.0</v>
      </c>
      <c r="L19" s="185">
        <v>0.0</v>
      </c>
      <c r="M19" s="185">
        <v>0.0645</v>
      </c>
      <c r="N19" s="185">
        <v>0.0</v>
      </c>
      <c r="O19" s="183" t="s">
        <v>382</v>
      </c>
      <c r="P19" s="186">
        <v>0.0645</v>
      </c>
      <c r="Q19" s="182" t="str">
        <f>VLOOKUP(A:A,'Tracing New Correction'!C703:C785,1,0)</f>
        <v>219829.LSK26090401-A11</v>
      </c>
    </row>
    <row r="20">
      <c r="A20" s="246" t="s">
        <v>519</v>
      </c>
      <c r="B20" s="179">
        <v>81.0</v>
      </c>
      <c r="C20" s="191">
        <v>0.5</v>
      </c>
      <c r="D20" s="180">
        <v>1.0</v>
      </c>
      <c r="E20" s="192"/>
      <c r="F20" s="179">
        <v>74.0</v>
      </c>
      <c r="G20" s="179">
        <v>5.0</v>
      </c>
      <c r="H20" s="180">
        <v>0.068</v>
      </c>
      <c r="I20" s="178" t="s">
        <v>855</v>
      </c>
      <c r="J20" s="180">
        <v>0.0526</v>
      </c>
      <c r="K20" s="180">
        <v>0.0</v>
      </c>
      <c r="L20" s="180">
        <v>0.0132</v>
      </c>
      <c r="M20" s="180">
        <v>0.0526</v>
      </c>
      <c r="N20" s="180">
        <v>0.0132</v>
      </c>
      <c r="O20" s="178" t="s">
        <v>382</v>
      </c>
      <c r="P20" s="181">
        <v>0.0526</v>
      </c>
      <c r="Q20" s="182" t="str">
        <f>VLOOKUP(A:A,'Tracing New Correction'!C704:C785,1,0)</f>
        <v>#N/A</v>
      </c>
    </row>
    <row r="21">
      <c r="A21" s="246" t="s">
        <v>656</v>
      </c>
      <c r="B21" s="184">
        <v>216.0</v>
      </c>
      <c r="C21" s="195">
        <v>0.62</v>
      </c>
      <c r="D21" s="185">
        <v>1.0</v>
      </c>
      <c r="E21" s="196"/>
      <c r="F21" s="184">
        <v>209.0</v>
      </c>
      <c r="G21" s="184">
        <v>11.0</v>
      </c>
      <c r="H21" s="185">
        <v>0.053</v>
      </c>
      <c r="I21" s="183" t="s">
        <v>855</v>
      </c>
      <c r="J21" s="185">
        <v>0.0423</v>
      </c>
      <c r="K21" s="185">
        <v>0.0</v>
      </c>
      <c r="L21" s="185">
        <v>0.0094</v>
      </c>
      <c r="M21" s="185">
        <v>0.0423</v>
      </c>
      <c r="N21" s="185">
        <v>0.0</v>
      </c>
      <c r="O21" s="183" t="s">
        <v>382</v>
      </c>
      <c r="P21" s="186">
        <v>0.0423</v>
      </c>
      <c r="Q21" s="182" t="str">
        <f>VLOOKUP(A:A,'Tracing New Correction'!C705:C786,1,0)</f>
        <v>211293.FKS26367D</v>
      </c>
    </row>
    <row r="22" hidden="1">
      <c r="A22" s="240" t="s">
        <v>488</v>
      </c>
      <c r="B22" s="241">
        <v>31.0</v>
      </c>
      <c r="C22" s="242">
        <v>0.22</v>
      </c>
      <c r="D22" s="243">
        <v>1.0</v>
      </c>
      <c r="E22" s="244"/>
      <c r="F22" s="241">
        <v>24.0</v>
      </c>
      <c r="G22" s="241">
        <v>14.0</v>
      </c>
      <c r="H22" s="243">
        <v>0.583</v>
      </c>
      <c r="I22" s="240" t="s">
        <v>855</v>
      </c>
      <c r="J22" s="243">
        <v>0.0323</v>
      </c>
      <c r="K22" s="243">
        <v>0.0323</v>
      </c>
      <c r="L22" s="243">
        <v>0.4516</v>
      </c>
      <c r="M22" s="243">
        <v>0.0968</v>
      </c>
      <c r="N22" s="243">
        <v>0.0645</v>
      </c>
      <c r="O22" s="240" t="s">
        <v>124</v>
      </c>
      <c r="P22" s="245">
        <v>0.4516</v>
      </c>
      <c r="Q22" s="182" t="str">
        <f>VLOOKUP(A:A,'Tracing New Correction'!C706:C787,1,0)</f>
        <v>#N/A</v>
      </c>
    </row>
    <row r="23" hidden="1">
      <c r="A23" s="240" t="s">
        <v>354</v>
      </c>
      <c r="B23" s="241">
        <v>20.0</v>
      </c>
      <c r="C23" s="242">
        <v>0.14</v>
      </c>
      <c r="D23" s="243">
        <v>1.0</v>
      </c>
      <c r="E23" s="244"/>
      <c r="F23" s="241">
        <v>13.0</v>
      </c>
      <c r="G23" s="241">
        <v>7.0</v>
      </c>
      <c r="H23" s="243">
        <v>0.538</v>
      </c>
      <c r="I23" s="240" t="s">
        <v>855</v>
      </c>
      <c r="J23" s="243">
        <v>0.0952</v>
      </c>
      <c r="K23" s="243">
        <v>0.0</v>
      </c>
      <c r="L23" s="243">
        <v>0.381</v>
      </c>
      <c r="M23" s="243">
        <v>0.0952</v>
      </c>
      <c r="N23" s="243">
        <v>0.0476</v>
      </c>
      <c r="O23" s="240" t="s">
        <v>124</v>
      </c>
      <c r="P23" s="245">
        <v>0.381</v>
      </c>
      <c r="Q23" s="182" t="str">
        <f>VLOOKUP(A:A,'Tracing New Correction'!C707:C787,1,0)</f>
        <v>#N/A</v>
      </c>
    </row>
    <row r="24">
      <c r="A24" s="246" t="s">
        <v>657</v>
      </c>
      <c r="B24" s="179">
        <v>15.0</v>
      </c>
      <c r="C24" s="191">
        <v>1.0</v>
      </c>
      <c r="D24" s="180">
        <v>1.0</v>
      </c>
      <c r="E24" s="192"/>
      <c r="F24" s="179">
        <v>13.0</v>
      </c>
      <c r="G24" s="179">
        <v>5.0</v>
      </c>
      <c r="H24" s="180">
        <v>0.385</v>
      </c>
      <c r="I24" s="178" t="s">
        <v>855</v>
      </c>
      <c r="J24" s="180">
        <v>0.0</v>
      </c>
      <c r="K24" s="180">
        <v>0.0</v>
      </c>
      <c r="L24" s="180">
        <v>0.3077</v>
      </c>
      <c r="M24" s="180">
        <v>0.0</v>
      </c>
      <c r="N24" s="180">
        <v>0.0769</v>
      </c>
      <c r="O24" s="178" t="s">
        <v>124</v>
      </c>
      <c r="P24" s="181">
        <v>0.3077</v>
      </c>
      <c r="Q24" s="182" t="str">
        <f>VLOOKUP(A:A,'Tracing New Correction'!C708:C787,1,0)</f>
        <v>245116.GLS-20260819-B</v>
      </c>
    </row>
    <row r="25" hidden="1">
      <c r="A25" s="240" t="s">
        <v>315</v>
      </c>
      <c r="B25" s="241">
        <v>12.0</v>
      </c>
      <c r="C25" s="242">
        <v>0.16</v>
      </c>
      <c r="D25" s="243">
        <v>1.0</v>
      </c>
      <c r="E25" s="244"/>
      <c r="F25" s="241">
        <v>7.0</v>
      </c>
      <c r="G25" s="241">
        <v>4.0</v>
      </c>
      <c r="H25" s="243">
        <v>0.571</v>
      </c>
      <c r="I25" s="240" t="s">
        <v>855</v>
      </c>
      <c r="J25" s="243">
        <v>0.0909</v>
      </c>
      <c r="K25" s="243">
        <v>0.0</v>
      </c>
      <c r="L25" s="243">
        <v>0.2727</v>
      </c>
      <c r="M25" s="243">
        <v>0.0909</v>
      </c>
      <c r="N25" s="243">
        <v>0.0909</v>
      </c>
      <c r="O25" s="240" t="s">
        <v>124</v>
      </c>
      <c r="P25" s="245">
        <v>0.2727</v>
      </c>
      <c r="Q25" s="182" t="str">
        <f>VLOOKUP(A:A,'Tracing New Correction'!C709:C788,1,0)</f>
        <v>239999.IN026061604F</v>
      </c>
    </row>
    <row r="26" hidden="1">
      <c r="A26" s="240" t="s">
        <v>676</v>
      </c>
      <c r="B26" s="241">
        <v>21.0</v>
      </c>
      <c r="C26" s="242">
        <v>0.15</v>
      </c>
      <c r="D26" s="243">
        <v>1.0</v>
      </c>
      <c r="E26" s="244"/>
      <c r="F26" s="241">
        <v>11.0</v>
      </c>
      <c r="G26" s="241">
        <v>5.0</v>
      </c>
      <c r="H26" s="243">
        <v>0.455</v>
      </c>
      <c r="I26" s="240" t="s">
        <v>855</v>
      </c>
      <c r="J26" s="243">
        <v>0.05</v>
      </c>
      <c r="K26" s="243">
        <v>0.1</v>
      </c>
      <c r="L26" s="243">
        <v>0.25</v>
      </c>
      <c r="M26" s="243">
        <v>0.15</v>
      </c>
      <c r="N26" s="243">
        <v>0.05</v>
      </c>
      <c r="O26" s="240" t="s">
        <v>124</v>
      </c>
      <c r="P26" s="245">
        <v>0.25</v>
      </c>
      <c r="Q26" s="182" t="str">
        <f>VLOOKUP(A:A,'Tracing New Correction'!C710:C788,1,0)</f>
        <v>#N/A</v>
      </c>
    </row>
    <row r="27" hidden="1">
      <c r="A27" s="240" t="s">
        <v>387</v>
      </c>
      <c r="B27" s="241">
        <v>48.0</v>
      </c>
      <c r="C27" s="242">
        <v>0.34</v>
      </c>
      <c r="D27" s="243">
        <v>1.0</v>
      </c>
      <c r="E27" s="244"/>
      <c r="F27" s="241">
        <v>39.0</v>
      </c>
      <c r="G27" s="241">
        <v>8.0</v>
      </c>
      <c r="H27" s="243">
        <v>0.205</v>
      </c>
      <c r="I27" s="240" t="s">
        <v>855</v>
      </c>
      <c r="J27" s="243">
        <v>0.0</v>
      </c>
      <c r="K27" s="243">
        <v>0.0213</v>
      </c>
      <c r="L27" s="243">
        <v>0.1702</v>
      </c>
      <c r="M27" s="243">
        <v>0.0213</v>
      </c>
      <c r="N27" s="243">
        <v>0.0426</v>
      </c>
      <c r="O27" s="240" t="s">
        <v>124</v>
      </c>
      <c r="P27" s="245">
        <v>0.1702</v>
      </c>
      <c r="Q27" s="182" t="str">
        <f>VLOOKUP(A:A,'Tracing New Correction'!C711:C789,1,0)</f>
        <v>240000.IN026072701J</v>
      </c>
    </row>
    <row r="28">
      <c r="A28" s="246" t="s">
        <v>361</v>
      </c>
      <c r="B28" s="179">
        <v>81.0</v>
      </c>
      <c r="C28" s="191">
        <v>0.99</v>
      </c>
      <c r="D28" s="180">
        <v>1.0</v>
      </c>
      <c r="E28" s="192"/>
      <c r="F28" s="179">
        <v>78.0</v>
      </c>
      <c r="G28" s="179">
        <v>11.0</v>
      </c>
      <c r="H28" s="180">
        <v>0.141</v>
      </c>
      <c r="I28" s="178" t="s">
        <v>855</v>
      </c>
      <c r="J28" s="180">
        <v>0.0241</v>
      </c>
      <c r="K28" s="180">
        <v>0.012</v>
      </c>
      <c r="L28" s="180">
        <v>0.1205</v>
      </c>
      <c r="M28" s="180">
        <v>0.012</v>
      </c>
      <c r="N28" s="180">
        <v>0.0</v>
      </c>
      <c r="O28" s="178" t="s">
        <v>124</v>
      </c>
      <c r="P28" s="181">
        <v>0.1205</v>
      </c>
      <c r="Q28" s="182" t="str">
        <f>VLOOKUP(A:A,'Tracing New Correction'!C712:C790,1,0)</f>
        <v>#N/A</v>
      </c>
    </row>
    <row r="29">
      <c r="A29" s="246" t="s">
        <v>329</v>
      </c>
      <c r="B29" s="184">
        <v>74.0</v>
      </c>
      <c r="C29" s="195">
        <v>0.66</v>
      </c>
      <c r="D29" s="185">
        <v>1.0</v>
      </c>
      <c r="E29" s="196"/>
      <c r="F29" s="184">
        <v>71.0</v>
      </c>
      <c r="G29" s="184">
        <v>12.0</v>
      </c>
      <c r="H29" s="185">
        <v>0.169</v>
      </c>
      <c r="I29" s="183" t="s">
        <v>855</v>
      </c>
      <c r="J29" s="185">
        <v>0.0519</v>
      </c>
      <c r="K29" s="185">
        <v>0.0</v>
      </c>
      <c r="L29" s="185">
        <v>0.1169</v>
      </c>
      <c r="M29" s="185">
        <v>0.0649</v>
      </c>
      <c r="N29" s="185">
        <v>0.0</v>
      </c>
      <c r="O29" s="183" t="s">
        <v>124</v>
      </c>
      <c r="P29" s="186">
        <v>0.1169</v>
      </c>
      <c r="Q29" s="182" t="str">
        <f>VLOOKUP(A:A,'Tracing New Correction'!C713:C790,1,0)</f>
        <v>#N/A</v>
      </c>
    </row>
    <row r="30">
      <c r="A30" s="246" t="s">
        <v>658</v>
      </c>
      <c r="B30" s="179">
        <v>42.0</v>
      </c>
      <c r="C30" s="191">
        <v>0.27</v>
      </c>
      <c r="D30" s="180">
        <v>1.0</v>
      </c>
      <c r="E30" s="192"/>
      <c r="F30" s="179">
        <v>41.0</v>
      </c>
      <c r="G30" s="179">
        <v>5.0</v>
      </c>
      <c r="H30" s="180">
        <v>0.122</v>
      </c>
      <c r="I30" s="178" t="s">
        <v>855</v>
      </c>
      <c r="J30" s="180">
        <v>0.0488</v>
      </c>
      <c r="K30" s="180">
        <v>0.0</v>
      </c>
      <c r="L30" s="180">
        <v>0.0732</v>
      </c>
      <c r="M30" s="180">
        <v>0.0244</v>
      </c>
      <c r="N30" s="180">
        <v>0.0</v>
      </c>
      <c r="O30" s="178" t="s">
        <v>124</v>
      </c>
      <c r="P30" s="181">
        <v>0.0732</v>
      </c>
      <c r="Q30" s="182" t="str">
        <f>VLOOKUP(A:A,'Tracing New Correction'!C714:C790,1,0)</f>
        <v>242275.FKS26286A</v>
      </c>
    </row>
    <row r="31">
      <c r="A31" s="246" t="s">
        <v>298</v>
      </c>
      <c r="B31" s="184">
        <v>139.0</v>
      </c>
      <c r="C31" s="195">
        <v>1.0</v>
      </c>
      <c r="D31" s="185">
        <v>1.0</v>
      </c>
      <c r="E31" s="196"/>
      <c r="F31" s="184">
        <v>130.0</v>
      </c>
      <c r="G31" s="184">
        <v>10.0</v>
      </c>
      <c r="H31" s="185">
        <v>0.077</v>
      </c>
      <c r="I31" s="183" t="s">
        <v>855</v>
      </c>
      <c r="J31" s="185">
        <v>0.0219</v>
      </c>
      <c r="K31" s="185">
        <v>0.0219</v>
      </c>
      <c r="L31" s="185">
        <v>0.0438</v>
      </c>
      <c r="M31" s="185">
        <v>0.0438</v>
      </c>
      <c r="N31" s="185">
        <v>0.0</v>
      </c>
      <c r="O31" s="183" t="s">
        <v>124</v>
      </c>
      <c r="P31" s="186">
        <v>0.0438</v>
      </c>
      <c r="Q31" s="182" t="str">
        <f>VLOOKUP(A:A,'Tracing New Correction'!C715:C790,1,0)</f>
        <v>#N/A</v>
      </c>
    </row>
    <row r="32">
      <c r="A32" s="246" t="s">
        <v>659</v>
      </c>
      <c r="B32" s="179">
        <v>12.0</v>
      </c>
      <c r="C32" s="191">
        <v>0.71</v>
      </c>
      <c r="D32" s="180">
        <v>1.0</v>
      </c>
      <c r="E32" s="192"/>
      <c r="F32" s="179">
        <v>10.0</v>
      </c>
      <c r="G32" s="179">
        <v>4.0</v>
      </c>
      <c r="H32" s="180">
        <v>0.4</v>
      </c>
      <c r="I32" s="178" t="s">
        <v>855</v>
      </c>
      <c r="J32" s="180">
        <v>0.1429</v>
      </c>
      <c r="K32" s="180">
        <v>0.0714</v>
      </c>
      <c r="L32" s="180">
        <v>0.1429</v>
      </c>
      <c r="M32" s="180">
        <v>0.0</v>
      </c>
      <c r="N32" s="180">
        <v>0.0</v>
      </c>
      <c r="O32" s="178" t="s">
        <v>439</v>
      </c>
      <c r="P32" s="181">
        <v>0.1429</v>
      </c>
      <c r="Q32" s="182" t="str">
        <f>VLOOKUP(A:A,'Tracing New Correction'!C716:C790,1,0)</f>
        <v>247069.IRJ127B2C0002270</v>
      </c>
    </row>
    <row r="33">
      <c r="A33" s="246" t="s">
        <v>660</v>
      </c>
      <c r="B33" s="184">
        <v>26.0</v>
      </c>
      <c r="C33" s="195">
        <v>0.35</v>
      </c>
      <c r="D33" s="185">
        <v>1.0</v>
      </c>
      <c r="E33" s="196"/>
      <c r="F33" s="184">
        <v>25.0</v>
      </c>
      <c r="G33" s="184">
        <v>5.0</v>
      </c>
      <c r="H33" s="185">
        <v>0.2</v>
      </c>
      <c r="I33" s="183" t="s">
        <v>855</v>
      </c>
      <c r="J33" s="185">
        <v>0.12</v>
      </c>
      <c r="K33" s="185">
        <v>0.0</v>
      </c>
      <c r="L33" s="185">
        <v>0.12</v>
      </c>
      <c r="M33" s="185">
        <v>0.08</v>
      </c>
      <c r="N33" s="185">
        <v>0.0</v>
      </c>
      <c r="O33" s="183" t="s">
        <v>439</v>
      </c>
      <c r="P33" s="186">
        <v>0.12</v>
      </c>
      <c r="Q33" s="182" t="str">
        <f>VLOOKUP(A:A,'Tracing New Correction'!C717:C790,1,0)</f>
        <v>241098.IRJ127B2C0002720</v>
      </c>
    </row>
    <row r="34">
      <c r="A34" s="246" t="s">
        <v>918</v>
      </c>
      <c r="B34" s="179">
        <v>41.0</v>
      </c>
      <c r="C34" s="191">
        <v>0.2</v>
      </c>
      <c r="D34" s="180">
        <v>1.0</v>
      </c>
      <c r="E34" s="192"/>
      <c r="F34" s="179">
        <v>30.0</v>
      </c>
      <c r="G34" s="179">
        <v>7.0</v>
      </c>
      <c r="H34" s="180">
        <v>0.233</v>
      </c>
      <c r="I34" s="178" t="s">
        <v>855</v>
      </c>
      <c r="J34" s="180">
        <v>0.0833</v>
      </c>
      <c r="K34" s="180">
        <v>0.0556</v>
      </c>
      <c r="L34" s="180">
        <v>0.0556</v>
      </c>
      <c r="M34" s="180">
        <v>0.1389</v>
      </c>
      <c r="N34" s="180">
        <v>0.0278</v>
      </c>
      <c r="O34" s="178" t="s">
        <v>392</v>
      </c>
      <c r="P34" s="181">
        <v>0.1389</v>
      </c>
      <c r="Q34" s="182" t="str">
        <f>VLOOKUP(A:A,'Tracing New Correction'!C718:C790,1,0)</f>
        <v>#N/A</v>
      </c>
    </row>
    <row r="35" hidden="1">
      <c r="A35" s="240" t="s">
        <v>618</v>
      </c>
      <c r="B35" s="241">
        <v>60.0</v>
      </c>
      <c r="C35" s="242">
        <v>0.34</v>
      </c>
      <c r="D35" s="243">
        <v>1.0</v>
      </c>
      <c r="E35" s="244"/>
      <c r="F35" s="241">
        <v>50.0</v>
      </c>
      <c r="G35" s="241">
        <v>6.0</v>
      </c>
      <c r="H35" s="243">
        <v>0.12</v>
      </c>
      <c r="I35" s="240" t="s">
        <v>855</v>
      </c>
      <c r="J35" s="243">
        <v>0.0526</v>
      </c>
      <c r="K35" s="243">
        <v>0.0</v>
      </c>
      <c r="L35" s="243">
        <v>0.0351</v>
      </c>
      <c r="M35" s="243">
        <v>0.1228</v>
      </c>
      <c r="N35" s="243">
        <v>0.0175</v>
      </c>
      <c r="O35" s="240" t="s">
        <v>392</v>
      </c>
      <c r="P35" s="245">
        <v>0.1228</v>
      </c>
      <c r="Q35" s="182" t="str">
        <f>VLOOKUP(A:A,'Tracing New Correction'!C719:C790,1,0)</f>
        <v>218966.IRJ127B2C0001181</v>
      </c>
    </row>
    <row r="36">
      <c r="A36" s="246" t="s">
        <v>672</v>
      </c>
      <c r="B36" s="179">
        <v>74.0</v>
      </c>
      <c r="C36" s="191">
        <v>1.0</v>
      </c>
      <c r="D36" s="180">
        <v>1.0</v>
      </c>
      <c r="E36" s="192"/>
      <c r="F36" s="179">
        <v>69.0</v>
      </c>
      <c r="G36" s="179">
        <v>7.0</v>
      </c>
      <c r="H36" s="180">
        <v>0.101</v>
      </c>
      <c r="I36" s="178" t="s">
        <v>855</v>
      </c>
      <c r="J36" s="180">
        <v>0.0685</v>
      </c>
      <c r="K36" s="180">
        <v>0.0</v>
      </c>
      <c r="L36" s="180">
        <v>0.0274</v>
      </c>
      <c r="M36" s="180">
        <v>0.1096</v>
      </c>
      <c r="N36" s="180">
        <v>0.0</v>
      </c>
      <c r="O36" s="178" t="s">
        <v>392</v>
      </c>
      <c r="P36" s="181">
        <v>0.1096</v>
      </c>
      <c r="Q36" s="182" t="str">
        <f>VLOOKUP(A:A,'Tracing New Correction'!C720:C790,1,0)</f>
        <v>#N/A</v>
      </c>
    </row>
    <row r="37">
      <c r="A37" s="246" t="s">
        <v>890</v>
      </c>
      <c r="B37" s="184">
        <v>91.0</v>
      </c>
      <c r="C37" s="195">
        <v>0.65</v>
      </c>
      <c r="D37" s="185">
        <v>1.0</v>
      </c>
      <c r="E37" s="196"/>
      <c r="F37" s="184">
        <v>86.0</v>
      </c>
      <c r="G37" s="184">
        <v>6.0</v>
      </c>
      <c r="H37" s="185">
        <v>0.07</v>
      </c>
      <c r="I37" s="183" t="s">
        <v>855</v>
      </c>
      <c r="J37" s="185">
        <v>0.0345</v>
      </c>
      <c r="K37" s="185">
        <v>0.0</v>
      </c>
      <c r="L37" s="185">
        <v>0.0115</v>
      </c>
      <c r="M37" s="185">
        <v>0.1034</v>
      </c>
      <c r="N37" s="185">
        <v>0.0115</v>
      </c>
      <c r="O37" s="183" t="s">
        <v>392</v>
      </c>
      <c r="P37" s="186">
        <v>0.1034</v>
      </c>
      <c r="Q37" s="182" t="str">
        <f>VLOOKUP(A:A,'Tracing New Correction'!C721:C790,1,0)</f>
        <v>#N/A</v>
      </c>
    </row>
    <row r="38">
      <c r="A38" s="246" t="s">
        <v>919</v>
      </c>
      <c r="B38" s="179">
        <v>69.0</v>
      </c>
      <c r="C38" s="191">
        <v>0.22</v>
      </c>
      <c r="D38" s="180">
        <v>1.0</v>
      </c>
      <c r="E38" s="192"/>
      <c r="F38" s="179">
        <v>66.0</v>
      </c>
      <c r="G38" s="179">
        <v>6.0</v>
      </c>
      <c r="H38" s="180">
        <v>0.091</v>
      </c>
      <c r="I38" s="178" t="s">
        <v>855</v>
      </c>
      <c r="J38" s="180">
        <v>0.0152</v>
      </c>
      <c r="K38" s="180">
        <v>0.0152</v>
      </c>
      <c r="L38" s="180">
        <v>0.0455</v>
      </c>
      <c r="M38" s="180">
        <v>0.0758</v>
      </c>
      <c r="N38" s="180">
        <v>0.0152</v>
      </c>
      <c r="O38" s="178" t="s">
        <v>392</v>
      </c>
      <c r="P38" s="181">
        <v>0.0758</v>
      </c>
      <c r="Q38" s="182" t="str">
        <f>VLOOKUP(A:A,'Tracing New Correction'!C722:C790,1,0)</f>
        <v>#N/A</v>
      </c>
    </row>
    <row r="39">
      <c r="A39" s="246" t="s">
        <v>565</v>
      </c>
      <c r="B39" s="184">
        <v>52.0</v>
      </c>
      <c r="C39" s="195">
        <v>0.48</v>
      </c>
      <c r="D39" s="185">
        <v>1.0</v>
      </c>
      <c r="E39" s="196"/>
      <c r="F39" s="184">
        <v>49.0</v>
      </c>
      <c r="G39" s="184">
        <v>5.0</v>
      </c>
      <c r="H39" s="185">
        <v>0.102</v>
      </c>
      <c r="I39" s="183" t="s">
        <v>855</v>
      </c>
      <c r="J39" s="185">
        <v>0.0192</v>
      </c>
      <c r="K39" s="185">
        <v>0.0385</v>
      </c>
      <c r="L39" s="185">
        <v>0.0192</v>
      </c>
      <c r="M39" s="185">
        <v>0.0577</v>
      </c>
      <c r="N39" s="185">
        <v>0.0192</v>
      </c>
      <c r="O39" s="183" t="s">
        <v>392</v>
      </c>
      <c r="P39" s="186">
        <v>0.0577</v>
      </c>
      <c r="Q39" s="182" t="str">
        <f>VLOOKUP(A:A,'Tracing New Correction'!C723:C791,1,0)</f>
        <v>#N/A</v>
      </c>
    </row>
    <row r="40">
      <c r="A40" s="246" t="s">
        <v>895</v>
      </c>
      <c r="B40" s="179">
        <v>90.0</v>
      </c>
      <c r="C40" s="191">
        <v>0.29</v>
      </c>
      <c r="D40" s="180">
        <v>1.0</v>
      </c>
      <c r="E40" s="192"/>
      <c r="F40" s="179">
        <v>89.0</v>
      </c>
      <c r="G40" s="179">
        <v>5.0</v>
      </c>
      <c r="H40" s="180">
        <v>0.056</v>
      </c>
      <c r="I40" s="178" t="s">
        <v>855</v>
      </c>
      <c r="J40" s="180">
        <v>0.0111</v>
      </c>
      <c r="K40" s="180">
        <v>0.0</v>
      </c>
      <c r="L40" s="180">
        <v>0.0444</v>
      </c>
      <c r="M40" s="180">
        <v>0.0556</v>
      </c>
      <c r="N40" s="180">
        <v>0.0</v>
      </c>
      <c r="O40" s="178" t="s">
        <v>392</v>
      </c>
      <c r="P40" s="181">
        <v>0.0556</v>
      </c>
      <c r="Q40" s="182" t="str">
        <f>VLOOKUP(A:A,'Tracing New Correction'!C724:C792,1,0)</f>
        <v>#N/A</v>
      </c>
    </row>
    <row r="41">
      <c r="A41" s="246" t="s">
        <v>674</v>
      </c>
      <c r="B41" s="184">
        <v>119.0</v>
      </c>
      <c r="C41" s="195">
        <v>1.0</v>
      </c>
      <c r="D41" s="185">
        <v>1.0</v>
      </c>
      <c r="E41" s="196"/>
      <c r="F41" s="184">
        <v>114.0</v>
      </c>
      <c r="G41" s="184">
        <v>6.0</v>
      </c>
      <c r="H41" s="185">
        <v>0.053</v>
      </c>
      <c r="I41" s="183" t="s">
        <v>855</v>
      </c>
      <c r="J41" s="185">
        <v>0.0086</v>
      </c>
      <c r="K41" s="185">
        <v>0.0172</v>
      </c>
      <c r="L41" s="185">
        <v>0.0259</v>
      </c>
      <c r="M41" s="185">
        <v>0.0517</v>
      </c>
      <c r="N41" s="185">
        <v>0.0</v>
      </c>
      <c r="O41" s="183" t="s">
        <v>392</v>
      </c>
      <c r="P41" s="186">
        <v>0.0517</v>
      </c>
      <c r="Q41" s="182" t="str">
        <f>VLOOKUP(A:A,'Tracing New Correction'!C725:C793,1,0)</f>
        <v>#N/A</v>
      </c>
    </row>
    <row r="42">
      <c r="A42" s="246" t="s">
        <v>888</v>
      </c>
      <c r="B42" s="179">
        <v>101.0</v>
      </c>
      <c r="C42" s="191">
        <v>0.58</v>
      </c>
      <c r="D42" s="180">
        <v>1.0</v>
      </c>
      <c r="E42" s="192"/>
      <c r="F42" s="179">
        <v>94.0</v>
      </c>
      <c r="G42" s="179">
        <v>6.0</v>
      </c>
      <c r="H42" s="180">
        <v>0.064</v>
      </c>
      <c r="I42" s="178" t="s">
        <v>855</v>
      </c>
      <c r="J42" s="180">
        <v>0.0286</v>
      </c>
      <c r="K42" s="180">
        <v>0.0</v>
      </c>
      <c r="L42" s="180">
        <v>0.0381</v>
      </c>
      <c r="M42" s="180">
        <v>0.0476</v>
      </c>
      <c r="N42" s="180">
        <v>0.0</v>
      </c>
      <c r="O42" s="178" t="s">
        <v>392</v>
      </c>
      <c r="P42" s="181">
        <v>0.0476</v>
      </c>
      <c r="Q42" s="182" t="str">
        <f>VLOOKUP(A:A,'Tracing New Correction'!C726:C794,1,0)</f>
        <v>#N/A</v>
      </c>
    </row>
    <row r="43">
      <c r="A43" s="246" t="s">
        <v>920</v>
      </c>
      <c r="B43" s="184">
        <v>12.0</v>
      </c>
      <c r="C43" s="195">
        <v>0.48</v>
      </c>
      <c r="D43" s="185">
        <v>1.0</v>
      </c>
      <c r="E43" s="196"/>
      <c r="F43" s="184">
        <v>12.0</v>
      </c>
      <c r="G43" s="184">
        <v>8.0</v>
      </c>
      <c r="H43" s="185">
        <v>0.667</v>
      </c>
      <c r="I43" s="183" t="s">
        <v>855</v>
      </c>
      <c r="J43" s="185">
        <v>0.0</v>
      </c>
      <c r="K43" s="185">
        <v>0.4737</v>
      </c>
      <c r="L43" s="185">
        <v>0.0526</v>
      </c>
      <c r="M43" s="185">
        <v>0.0</v>
      </c>
      <c r="N43" s="185">
        <v>0.0</v>
      </c>
      <c r="O43" s="183" t="s">
        <v>17</v>
      </c>
      <c r="P43" s="186">
        <v>0.4737</v>
      </c>
      <c r="Q43" s="182" t="str">
        <f>VLOOKUP(A:A,'Tracing New Correction'!C727:C795,1,0)</f>
        <v>#N/A</v>
      </c>
    </row>
    <row r="44" hidden="1">
      <c r="A44" s="240" t="s">
        <v>641</v>
      </c>
      <c r="B44" s="241">
        <v>52.0</v>
      </c>
      <c r="C44" s="242">
        <v>1.0</v>
      </c>
      <c r="D44" s="243">
        <v>1.0</v>
      </c>
      <c r="E44" s="244"/>
      <c r="F44" s="241">
        <v>43.0</v>
      </c>
      <c r="G44" s="241">
        <v>11.0</v>
      </c>
      <c r="H44" s="243">
        <v>0.256</v>
      </c>
      <c r="I44" s="240" t="s">
        <v>855</v>
      </c>
      <c r="J44" s="243">
        <v>0.0816</v>
      </c>
      <c r="K44" s="243">
        <v>0.2041</v>
      </c>
      <c r="L44" s="243">
        <v>0.0</v>
      </c>
      <c r="M44" s="243">
        <v>0.102</v>
      </c>
      <c r="N44" s="243">
        <v>0.0</v>
      </c>
      <c r="O44" s="240" t="s">
        <v>17</v>
      </c>
      <c r="P44" s="245">
        <v>0.2041</v>
      </c>
      <c r="Q44" s="182" t="str">
        <f>VLOOKUP(A:A,'Tracing New Correction'!C728:C796,1,0)</f>
        <v>255278.IN26061J</v>
      </c>
    </row>
    <row r="45" hidden="1">
      <c r="A45" s="240" t="s">
        <v>496</v>
      </c>
      <c r="B45" s="241">
        <v>161.0</v>
      </c>
      <c r="C45" s="242">
        <v>0.79</v>
      </c>
      <c r="D45" s="243">
        <v>1.0</v>
      </c>
      <c r="E45" s="244"/>
      <c r="F45" s="241">
        <v>149.0</v>
      </c>
      <c r="G45" s="241">
        <v>45.0</v>
      </c>
      <c r="H45" s="243">
        <v>0.302</v>
      </c>
      <c r="I45" s="240" t="s">
        <v>855</v>
      </c>
      <c r="J45" s="243">
        <v>0.0613</v>
      </c>
      <c r="K45" s="243">
        <v>0.1902</v>
      </c>
      <c r="L45" s="243">
        <v>0.0245</v>
      </c>
      <c r="M45" s="243">
        <v>0.0307</v>
      </c>
      <c r="N45" s="243">
        <v>0.0</v>
      </c>
      <c r="O45" s="240" t="s">
        <v>17</v>
      </c>
      <c r="P45" s="245">
        <v>0.1902</v>
      </c>
      <c r="Q45" s="182" t="str">
        <f>VLOOKUP(A:A,'Tracing New Correction'!C729:C797,1,0)</f>
        <v>238757.26WLS-425K</v>
      </c>
    </row>
    <row r="46" hidden="1">
      <c r="A46" s="240" t="s">
        <v>639</v>
      </c>
      <c r="B46" s="241">
        <v>15.0</v>
      </c>
      <c r="C46" s="242">
        <v>0.33</v>
      </c>
      <c r="D46" s="243">
        <v>1.0</v>
      </c>
      <c r="E46" s="244"/>
      <c r="F46" s="241">
        <v>12.0</v>
      </c>
      <c r="G46" s="241">
        <v>8.0</v>
      </c>
      <c r="H46" s="243">
        <v>0.667</v>
      </c>
      <c r="I46" s="240" t="s">
        <v>855</v>
      </c>
      <c r="J46" s="243">
        <v>0.0</v>
      </c>
      <c r="K46" s="243">
        <v>0.0556</v>
      </c>
      <c r="L46" s="243">
        <v>0.0556</v>
      </c>
      <c r="M46" s="243">
        <v>0.0</v>
      </c>
      <c r="N46" s="243">
        <v>0.4444</v>
      </c>
      <c r="O46" s="240" t="s">
        <v>402</v>
      </c>
      <c r="P46" s="245">
        <v>0.4444</v>
      </c>
      <c r="Q46" s="182" t="str">
        <f>VLOOKUP(A:A,'Tracing New Correction'!C730:C798,1,0)</f>
        <v>241115.IRJ127B2C0002794</v>
      </c>
    </row>
    <row r="47">
      <c r="A47" s="246" t="s">
        <v>614</v>
      </c>
      <c r="B47" s="184">
        <v>14.0</v>
      </c>
      <c r="C47" s="195">
        <v>1.0</v>
      </c>
      <c r="D47" s="185">
        <v>1.0</v>
      </c>
      <c r="E47" s="196"/>
      <c r="F47" s="184">
        <v>9.0</v>
      </c>
      <c r="G47" s="184">
        <v>4.0</v>
      </c>
      <c r="H47" s="185">
        <v>0.444</v>
      </c>
      <c r="I47" s="183" t="s">
        <v>855</v>
      </c>
      <c r="J47" s="185">
        <v>0.0714</v>
      </c>
      <c r="K47" s="185">
        <v>0.0714</v>
      </c>
      <c r="L47" s="185">
        <v>0.1429</v>
      </c>
      <c r="M47" s="185">
        <v>0.0</v>
      </c>
      <c r="N47" s="185">
        <v>0.2143</v>
      </c>
      <c r="O47" s="183" t="s">
        <v>402</v>
      </c>
      <c r="P47" s="186">
        <v>0.2143</v>
      </c>
      <c r="Q47" s="182" t="str">
        <f>VLOOKUP(A:A,'Tracing New Correction'!C731:C799,1,0)</f>
        <v>#N/A</v>
      </c>
    </row>
    <row r="48" hidden="1">
      <c r="A48" s="240" t="s">
        <v>642</v>
      </c>
      <c r="B48" s="241">
        <v>47.0</v>
      </c>
      <c r="C48" s="242">
        <v>0.75</v>
      </c>
      <c r="D48" s="243">
        <v>1.0</v>
      </c>
      <c r="E48" s="244"/>
      <c r="F48" s="241">
        <v>46.0</v>
      </c>
      <c r="G48" s="241">
        <v>23.0</v>
      </c>
      <c r="H48" s="243">
        <v>0.5</v>
      </c>
      <c r="I48" s="240" t="s">
        <v>855</v>
      </c>
      <c r="J48" s="243">
        <v>0.1452</v>
      </c>
      <c r="K48" s="243">
        <v>0.0806</v>
      </c>
      <c r="L48" s="243">
        <v>0.0</v>
      </c>
      <c r="M48" s="243">
        <v>0.0806</v>
      </c>
      <c r="N48" s="243">
        <v>0.1935</v>
      </c>
      <c r="O48" s="240" t="s">
        <v>921</v>
      </c>
      <c r="P48" s="245">
        <v>0.1935</v>
      </c>
      <c r="Q48" s="182" t="str">
        <f>VLOOKUP(A:A,'Tracing New Correction'!C732:C800,1,0)</f>
        <v>234792.IRJ127B2C0003071</v>
      </c>
    </row>
  </sheetData>
  <autoFilter ref="$A$1:$Q$48">
    <filterColumn colId="16">
      <filters>
        <filter val="241115.IRJ127B2C0002813"/>
        <filter val="211293.FKS26367D"/>
        <filter val="219829.LSK26090401-A11"/>
        <filter val="247069.IRJ127B2C0002270"/>
        <filter val="241098.IRJ127B2C0002720"/>
        <filter val="241188.IN26062I"/>
        <filter val="247065.IRJ127B2C0002420"/>
        <filter val="242275.FKS26286A"/>
        <filter val="201557.FKS26325A"/>
        <filter val="241117.IRJ127B2C0002872"/>
        <filter val="245912.FKS26218I"/>
        <filter val="237934.IRJ127B2C0002934"/>
        <filter val="247077.IRJ127B2C0002918"/>
        <filter val="#N/A"/>
        <filter val="241089.IRJ127B2C0003157"/>
        <filter val="239839.IRJ127B2C0002534"/>
        <filter val="245116.GLS-20260819-B"/>
        <filter val="241095.IRJ127B2C0002020-CH01"/>
        <filter val="254395.FKS26340J"/>
        <filter val="241106.IRJ127B2C0002276"/>
      </filters>
    </filterColumn>
    <filterColumn colId="0">
      <colorFilter dxfId="1"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6" t="s">
        <v>848</v>
      </c>
      <c r="B1" s="176" t="s">
        <v>849</v>
      </c>
      <c r="C1" s="176" t="s">
        <v>850</v>
      </c>
      <c r="D1" s="176" t="s">
        <v>851</v>
      </c>
      <c r="E1" s="176" t="s">
        <v>852</v>
      </c>
      <c r="F1" s="176" t="s">
        <v>853</v>
      </c>
      <c r="G1" s="176" t="s">
        <v>32</v>
      </c>
      <c r="H1" s="176" t="s">
        <v>17</v>
      </c>
      <c r="I1" s="176" t="s">
        <v>124</v>
      </c>
      <c r="J1" s="176" t="s">
        <v>323</v>
      </c>
      <c r="K1" s="176" t="s">
        <v>392</v>
      </c>
      <c r="L1" s="176" t="s">
        <v>3</v>
      </c>
      <c r="M1" s="177" t="s">
        <v>4</v>
      </c>
    </row>
    <row r="2">
      <c r="A2" s="178" t="s">
        <v>429</v>
      </c>
      <c r="B2" s="179">
        <v>19.0</v>
      </c>
      <c r="C2" s="179">
        <v>16.0</v>
      </c>
      <c r="D2" s="179">
        <v>3.0</v>
      </c>
      <c r="E2" s="180">
        <v>0.188</v>
      </c>
      <c r="F2" s="178" t="s">
        <v>855</v>
      </c>
      <c r="G2" s="180">
        <v>0.1875</v>
      </c>
      <c r="H2" s="180">
        <v>0.0</v>
      </c>
      <c r="I2" s="180">
        <v>0.0</v>
      </c>
      <c r="J2" s="180">
        <v>0.0</v>
      </c>
      <c r="K2" s="180">
        <v>0.0625</v>
      </c>
      <c r="L2" s="178" t="s">
        <v>32</v>
      </c>
      <c r="M2" s="181">
        <v>0.1875</v>
      </c>
    </row>
    <row r="3">
      <c r="A3" s="183" t="s">
        <v>420</v>
      </c>
      <c r="B3" s="184">
        <v>43.0</v>
      </c>
      <c r="C3" s="184">
        <v>41.0</v>
      </c>
      <c r="D3" s="184">
        <v>6.0</v>
      </c>
      <c r="E3" s="185">
        <v>0.146</v>
      </c>
      <c r="F3" s="183" t="s">
        <v>855</v>
      </c>
      <c r="G3" s="185">
        <v>0.119</v>
      </c>
      <c r="H3" s="185">
        <v>0.0</v>
      </c>
      <c r="I3" s="185">
        <v>0.0238</v>
      </c>
      <c r="J3" s="185">
        <v>0.0</v>
      </c>
      <c r="K3" s="185">
        <v>0.0952</v>
      </c>
      <c r="L3" s="183" t="s">
        <v>32</v>
      </c>
      <c r="M3" s="186">
        <v>0.119</v>
      </c>
    </row>
    <row r="4">
      <c r="A4" s="178" t="s">
        <v>430</v>
      </c>
      <c r="B4" s="179">
        <v>54.0</v>
      </c>
      <c r="C4" s="179">
        <v>52.0</v>
      </c>
      <c r="D4" s="179">
        <v>5.0</v>
      </c>
      <c r="E4" s="180">
        <v>0.096</v>
      </c>
      <c r="F4" s="178" t="s">
        <v>855</v>
      </c>
      <c r="G4" s="180">
        <v>0.0962</v>
      </c>
      <c r="H4" s="180">
        <v>0.0</v>
      </c>
      <c r="I4" s="180">
        <v>0.0</v>
      </c>
      <c r="J4" s="180">
        <v>0.0</v>
      </c>
      <c r="K4" s="180">
        <v>0.0385</v>
      </c>
      <c r="L4" s="178" t="s">
        <v>32</v>
      </c>
      <c r="M4" s="181">
        <v>0.0962</v>
      </c>
    </row>
    <row r="5">
      <c r="A5" s="183" t="s">
        <v>431</v>
      </c>
      <c r="B5" s="184">
        <v>53.0</v>
      </c>
      <c r="C5" s="184">
        <v>52.0</v>
      </c>
      <c r="D5" s="184">
        <v>5.0</v>
      </c>
      <c r="E5" s="185">
        <v>0.096</v>
      </c>
      <c r="F5" s="183" t="s">
        <v>855</v>
      </c>
      <c r="G5" s="185">
        <v>0.0943</v>
      </c>
      <c r="H5" s="185">
        <v>0.0</v>
      </c>
      <c r="I5" s="185">
        <v>0.0</v>
      </c>
      <c r="J5" s="185">
        <v>0.0</v>
      </c>
      <c r="K5" s="185">
        <v>0.0189</v>
      </c>
      <c r="L5" s="183" t="s">
        <v>32</v>
      </c>
      <c r="M5" s="186">
        <v>0.0943</v>
      </c>
    </row>
    <row r="6">
      <c r="A6" s="178" t="s">
        <v>379</v>
      </c>
      <c r="B6" s="179">
        <v>32.0</v>
      </c>
      <c r="C6" s="179">
        <v>31.0</v>
      </c>
      <c r="D6" s="179">
        <v>3.0</v>
      </c>
      <c r="E6" s="180">
        <v>0.097</v>
      </c>
      <c r="F6" s="178" t="s">
        <v>855</v>
      </c>
      <c r="G6" s="180">
        <v>0.0909</v>
      </c>
      <c r="H6" s="180">
        <v>0.0</v>
      </c>
      <c r="I6" s="180">
        <v>0.0</v>
      </c>
      <c r="J6" s="180">
        <v>0.0</v>
      </c>
      <c r="K6" s="180">
        <v>0.0606</v>
      </c>
      <c r="L6" s="178" t="s">
        <v>32</v>
      </c>
      <c r="M6" s="181">
        <v>0.0909</v>
      </c>
    </row>
    <row r="7">
      <c r="A7" s="183" t="s">
        <v>432</v>
      </c>
      <c r="B7" s="184">
        <v>52.0</v>
      </c>
      <c r="C7" s="184">
        <v>53.0</v>
      </c>
      <c r="D7" s="184">
        <v>3.0</v>
      </c>
      <c r="E7" s="185">
        <v>0.057</v>
      </c>
      <c r="F7" s="183" t="s">
        <v>855</v>
      </c>
      <c r="G7" s="185">
        <v>0.0566</v>
      </c>
      <c r="H7" s="185">
        <v>0.0</v>
      </c>
      <c r="I7" s="185">
        <v>0.0</v>
      </c>
      <c r="J7" s="185">
        <v>0.0</v>
      </c>
      <c r="K7" s="185">
        <v>0.0377</v>
      </c>
      <c r="L7" s="183" t="s">
        <v>32</v>
      </c>
      <c r="M7" s="186">
        <v>0.0566</v>
      </c>
    </row>
    <row r="8">
      <c r="A8" s="178" t="s">
        <v>413</v>
      </c>
      <c r="B8" s="179">
        <v>38.0</v>
      </c>
      <c r="C8" s="179">
        <v>37.0</v>
      </c>
      <c r="D8" s="179">
        <v>4.0</v>
      </c>
      <c r="E8" s="180">
        <v>0.108</v>
      </c>
      <c r="F8" s="178" t="s">
        <v>855</v>
      </c>
      <c r="G8" s="180">
        <v>0.0541</v>
      </c>
      <c r="H8" s="180">
        <v>0.027</v>
      </c>
      <c r="I8" s="180">
        <v>0.027</v>
      </c>
      <c r="J8" s="180">
        <v>0.0</v>
      </c>
      <c r="K8" s="180">
        <v>0.0</v>
      </c>
      <c r="L8" s="178" t="s">
        <v>32</v>
      </c>
      <c r="M8" s="181">
        <v>0.0541</v>
      </c>
    </row>
    <row r="9">
      <c r="A9" s="183" t="s">
        <v>433</v>
      </c>
      <c r="B9" s="184">
        <v>79.0</v>
      </c>
      <c r="C9" s="184">
        <v>79.0</v>
      </c>
      <c r="D9" s="184">
        <v>4.0</v>
      </c>
      <c r="E9" s="185">
        <v>0.051</v>
      </c>
      <c r="F9" s="183" t="s">
        <v>855</v>
      </c>
      <c r="G9" s="185">
        <v>0.038</v>
      </c>
      <c r="H9" s="185">
        <v>0.0</v>
      </c>
      <c r="I9" s="185">
        <v>0.0127</v>
      </c>
      <c r="J9" s="185">
        <v>0.0</v>
      </c>
      <c r="K9" s="185">
        <v>0.0253</v>
      </c>
      <c r="L9" s="183" t="s">
        <v>32</v>
      </c>
      <c r="M9" s="186">
        <v>0.038</v>
      </c>
    </row>
    <row r="10">
      <c r="A10" s="178" t="s">
        <v>434</v>
      </c>
      <c r="B10" s="179">
        <v>55.0</v>
      </c>
      <c r="C10" s="179">
        <v>52.0</v>
      </c>
      <c r="D10" s="179">
        <v>3.0</v>
      </c>
      <c r="E10" s="180">
        <v>0.058</v>
      </c>
      <c r="F10" s="178" t="s">
        <v>855</v>
      </c>
      <c r="G10" s="180">
        <v>0.037</v>
      </c>
      <c r="H10" s="180">
        <v>0.0</v>
      </c>
      <c r="I10" s="180">
        <v>0.0185</v>
      </c>
      <c r="J10" s="180">
        <v>0.0</v>
      </c>
      <c r="K10" s="180">
        <v>0.0</v>
      </c>
      <c r="L10" s="178" t="s">
        <v>32</v>
      </c>
      <c r="M10" s="181">
        <v>0.037</v>
      </c>
    </row>
    <row r="11">
      <c r="A11" s="183" t="s">
        <v>435</v>
      </c>
      <c r="B11" s="184">
        <v>28.0</v>
      </c>
      <c r="C11" s="184">
        <v>28.0</v>
      </c>
      <c r="D11" s="184">
        <v>3.0</v>
      </c>
      <c r="E11" s="185">
        <v>0.107</v>
      </c>
      <c r="F11" s="183" t="s">
        <v>855</v>
      </c>
      <c r="G11" s="185">
        <v>0.0714</v>
      </c>
      <c r="H11" s="185">
        <v>0.0</v>
      </c>
      <c r="I11" s="185">
        <v>0.0714</v>
      </c>
      <c r="J11" s="185">
        <v>0.0</v>
      </c>
      <c r="K11" s="185">
        <v>0.0</v>
      </c>
      <c r="L11" s="183" t="s">
        <v>307</v>
      </c>
      <c r="M11" s="186">
        <v>0.0714</v>
      </c>
    </row>
    <row r="12">
      <c r="A12" s="178" t="s">
        <v>436</v>
      </c>
      <c r="B12" s="179">
        <v>64.0</v>
      </c>
      <c r="C12" s="179">
        <v>61.0</v>
      </c>
      <c r="D12" s="179">
        <v>4.0</v>
      </c>
      <c r="E12" s="180">
        <v>0.066</v>
      </c>
      <c r="F12" s="178" t="s">
        <v>855</v>
      </c>
      <c r="G12" s="180">
        <v>0.0625</v>
      </c>
      <c r="H12" s="180">
        <v>0.0</v>
      </c>
      <c r="I12" s="180">
        <v>0.0313</v>
      </c>
      <c r="J12" s="180">
        <v>0.0</v>
      </c>
      <c r="K12" s="180">
        <v>0.0625</v>
      </c>
      <c r="L12" s="178" t="s">
        <v>382</v>
      </c>
      <c r="M12" s="181">
        <v>0.0625</v>
      </c>
    </row>
    <row r="13">
      <c r="A13" s="183" t="s">
        <v>437</v>
      </c>
      <c r="B13" s="184">
        <v>49.0</v>
      </c>
      <c r="C13" s="184">
        <v>47.0</v>
      </c>
      <c r="D13" s="184">
        <v>3.0</v>
      </c>
      <c r="E13" s="185">
        <v>0.064</v>
      </c>
      <c r="F13" s="183" t="s">
        <v>855</v>
      </c>
      <c r="G13" s="185">
        <v>0.0417</v>
      </c>
      <c r="H13" s="185">
        <v>0.0</v>
      </c>
      <c r="I13" s="185">
        <v>0.0</v>
      </c>
      <c r="J13" s="185">
        <v>0.0208</v>
      </c>
      <c r="K13" s="185">
        <v>0.0417</v>
      </c>
      <c r="L13" s="183" t="s">
        <v>382</v>
      </c>
      <c r="M13" s="186">
        <v>0.0417</v>
      </c>
    </row>
    <row r="14">
      <c r="A14" s="178" t="s">
        <v>438</v>
      </c>
      <c r="B14" s="179">
        <v>23.0</v>
      </c>
      <c r="C14" s="179">
        <v>23.0</v>
      </c>
      <c r="D14" s="179">
        <v>3.0</v>
      </c>
      <c r="E14" s="180">
        <v>0.13</v>
      </c>
      <c r="F14" s="178" t="s">
        <v>855</v>
      </c>
      <c r="G14" s="180">
        <v>0.0435</v>
      </c>
      <c r="H14" s="180">
        <v>0.0</v>
      </c>
      <c r="I14" s="180">
        <v>0.1304</v>
      </c>
      <c r="J14" s="180">
        <v>0.0</v>
      </c>
      <c r="K14" s="180">
        <v>0.0</v>
      </c>
      <c r="L14" s="178" t="s">
        <v>439</v>
      </c>
      <c r="M14" s="181">
        <v>0.1304</v>
      </c>
    </row>
    <row r="15">
      <c r="A15" s="183" t="s">
        <v>298</v>
      </c>
      <c r="B15" s="184">
        <v>80.0</v>
      </c>
      <c r="C15" s="184">
        <v>66.0</v>
      </c>
      <c r="D15" s="184">
        <v>14.0</v>
      </c>
      <c r="E15" s="185">
        <v>0.212</v>
      </c>
      <c r="F15" s="183" t="s">
        <v>855</v>
      </c>
      <c r="G15" s="185">
        <v>0.0519</v>
      </c>
      <c r="H15" s="185">
        <v>0.013</v>
      </c>
      <c r="I15" s="185">
        <v>0.1299</v>
      </c>
      <c r="J15" s="185">
        <v>0.0</v>
      </c>
      <c r="K15" s="185">
        <v>0.0779</v>
      </c>
      <c r="L15" s="183" t="s">
        <v>439</v>
      </c>
      <c r="M15" s="186">
        <v>0.1299</v>
      </c>
    </row>
    <row r="16">
      <c r="A16" s="178" t="s">
        <v>200</v>
      </c>
      <c r="B16" s="179">
        <v>8.0</v>
      </c>
      <c r="C16" s="179">
        <v>7.0</v>
      </c>
      <c r="D16" s="179">
        <v>6.0</v>
      </c>
      <c r="E16" s="180">
        <v>0.857</v>
      </c>
      <c r="F16" s="178" t="s">
        <v>855</v>
      </c>
      <c r="G16" s="180">
        <v>0.0</v>
      </c>
      <c r="H16" s="180">
        <v>0.6364</v>
      </c>
      <c r="I16" s="180">
        <v>0.0</v>
      </c>
      <c r="J16" s="180">
        <v>0.0</v>
      </c>
      <c r="K16" s="180">
        <v>0.0</v>
      </c>
      <c r="L16" s="178" t="s">
        <v>17</v>
      </c>
      <c r="M16" s="181">
        <v>0.6364</v>
      </c>
    </row>
    <row r="17">
      <c r="A17" s="183" t="s">
        <v>424</v>
      </c>
      <c r="B17" s="184">
        <v>10.0</v>
      </c>
      <c r="C17" s="184">
        <v>5.0</v>
      </c>
      <c r="D17" s="184">
        <v>4.0</v>
      </c>
      <c r="E17" s="185">
        <v>0.8</v>
      </c>
      <c r="F17" s="183" t="s">
        <v>855</v>
      </c>
      <c r="G17" s="185">
        <v>0.1429</v>
      </c>
      <c r="H17" s="185">
        <v>0.4286</v>
      </c>
      <c r="I17" s="185">
        <v>0.0</v>
      </c>
      <c r="J17" s="185">
        <v>0.0</v>
      </c>
      <c r="K17" s="185">
        <v>0.0</v>
      </c>
      <c r="L17" s="183" t="s">
        <v>17</v>
      </c>
      <c r="M17" s="186">
        <v>0.4286</v>
      </c>
    </row>
    <row r="18">
      <c r="A18" s="178" t="s">
        <v>440</v>
      </c>
      <c r="B18" s="179">
        <v>16.0</v>
      </c>
      <c r="C18" s="179">
        <v>15.0</v>
      </c>
      <c r="D18" s="179">
        <v>3.0</v>
      </c>
      <c r="E18" s="180">
        <v>0.2</v>
      </c>
      <c r="F18" s="178" t="s">
        <v>855</v>
      </c>
      <c r="G18" s="180">
        <v>0.0</v>
      </c>
      <c r="H18" s="180">
        <v>0.381</v>
      </c>
      <c r="I18" s="180">
        <v>0.0</v>
      </c>
      <c r="J18" s="180">
        <v>0.0</v>
      </c>
      <c r="K18" s="180">
        <v>0.0</v>
      </c>
      <c r="L18" s="178" t="s">
        <v>17</v>
      </c>
      <c r="M18" s="181">
        <v>0.381</v>
      </c>
    </row>
    <row r="19">
      <c r="A19" s="183" t="s">
        <v>441</v>
      </c>
      <c r="B19" s="184">
        <v>5.0</v>
      </c>
      <c r="C19" s="184">
        <v>10.0</v>
      </c>
      <c r="D19" s="184">
        <v>8.0</v>
      </c>
      <c r="E19" s="185">
        <v>0.8</v>
      </c>
      <c r="F19" s="183" t="s">
        <v>855</v>
      </c>
      <c r="G19" s="185">
        <v>0.0</v>
      </c>
      <c r="H19" s="185">
        <v>0.2414</v>
      </c>
      <c r="I19" s="185">
        <v>0.0</v>
      </c>
      <c r="J19" s="185">
        <v>0.0345</v>
      </c>
      <c r="K19" s="185">
        <v>0.0</v>
      </c>
      <c r="L19" s="183" t="s">
        <v>17</v>
      </c>
      <c r="M19" s="186">
        <v>0.2414</v>
      </c>
    </row>
    <row r="20">
      <c r="A20" s="178" t="s">
        <v>370</v>
      </c>
      <c r="B20" s="179">
        <v>17.0</v>
      </c>
      <c r="C20" s="179">
        <v>15.0</v>
      </c>
      <c r="D20" s="179">
        <v>5.0</v>
      </c>
      <c r="E20" s="180">
        <v>0.333</v>
      </c>
      <c r="F20" s="178" t="s">
        <v>855</v>
      </c>
      <c r="G20" s="180">
        <v>0.0</v>
      </c>
      <c r="H20" s="180">
        <v>0.2</v>
      </c>
      <c r="I20" s="180">
        <v>0.0667</v>
      </c>
      <c r="J20" s="180">
        <v>0.0667</v>
      </c>
      <c r="K20" s="180">
        <v>0.0</v>
      </c>
      <c r="L20" s="178" t="s">
        <v>17</v>
      </c>
      <c r="M20" s="181">
        <v>0.2</v>
      </c>
    </row>
    <row r="21">
      <c r="A21" s="183" t="s">
        <v>329</v>
      </c>
      <c r="B21" s="184">
        <v>24.0</v>
      </c>
      <c r="C21" s="184">
        <v>20.0</v>
      </c>
      <c r="D21" s="184">
        <v>3.0</v>
      </c>
      <c r="E21" s="185">
        <v>0.15</v>
      </c>
      <c r="F21" s="183" t="s">
        <v>855</v>
      </c>
      <c r="G21" s="185">
        <v>0.0</v>
      </c>
      <c r="H21" s="185">
        <v>0.15</v>
      </c>
      <c r="I21" s="185">
        <v>0.0</v>
      </c>
      <c r="J21" s="185">
        <v>0.0</v>
      </c>
      <c r="K21" s="185">
        <v>0.0</v>
      </c>
      <c r="L21" s="183" t="s">
        <v>17</v>
      </c>
      <c r="M21" s="186">
        <v>0.15</v>
      </c>
    </row>
    <row r="22">
      <c r="A22" s="178" t="s">
        <v>442</v>
      </c>
      <c r="B22" s="179">
        <v>22.0</v>
      </c>
      <c r="C22" s="179">
        <v>23.0</v>
      </c>
      <c r="D22" s="179">
        <v>3.0</v>
      </c>
      <c r="E22" s="180">
        <v>0.13</v>
      </c>
      <c r="F22" s="178" t="s">
        <v>855</v>
      </c>
      <c r="G22" s="180">
        <v>0.0</v>
      </c>
      <c r="H22" s="180">
        <v>0.1304</v>
      </c>
      <c r="I22" s="180">
        <v>0.0</v>
      </c>
      <c r="J22" s="180">
        <v>0.0</v>
      </c>
      <c r="K22" s="180">
        <v>0.0435</v>
      </c>
      <c r="L22" s="178" t="s">
        <v>17</v>
      </c>
      <c r="M22" s="181">
        <v>0.1304</v>
      </c>
    </row>
    <row r="23">
      <c r="A23" s="183" t="s">
        <v>454</v>
      </c>
      <c r="B23" s="179">
        <v>11.0</v>
      </c>
      <c r="C23" s="179">
        <v>11.0</v>
      </c>
      <c r="D23" s="179">
        <v>6.0</v>
      </c>
      <c r="E23" s="180">
        <v>0.545</v>
      </c>
      <c r="F23" s="178" t="s">
        <v>855</v>
      </c>
      <c r="G23" s="180">
        <v>0.3077</v>
      </c>
      <c r="H23" s="180">
        <v>0.0769</v>
      </c>
      <c r="I23" s="180">
        <v>0.0769</v>
      </c>
      <c r="J23" s="180">
        <v>0.1538</v>
      </c>
      <c r="K23" s="180">
        <v>0.0</v>
      </c>
      <c r="L23" s="178" t="s">
        <v>32</v>
      </c>
      <c r="M23" s="181">
        <v>0.3077</v>
      </c>
    </row>
    <row r="24">
      <c r="A24" s="240" t="s">
        <v>480</v>
      </c>
      <c r="B24" s="184">
        <v>121.0</v>
      </c>
      <c r="C24" s="184">
        <v>111.0</v>
      </c>
      <c r="D24" s="184">
        <v>33.0</v>
      </c>
      <c r="E24" s="185">
        <v>0.297</v>
      </c>
      <c r="F24" s="183" t="s">
        <v>855</v>
      </c>
      <c r="G24" s="185">
        <v>0.1812</v>
      </c>
      <c r="H24" s="185">
        <v>0.0671</v>
      </c>
      <c r="I24" s="185">
        <v>0.0</v>
      </c>
      <c r="J24" s="185">
        <v>0.0403</v>
      </c>
      <c r="K24" s="185">
        <v>0.0403</v>
      </c>
      <c r="L24" s="183" t="s">
        <v>32</v>
      </c>
      <c r="M24" s="186">
        <v>0.1812</v>
      </c>
    </row>
    <row r="25">
      <c r="A25" s="183" t="s">
        <v>455</v>
      </c>
      <c r="B25" s="184">
        <v>25.0</v>
      </c>
      <c r="C25" s="184">
        <v>25.0</v>
      </c>
      <c r="D25" s="184">
        <v>7.0</v>
      </c>
      <c r="E25" s="185">
        <v>0.28</v>
      </c>
      <c r="F25" s="183" t="s">
        <v>855</v>
      </c>
      <c r="G25" s="185">
        <v>0.1667</v>
      </c>
      <c r="H25" s="185">
        <v>0.0333</v>
      </c>
      <c r="I25" s="185">
        <v>0.0333</v>
      </c>
      <c r="J25" s="185">
        <v>0.0667</v>
      </c>
      <c r="K25" s="185">
        <v>0.0</v>
      </c>
      <c r="L25" s="183" t="s">
        <v>32</v>
      </c>
      <c r="M25" s="186">
        <v>0.1667</v>
      </c>
    </row>
    <row r="26">
      <c r="A26" s="183" t="s">
        <v>456</v>
      </c>
      <c r="B26" s="184">
        <v>40.0</v>
      </c>
      <c r="C26" s="184">
        <v>40.0</v>
      </c>
      <c r="D26" s="184">
        <v>6.0</v>
      </c>
      <c r="E26" s="185">
        <v>0.15</v>
      </c>
      <c r="F26" s="183" t="s">
        <v>855</v>
      </c>
      <c r="G26" s="185">
        <v>0.0976</v>
      </c>
      <c r="H26" s="185">
        <v>0.0488</v>
      </c>
      <c r="I26" s="185">
        <v>0.0</v>
      </c>
      <c r="J26" s="185">
        <v>0.0244</v>
      </c>
      <c r="K26" s="185">
        <v>0.0</v>
      </c>
      <c r="L26" s="183" t="s">
        <v>32</v>
      </c>
      <c r="M26" s="186">
        <v>0.0976</v>
      </c>
    </row>
    <row r="27">
      <c r="A27" s="240" t="s">
        <v>922</v>
      </c>
      <c r="B27" s="184">
        <v>39.0</v>
      </c>
      <c r="C27" s="184">
        <v>41.0</v>
      </c>
      <c r="D27" s="184">
        <v>5.0</v>
      </c>
      <c r="E27" s="185">
        <v>0.122</v>
      </c>
      <c r="F27" s="183" t="s">
        <v>855</v>
      </c>
      <c r="G27" s="185">
        <v>0.0909</v>
      </c>
      <c r="H27" s="185">
        <v>0.0</v>
      </c>
      <c r="I27" s="185">
        <v>0.0227</v>
      </c>
      <c r="J27" s="185">
        <v>0.0</v>
      </c>
      <c r="K27" s="185">
        <v>0.0227</v>
      </c>
      <c r="L27" s="183" t="s">
        <v>32</v>
      </c>
      <c r="M27" s="186">
        <v>0.0909</v>
      </c>
    </row>
    <row r="28">
      <c r="A28" s="183" t="s">
        <v>457</v>
      </c>
      <c r="B28" s="179">
        <v>61.0</v>
      </c>
      <c r="C28" s="179">
        <v>57.0</v>
      </c>
      <c r="D28" s="179">
        <v>7.0</v>
      </c>
      <c r="E28" s="180">
        <v>0.123</v>
      </c>
      <c r="F28" s="178" t="s">
        <v>855</v>
      </c>
      <c r="G28" s="180">
        <v>0.0678</v>
      </c>
      <c r="H28" s="180">
        <v>0.0169</v>
      </c>
      <c r="I28" s="180">
        <v>0.0169</v>
      </c>
      <c r="J28" s="180">
        <v>0.0508</v>
      </c>
      <c r="K28" s="180">
        <v>0.0169</v>
      </c>
      <c r="L28" s="178" t="s">
        <v>32</v>
      </c>
      <c r="M28" s="181">
        <v>0.0678</v>
      </c>
    </row>
    <row r="29">
      <c r="A29" s="183" t="s">
        <v>458</v>
      </c>
      <c r="B29" s="184">
        <v>149.0</v>
      </c>
      <c r="C29" s="184">
        <v>144.0</v>
      </c>
      <c r="D29" s="184">
        <v>8.0</v>
      </c>
      <c r="E29" s="185">
        <v>0.056</v>
      </c>
      <c r="F29" s="183" t="s">
        <v>855</v>
      </c>
      <c r="G29" s="185">
        <v>0.0411</v>
      </c>
      <c r="H29" s="185">
        <v>0.0</v>
      </c>
      <c r="I29" s="185">
        <v>0.0068</v>
      </c>
      <c r="J29" s="185">
        <v>0.0342</v>
      </c>
      <c r="K29" s="185">
        <v>0.0068</v>
      </c>
      <c r="L29" s="183" t="s">
        <v>32</v>
      </c>
      <c r="M29" s="186">
        <v>0.0411</v>
      </c>
    </row>
    <row r="30">
      <c r="A30" s="183" t="s">
        <v>459</v>
      </c>
      <c r="B30" s="179">
        <v>76.0</v>
      </c>
      <c r="C30" s="179">
        <v>81.0</v>
      </c>
      <c r="D30" s="179">
        <v>5.0</v>
      </c>
      <c r="E30" s="180">
        <v>0.062</v>
      </c>
      <c r="F30" s="178" t="s">
        <v>855</v>
      </c>
      <c r="G30" s="180">
        <v>0.0361</v>
      </c>
      <c r="H30" s="180">
        <v>0.0</v>
      </c>
      <c r="I30" s="180">
        <v>0.0</v>
      </c>
      <c r="J30" s="180">
        <v>0.012</v>
      </c>
      <c r="K30" s="180">
        <v>0.0241</v>
      </c>
      <c r="L30" s="178" t="s">
        <v>32</v>
      </c>
      <c r="M30" s="181">
        <v>0.0361</v>
      </c>
    </row>
    <row r="31">
      <c r="A31" s="183" t="s">
        <v>159</v>
      </c>
      <c r="B31" s="184">
        <v>119.0</v>
      </c>
      <c r="C31" s="184">
        <v>122.0</v>
      </c>
      <c r="D31" s="184">
        <v>9.0</v>
      </c>
      <c r="E31" s="185">
        <v>0.074</v>
      </c>
      <c r="F31" s="183" t="s">
        <v>855</v>
      </c>
      <c r="G31" s="185">
        <v>0.0391</v>
      </c>
      <c r="H31" s="185">
        <v>0.0313</v>
      </c>
      <c r="I31" s="185">
        <v>0.0156</v>
      </c>
      <c r="J31" s="185">
        <v>0.0469</v>
      </c>
      <c r="K31" s="185">
        <v>0.0</v>
      </c>
      <c r="L31" s="183" t="s">
        <v>460</v>
      </c>
      <c r="M31" s="186">
        <v>0.0469</v>
      </c>
    </row>
    <row r="32">
      <c r="A32" s="183" t="s">
        <v>340</v>
      </c>
      <c r="B32" s="179">
        <v>65.0</v>
      </c>
      <c r="C32" s="179">
        <v>67.0</v>
      </c>
      <c r="D32" s="179">
        <v>8.0</v>
      </c>
      <c r="E32" s="180">
        <v>0.119</v>
      </c>
      <c r="F32" s="178" t="s">
        <v>855</v>
      </c>
      <c r="G32" s="180">
        <v>0.0857</v>
      </c>
      <c r="H32" s="180">
        <v>0.0</v>
      </c>
      <c r="I32" s="180">
        <v>0.0143</v>
      </c>
      <c r="J32" s="180">
        <v>0.0857</v>
      </c>
      <c r="K32" s="180">
        <v>0.0143</v>
      </c>
      <c r="L32" s="178" t="s">
        <v>382</v>
      </c>
      <c r="M32" s="181">
        <v>0.0857</v>
      </c>
    </row>
    <row r="33">
      <c r="A33" s="183" t="s">
        <v>461</v>
      </c>
      <c r="B33" s="184">
        <v>114.0</v>
      </c>
      <c r="C33" s="184">
        <v>106.0</v>
      </c>
      <c r="D33" s="184">
        <v>15.0</v>
      </c>
      <c r="E33" s="185">
        <v>0.142</v>
      </c>
      <c r="F33" s="183" t="s">
        <v>855</v>
      </c>
      <c r="G33" s="185">
        <v>0.0796</v>
      </c>
      <c r="H33" s="185">
        <v>0.0</v>
      </c>
      <c r="I33" s="185">
        <v>0.0708</v>
      </c>
      <c r="J33" s="185">
        <v>0.0973</v>
      </c>
      <c r="K33" s="185">
        <v>0.0</v>
      </c>
      <c r="L33" s="183" t="s">
        <v>382</v>
      </c>
      <c r="M33" s="186">
        <v>0.0973</v>
      </c>
    </row>
    <row r="34">
      <c r="A34" s="183" t="s">
        <v>462</v>
      </c>
      <c r="B34" s="179">
        <v>91.0</v>
      </c>
      <c r="C34" s="179">
        <v>90.0</v>
      </c>
      <c r="D34" s="179">
        <v>5.0</v>
      </c>
      <c r="E34" s="180">
        <v>0.056</v>
      </c>
      <c r="F34" s="178" t="s">
        <v>855</v>
      </c>
      <c r="G34" s="180">
        <v>0.0222</v>
      </c>
      <c r="H34" s="180">
        <v>0.0111</v>
      </c>
      <c r="I34" s="180">
        <v>0.0111</v>
      </c>
      <c r="J34" s="180">
        <v>0.0222</v>
      </c>
      <c r="K34" s="180">
        <v>0.0111</v>
      </c>
      <c r="L34" s="178" t="s">
        <v>382</v>
      </c>
      <c r="M34" s="181">
        <v>0.0222</v>
      </c>
    </row>
    <row r="35">
      <c r="A35" s="183" t="s">
        <v>463</v>
      </c>
      <c r="B35" s="184">
        <v>40.0</v>
      </c>
      <c r="C35" s="184">
        <v>37.0</v>
      </c>
      <c r="D35" s="184">
        <v>6.0</v>
      </c>
      <c r="E35" s="185">
        <v>0.162</v>
      </c>
      <c r="F35" s="183" t="s">
        <v>855</v>
      </c>
      <c r="G35" s="185">
        <v>0.0769</v>
      </c>
      <c r="H35" s="185">
        <v>0.0</v>
      </c>
      <c r="I35" s="185">
        <v>0.1026</v>
      </c>
      <c r="J35" s="185">
        <v>0.1026</v>
      </c>
      <c r="K35" s="185">
        <v>0.0</v>
      </c>
      <c r="L35" s="183" t="s">
        <v>124</v>
      </c>
      <c r="M35" s="186">
        <v>0.1026</v>
      </c>
    </row>
    <row r="36">
      <c r="A36" s="183" t="s">
        <v>464</v>
      </c>
      <c r="B36" s="179">
        <v>178.0</v>
      </c>
      <c r="C36" s="179">
        <v>173.0</v>
      </c>
      <c r="D36" s="179">
        <v>11.0</v>
      </c>
      <c r="E36" s="180">
        <v>0.064</v>
      </c>
      <c r="F36" s="178" t="s">
        <v>855</v>
      </c>
      <c r="G36" s="180">
        <v>0.0284</v>
      </c>
      <c r="H36" s="180">
        <v>0.0</v>
      </c>
      <c r="I36" s="180">
        <v>0.0341</v>
      </c>
      <c r="J36" s="180">
        <v>0.0398</v>
      </c>
      <c r="K36" s="180">
        <v>0.0114</v>
      </c>
      <c r="L36" s="178" t="s">
        <v>465</v>
      </c>
      <c r="M36" s="181">
        <v>0.0398</v>
      </c>
    </row>
    <row r="37">
      <c r="A37" s="240" t="s">
        <v>761</v>
      </c>
      <c r="B37" s="179">
        <v>12.0</v>
      </c>
      <c r="C37" s="179">
        <v>11.0</v>
      </c>
      <c r="D37" s="179">
        <v>5.0</v>
      </c>
      <c r="E37" s="180">
        <v>0.455</v>
      </c>
      <c r="F37" s="178" t="s">
        <v>855</v>
      </c>
      <c r="G37" s="180">
        <v>0.0</v>
      </c>
      <c r="H37" s="180">
        <v>0.0</v>
      </c>
      <c r="I37" s="180">
        <v>0.3571</v>
      </c>
      <c r="J37" s="180">
        <v>0.3571</v>
      </c>
      <c r="K37" s="180">
        <v>0.0</v>
      </c>
      <c r="L37" s="178" t="s">
        <v>857</v>
      </c>
      <c r="M37" s="181">
        <v>0.3571</v>
      </c>
    </row>
    <row r="38">
      <c r="A38" s="240" t="s">
        <v>354</v>
      </c>
      <c r="B38" s="184">
        <v>28.0</v>
      </c>
      <c r="C38" s="184">
        <v>18.0</v>
      </c>
      <c r="D38" s="184">
        <v>9.0</v>
      </c>
      <c r="E38" s="185">
        <v>0.5</v>
      </c>
      <c r="F38" s="183" t="s">
        <v>855</v>
      </c>
      <c r="G38" s="185">
        <v>0.0417</v>
      </c>
      <c r="H38" s="185">
        <v>0.0833</v>
      </c>
      <c r="I38" s="185">
        <v>0.2083</v>
      </c>
      <c r="J38" s="185">
        <v>0.0417</v>
      </c>
      <c r="K38" s="185">
        <v>0.0833</v>
      </c>
      <c r="L38" s="183" t="s">
        <v>923</v>
      </c>
      <c r="M38" s="186">
        <v>0.2083</v>
      </c>
    </row>
    <row r="39">
      <c r="A39" s="240" t="s">
        <v>363</v>
      </c>
      <c r="B39" s="179">
        <v>24.0</v>
      </c>
      <c r="C39" s="179">
        <v>23.0</v>
      </c>
      <c r="D39" s="179">
        <v>8.0</v>
      </c>
      <c r="E39" s="180">
        <v>0.348</v>
      </c>
      <c r="F39" s="178" t="s">
        <v>855</v>
      </c>
      <c r="G39" s="180">
        <v>0.0303</v>
      </c>
      <c r="H39" s="180">
        <v>0.0606</v>
      </c>
      <c r="I39" s="180">
        <v>0.2424</v>
      </c>
      <c r="J39" s="180">
        <v>0.0303</v>
      </c>
      <c r="K39" s="180">
        <v>0.0</v>
      </c>
      <c r="L39" s="178" t="s">
        <v>923</v>
      </c>
      <c r="M39" s="181">
        <v>0.2424</v>
      </c>
    </row>
    <row r="40">
      <c r="A40" s="183" t="s">
        <v>466</v>
      </c>
      <c r="B40" s="184">
        <v>39.0</v>
      </c>
      <c r="C40" s="184">
        <v>39.0</v>
      </c>
      <c r="D40" s="184">
        <v>6.0</v>
      </c>
      <c r="E40" s="185">
        <v>0.154</v>
      </c>
      <c r="F40" s="183" t="s">
        <v>855</v>
      </c>
      <c r="G40" s="185">
        <v>0.093</v>
      </c>
      <c r="H40" s="185">
        <v>0.0</v>
      </c>
      <c r="I40" s="185">
        <v>0.1163</v>
      </c>
      <c r="J40" s="185">
        <v>0.1395</v>
      </c>
      <c r="K40" s="185">
        <v>0.0</v>
      </c>
      <c r="L40" s="183" t="s">
        <v>392</v>
      </c>
      <c r="M40" s="186">
        <v>0.1395</v>
      </c>
    </row>
    <row r="41">
      <c r="A41" s="183" t="s">
        <v>467</v>
      </c>
      <c r="B41" s="179">
        <v>54.0</v>
      </c>
      <c r="C41" s="179">
        <v>55.0</v>
      </c>
      <c r="D41" s="179">
        <v>6.0</v>
      </c>
      <c r="E41" s="180">
        <v>0.109</v>
      </c>
      <c r="F41" s="178" t="s">
        <v>855</v>
      </c>
      <c r="G41" s="180">
        <v>0.0862</v>
      </c>
      <c r="H41" s="180">
        <v>0.0</v>
      </c>
      <c r="I41" s="180">
        <v>0.0172</v>
      </c>
      <c r="J41" s="180">
        <v>0.1034</v>
      </c>
      <c r="K41" s="180">
        <v>0.0</v>
      </c>
      <c r="L41" s="178" t="s">
        <v>392</v>
      </c>
      <c r="M41" s="181">
        <v>0.1034</v>
      </c>
    </row>
    <row r="42">
      <c r="A42" s="183" t="s">
        <v>274</v>
      </c>
      <c r="B42" s="184">
        <v>89.0</v>
      </c>
      <c r="C42" s="184">
        <v>76.0</v>
      </c>
      <c r="D42" s="184">
        <v>6.0</v>
      </c>
      <c r="E42" s="185">
        <v>0.079</v>
      </c>
      <c r="F42" s="183" t="s">
        <v>855</v>
      </c>
      <c r="G42" s="185">
        <v>0.0471</v>
      </c>
      <c r="H42" s="185">
        <v>0.0118</v>
      </c>
      <c r="I42" s="185">
        <v>0.0118</v>
      </c>
      <c r="J42" s="185">
        <v>0.1294</v>
      </c>
      <c r="K42" s="185">
        <v>0.0</v>
      </c>
      <c r="L42" s="183" t="s">
        <v>392</v>
      </c>
      <c r="M42" s="186">
        <v>0.1294</v>
      </c>
    </row>
    <row r="43">
      <c r="A43" s="183" t="s">
        <v>468</v>
      </c>
      <c r="B43" s="179">
        <v>116.0</v>
      </c>
      <c r="C43" s="179">
        <v>114.0</v>
      </c>
      <c r="D43" s="179">
        <v>7.0</v>
      </c>
      <c r="E43" s="180">
        <v>0.061</v>
      </c>
      <c r="F43" s="178" t="s">
        <v>855</v>
      </c>
      <c r="G43" s="180">
        <v>0.0424</v>
      </c>
      <c r="H43" s="180">
        <v>0.0</v>
      </c>
      <c r="I43" s="180">
        <v>0.0339</v>
      </c>
      <c r="J43" s="180">
        <v>0.0678</v>
      </c>
      <c r="K43" s="180">
        <v>0.0085</v>
      </c>
      <c r="L43" s="178" t="s">
        <v>392</v>
      </c>
      <c r="M43" s="181">
        <v>0.0678</v>
      </c>
    </row>
    <row r="44">
      <c r="A44" s="183" t="s">
        <v>243</v>
      </c>
      <c r="B44" s="184">
        <v>68.0</v>
      </c>
      <c r="C44" s="184">
        <v>66.0</v>
      </c>
      <c r="D44" s="184">
        <v>5.0</v>
      </c>
      <c r="E44" s="185">
        <v>0.076</v>
      </c>
      <c r="F44" s="183" t="s">
        <v>855</v>
      </c>
      <c r="G44" s="185">
        <v>0.0423</v>
      </c>
      <c r="H44" s="185">
        <v>0.0423</v>
      </c>
      <c r="I44" s="185">
        <v>0.0</v>
      </c>
      <c r="J44" s="185">
        <v>0.0704</v>
      </c>
      <c r="K44" s="185">
        <v>0.0</v>
      </c>
      <c r="L44" s="183" t="s">
        <v>392</v>
      </c>
      <c r="M44" s="186">
        <v>0.0704</v>
      </c>
    </row>
    <row r="45">
      <c r="A45" s="183" t="s">
        <v>469</v>
      </c>
      <c r="B45" s="184">
        <v>102.0</v>
      </c>
      <c r="C45" s="184">
        <v>99.0</v>
      </c>
      <c r="D45" s="184">
        <v>6.0</v>
      </c>
      <c r="E45" s="185">
        <v>0.061</v>
      </c>
      <c r="F45" s="183" t="s">
        <v>855</v>
      </c>
      <c r="G45" s="185">
        <v>0.0297</v>
      </c>
      <c r="H45" s="185">
        <v>0.0</v>
      </c>
      <c r="I45" s="185">
        <v>0.0297</v>
      </c>
      <c r="J45" s="185">
        <v>0.0594</v>
      </c>
      <c r="K45" s="185">
        <v>0.0</v>
      </c>
      <c r="L45" s="183" t="s">
        <v>392</v>
      </c>
      <c r="M45" s="186">
        <v>0.0594</v>
      </c>
    </row>
    <row r="46">
      <c r="A46" s="240" t="s">
        <v>200</v>
      </c>
      <c r="B46" s="184">
        <v>26.0</v>
      </c>
      <c r="C46" s="184">
        <v>26.0</v>
      </c>
      <c r="D46" s="184">
        <v>13.0</v>
      </c>
      <c r="E46" s="185">
        <v>0.5</v>
      </c>
      <c r="F46" s="183" t="s">
        <v>855</v>
      </c>
      <c r="G46" s="185">
        <v>0.0968</v>
      </c>
      <c r="H46" s="185">
        <v>0.2903</v>
      </c>
      <c r="I46" s="185">
        <v>0.0</v>
      </c>
      <c r="J46" s="185">
        <v>0.0323</v>
      </c>
      <c r="K46" s="185">
        <v>0.0323</v>
      </c>
      <c r="L46" s="183" t="s">
        <v>17</v>
      </c>
      <c r="M46" s="186">
        <v>0.2903</v>
      </c>
    </row>
    <row r="47">
      <c r="A47" s="183" t="s">
        <v>470</v>
      </c>
      <c r="B47" s="179">
        <v>40.0</v>
      </c>
      <c r="C47" s="179">
        <v>37.0</v>
      </c>
      <c r="D47" s="179">
        <v>7.0</v>
      </c>
      <c r="E47" s="180">
        <v>0.189</v>
      </c>
      <c r="F47" s="178" t="s">
        <v>855</v>
      </c>
      <c r="G47" s="180">
        <v>0.0732</v>
      </c>
      <c r="H47" s="180">
        <v>0.122</v>
      </c>
      <c r="I47" s="180">
        <v>0.0</v>
      </c>
      <c r="J47" s="180">
        <v>0.0732</v>
      </c>
      <c r="K47" s="180">
        <v>0.0</v>
      </c>
      <c r="L47" s="178" t="s">
        <v>17</v>
      </c>
      <c r="M47" s="181">
        <v>0.122</v>
      </c>
    </row>
    <row r="48">
      <c r="A48" s="183" t="s">
        <v>471</v>
      </c>
      <c r="B48" s="184">
        <v>12.0</v>
      </c>
      <c r="C48" s="184">
        <v>12.0</v>
      </c>
      <c r="D48" s="184">
        <v>5.0</v>
      </c>
      <c r="E48" s="185">
        <v>0.417</v>
      </c>
      <c r="F48" s="183" t="s">
        <v>855</v>
      </c>
      <c r="G48" s="185">
        <v>0.0714</v>
      </c>
      <c r="H48" s="185">
        <v>0.2857</v>
      </c>
      <c r="I48" s="185">
        <v>0.0</v>
      </c>
      <c r="J48" s="185">
        <v>0.0</v>
      </c>
      <c r="K48" s="185">
        <v>0.0</v>
      </c>
      <c r="L48" s="183" t="s">
        <v>17</v>
      </c>
      <c r="M48" s="186">
        <v>0.2857</v>
      </c>
    </row>
    <row r="49">
      <c r="A49" s="240" t="s">
        <v>70</v>
      </c>
      <c r="B49" s="179">
        <v>16.0</v>
      </c>
      <c r="C49" s="179">
        <v>19.0</v>
      </c>
      <c r="D49" s="179">
        <v>9.0</v>
      </c>
      <c r="E49" s="180">
        <v>0.474</v>
      </c>
      <c r="F49" s="178" t="s">
        <v>855</v>
      </c>
      <c r="G49" s="180">
        <v>0.0294</v>
      </c>
      <c r="H49" s="180">
        <v>0.3824</v>
      </c>
      <c r="I49" s="180">
        <v>0.0294</v>
      </c>
      <c r="J49" s="180">
        <v>0.0294</v>
      </c>
      <c r="K49" s="180">
        <v>0.0294</v>
      </c>
      <c r="L49" s="178" t="s">
        <v>17</v>
      </c>
      <c r="M49" s="181">
        <v>0.3824</v>
      </c>
    </row>
    <row r="50">
      <c r="A50" s="183" t="s">
        <v>472</v>
      </c>
      <c r="B50" s="184">
        <v>39.0</v>
      </c>
      <c r="C50" s="184">
        <v>40.0</v>
      </c>
      <c r="D50" s="184">
        <v>5.0</v>
      </c>
      <c r="E50" s="185">
        <v>0.125</v>
      </c>
      <c r="F50" s="183" t="s">
        <v>855</v>
      </c>
      <c r="G50" s="185">
        <v>0.025</v>
      </c>
      <c r="H50" s="185">
        <v>0.05</v>
      </c>
      <c r="I50" s="185">
        <v>0.025</v>
      </c>
      <c r="J50" s="185">
        <v>0.025</v>
      </c>
      <c r="K50" s="185">
        <v>0.025</v>
      </c>
      <c r="L50" s="183" t="s">
        <v>17</v>
      </c>
      <c r="M50" s="186">
        <v>0.05</v>
      </c>
    </row>
    <row r="51">
      <c r="A51" s="183" t="s">
        <v>473</v>
      </c>
      <c r="B51" s="179">
        <v>112.0</v>
      </c>
      <c r="C51" s="179">
        <v>121.0</v>
      </c>
      <c r="D51" s="179">
        <v>7.0</v>
      </c>
      <c r="E51" s="180">
        <v>0.058</v>
      </c>
      <c r="F51" s="178" t="s">
        <v>855</v>
      </c>
      <c r="G51" s="180">
        <v>0.0242</v>
      </c>
      <c r="H51" s="180">
        <v>0.0323</v>
      </c>
      <c r="I51" s="180">
        <v>0.0161</v>
      </c>
      <c r="J51" s="180">
        <v>0.0242</v>
      </c>
      <c r="K51" s="180">
        <v>0.0</v>
      </c>
      <c r="L51" s="178" t="s">
        <v>17</v>
      </c>
      <c r="M51" s="181">
        <v>0.0323</v>
      </c>
    </row>
    <row r="52">
      <c r="A52" s="240" t="s">
        <v>387</v>
      </c>
      <c r="B52" s="184">
        <v>50.0</v>
      </c>
      <c r="C52" s="184">
        <v>41.0</v>
      </c>
      <c r="D52" s="184">
        <v>9.0</v>
      </c>
      <c r="E52" s="185">
        <v>0.22</v>
      </c>
      <c r="F52" s="183" t="s">
        <v>855</v>
      </c>
      <c r="G52" s="185">
        <v>0.02</v>
      </c>
      <c r="H52" s="185">
        <v>0.14</v>
      </c>
      <c r="I52" s="185">
        <v>0.08</v>
      </c>
      <c r="J52" s="185">
        <v>0.08</v>
      </c>
      <c r="K52" s="185">
        <v>0.02</v>
      </c>
      <c r="L52" s="183" t="s">
        <v>17</v>
      </c>
      <c r="M52" s="186">
        <v>0.14</v>
      </c>
    </row>
    <row r="53">
      <c r="A53" s="183" t="s">
        <v>474</v>
      </c>
      <c r="B53" s="179">
        <v>56.0</v>
      </c>
      <c r="C53" s="179">
        <v>51.0</v>
      </c>
      <c r="D53" s="179">
        <v>9.0</v>
      </c>
      <c r="E53" s="180">
        <v>0.176</v>
      </c>
      <c r="F53" s="178" t="s">
        <v>855</v>
      </c>
      <c r="G53" s="180">
        <v>0.0175</v>
      </c>
      <c r="H53" s="180">
        <v>0.1053</v>
      </c>
      <c r="I53" s="180">
        <v>0.0351</v>
      </c>
      <c r="J53" s="180">
        <v>0.0702</v>
      </c>
      <c r="K53" s="180">
        <v>0.0</v>
      </c>
      <c r="L53" s="178" t="s">
        <v>17</v>
      </c>
      <c r="M53" s="181">
        <v>0.1053</v>
      </c>
    </row>
    <row r="54">
      <c r="A54" s="183" t="s">
        <v>361</v>
      </c>
      <c r="B54" s="184">
        <v>163.0</v>
      </c>
      <c r="C54" s="184">
        <v>156.0</v>
      </c>
      <c r="D54" s="184">
        <v>11.0</v>
      </c>
      <c r="E54" s="185">
        <v>0.071</v>
      </c>
      <c r="F54" s="183" t="s">
        <v>855</v>
      </c>
      <c r="G54" s="185">
        <v>0.0122</v>
      </c>
      <c r="H54" s="185">
        <v>0.0427</v>
      </c>
      <c r="I54" s="185">
        <v>0.0122</v>
      </c>
      <c r="J54" s="185">
        <v>0.0305</v>
      </c>
      <c r="K54" s="185">
        <v>0.0061</v>
      </c>
      <c r="L54" s="183" t="s">
        <v>17</v>
      </c>
      <c r="M54" s="186">
        <v>0.0427</v>
      </c>
    </row>
    <row r="55">
      <c r="A55" s="240" t="s">
        <v>252</v>
      </c>
      <c r="B55" s="179">
        <v>26.0</v>
      </c>
      <c r="C55" s="179">
        <v>26.0</v>
      </c>
      <c r="D55" s="179">
        <v>18.0</v>
      </c>
      <c r="E55" s="180">
        <v>0.692</v>
      </c>
      <c r="F55" s="178" t="s">
        <v>855</v>
      </c>
      <c r="G55" s="180">
        <v>0.0</v>
      </c>
      <c r="H55" s="180">
        <v>0.6</v>
      </c>
      <c r="I55" s="180">
        <v>0.0</v>
      </c>
      <c r="J55" s="180">
        <v>0.0</v>
      </c>
      <c r="K55" s="180">
        <v>0.0</v>
      </c>
      <c r="L55" s="178" t="s">
        <v>17</v>
      </c>
      <c r="M55" s="181">
        <v>0.6</v>
      </c>
    </row>
    <row r="56">
      <c r="A56" s="240" t="s">
        <v>924</v>
      </c>
      <c r="B56" s="184">
        <v>15.0</v>
      </c>
      <c r="C56" s="184">
        <v>8.0</v>
      </c>
      <c r="D56" s="184">
        <v>8.0</v>
      </c>
      <c r="E56" s="185">
        <v>1.0</v>
      </c>
      <c r="F56" s="183" t="s">
        <v>855</v>
      </c>
      <c r="G56" s="185">
        <v>0.0</v>
      </c>
      <c r="H56" s="185">
        <v>0.7143</v>
      </c>
      <c r="I56" s="185">
        <v>0.0</v>
      </c>
      <c r="J56" s="185">
        <v>0.0571</v>
      </c>
      <c r="K56" s="185">
        <v>0.0286</v>
      </c>
      <c r="L56" s="183" t="s">
        <v>17</v>
      </c>
      <c r="M56" s="186">
        <v>0.7143</v>
      </c>
    </row>
    <row r="57">
      <c r="A57" s="240" t="s">
        <v>426</v>
      </c>
      <c r="B57" s="179">
        <v>21.0</v>
      </c>
      <c r="C57" s="179">
        <v>13.0</v>
      </c>
      <c r="D57" s="179">
        <v>6.0</v>
      </c>
      <c r="E57" s="180">
        <v>0.462</v>
      </c>
      <c r="F57" s="178" t="s">
        <v>855</v>
      </c>
      <c r="G57" s="180">
        <v>0.1053</v>
      </c>
      <c r="H57" s="180">
        <v>0.1579</v>
      </c>
      <c r="I57" s="180">
        <v>0.0526</v>
      </c>
      <c r="J57" s="180">
        <v>0.1579</v>
      </c>
      <c r="K57" s="180">
        <v>0.0</v>
      </c>
      <c r="L57" s="178" t="s">
        <v>925</v>
      </c>
      <c r="M57" s="181">
        <v>0.1579</v>
      </c>
    </row>
    <row r="58">
      <c r="A58" s="183" t="s">
        <v>129</v>
      </c>
      <c r="B58" s="184">
        <v>14.0</v>
      </c>
      <c r="C58" s="184">
        <v>13.0</v>
      </c>
      <c r="D58" s="184">
        <v>10.0</v>
      </c>
      <c r="E58" s="185">
        <v>0.769</v>
      </c>
      <c r="F58" s="183" t="s">
        <v>855</v>
      </c>
      <c r="G58" s="185">
        <v>0.1111</v>
      </c>
      <c r="H58" s="185">
        <v>0.0556</v>
      </c>
      <c r="I58" s="185">
        <v>0.0556</v>
      </c>
      <c r="J58" s="185">
        <v>0.1111</v>
      </c>
      <c r="K58" s="185">
        <v>0.3889</v>
      </c>
      <c r="L58" s="183" t="s">
        <v>323</v>
      </c>
      <c r="M58" s="186">
        <v>0.3889</v>
      </c>
    </row>
    <row r="59">
      <c r="A59" s="178" t="s">
        <v>475</v>
      </c>
      <c r="B59" s="179">
        <v>73.0</v>
      </c>
      <c r="C59" s="179">
        <v>69.0</v>
      </c>
      <c r="D59" s="179">
        <v>28.0</v>
      </c>
      <c r="E59" s="180">
        <v>0.406</v>
      </c>
      <c r="F59" s="178" t="s">
        <v>855</v>
      </c>
      <c r="G59" s="180">
        <v>0.0842</v>
      </c>
      <c r="H59" s="180">
        <v>0.0526</v>
      </c>
      <c r="I59" s="180">
        <v>0.0105</v>
      </c>
      <c r="J59" s="180">
        <v>0.1579</v>
      </c>
      <c r="K59" s="180">
        <v>0.2316</v>
      </c>
      <c r="L59" s="178" t="s">
        <v>448</v>
      </c>
      <c r="M59" s="180">
        <v>0.2316</v>
      </c>
    </row>
    <row r="60">
      <c r="A60" s="183" t="s">
        <v>484</v>
      </c>
      <c r="B60" s="184">
        <v>101.0</v>
      </c>
      <c r="C60" s="184">
        <v>97.0</v>
      </c>
      <c r="D60" s="184">
        <v>23.0</v>
      </c>
      <c r="E60" s="185">
        <v>0.237</v>
      </c>
      <c r="F60" s="183" t="s">
        <v>855</v>
      </c>
      <c r="G60" s="185">
        <v>0.0882</v>
      </c>
      <c r="H60" s="185">
        <v>0.0588</v>
      </c>
      <c r="I60" s="185">
        <v>0.0686</v>
      </c>
      <c r="J60" s="185">
        <v>0.098</v>
      </c>
      <c r="K60" s="185">
        <v>0.0196</v>
      </c>
      <c r="L60" s="183" t="s">
        <v>485</v>
      </c>
      <c r="M60" s="185">
        <v>0.098</v>
      </c>
    </row>
    <row r="61">
      <c r="A61" s="178" t="s">
        <v>298</v>
      </c>
      <c r="B61" s="179">
        <v>157.0</v>
      </c>
      <c r="C61" s="179">
        <v>150.0</v>
      </c>
      <c r="D61" s="179">
        <v>20.0</v>
      </c>
      <c r="E61" s="180">
        <v>0.133</v>
      </c>
      <c r="F61" s="178" t="s">
        <v>855</v>
      </c>
      <c r="G61" s="180">
        <v>0.0449</v>
      </c>
      <c r="H61" s="180">
        <v>0.0192</v>
      </c>
      <c r="I61" s="180">
        <v>0.0705</v>
      </c>
      <c r="J61" s="180">
        <v>0.0385</v>
      </c>
      <c r="K61" s="180">
        <v>0.0</v>
      </c>
      <c r="L61" s="178" t="s">
        <v>483</v>
      </c>
      <c r="M61" s="180">
        <v>0.0705</v>
      </c>
    </row>
    <row r="62">
      <c r="A62" s="183" t="s">
        <v>424</v>
      </c>
      <c r="B62" s="184">
        <v>22.0</v>
      </c>
      <c r="C62" s="184">
        <v>21.0</v>
      </c>
      <c r="D62" s="184">
        <v>15.0</v>
      </c>
      <c r="E62" s="185">
        <v>0.714</v>
      </c>
      <c r="F62" s="183" t="s">
        <v>855</v>
      </c>
      <c r="G62" s="185">
        <v>0.0833</v>
      </c>
      <c r="H62" s="185">
        <v>0.5417</v>
      </c>
      <c r="I62" s="185">
        <v>0.0</v>
      </c>
      <c r="J62" s="185">
        <v>0.0417</v>
      </c>
      <c r="K62" s="185">
        <v>0.0</v>
      </c>
      <c r="L62" s="183" t="s">
        <v>77</v>
      </c>
      <c r="M62" s="185">
        <v>0.5417</v>
      </c>
    </row>
    <row r="63">
      <c r="A63" s="178" t="s">
        <v>470</v>
      </c>
      <c r="B63" s="179">
        <v>53.0</v>
      </c>
      <c r="C63" s="179">
        <v>51.0</v>
      </c>
      <c r="D63" s="179">
        <v>11.0</v>
      </c>
      <c r="E63" s="180">
        <v>0.216</v>
      </c>
      <c r="F63" s="178" t="s">
        <v>855</v>
      </c>
      <c r="G63" s="180">
        <v>0.1091</v>
      </c>
      <c r="H63" s="180">
        <v>0.0909</v>
      </c>
      <c r="I63" s="180">
        <v>0.0</v>
      </c>
      <c r="J63" s="180">
        <v>0.1273</v>
      </c>
      <c r="K63" s="180">
        <v>0.0</v>
      </c>
      <c r="L63" s="188" t="s">
        <v>485</v>
      </c>
      <c r="M63" s="180">
        <v>0.1273</v>
      </c>
    </row>
    <row r="64">
      <c r="A64" s="183" t="s">
        <v>477</v>
      </c>
      <c r="B64" s="184">
        <v>216.0</v>
      </c>
      <c r="C64" s="184">
        <v>212.0</v>
      </c>
      <c r="D64" s="184">
        <v>11.0</v>
      </c>
      <c r="E64" s="185">
        <v>0.052</v>
      </c>
      <c r="F64" s="183" t="s">
        <v>855</v>
      </c>
      <c r="G64" s="185">
        <v>0.0423</v>
      </c>
      <c r="H64" s="185">
        <v>0.0047</v>
      </c>
      <c r="I64" s="185">
        <v>0.0047</v>
      </c>
      <c r="J64" s="185">
        <v>0.0376</v>
      </c>
      <c r="K64" s="185">
        <v>0.0047</v>
      </c>
      <c r="L64" s="183" t="s">
        <v>120</v>
      </c>
      <c r="M64" s="185">
        <v>0.0423</v>
      </c>
    </row>
    <row r="65">
      <c r="A65" s="178" t="s">
        <v>499</v>
      </c>
      <c r="B65" s="179">
        <v>35.0</v>
      </c>
      <c r="C65" s="179">
        <v>34.0</v>
      </c>
      <c r="D65" s="179">
        <v>11.0</v>
      </c>
      <c r="E65" s="180">
        <v>0.324</v>
      </c>
      <c r="F65" s="178" t="s">
        <v>855</v>
      </c>
      <c r="G65" s="180">
        <v>0.0488</v>
      </c>
      <c r="H65" s="180">
        <v>0.0732</v>
      </c>
      <c r="I65" s="180">
        <v>0.0732</v>
      </c>
      <c r="J65" s="180">
        <v>0.0488</v>
      </c>
      <c r="K65" s="180">
        <v>0.0488</v>
      </c>
      <c r="L65" s="178" t="s">
        <v>77</v>
      </c>
      <c r="M65" s="180">
        <v>0.0732</v>
      </c>
    </row>
    <row r="66">
      <c r="A66" s="183" t="s">
        <v>496</v>
      </c>
      <c r="B66" s="184">
        <v>89.0</v>
      </c>
      <c r="C66" s="184">
        <v>78.0</v>
      </c>
      <c r="D66" s="184">
        <v>10.0</v>
      </c>
      <c r="E66" s="185">
        <v>0.128</v>
      </c>
      <c r="F66" s="183" t="s">
        <v>855</v>
      </c>
      <c r="G66" s="185">
        <v>0.0341</v>
      </c>
      <c r="H66" s="185">
        <v>0.0227</v>
      </c>
      <c r="I66" s="185">
        <v>0.0455</v>
      </c>
      <c r="J66" s="185">
        <v>0.1364</v>
      </c>
      <c r="K66" s="185">
        <v>0.0114</v>
      </c>
      <c r="L66" s="183" t="s">
        <v>497</v>
      </c>
      <c r="M66" s="185">
        <v>0.1364</v>
      </c>
    </row>
    <row r="67">
      <c r="A67" s="178" t="s">
        <v>500</v>
      </c>
      <c r="B67" s="179">
        <v>14.0</v>
      </c>
      <c r="C67" s="179">
        <v>15.0</v>
      </c>
      <c r="D67" s="179">
        <v>10.0</v>
      </c>
      <c r="E67" s="180">
        <v>0.667</v>
      </c>
      <c r="F67" s="178" t="s">
        <v>855</v>
      </c>
      <c r="G67" s="180">
        <v>0.0</v>
      </c>
      <c r="H67" s="180">
        <v>0.5</v>
      </c>
      <c r="I67" s="180">
        <v>0.0</v>
      </c>
      <c r="J67" s="180">
        <v>0.1111</v>
      </c>
      <c r="K67" s="180">
        <v>0.0556</v>
      </c>
      <c r="L67" s="178" t="s">
        <v>77</v>
      </c>
      <c r="M67" s="180">
        <v>0.5</v>
      </c>
    </row>
    <row r="68">
      <c r="A68" s="183" t="s">
        <v>486</v>
      </c>
      <c r="B68" s="184">
        <v>83.0</v>
      </c>
      <c r="C68" s="184">
        <v>85.0</v>
      </c>
      <c r="D68" s="184">
        <v>9.0</v>
      </c>
      <c r="E68" s="185">
        <v>0.106</v>
      </c>
      <c r="F68" s="183" t="s">
        <v>855</v>
      </c>
      <c r="G68" s="185">
        <v>0.069</v>
      </c>
      <c r="H68" s="185">
        <v>0.023</v>
      </c>
      <c r="I68" s="185">
        <v>0.023</v>
      </c>
      <c r="J68" s="185">
        <v>0.092</v>
      </c>
      <c r="K68" s="185">
        <v>0.0</v>
      </c>
      <c r="L68" s="183" t="s">
        <v>485</v>
      </c>
      <c r="M68" s="185">
        <v>0.092</v>
      </c>
    </row>
    <row r="69">
      <c r="A69" s="178" t="s">
        <v>200</v>
      </c>
      <c r="B69" s="179">
        <v>26.0</v>
      </c>
      <c r="C69" s="179">
        <v>20.0</v>
      </c>
      <c r="D69" s="179">
        <v>9.0</v>
      </c>
      <c r="E69" s="180">
        <v>0.45</v>
      </c>
      <c r="F69" s="178" t="s">
        <v>855</v>
      </c>
      <c r="G69" s="180">
        <v>0.0</v>
      </c>
      <c r="H69" s="180">
        <v>0.2963</v>
      </c>
      <c r="I69" s="180">
        <v>0.037</v>
      </c>
      <c r="J69" s="180">
        <v>0.037</v>
      </c>
      <c r="K69" s="180">
        <v>0.037</v>
      </c>
      <c r="L69" s="178" t="s">
        <v>77</v>
      </c>
      <c r="M69" s="180">
        <v>0.2963</v>
      </c>
    </row>
    <row r="70">
      <c r="A70" s="183" t="s">
        <v>487</v>
      </c>
      <c r="B70" s="184">
        <v>133.0</v>
      </c>
      <c r="C70" s="184">
        <v>131.0</v>
      </c>
      <c r="D70" s="184">
        <v>8.0</v>
      </c>
      <c r="E70" s="185">
        <v>0.061</v>
      </c>
      <c r="F70" s="183" t="s">
        <v>855</v>
      </c>
      <c r="G70" s="185">
        <v>0.035</v>
      </c>
      <c r="H70" s="185">
        <v>0.007</v>
      </c>
      <c r="I70" s="185">
        <v>0.014</v>
      </c>
      <c r="J70" s="185">
        <v>0.035</v>
      </c>
      <c r="K70" s="185">
        <v>0.0</v>
      </c>
      <c r="L70" s="183" t="s">
        <v>485</v>
      </c>
      <c r="M70" s="185">
        <v>0.035</v>
      </c>
    </row>
    <row r="71">
      <c r="A71" s="178" t="s">
        <v>488</v>
      </c>
      <c r="B71" s="179">
        <v>20.0</v>
      </c>
      <c r="C71" s="179">
        <v>17.0</v>
      </c>
      <c r="D71" s="179">
        <v>8.0</v>
      </c>
      <c r="E71" s="180">
        <v>0.471</v>
      </c>
      <c r="F71" s="178" t="s">
        <v>855</v>
      </c>
      <c r="G71" s="180">
        <v>0.0</v>
      </c>
      <c r="H71" s="180">
        <v>0.0476</v>
      </c>
      <c r="I71" s="180">
        <v>0.381</v>
      </c>
      <c r="J71" s="180">
        <v>0.0476</v>
      </c>
      <c r="K71" s="180">
        <v>0.0</v>
      </c>
      <c r="L71" s="178" t="s">
        <v>374</v>
      </c>
      <c r="M71" s="180">
        <v>0.381</v>
      </c>
    </row>
    <row r="72">
      <c r="A72" s="183" t="s">
        <v>501</v>
      </c>
      <c r="B72" s="184">
        <v>14.0</v>
      </c>
      <c r="C72" s="184">
        <v>11.0</v>
      </c>
      <c r="D72" s="184">
        <v>8.0</v>
      </c>
      <c r="E72" s="185">
        <v>0.727</v>
      </c>
      <c r="F72" s="183" t="s">
        <v>855</v>
      </c>
      <c r="G72" s="185">
        <v>0.0</v>
      </c>
      <c r="H72" s="185">
        <v>0.0</v>
      </c>
      <c r="I72" s="185">
        <v>0.0</v>
      </c>
      <c r="J72" s="185">
        <v>0.0625</v>
      </c>
      <c r="K72" s="185">
        <v>0.5</v>
      </c>
      <c r="L72" s="183" t="s">
        <v>448</v>
      </c>
      <c r="M72" s="185">
        <v>0.5</v>
      </c>
    </row>
    <row r="73">
      <c r="A73" s="178" t="s">
        <v>354</v>
      </c>
      <c r="B73" s="179">
        <v>25.0</v>
      </c>
      <c r="C73" s="179">
        <v>16.0</v>
      </c>
      <c r="D73" s="179">
        <v>7.0</v>
      </c>
      <c r="E73" s="180">
        <v>0.438</v>
      </c>
      <c r="F73" s="178" t="s">
        <v>855</v>
      </c>
      <c r="G73" s="180">
        <v>0.0952</v>
      </c>
      <c r="H73" s="180">
        <v>0.0476</v>
      </c>
      <c r="I73" s="180">
        <v>0.2381</v>
      </c>
      <c r="J73" s="180">
        <v>0.0952</v>
      </c>
      <c r="K73" s="180">
        <v>0.0</v>
      </c>
      <c r="L73" s="178" t="s">
        <v>374</v>
      </c>
      <c r="M73" s="180">
        <v>0.2381</v>
      </c>
    </row>
    <row r="74">
      <c r="A74" s="183" t="s">
        <v>495</v>
      </c>
      <c r="B74" s="184">
        <v>66.0</v>
      </c>
      <c r="C74" s="184">
        <v>66.0</v>
      </c>
      <c r="D74" s="184">
        <v>7.0</v>
      </c>
      <c r="E74" s="185">
        <v>0.106</v>
      </c>
      <c r="F74" s="183" t="s">
        <v>855</v>
      </c>
      <c r="G74" s="185">
        <v>0.0758</v>
      </c>
      <c r="H74" s="185">
        <v>0.0152</v>
      </c>
      <c r="I74" s="185">
        <v>0.0152</v>
      </c>
      <c r="J74" s="185">
        <v>0.0758</v>
      </c>
      <c r="K74" s="185">
        <v>0.0</v>
      </c>
      <c r="L74" s="183" t="s">
        <v>493</v>
      </c>
      <c r="M74" s="185">
        <v>0.0758</v>
      </c>
    </row>
    <row r="75">
      <c r="A75" s="178" t="s">
        <v>361</v>
      </c>
      <c r="B75" s="179">
        <v>120.0</v>
      </c>
      <c r="C75" s="179">
        <v>115.0</v>
      </c>
      <c r="D75" s="179">
        <v>7.0</v>
      </c>
      <c r="E75" s="180">
        <v>0.061</v>
      </c>
      <c r="F75" s="178" t="s">
        <v>855</v>
      </c>
      <c r="G75" s="180">
        <v>0.0252</v>
      </c>
      <c r="H75" s="180">
        <v>0.0084</v>
      </c>
      <c r="I75" s="180">
        <v>0.0336</v>
      </c>
      <c r="J75" s="180">
        <v>0.0588</v>
      </c>
      <c r="K75" s="180">
        <v>0.0084</v>
      </c>
      <c r="L75" s="188" t="s">
        <v>493</v>
      </c>
      <c r="M75" s="180">
        <v>0.0588</v>
      </c>
    </row>
    <row r="76">
      <c r="A76" s="183" t="s">
        <v>502</v>
      </c>
      <c r="B76" s="184">
        <v>69.0</v>
      </c>
      <c r="C76" s="184">
        <v>67.0</v>
      </c>
      <c r="D76" s="184">
        <v>6.0</v>
      </c>
      <c r="E76" s="185">
        <v>0.09</v>
      </c>
      <c r="F76" s="183" t="s">
        <v>855</v>
      </c>
      <c r="G76" s="185">
        <v>0.0299</v>
      </c>
      <c r="H76" s="185">
        <v>0.0149</v>
      </c>
      <c r="I76" s="185">
        <v>0.0149</v>
      </c>
      <c r="J76" s="185">
        <v>0.0149</v>
      </c>
      <c r="K76" s="185">
        <v>0.0299</v>
      </c>
      <c r="L76" s="183" t="s">
        <v>448</v>
      </c>
      <c r="M76" s="185">
        <v>0.0299</v>
      </c>
    </row>
    <row r="77">
      <c r="A77" s="178" t="s">
        <v>478</v>
      </c>
      <c r="B77" s="179">
        <v>104.0</v>
      </c>
      <c r="C77" s="179">
        <v>107.0</v>
      </c>
      <c r="D77" s="179">
        <v>6.0</v>
      </c>
      <c r="E77" s="180">
        <v>0.056</v>
      </c>
      <c r="F77" s="178" t="s">
        <v>855</v>
      </c>
      <c r="G77" s="180">
        <v>0.0561</v>
      </c>
      <c r="H77" s="180">
        <v>0.0</v>
      </c>
      <c r="I77" s="180">
        <v>0.0</v>
      </c>
      <c r="J77" s="180">
        <v>0.0187</v>
      </c>
      <c r="K77" s="180">
        <v>0.0</v>
      </c>
      <c r="L77" s="178" t="s">
        <v>120</v>
      </c>
      <c r="M77" s="180">
        <v>0.0561</v>
      </c>
    </row>
    <row r="78">
      <c r="A78" s="183" t="s">
        <v>509</v>
      </c>
      <c r="B78" s="184">
        <v>32.0</v>
      </c>
      <c r="C78" s="184">
        <v>31.0</v>
      </c>
      <c r="D78" s="184">
        <v>6.0</v>
      </c>
      <c r="E78" s="185">
        <v>0.194</v>
      </c>
      <c r="F78" s="183" t="s">
        <v>855</v>
      </c>
      <c r="G78" s="185">
        <v>0.0</v>
      </c>
      <c r="H78" s="185">
        <v>0.1818</v>
      </c>
      <c r="I78" s="185">
        <v>0.0</v>
      </c>
      <c r="J78" s="185">
        <v>0.0303</v>
      </c>
      <c r="K78" s="185">
        <v>0.0</v>
      </c>
      <c r="L78" s="183" t="s">
        <v>77</v>
      </c>
      <c r="M78" s="185">
        <v>0.1818</v>
      </c>
    </row>
    <row r="79">
      <c r="A79" s="178" t="s">
        <v>490</v>
      </c>
      <c r="B79" s="179">
        <v>121.0</v>
      </c>
      <c r="C79" s="179">
        <v>113.0</v>
      </c>
      <c r="D79" s="179">
        <v>6.0</v>
      </c>
      <c r="E79" s="180">
        <v>0.053</v>
      </c>
      <c r="F79" s="178" t="s">
        <v>855</v>
      </c>
      <c r="G79" s="180">
        <v>0.0169</v>
      </c>
      <c r="H79" s="180">
        <v>0.0085</v>
      </c>
      <c r="I79" s="180">
        <v>0.0254</v>
      </c>
      <c r="J79" s="180">
        <v>0.0254</v>
      </c>
      <c r="K79" s="180">
        <v>0.0085</v>
      </c>
      <c r="L79" s="178" t="s">
        <v>491</v>
      </c>
      <c r="M79" s="180">
        <v>0.0254</v>
      </c>
    </row>
    <row r="80">
      <c r="A80" s="183" t="s">
        <v>462</v>
      </c>
      <c r="B80" s="184">
        <v>118.0</v>
      </c>
      <c r="C80" s="184">
        <v>116.0</v>
      </c>
      <c r="D80" s="184">
        <v>6.0</v>
      </c>
      <c r="E80" s="185">
        <v>0.052</v>
      </c>
      <c r="F80" s="183" t="s">
        <v>855</v>
      </c>
      <c r="G80" s="185">
        <v>0.0168</v>
      </c>
      <c r="H80" s="185">
        <v>0.0084</v>
      </c>
      <c r="I80" s="185">
        <v>0.0</v>
      </c>
      <c r="J80" s="185">
        <v>0.0252</v>
      </c>
      <c r="K80" s="185">
        <v>0.0168</v>
      </c>
      <c r="L80" s="183" t="s">
        <v>493</v>
      </c>
      <c r="M80" s="185">
        <v>0.0252</v>
      </c>
    </row>
    <row r="81">
      <c r="A81" s="178" t="s">
        <v>340</v>
      </c>
      <c r="B81" s="179">
        <v>44.0</v>
      </c>
      <c r="C81" s="179">
        <v>38.0</v>
      </c>
      <c r="D81" s="179">
        <v>6.0</v>
      </c>
      <c r="E81" s="180">
        <v>0.158</v>
      </c>
      <c r="F81" s="178" t="s">
        <v>855</v>
      </c>
      <c r="G81" s="180">
        <v>0.0652</v>
      </c>
      <c r="H81" s="180">
        <v>0.0217</v>
      </c>
      <c r="I81" s="180">
        <v>0.0435</v>
      </c>
      <c r="J81" s="180">
        <v>0.1087</v>
      </c>
      <c r="K81" s="180">
        <v>0.0217</v>
      </c>
      <c r="L81" s="178" t="s">
        <v>493</v>
      </c>
      <c r="M81" s="180">
        <v>0.1087</v>
      </c>
    </row>
    <row r="82">
      <c r="A82" s="183" t="s">
        <v>503</v>
      </c>
      <c r="B82" s="184">
        <v>19.0</v>
      </c>
      <c r="C82" s="184">
        <v>17.0</v>
      </c>
      <c r="D82" s="184">
        <v>6.0</v>
      </c>
      <c r="E82" s="185">
        <v>0.353</v>
      </c>
      <c r="F82" s="183" t="s">
        <v>855</v>
      </c>
      <c r="G82" s="185">
        <v>0.15</v>
      </c>
      <c r="H82" s="185">
        <v>0.05</v>
      </c>
      <c r="I82" s="185">
        <v>0.05</v>
      </c>
      <c r="J82" s="185">
        <v>0.05</v>
      </c>
      <c r="K82" s="185">
        <v>0.15</v>
      </c>
      <c r="L82" s="183" t="s">
        <v>448</v>
      </c>
      <c r="M82" s="185">
        <v>0.15</v>
      </c>
    </row>
    <row r="83">
      <c r="A83" s="178" t="s">
        <v>492</v>
      </c>
      <c r="B83" s="179">
        <v>113.0</v>
      </c>
      <c r="C83" s="179">
        <v>110.0</v>
      </c>
      <c r="D83" s="179">
        <v>6.0</v>
      </c>
      <c r="E83" s="180">
        <v>0.055</v>
      </c>
      <c r="F83" s="178" t="s">
        <v>855</v>
      </c>
      <c r="G83" s="180">
        <v>0.027</v>
      </c>
      <c r="H83" s="180">
        <v>0.009</v>
      </c>
      <c r="I83" s="180">
        <v>0.0</v>
      </c>
      <c r="J83" s="180">
        <v>0.045</v>
      </c>
      <c r="K83" s="180">
        <v>0.009</v>
      </c>
      <c r="L83" s="178" t="s">
        <v>493</v>
      </c>
      <c r="M83" s="180">
        <v>0.045</v>
      </c>
    </row>
    <row r="84">
      <c r="A84" s="183" t="s">
        <v>466</v>
      </c>
      <c r="B84" s="184">
        <v>41.0</v>
      </c>
      <c r="C84" s="184">
        <v>36.0</v>
      </c>
      <c r="D84" s="184">
        <v>6.0</v>
      </c>
      <c r="E84" s="185">
        <v>0.167</v>
      </c>
      <c r="F84" s="183" t="s">
        <v>855</v>
      </c>
      <c r="G84" s="185">
        <v>0.0889</v>
      </c>
      <c r="H84" s="185">
        <v>0.0</v>
      </c>
      <c r="I84" s="185">
        <v>0.1111</v>
      </c>
      <c r="J84" s="185">
        <v>0.0444</v>
      </c>
      <c r="K84" s="185">
        <v>0.0</v>
      </c>
      <c r="L84" s="188" t="s">
        <v>489</v>
      </c>
      <c r="M84" s="185">
        <v>0.1111</v>
      </c>
    </row>
    <row r="85">
      <c r="A85" s="178" t="s">
        <v>494</v>
      </c>
      <c r="B85" s="179">
        <v>72.0</v>
      </c>
      <c r="C85" s="179">
        <v>69.0</v>
      </c>
      <c r="D85" s="179">
        <v>5.0</v>
      </c>
      <c r="E85" s="180">
        <v>0.072</v>
      </c>
      <c r="F85" s="178" t="s">
        <v>855</v>
      </c>
      <c r="G85" s="180">
        <v>0.0286</v>
      </c>
      <c r="H85" s="180">
        <v>0.0143</v>
      </c>
      <c r="I85" s="180">
        <v>0.0143</v>
      </c>
      <c r="J85" s="180">
        <v>0.0571</v>
      </c>
      <c r="K85" s="180">
        <v>0.0143</v>
      </c>
      <c r="L85" s="178" t="s">
        <v>493</v>
      </c>
      <c r="M85" s="180">
        <v>0.0571</v>
      </c>
    </row>
    <row r="86">
      <c r="A86" s="183" t="s">
        <v>450</v>
      </c>
      <c r="B86" s="184">
        <v>88.0</v>
      </c>
      <c r="C86" s="184">
        <v>85.0</v>
      </c>
      <c r="D86" s="184">
        <v>5.0</v>
      </c>
      <c r="E86" s="185">
        <v>0.059</v>
      </c>
      <c r="F86" s="183" t="s">
        <v>855</v>
      </c>
      <c r="G86" s="185">
        <v>0.0337</v>
      </c>
      <c r="H86" s="185">
        <v>0.0225</v>
      </c>
      <c r="I86" s="185">
        <v>0.0</v>
      </c>
      <c r="J86" s="185">
        <v>0.0449</v>
      </c>
      <c r="K86" s="185">
        <v>0.0</v>
      </c>
      <c r="L86" s="183" t="s">
        <v>493</v>
      </c>
      <c r="M86" s="185">
        <v>0.0449</v>
      </c>
    </row>
    <row r="87">
      <c r="A87" s="178" t="s">
        <v>449</v>
      </c>
      <c r="B87" s="179">
        <v>84.0</v>
      </c>
      <c r="C87" s="179">
        <v>78.0</v>
      </c>
      <c r="D87" s="179">
        <v>5.0</v>
      </c>
      <c r="E87" s="180">
        <v>0.064</v>
      </c>
      <c r="F87" s="178" t="s">
        <v>855</v>
      </c>
      <c r="G87" s="180">
        <v>0.0247</v>
      </c>
      <c r="H87" s="180">
        <v>0.0123</v>
      </c>
      <c r="I87" s="180">
        <v>0.0247</v>
      </c>
      <c r="J87" s="180">
        <v>0.0494</v>
      </c>
      <c r="K87" s="180">
        <v>0.0</v>
      </c>
      <c r="L87" s="178" t="s">
        <v>493</v>
      </c>
      <c r="M87" s="180">
        <v>0.0494</v>
      </c>
    </row>
    <row r="88">
      <c r="A88" s="183" t="s">
        <v>479</v>
      </c>
      <c r="B88" s="184">
        <v>86.0</v>
      </c>
      <c r="C88" s="184">
        <v>78.0</v>
      </c>
      <c r="D88" s="184">
        <v>5.0</v>
      </c>
      <c r="E88" s="185">
        <v>0.064</v>
      </c>
      <c r="F88" s="183" t="s">
        <v>855</v>
      </c>
      <c r="G88" s="185">
        <v>0.0494</v>
      </c>
      <c r="H88" s="185">
        <v>0.0123</v>
      </c>
      <c r="I88" s="185">
        <v>0.0123</v>
      </c>
      <c r="J88" s="185">
        <v>0.0123</v>
      </c>
      <c r="K88" s="185">
        <v>0.0</v>
      </c>
      <c r="L88" s="183" t="s">
        <v>120</v>
      </c>
      <c r="M88" s="185">
        <v>0.0494</v>
      </c>
    </row>
    <row r="89">
      <c r="A89" s="178" t="s">
        <v>504</v>
      </c>
      <c r="B89" s="179">
        <v>26.0</v>
      </c>
      <c r="C89" s="179">
        <v>23.0</v>
      </c>
      <c r="D89" s="179">
        <v>5.0</v>
      </c>
      <c r="E89" s="180">
        <v>0.217</v>
      </c>
      <c r="F89" s="178" t="s">
        <v>855</v>
      </c>
      <c r="G89" s="180">
        <v>0.0</v>
      </c>
      <c r="H89" s="180">
        <v>0.0417</v>
      </c>
      <c r="I89" s="180">
        <v>0.0</v>
      </c>
      <c r="J89" s="180">
        <v>0.0</v>
      </c>
      <c r="K89" s="180">
        <v>0.2083</v>
      </c>
      <c r="L89" s="178" t="s">
        <v>448</v>
      </c>
      <c r="M89" s="180">
        <v>0.2083</v>
      </c>
    </row>
    <row r="90">
      <c r="A90" s="183" t="s">
        <v>480</v>
      </c>
      <c r="B90" s="184">
        <v>21.0</v>
      </c>
      <c r="C90" s="184">
        <v>13.0</v>
      </c>
      <c r="D90" s="184">
        <v>5.0</v>
      </c>
      <c r="E90" s="185">
        <v>0.385</v>
      </c>
      <c r="F90" s="183" t="s">
        <v>855</v>
      </c>
      <c r="G90" s="185">
        <v>0.2632</v>
      </c>
      <c r="H90" s="185">
        <v>0.1053</v>
      </c>
      <c r="I90" s="185">
        <v>0.0</v>
      </c>
      <c r="J90" s="185">
        <v>0.1053</v>
      </c>
      <c r="K90" s="185">
        <v>0.0</v>
      </c>
      <c r="L90" s="183" t="s">
        <v>120</v>
      </c>
      <c r="M90" s="185">
        <v>0.2632</v>
      </c>
    </row>
    <row r="91">
      <c r="A91" s="178" t="s">
        <v>481</v>
      </c>
      <c r="B91" s="179">
        <v>45.0</v>
      </c>
      <c r="C91" s="179">
        <v>43.0</v>
      </c>
      <c r="D91" s="179">
        <v>5.0</v>
      </c>
      <c r="E91" s="180">
        <v>0.116</v>
      </c>
      <c r="F91" s="178" t="s">
        <v>855</v>
      </c>
      <c r="G91" s="180">
        <v>0.1087</v>
      </c>
      <c r="H91" s="180">
        <v>0.0</v>
      </c>
      <c r="I91" s="180">
        <v>0.0</v>
      </c>
      <c r="J91" s="180">
        <v>0.1087</v>
      </c>
      <c r="K91" s="180">
        <v>0.0217</v>
      </c>
      <c r="L91" s="178" t="s">
        <v>120</v>
      </c>
      <c r="M91" s="180">
        <v>0.1087</v>
      </c>
    </row>
    <row r="92">
      <c r="A92" s="183" t="s">
        <v>461</v>
      </c>
      <c r="B92" s="184">
        <v>42.0</v>
      </c>
      <c r="C92" s="184">
        <v>39.0</v>
      </c>
      <c r="D92" s="184">
        <v>5.0</v>
      </c>
      <c r="E92" s="185">
        <v>0.128</v>
      </c>
      <c r="F92" s="183" t="s">
        <v>855</v>
      </c>
      <c r="G92" s="185">
        <v>0.0488</v>
      </c>
      <c r="H92" s="185">
        <v>0.0</v>
      </c>
      <c r="I92" s="185">
        <v>0.0732</v>
      </c>
      <c r="J92" s="185">
        <v>0.0244</v>
      </c>
      <c r="K92" s="185">
        <v>0.0</v>
      </c>
      <c r="L92" s="183" t="s">
        <v>483</v>
      </c>
      <c r="M92" s="185">
        <v>0.0732</v>
      </c>
    </row>
    <row r="93">
      <c r="A93" s="178" t="s">
        <v>482</v>
      </c>
      <c r="B93" s="179">
        <v>15.0</v>
      </c>
      <c r="C93" s="179">
        <v>12.0</v>
      </c>
      <c r="D93" s="179">
        <v>5.0</v>
      </c>
      <c r="E93" s="180">
        <v>0.417</v>
      </c>
      <c r="F93" s="178" t="s">
        <v>855</v>
      </c>
      <c r="G93" s="180">
        <v>0.3077</v>
      </c>
      <c r="H93" s="180">
        <v>0.0</v>
      </c>
      <c r="I93" s="180">
        <v>0.0769</v>
      </c>
      <c r="J93" s="180">
        <v>0.0769</v>
      </c>
      <c r="K93" s="180">
        <v>0.0</v>
      </c>
      <c r="L93" s="178" t="s">
        <v>120</v>
      </c>
      <c r="M93" s="180">
        <v>0.3077</v>
      </c>
    </row>
    <row r="94">
      <c r="A94" s="183" t="s">
        <v>498</v>
      </c>
      <c r="B94" s="184">
        <v>40.0</v>
      </c>
      <c r="C94" s="184">
        <v>45.0</v>
      </c>
      <c r="D94" s="184">
        <v>5.0</v>
      </c>
      <c r="E94" s="185">
        <v>0.111</v>
      </c>
      <c r="F94" s="183" t="s">
        <v>855</v>
      </c>
      <c r="G94" s="185">
        <v>0.0444</v>
      </c>
      <c r="H94" s="185">
        <v>0.0444</v>
      </c>
      <c r="I94" s="185">
        <v>0.0444</v>
      </c>
      <c r="J94" s="185">
        <v>0.0889</v>
      </c>
      <c r="K94" s="185">
        <v>0.0</v>
      </c>
      <c r="L94" s="183" t="s">
        <v>497</v>
      </c>
      <c r="M94" s="185">
        <v>0.0889</v>
      </c>
    </row>
    <row r="95">
      <c r="A95" s="178" t="s">
        <v>338</v>
      </c>
      <c r="B95" s="179">
        <v>69.0</v>
      </c>
      <c r="C95" s="179">
        <v>69.0</v>
      </c>
      <c r="D95" s="179">
        <v>5.0</v>
      </c>
      <c r="E95" s="180">
        <v>0.072</v>
      </c>
      <c r="F95" s="178" t="s">
        <v>855</v>
      </c>
      <c r="G95" s="180">
        <v>0.0694</v>
      </c>
      <c r="H95" s="180">
        <v>0.0</v>
      </c>
      <c r="I95" s="180">
        <v>0.0</v>
      </c>
      <c r="J95" s="180">
        <v>0.0417</v>
      </c>
      <c r="K95" s="180">
        <v>0.0</v>
      </c>
      <c r="L95" s="178" t="s">
        <v>493</v>
      </c>
      <c r="M95" s="180">
        <v>0.0694</v>
      </c>
    </row>
    <row r="96">
      <c r="A96" s="183" t="s">
        <v>455</v>
      </c>
      <c r="B96" s="184">
        <v>23.0</v>
      </c>
      <c r="C96" s="184">
        <v>22.0</v>
      </c>
      <c r="D96" s="184">
        <v>5.0</v>
      </c>
      <c r="E96" s="185">
        <v>0.227</v>
      </c>
      <c r="F96" s="183" t="s">
        <v>855</v>
      </c>
      <c r="G96" s="185">
        <v>0.1304</v>
      </c>
      <c r="H96" s="185">
        <v>0.0</v>
      </c>
      <c r="I96" s="185">
        <v>0.087</v>
      </c>
      <c r="J96" s="185">
        <v>0.087</v>
      </c>
      <c r="K96" s="185">
        <v>0.0</v>
      </c>
      <c r="L96" s="183" t="s">
        <v>120</v>
      </c>
      <c r="M96" s="185">
        <v>0.1304</v>
      </c>
    </row>
    <row r="97">
      <c r="A97" s="178" t="s">
        <v>186</v>
      </c>
      <c r="B97" s="179">
        <v>21.0</v>
      </c>
      <c r="C97" s="179">
        <v>18.0</v>
      </c>
      <c r="D97" s="179">
        <v>4.0</v>
      </c>
      <c r="E97" s="180">
        <v>0.222</v>
      </c>
      <c r="F97" s="178" t="s">
        <v>855</v>
      </c>
      <c r="G97" s="180">
        <v>0.1905</v>
      </c>
      <c r="H97" s="180">
        <v>0.0</v>
      </c>
      <c r="I97" s="180">
        <v>0.0</v>
      </c>
      <c r="J97" s="180">
        <v>0.0476</v>
      </c>
      <c r="K97" s="180">
        <v>0.0</v>
      </c>
      <c r="L97" s="178" t="s">
        <v>32</v>
      </c>
      <c r="M97" s="180">
        <v>0.1905</v>
      </c>
    </row>
    <row r="98">
      <c r="A98" s="183" t="s">
        <v>526</v>
      </c>
      <c r="B98" s="184">
        <v>114.0</v>
      </c>
      <c r="C98" s="184">
        <v>109.0</v>
      </c>
      <c r="D98" s="184">
        <v>6.0</v>
      </c>
      <c r="E98" s="185">
        <v>0.055</v>
      </c>
      <c r="F98" s="183" t="s">
        <v>855</v>
      </c>
      <c r="G98" s="185">
        <v>0.0364</v>
      </c>
      <c r="H98" s="185">
        <v>0.0091</v>
      </c>
      <c r="I98" s="185">
        <v>0.0091</v>
      </c>
      <c r="J98" s="185">
        <v>0.0273</v>
      </c>
      <c r="K98" s="185">
        <v>0.0091</v>
      </c>
      <c r="L98" s="183" t="s">
        <v>32</v>
      </c>
      <c r="M98" s="185">
        <v>0.0364</v>
      </c>
    </row>
    <row r="99">
      <c r="A99" s="178" t="s">
        <v>527</v>
      </c>
      <c r="B99" s="179">
        <v>97.0</v>
      </c>
      <c r="C99" s="179">
        <v>96.0</v>
      </c>
      <c r="D99" s="179">
        <v>5.0</v>
      </c>
      <c r="E99" s="180">
        <v>0.052</v>
      </c>
      <c r="F99" s="178" t="s">
        <v>855</v>
      </c>
      <c r="G99" s="180">
        <v>0.051</v>
      </c>
      <c r="H99" s="180">
        <v>0.0102</v>
      </c>
      <c r="I99" s="180">
        <v>0.0102</v>
      </c>
      <c r="J99" s="180">
        <v>0.0408</v>
      </c>
      <c r="K99" s="180">
        <v>0.0</v>
      </c>
      <c r="L99" s="178" t="s">
        <v>32</v>
      </c>
      <c r="M99" s="180">
        <v>0.051</v>
      </c>
    </row>
    <row r="100">
      <c r="A100" s="183" t="s">
        <v>529</v>
      </c>
      <c r="B100" s="184">
        <v>34.0</v>
      </c>
      <c r="C100" s="184">
        <v>30.0</v>
      </c>
      <c r="D100" s="184">
        <v>4.0</v>
      </c>
      <c r="E100" s="185">
        <v>0.133</v>
      </c>
      <c r="F100" s="183" t="s">
        <v>855</v>
      </c>
      <c r="G100" s="185">
        <v>0.0645</v>
      </c>
      <c r="H100" s="185">
        <v>0.0</v>
      </c>
      <c r="I100" s="185">
        <v>0.0645</v>
      </c>
      <c r="J100" s="185">
        <v>0.0</v>
      </c>
      <c r="K100" s="185">
        <v>0.0</v>
      </c>
      <c r="L100" s="183" t="s">
        <v>307</v>
      </c>
      <c r="M100" s="185">
        <v>0.0645</v>
      </c>
    </row>
    <row r="101">
      <c r="A101" s="178" t="s">
        <v>419</v>
      </c>
      <c r="B101" s="179">
        <v>31.0</v>
      </c>
      <c r="C101" s="179">
        <v>31.0</v>
      </c>
      <c r="D101" s="179">
        <v>4.0</v>
      </c>
      <c r="E101" s="180">
        <v>0.129</v>
      </c>
      <c r="F101" s="178" t="s">
        <v>855</v>
      </c>
      <c r="G101" s="180">
        <v>0.0625</v>
      </c>
      <c r="H101" s="180">
        <v>0.0313</v>
      </c>
      <c r="I101" s="180">
        <v>0.0625</v>
      </c>
      <c r="J101" s="180">
        <v>0.0625</v>
      </c>
      <c r="K101" s="180">
        <v>0.0</v>
      </c>
      <c r="L101" s="178" t="s">
        <v>307</v>
      </c>
      <c r="M101" s="180">
        <v>0.0625</v>
      </c>
    </row>
    <row r="102">
      <c r="A102" s="183" t="s">
        <v>530</v>
      </c>
      <c r="B102" s="184">
        <v>48.0</v>
      </c>
      <c r="C102" s="184">
        <v>41.0</v>
      </c>
      <c r="D102" s="184">
        <v>5.0</v>
      </c>
      <c r="E102" s="185">
        <v>0.122</v>
      </c>
      <c r="F102" s="183" t="s">
        <v>855</v>
      </c>
      <c r="G102" s="185">
        <v>0.0455</v>
      </c>
      <c r="H102" s="185">
        <v>0.0</v>
      </c>
      <c r="I102" s="185">
        <v>0.0455</v>
      </c>
      <c r="J102" s="185">
        <v>0.1136</v>
      </c>
      <c r="K102" s="185">
        <v>0.0227</v>
      </c>
      <c r="L102" s="183" t="s">
        <v>307</v>
      </c>
      <c r="M102" s="185">
        <v>0.1136</v>
      </c>
    </row>
    <row r="103">
      <c r="A103" s="178" t="s">
        <v>926</v>
      </c>
      <c r="B103" s="179">
        <v>55.0</v>
      </c>
      <c r="C103" s="179">
        <v>54.0</v>
      </c>
      <c r="D103" s="179">
        <v>4.0</v>
      </c>
      <c r="E103" s="180">
        <v>0.074</v>
      </c>
      <c r="F103" s="178" t="s">
        <v>855</v>
      </c>
      <c r="G103" s="180">
        <v>0.0179</v>
      </c>
      <c r="H103" s="180">
        <v>0.0</v>
      </c>
      <c r="I103" s="180">
        <v>0.0536</v>
      </c>
      <c r="J103" s="180">
        <v>0.0</v>
      </c>
      <c r="K103" s="180">
        <v>0.0</v>
      </c>
      <c r="L103" s="178" t="s">
        <v>124</v>
      </c>
      <c r="M103" s="180">
        <v>0.0536</v>
      </c>
    </row>
    <row r="104">
      <c r="A104" s="183" t="s">
        <v>927</v>
      </c>
      <c r="B104" s="184">
        <v>82.0</v>
      </c>
      <c r="C104" s="184">
        <v>76.0</v>
      </c>
      <c r="D104" s="184">
        <v>4.0</v>
      </c>
      <c r="E104" s="185">
        <v>0.053</v>
      </c>
      <c r="F104" s="183" t="s">
        <v>855</v>
      </c>
      <c r="G104" s="185">
        <v>0.013</v>
      </c>
      <c r="H104" s="185">
        <v>0.0</v>
      </c>
      <c r="I104" s="185">
        <v>0.026</v>
      </c>
      <c r="J104" s="185">
        <v>0.013</v>
      </c>
      <c r="K104" s="185">
        <v>0.013</v>
      </c>
      <c r="L104" s="183" t="s">
        <v>124</v>
      </c>
      <c r="M104" s="185">
        <v>0.026</v>
      </c>
    </row>
    <row r="105">
      <c r="A105" s="178" t="s">
        <v>455</v>
      </c>
      <c r="B105" s="179">
        <v>29.0</v>
      </c>
      <c r="C105" s="179">
        <v>24.0</v>
      </c>
      <c r="D105" s="179">
        <v>4.0</v>
      </c>
      <c r="E105" s="180">
        <v>0.167</v>
      </c>
      <c r="F105" s="178" t="s">
        <v>855</v>
      </c>
      <c r="G105" s="180">
        <v>0.0769</v>
      </c>
      <c r="H105" s="180">
        <v>0.0</v>
      </c>
      <c r="I105" s="180">
        <v>0.0769</v>
      </c>
      <c r="J105" s="180">
        <v>0.0769</v>
      </c>
      <c r="K105" s="180">
        <v>0.0</v>
      </c>
      <c r="L105" s="178" t="s">
        <v>857</v>
      </c>
      <c r="M105" s="180">
        <v>0.0769</v>
      </c>
    </row>
    <row r="106">
      <c r="A106" s="183" t="s">
        <v>384</v>
      </c>
      <c r="B106" s="184">
        <v>61.0</v>
      </c>
      <c r="C106" s="184">
        <v>58.0</v>
      </c>
      <c r="D106" s="184">
        <v>4.0</v>
      </c>
      <c r="E106" s="185">
        <v>0.069</v>
      </c>
      <c r="F106" s="183" t="s">
        <v>855</v>
      </c>
      <c r="G106" s="185">
        <v>0.0164</v>
      </c>
      <c r="H106" s="185">
        <v>0.0164</v>
      </c>
      <c r="I106" s="185">
        <v>0.0164</v>
      </c>
      <c r="J106" s="185">
        <v>0.0492</v>
      </c>
      <c r="K106" s="185">
        <v>0.0328</v>
      </c>
      <c r="L106" s="183" t="s">
        <v>392</v>
      </c>
      <c r="M106" s="185">
        <v>0.0492</v>
      </c>
    </row>
    <row r="107">
      <c r="A107" s="247" t="s">
        <v>582</v>
      </c>
      <c r="B107" s="248">
        <v>15.0</v>
      </c>
      <c r="C107" s="248">
        <v>14.0</v>
      </c>
      <c r="D107" s="248">
        <v>4.0</v>
      </c>
      <c r="E107" s="249">
        <v>0.286</v>
      </c>
      <c r="F107" s="247" t="s">
        <v>855</v>
      </c>
      <c r="G107" s="249">
        <v>0.0588</v>
      </c>
      <c r="H107" s="249">
        <v>0.0588</v>
      </c>
      <c r="I107" s="249">
        <v>0.1176</v>
      </c>
      <c r="J107" s="249">
        <v>0.2353</v>
      </c>
      <c r="K107" s="249">
        <v>0.0588</v>
      </c>
      <c r="L107" s="247" t="s">
        <v>396</v>
      </c>
      <c r="M107" s="249">
        <v>0.2353</v>
      </c>
    </row>
    <row r="108">
      <c r="A108" s="247" t="s">
        <v>315</v>
      </c>
      <c r="B108" s="241">
        <v>12.0</v>
      </c>
      <c r="C108" s="241">
        <v>13.0</v>
      </c>
      <c r="D108" s="241">
        <v>4.0</v>
      </c>
      <c r="E108" s="243">
        <v>0.308</v>
      </c>
      <c r="F108" s="240" t="s">
        <v>855</v>
      </c>
      <c r="G108" s="243">
        <v>0.0</v>
      </c>
      <c r="H108" s="243">
        <v>0.0769</v>
      </c>
      <c r="I108" s="243">
        <v>0.0769</v>
      </c>
      <c r="J108" s="243">
        <v>0.1538</v>
      </c>
      <c r="K108" s="243">
        <v>0.1538</v>
      </c>
      <c r="L108" s="240" t="s">
        <v>928</v>
      </c>
      <c r="M108" s="243">
        <v>0.1538</v>
      </c>
    </row>
    <row r="109">
      <c r="A109" s="178" t="s">
        <v>531</v>
      </c>
      <c r="B109" s="179">
        <v>14.0</v>
      </c>
      <c r="C109" s="179">
        <v>14.0</v>
      </c>
      <c r="D109" s="179">
        <v>10.0</v>
      </c>
      <c r="E109" s="180">
        <v>0.714</v>
      </c>
      <c r="F109" s="178" t="s">
        <v>855</v>
      </c>
      <c r="G109" s="180">
        <v>0.1765</v>
      </c>
      <c r="H109" s="180">
        <v>0.4706</v>
      </c>
      <c r="I109" s="180">
        <v>0.0</v>
      </c>
      <c r="J109" s="180">
        <v>0.0588</v>
      </c>
      <c r="K109" s="180">
        <v>0.0</v>
      </c>
      <c r="L109" s="178" t="s">
        <v>17</v>
      </c>
      <c r="M109" s="180">
        <v>0.4706</v>
      </c>
    </row>
    <row r="110">
      <c r="A110" s="183" t="s">
        <v>355</v>
      </c>
      <c r="B110" s="184">
        <v>16.0</v>
      </c>
      <c r="C110" s="184">
        <v>15.0</v>
      </c>
      <c r="D110" s="184">
        <v>4.0</v>
      </c>
      <c r="E110" s="185">
        <v>0.267</v>
      </c>
      <c r="F110" s="183" t="s">
        <v>855</v>
      </c>
      <c r="G110" s="185">
        <v>0.0667</v>
      </c>
      <c r="H110" s="185">
        <v>0.2</v>
      </c>
      <c r="I110" s="185">
        <v>0.0</v>
      </c>
      <c r="J110" s="185">
        <v>0.0</v>
      </c>
      <c r="K110" s="185">
        <v>0.0</v>
      </c>
      <c r="L110" s="183" t="s">
        <v>17</v>
      </c>
      <c r="M110" s="185">
        <v>0.2</v>
      </c>
    </row>
    <row r="111">
      <c r="A111" s="178" t="s">
        <v>329</v>
      </c>
      <c r="B111" s="179">
        <v>33.0</v>
      </c>
      <c r="C111" s="179">
        <v>32.0</v>
      </c>
      <c r="D111" s="179">
        <v>7.0</v>
      </c>
      <c r="E111" s="180">
        <v>0.219</v>
      </c>
      <c r="F111" s="178" t="s">
        <v>855</v>
      </c>
      <c r="G111" s="180">
        <v>0.0625</v>
      </c>
      <c r="H111" s="180">
        <v>0.125</v>
      </c>
      <c r="I111" s="180">
        <v>0.0313</v>
      </c>
      <c r="J111" s="180">
        <v>0.0</v>
      </c>
      <c r="K111" s="180">
        <v>0.0</v>
      </c>
      <c r="L111" s="178" t="s">
        <v>17</v>
      </c>
      <c r="M111" s="180">
        <v>0.125</v>
      </c>
    </row>
    <row r="112">
      <c r="A112" s="183" t="s">
        <v>532</v>
      </c>
      <c r="B112" s="184">
        <v>28.0</v>
      </c>
      <c r="C112" s="184">
        <v>25.0</v>
      </c>
      <c r="D112" s="184">
        <v>5.0</v>
      </c>
      <c r="E112" s="185">
        <v>0.2</v>
      </c>
      <c r="F112" s="183" t="s">
        <v>855</v>
      </c>
      <c r="G112" s="185">
        <v>0.0385</v>
      </c>
      <c r="H112" s="185">
        <v>0.1538</v>
      </c>
      <c r="I112" s="185">
        <v>0.0</v>
      </c>
      <c r="J112" s="185">
        <v>0.0</v>
      </c>
      <c r="K112" s="185">
        <v>0.0</v>
      </c>
      <c r="L112" s="183" t="s">
        <v>17</v>
      </c>
      <c r="M112" s="185">
        <v>0.1538</v>
      </c>
    </row>
    <row r="113">
      <c r="A113" s="178" t="s">
        <v>475</v>
      </c>
      <c r="B113" s="179">
        <v>81.0</v>
      </c>
      <c r="C113" s="179">
        <v>53.0</v>
      </c>
      <c r="D113" s="179">
        <v>8.0</v>
      </c>
      <c r="E113" s="180">
        <v>0.151</v>
      </c>
      <c r="F113" s="178" t="s">
        <v>855</v>
      </c>
      <c r="G113" s="180">
        <v>0.0308</v>
      </c>
      <c r="H113" s="180">
        <v>0.1385</v>
      </c>
      <c r="I113" s="180">
        <v>0.0</v>
      </c>
      <c r="J113" s="180">
        <v>0.0615</v>
      </c>
      <c r="K113" s="180">
        <v>0.0462</v>
      </c>
      <c r="L113" s="178" t="s">
        <v>17</v>
      </c>
      <c r="M113" s="180">
        <v>0.1385</v>
      </c>
    </row>
    <row r="114">
      <c r="A114" s="183" t="s">
        <v>159</v>
      </c>
      <c r="B114" s="184">
        <v>95.0</v>
      </c>
      <c r="C114" s="184">
        <v>97.0</v>
      </c>
      <c r="D114" s="184">
        <v>8.0</v>
      </c>
      <c r="E114" s="185">
        <v>0.082</v>
      </c>
      <c r="F114" s="183" t="s">
        <v>855</v>
      </c>
      <c r="G114" s="185">
        <v>0.0192</v>
      </c>
      <c r="H114" s="185">
        <v>0.0673</v>
      </c>
      <c r="I114" s="185">
        <v>0.0</v>
      </c>
      <c r="J114" s="185">
        <v>0.0577</v>
      </c>
      <c r="K114" s="185">
        <v>0.0</v>
      </c>
      <c r="L114" s="183" t="s">
        <v>17</v>
      </c>
      <c r="M114" s="185">
        <v>0.0673</v>
      </c>
    </row>
    <row r="115">
      <c r="A115" s="178" t="s">
        <v>129</v>
      </c>
      <c r="B115" s="179">
        <v>9.0</v>
      </c>
      <c r="C115" s="179">
        <v>9.0</v>
      </c>
      <c r="D115" s="179">
        <v>6.0</v>
      </c>
      <c r="E115" s="180">
        <v>0.667</v>
      </c>
      <c r="F115" s="178" t="s">
        <v>855</v>
      </c>
      <c r="G115" s="180">
        <v>0.0</v>
      </c>
      <c r="H115" s="180">
        <v>0.0833</v>
      </c>
      <c r="I115" s="180">
        <v>0.0</v>
      </c>
      <c r="J115" s="180">
        <v>0.1667</v>
      </c>
      <c r="K115" s="180">
        <v>0.4167</v>
      </c>
      <c r="L115" s="178" t="s">
        <v>323</v>
      </c>
      <c r="M115" s="180">
        <v>0.4167</v>
      </c>
    </row>
    <row r="116">
      <c r="A116" s="247" t="s">
        <v>426</v>
      </c>
      <c r="B116" s="248">
        <v>16.0</v>
      </c>
      <c r="C116" s="248">
        <v>8.0</v>
      </c>
      <c r="D116" s="248">
        <v>5.0</v>
      </c>
      <c r="E116" s="249">
        <v>0.625</v>
      </c>
      <c r="F116" s="247" t="s">
        <v>855</v>
      </c>
      <c r="G116" s="249">
        <v>0.1538</v>
      </c>
      <c r="H116" s="249">
        <v>0.1538</v>
      </c>
      <c r="I116" s="249">
        <v>0.1538</v>
      </c>
      <c r="J116" s="249">
        <v>0.1538</v>
      </c>
      <c r="K116" s="249">
        <v>0.0</v>
      </c>
      <c r="L116" s="247" t="s">
        <v>323</v>
      </c>
      <c r="M116" s="249">
        <v>0.1538</v>
      </c>
    </row>
    <row r="117">
      <c r="A117" s="183" t="s">
        <v>562</v>
      </c>
      <c r="B117" s="184">
        <v>6.0</v>
      </c>
      <c r="C117" s="184">
        <v>3.0</v>
      </c>
      <c r="D117" s="184">
        <v>3.0</v>
      </c>
      <c r="E117" s="185">
        <v>1.0</v>
      </c>
      <c r="F117" s="183" t="s">
        <v>855</v>
      </c>
      <c r="G117" s="185">
        <v>0.0</v>
      </c>
      <c r="H117" s="185">
        <v>0.6</v>
      </c>
      <c r="I117" s="185">
        <v>0.0</v>
      </c>
      <c r="J117" s="185">
        <v>0.2</v>
      </c>
      <c r="K117" s="185">
        <v>0.2</v>
      </c>
      <c r="L117" s="183" t="s">
        <v>17</v>
      </c>
      <c r="M117" s="185">
        <v>0.6</v>
      </c>
    </row>
    <row r="118">
      <c r="A118" s="183" t="s">
        <v>500</v>
      </c>
      <c r="B118" s="184">
        <v>10.0</v>
      </c>
      <c r="C118" s="184">
        <v>9.0</v>
      </c>
      <c r="D118" s="184">
        <v>7.0</v>
      </c>
      <c r="E118" s="185">
        <v>0.778</v>
      </c>
      <c r="F118" s="183" t="s">
        <v>855</v>
      </c>
      <c r="G118" s="185">
        <v>0.0</v>
      </c>
      <c r="H118" s="185">
        <v>0.7</v>
      </c>
      <c r="I118" s="185">
        <v>0.0</v>
      </c>
      <c r="J118" s="185">
        <v>0.0</v>
      </c>
      <c r="K118" s="185">
        <v>0.0</v>
      </c>
      <c r="L118" s="183" t="s">
        <v>17</v>
      </c>
      <c r="M118" s="185">
        <v>0.7</v>
      </c>
    </row>
    <row r="119">
      <c r="A119" s="178" t="s">
        <v>559</v>
      </c>
      <c r="B119" s="179">
        <v>13.0</v>
      </c>
      <c r="C119" s="179">
        <v>10.0</v>
      </c>
      <c r="D119" s="179">
        <v>6.0</v>
      </c>
      <c r="E119" s="180">
        <v>0.6</v>
      </c>
      <c r="F119" s="178" t="s">
        <v>855</v>
      </c>
      <c r="G119" s="180">
        <v>0.0833</v>
      </c>
      <c r="H119" s="180">
        <v>0.4167</v>
      </c>
      <c r="I119" s="180">
        <v>0.0</v>
      </c>
      <c r="J119" s="180">
        <v>0.0833</v>
      </c>
      <c r="K119" s="180">
        <v>0.0</v>
      </c>
      <c r="L119" s="178" t="s">
        <v>17</v>
      </c>
      <c r="M119" s="180">
        <v>0.4167</v>
      </c>
    </row>
    <row r="120">
      <c r="A120" s="183" t="s">
        <v>564</v>
      </c>
      <c r="B120" s="184">
        <v>9.0</v>
      </c>
      <c r="C120" s="184">
        <v>8.0</v>
      </c>
      <c r="D120" s="184">
        <v>3.0</v>
      </c>
      <c r="E120" s="185">
        <v>0.375</v>
      </c>
      <c r="F120" s="183" t="s">
        <v>855</v>
      </c>
      <c r="G120" s="185">
        <v>0.0</v>
      </c>
      <c r="H120" s="185">
        <v>0.3333</v>
      </c>
      <c r="I120" s="185">
        <v>0.0</v>
      </c>
      <c r="J120" s="185">
        <v>0.0</v>
      </c>
      <c r="K120" s="185">
        <v>0.0</v>
      </c>
      <c r="L120" s="183" t="s">
        <v>17</v>
      </c>
      <c r="M120" s="185">
        <v>0.3333</v>
      </c>
    </row>
    <row r="121">
      <c r="A121" s="178" t="s">
        <v>280</v>
      </c>
      <c r="B121" s="179">
        <v>31.0</v>
      </c>
      <c r="C121" s="179">
        <v>24.0</v>
      </c>
      <c r="D121" s="179">
        <v>8.0</v>
      </c>
      <c r="E121" s="180">
        <v>0.333</v>
      </c>
      <c r="F121" s="178" t="s">
        <v>855</v>
      </c>
      <c r="G121" s="180">
        <v>0.0714</v>
      </c>
      <c r="H121" s="180">
        <v>0.2143</v>
      </c>
      <c r="I121" s="180">
        <v>0.0</v>
      </c>
      <c r="J121" s="180">
        <v>0.0</v>
      </c>
      <c r="K121" s="180">
        <v>0.0</v>
      </c>
      <c r="L121" s="178" t="s">
        <v>17</v>
      </c>
      <c r="M121" s="180">
        <v>0.2143</v>
      </c>
    </row>
    <row r="122">
      <c r="A122" s="183" t="s">
        <v>553</v>
      </c>
      <c r="B122" s="184">
        <v>9.0</v>
      </c>
      <c r="C122" s="184">
        <v>10.0</v>
      </c>
      <c r="D122" s="184">
        <v>3.0</v>
      </c>
      <c r="E122" s="185">
        <v>0.3</v>
      </c>
      <c r="F122" s="183" t="s">
        <v>855</v>
      </c>
      <c r="G122" s="185">
        <v>0.2</v>
      </c>
      <c r="H122" s="185">
        <v>0.0</v>
      </c>
      <c r="I122" s="185">
        <v>0.1</v>
      </c>
      <c r="J122" s="185">
        <v>0.2</v>
      </c>
      <c r="K122" s="185">
        <v>0.0</v>
      </c>
      <c r="L122" s="183" t="s">
        <v>32</v>
      </c>
      <c r="M122" s="185">
        <v>0.2</v>
      </c>
    </row>
    <row r="123">
      <c r="A123" s="178" t="s">
        <v>544</v>
      </c>
      <c r="B123" s="179">
        <v>29.0</v>
      </c>
      <c r="C123" s="179">
        <v>24.0</v>
      </c>
      <c r="D123" s="179">
        <v>7.0</v>
      </c>
      <c r="E123" s="180">
        <v>0.292</v>
      </c>
      <c r="F123" s="178" t="s">
        <v>855</v>
      </c>
      <c r="G123" s="180">
        <v>0.3103</v>
      </c>
      <c r="H123" s="180">
        <v>0.0345</v>
      </c>
      <c r="I123" s="180">
        <v>0.0</v>
      </c>
      <c r="J123" s="180">
        <v>0.1379</v>
      </c>
      <c r="K123" s="180">
        <v>0.0</v>
      </c>
      <c r="L123" s="178" t="s">
        <v>32</v>
      </c>
      <c r="M123" s="180">
        <v>0.3103</v>
      </c>
    </row>
    <row r="124">
      <c r="A124" s="178" t="s">
        <v>478</v>
      </c>
      <c r="B124" s="179">
        <v>16.0</v>
      </c>
      <c r="C124" s="179">
        <v>11.0</v>
      </c>
      <c r="D124" s="179">
        <v>3.0</v>
      </c>
      <c r="E124" s="180">
        <v>0.273</v>
      </c>
      <c r="F124" s="178" t="s">
        <v>855</v>
      </c>
      <c r="G124" s="180">
        <v>0.1667</v>
      </c>
      <c r="H124" s="180">
        <v>0.0833</v>
      </c>
      <c r="I124" s="180">
        <v>0.0</v>
      </c>
      <c r="J124" s="180">
        <v>0.0</v>
      </c>
      <c r="K124" s="180">
        <v>0.0</v>
      </c>
      <c r="L124" s="178" t="s">
        <v>32</v>
      </c>
      <c r="M124" s="180">
        <v>0.1667</v>
      </c>
    </row>
    <row r="125">
      <c r="A125" s="178" t="s">
        <v>555</v>
      </c>
      <c r="B125" s="179">
        <v>12.0</v>
      </c>
      <c r="C125" s="179">
        <v>11.0</v>
      </c>
      <c r="D125" s="179">
        <v>3.0</v>
      </c>
      <c r="E125" s="180">
        <v>0.273</v>
      </c>
      <c r="F125" s="178" t="s">
        <v>855</v>
      </c>
      <c r="G125" s="180">
        <v>0.3077</v>
      </c>
      <c r="H125" s="180">
        <v>0.0</v>
      </c>
      <c r="I125" s="180">
        <v>0.0769</v>
      </c>
      <c r="J125" s="180">
        <v>0.0769</v>
      </c>
      <c r="K125" s="180">
        <v>0.0</v>
      </c>
      <c r="L125" s="178" t="s">
        <v>32</v>
      </c>
      <c r="M125" s="180">
        <v>0.3077</v>
      </c>
    </row>
    <row r="126">
      <c r="A126" s="178" t="s">
        <v>561</v>
      </c>
      <c r="B126" s="179">
        <v>11.0</v>
      </c>
      <c r="C126" s="179">
        <v>11.0</v>
      </c>
      <c r="D126" s="179">
        <v>3.0</v>
      </c>
      <c r="E126" s="180">
        <v>0.273</v>
      </c>
      <c r="F126" s="178" t="s">
        <v>855</v>
      </c>
      <c r="G126" s="180">
        <v>0.0</v>
      </c>
      <c r="H126" s="180">
        <v>0.25</v>
      </c>
      <c r="I126" s="180">
        <v>0.0</v>
      </c>
      <c r="J126" s="180">
        <v>0.0</v>
      </c>
      <c r="K126" s="180">
        <v>0.0</v>
      </c>
      <c r="L126" s="178" t="s">
        <v>17</v>
      </c>
      <c r="M126" s="180">
        <v>0.25</v>
      </c>
    </row>
    <row r="127">
      <c r="A127" s="250" t="s">
        <v>484</v>
      </c>
      <c r="B127" s="251">
        <v>50.0</v>
      </c>
      <c r="C127" s="251">
        <v>33.0</v>
      </c>
      <c r="D127" s="251">
        <v>7.0</v>
      </c>
      <c r="E127" s="252">
        <v>0.212</v>
      </c>
      <c r="F127" s="250" t="s">
        <v>855</v>
      </c>
      <c r="G127" s="252">
        <v>0.1463</v>
      </c>
      <c r="H127" s="252">
        <v>0.0244</v>
      </c>
      <c r="I127" s="252">
        <v>0.0488</v>
      </c>
      <c r="J127" s="252">
        <v>0.0976</v>
      </c>
      <c r="K127" s="252">
        <v>0.0</v>
      </c>
      <c r="L127" s="250" t="s">
        <v>32</v>
      </c>
      <c r="M127" s="252">
        <v>0.1463</v>
      </c>
    </row>
    <row r="128">
      <c r="A128" s="178" t="s">
        <v>548</v>
      </c>
      <c r="B128" s="179">
        <v>29.0</v>
      </c>
      <c r="C128" s="179">
        <v>29.0</v>
      </c>
      <c r="D128" s="179">
        <v>6.0</v>
      </c>
      <c r="E128" s="180">
        <v>0.207</v>
      </c>
      <c r="F128" s="178" t="s">
        <v>855</v>
      </c>
      <c r="G128" s="180">
        <v>0.0968</v>
      </c>
      <c r="H128" s="180">
        <v>0.0645</v>
      </c>
      <c r="I128" s="180">
        <v>0.0</v>
      </c>
      <c r="J128" s="180">
        <v>0.0645</v>
      </c>
      <c r="K128" s="180">
        <v>0.0323</v>
      </c>
      <c r="L128" s="178" t="s">
        <v>32</v>
      </c>
      <c r="M128" s="180">
        <v>0.0968</v>
      </c>
    </row>
    <row r="129">
      <c r="A129" s="183" t="s">
        <v>549</v>
      </c>
      <c r="B129" s="184">
        <v>26.0</v>
      </c>
      <c r="C129" s="184">
        <v>28.0</v>
      </c>
      <c r="D129" s="184">
        <v>5.0</v>
      </c>
      <c r="E129" s="185">
        <v>0.179</v>
      </c>
      <c r="F129" s="183" t="s">
        <v>855</v>
      </c>
      <c r="G129" s="185">
        <v>0.1</v>
      </c>
      <c r="H129" s="185">
        <v>0.0</v>
      </c>
      <c r="I129" s="185">
        <v>0.1</v>
      </c>
      <c r="J129" s="185">
        <v>0.0333</v>
      </c>
      <c r="K129" s="185">
        <v>0.0</v>
      </c>
      <c r="L129" s="183" t="s">
        <v>32</v>
      </c>
      <c r="M129" s="185">
        <v>0.1</v>
      </c>
    </row>
    <row r="130">
      <c r="A130" s="183" t="s">
        <v>558</v>
      </c>
      <c r="B130" s="184">
        <v>49.0</v>
      </c>
      <c r="C130" s="184">
        <v>47.0</v>
      </c>
      <c r="D130" s="184">
        <v>8.0</v>
      </c>
      <c r="E130" s="185">
        <v>0.17</v>
      </c>
      <c r="F130" s="183" t="s">
        <v>855</v>
      </c>
      <c r="G130" s="185">
        <v>0.0</v>
      </c>
      <c r="H130" s="185">
        <v>0.1176</v>
      </c>
      <c r="I130" s="185">
        <v>0.0196</v>
      </c>
      <c r="J130" s="185">
        <v>0.0</v>
      </c>
      <c r="K130" s="185">
        <v>0.0196</v>
      </c>
      <c r="L130" s="183" t="s">
        <v>17</v>
      </c>
      <c r="M130" s="185">
        <v>0.1176</v>
      </c>
    </row>
    <row r="131">
      <c r="A131" s="178" t="s">
        <v>556</v>
      </c>
      <c r="B131" s="179">
        <v>21.0</v>
      </c>
      <c r="C131" s="179">
        <v>19.0</v>
      </c>
      <c r="D131" s="179">
        <v>3.0</v>
      </c>
      <c r="E131" s="180">
        <v>0.158</v>
      </c>
      <c r="F131" s="178" t="s">
        <v>855</v>
      </c>
      <c r="G131" s="180">
        <v>0.1579</v>
      </c>
      <c r="H131" s="180">
        <v>0.0</v>
      </c>
      <c r="I131" s="180">
        <v>0.0</v>
      </c>
      <c r="J131" s="180">
        <v>0.0526</v>
      </c>
      <c r="K131" s="180">
        <v>0.0</v>
      </c>
      <c r="L131" s="178" t="s">
        <v>32</v>
      </c>
      <c r="M131" s="180">
        <v>0.1579</v>
      </c>
    </row>
    <row r="132">
      <c r="A132" s="178" t="s">
        <v>552</v>
      </c>
      <c r="B132" s="179">
        <v>29.0</v>
      </c>
      <c r="C132" s="179">
        <v>27.0</v>
      </c>
      <c r="D132" s="179">
        <v>4.0</v>
      </c>
      <c r="E132" s="180">
        <v>0.148</v>
      </c>
      <c r="F132" s="178" t="s">
        <v>855</v>
      </c>
      <c r="G132" s="180">
        <v>0.1034</v>
      </c>
      <c r="H132" s="180">
        <v>0.0345</v>
      </c>
      <c r="I132" s="180">
        <v>0.0345</v>
      </c>
      <c r="J132" s="180">
        <v>0.0</v>
      </c>
      <c r="K132" s="180">
        <v>0.0345</v>
      </c>
      <c r="L132" s="178" t="s">
        <v>32</v>
      </c>
      <c r="M132" s="180">
        <v>0.1034</v>
      </c>
    </row>
    <row r="133">
      <c r="A133" s="183" t="s">
        <v>167</v>
      </c>
      <c r="B133" s="184">
        <v>44.0</v>
      </c>
      <c r="C133" s="184">
        <v>41.0</v>
      </c>
      <c r="D133" s="184">
        <v>6.0</v>
      </c>
      <c r="E133" s="185">
        <v>0.146</v>
      </c>
      <c r="F133" s="183" t="s">
        <v>855</v>
      </c>
      <c r="G133" s="185">
        <v>0.0889</v>
      </c>
      <c r="H133" s="185">
        <v>0.0222</v>
      </c>
      <c r="I133" s="185">
        <v>0.0444</v>
      </c>
      <c r="J133" s="185">
        <v>0.0444</v>
      </c>
      <c r="K133" s="185">
        <v>0.0</v>
      </c>
      <c r="L133" s="183" t="s">
        <v>32</v>
      </c>
      <c r="M133" s="185">
        <v>0.0889</v>
      </c>
    </row>
    <row r="134">
      <c r="A134" s="178" t="s">
        <v>389</v>
      </c>
      <c r="B134" s="179">
        <v>22.0</v>
      </c>
      <c r="C134" s="179">
        <v>21.0</v>
      </c>
      <c r="D134" s="179">
        <v>3.0</v>
      </c>
      <c r="E134" s="180">
        <v>0.143</v>
      </c>
      <c r="F134" s="178" t="s">
        <v>855</v>
      </c>
      <c r="G134" s="180">
        <v>0.0</v>
      </c>
      <c r="H134" s="180">
        <v>0.0909</v>
      </c>
      <c r="I134" s="180">
        <v>0.0455</v>
      </c>
      <c r="J134" s="180">
        <v>0.0455</v>
      </c>
      <c r="K134" s="180">
        <v>0.0</v>
      </c>
      <c r="L134" s="178" t="s">
        <v>17</v>
      </c>
      <c r="M134" s="180">
        <v>0.0909</v>
      </c>
    </row>
    <row r="135">
      <c r="A135" s="183" t="s">
        <v>546</v>
      </c>
      <c r="B135" s="184">
        <v>45.0</v>
      </c>
      <c r="C135" s="184">
        <v>45.0</v>
      </c>
      <c r="D135" s="184">
        <v>6.0</v>
      </c>
      <c r="E135" s="185">
        <v>0.133</v>
      </c>
      <c r="F135" s="183" t="s">
        <v>855</v>
      </c>
      <c r="G135" s="185">
        <v>0.087</v>
      </c>
      <c r="H135" s="185">
        <v>0.0</v>
      </c>
      <c r="I135" s="185">
        <v>0.0435</v>
      </c>
      <c r="J135" s="185">
        <v>0.0435</v>
      </c>
      <c r="K135" s="185">
        <v>0.0</v>
      </c>
      <c r="L135" s="183" t="s">
        <v>32</v>
      </c>
      <c r="M135" s="185">
        <v>0.087</v>
      </c>
    </row>
    <row r="136">
      <c r="A136" s="183" t="s">
        <v>545</v>
      </c>
      <c r="B136" s="184">
        <v>64.0</v>
      </c>
      <c r="C136" s="184">
        <v>61.0</v>
      </c>
      <c r="D136" s="184">
        <v>7.0</v>
      </c>
      <c r="E136" s="185">
        <v>0.115</v>
      </c>
      <c r="F136" s="183" t="s">
        <v>855</v>
      </c>
      <c r="G136" s="185">
        <v>0.0968</v>
      </c>
      <c r="H136" s="185">
        <v>0.0</v>
      </c>
      <c r="I136" s="185">
        <v>0.0161</v>
      </c>
      <c r="J136" s="185">
        <v>0.0806</v>
      </c>
      <c r="K136" s="185">
        <v>0.0</v>
      </c>
      <c r="L136" s="183" t="s">
        <v>32</v>
      </c>
      <c r="M136" s="185">
        <v>0.0968</v>
      </c>
    </row>
    <row r="137">
      <c r="A137" s="183" t="s">
        <v>455</v>
      </c>
      <c r="B137" s="184">
        <v>35.0</v>
      </c>
      <c r="C137" s="184">
        <v>29.0</v>
      </c>
      <c r="D137" s="184">
        <v>3.0</v>
      </c>
      <c r="E137" s="185">
        <v>0.103</v>
      </c>
      <c r="F137" s="183" t="s">
        <v>855</v>
      </c>
      <c r="G137" s="185">
        <v>0.0588</v>
      </c>
      <c r="H137" s="185">
        <v>0.0</v>
      </c>
      <c r="I137" s="185">
        <v>0.0294</v>
      </c>
      <c r="J137" s="185">
        <v>0.0294</v>
      </c>
      <c r="K137" s="185">
        <v>0.0294</v>
      </c>
      <c r="L137" s="183" t="s">
        <v>32</v>
      </c>
      <c r="M137" s="185">
        <v>0.0588</v>
      </c>
    </row>
    <row r="138">
      <c r="A138" s="178" t="s">
        <v>547</v>
      </c>
      <c r="B138" s="179">
        <v>61.0</v>
      </c>
      <c r="C138" s="179">
        <v>63.0</v>
      </c>
      <c r="D138" s="179">
        <v>6.0</v>
      </c>
      <c r="E138" s="180">
        <v>0.095</v>
      </c>
      <c r="F138" s="178" t="s">
        <v>855</v>
      </c>
      <c r="G138" s="180">
        <v>0.0769</v>
      </c>
      <c r="H138" s="180">
        <v>0.0</v>
      </c>
      <c r="I138" s="180">
        <v>0.0154</v>
      </c>
      <c r="J138" s="180">
        <v>0.0154</v>
      </c>
      <c r="K138" s="180">
        <v>0.0154</v>
      </c>
      <c r="L138" s="178" t="s">
        <v>32</v>
      </c>
      <c r="M138" s="180">
        <v>0.0769</v>
      </c>
    </row>
    <row r="139">
      <c r="A139" s="183" t="s">
        <v>554</v>
      </c>
      <c r="B139" s="184">
        <v>36.0</v>
      </c>
      <c r="C139" s="184">
        <v>36.0</v>
      </c>
      <c r="D139" s="184">
        <v>3.0</v>
      </c>
      <c r="E139" s="185">
        <v>0.083</v>
      </c>
      <c r="F139" s="183" t="s">
        <v>855</v>
      </c>
      <c r="G139" s="185">
        <v>0.0789</v>
      </c>
      <c r="H139" s="185">
        <v>0.0</v>
      </c>
      <c r="I139" s="185">
        <v>0.0</v>
      </c>
      <c r="J139" s="185">
        <v>0.0263</v>
      </c>
      <c r="K139" s="185">
        <v>0.0</v>
      </c>
      <c r="L139" s="183" t="s">
        <v>32</v>
      </c>
      <c r="M139" s="185">
        <v>0.0789</v>
      </c>
    </row>
    <row r="140">
      <c r="A140" s="178" t="s">
        <v>557</v>
      </c>
      <c r="B140" s="179">
        <v>88.0</v>
      </c>
      <c r="C140" s="179">
        <v>84.0</v>
      </c>
      <c r="D140" s="179">
        <v>5.0</v>
      </c>
      <c r="E140" s="180">
        <v>0.06</v>
      </c>
      <c r="F140" s="178" t="s">
        <v>855</v>
      </c>
      <c r="G140" s="180">
        <v>0.0357</v>
      </c>
      <c r="H140" s="180">
        <v>0.0</v>
      </c>
      <c r="I140" s="180">
        <v>0.0357</v>
      </c>
      <c r="J140" s="180">
        <v>0.0238</v>
      </c>
      <c r="K140" s="180">
        <v>0.0</v>
      </c>
      <c r="L140" s="178" t="s">
        <v>307</v>
      </c>
      <c r="M140" s="180">
        <v>0.0357</v>
      </c>
    </row>
    <row r="141">
      <c r="A141" s="183" t="s">
        <v>375</v>
      </c>
      <c r="B141" s="184">
        <v>52.0</v>
      </c>
      <c r="C141" s="184">
        <v>50.0</v>
      </c>
      <c r="D141" s="184">
        <v>3.0</v>
      </c>
      <c r="E141" s="185">
        <v>0.06</v>
      </c>
      <c r="F141" s="183" t="s">
        <v>855</v>
      </c>
      <c r="G141" s="185">
        <v>0.0566</v>
      </c>
      <c r="H141" s="185">
        <v>0.0</v>
      </c>
      <c r="I141" s="185">
        <v>0.0</v>
      </c>
      <c r="J141" s="185">
        <v>0.0566</v>
      </c>
      <c r="K141" s="185">
        <v>0.0</v>
      </c>
      <c r="L141" s="183" t="s">
        <v>32</v>
      </c>
      <c r="M141" s="185">
        <v>0.0566</v>
      </c>
    </row>
    <row r="142">
      <c r="A142" s="183" t="s">
        <v>560</v>
      </c>
      <c r="B142" s="184">
        <v>88.0</v>
      </c>
      <c r="C142" s="184">
        <v>91.0</v>
      </c>
      <c r="D142" s="184">
        <v>5.0</v>
      </c>
      <c r="E142" s="185">
        <v>0.055</v>
      </c>
      <c r="F142" s="183" t="s">
        <v>855</v>
      </c>
      <c r="G142" s="185">
        <v>0.0106</v>
      </c>
      <c r="H142" s="185">
        <v>0.0532</v>
      </c>
      <c r="I142" s="185">
        <v>0.0</v>
      </c>
      <c r="J142" s="185">
        <v>0.0426</v>
      </c>
      <c r="K142" s="185">
        <v>0.0</v>
      </c>
      <c r="L142" s="183" t="s">
        <v>17</v>
      </c>
      <c r="M142" s="185">
        <v>0.0532</v>
      </c>
    </row>
    <row r="143">
      <c r="A143" s="178" t="s">
        <v>550</v>
      </c>
      <c r="B143" s="179">
        <v>78.0</v>
      </c>
      <c r="C143" s="179">
        <v>73.0</v>
      </c>
      <c r="D143" s="179">
        <v>4.0</v>
      </c>
      <c r="E143" s="180">
        <v>0.055</v>
      </c>
      <c r="F143" s="178" t="s">
        <v>855</v>
      </c>
      <c r="G143" s="180">
        <v>0.027</v>
      </c>
      <c r="H143" s="180">
        <v>0.0135</v>
      </c>
      <c r="I143" s="180">
        <v>0.0135</v>
      </c>
      <c r="J143" s="180">
        <v>0.0</v>
      </c>
      <c r="K143" s="180">
        <v>0.0</v>
      </c>
      <c r="L143" s="178" t="s">
        <v>32</v>
      </c>
      <c r="M143" s="180">
        <v>0.027</v>
      </c>
    </row>
    <row r="144">
      <c r="A144" s="183" t="s">
        <v>551</v>
      </c>
      <c r="B144" s="184">
        <v>73.0</v>
      </c>
      <c r="C144" s="184">
        <v>75.0</v>
      </c>
      <c r="D144" s="184">
        <v>4.0</v>
      </c>
      <c r="E144" s="185">
        <v>0.053</v>
      </c>
      <c r="F144" s="183" t="s">
        <v>855</v>
      </c>
      <c r="G144" s="185">
        <v>0.0263</v>
      </c>
      <c r="H144" s="185">
        <v>0.0</v>
      </c>
      <c r="I144" s="185">
        <v>0.0263</v>
      </c>
      <c r="J144" s="185">
        <v>0.0263</v>
      </c>
      <c r="K144" s="185">
        <v>0.0</v>
      </c>
      <c r="L144" s="183" t="s">
        <v>32</v>
      </c>
      <c r="M144" s="185">
        <v>0.0263</v>
      </c>
    </row>
    <row r="145">
      <c r="A145" s="253" t="s">
        <v>503</v>
      </c>
      <c r="B145" s="254">
        <v>17.0</v>
      </c>
      <c r="C145" s="254">
        <v>14.0</v>
      </c>
      <c r="D145" s="254">
        <v>5.0</v>
      </c>
      <c r="E145" s="255">
        <v>0.357</v>
      </c>
      <c r="F145" s="253" t="s">
        <v>855</v>
      </c>
      <c r="G145" s="255">
        <v>0.1667</v>
      </c>
      <c r="H145" s="255">
        <v>0.0</v>
      </c>
      <c r="I145" s="255">
        <v>0.0</v>
      </c>
      <c r="J145" s="255">
        <v>0.0556</v>
      </c>
      <c r="K145" s="255">
        <v>0.1111</v>
      </c>
      <c r="L145" s="253" t="s">
        <v>32</v>
      </c>
      <c r="M145" s="255">
        <v>0.1667</v>
      </c>
    </row>
    <row r="146">
      <c r="A146" s="256" t="s">
        <v>111</v>
      </c>
      <c r="B146" s="257">
        <v>11.0</v>
      </c>
      <c r="C146" s="257">
        <v>12.0</v>
      </c>
      <c r="D146" s="257">
        <v>3.0</v>
      </c>
      <c r="E146" s="258">
        <v>0.25</v>
      </c>
      <c r="F146" s="256" t="s">
        <v>855</v>
      </c>
      <c r="G146" s="258">
        <v>0.2308</v>
      </c>
      <c r="H146" s="258">
        <v>0.0</v>
      </c>
      <c r="I146" s="258">
        <v>0.0</v>
      </c>
      <c r="J146" s="258">
        <v>0.0769</v>
      </c>
      <c r="K146" s="258">
        <v>0.0</v>
      </c>
      <c r="L146" s="256" t="s">
        <v>32</v>
      </c>
      <c r="M146" s="258">
        <v>0.2308</v>
      </c>
    </row>
    <row r="147">
      <c r="A147" s="253" t="s">
        <v>573</v>
      </c>
      <c r="B147" s="254">
        <v>19.0</v>
      </c>
      <c r="C147" s="254">
        <v>19.0</v>
      </c>
      <c r="D147" s="254">
        <v>3.0</v>
      </c>
      <c r="E147" s="255">
        <v>0.158</v>
      </c>
      <c r="F147" s="253" t="s">
        <v>855</v>
      </c>
      <c r="G147" s="255">
        <v>0.12</v>
      </c>
      <c r="H147" s="255">
        <v>0.0</v>
      </c>
      <c r="I147" s="255">
        <v>0.0</v>
      </c>
      <c r="J147" s="255">
        <v>0.0</v>
      </c>
      <c r="K147" s="255">
        <v>0.0</v>
      </c>
      <c r="L147" s="253" t="s">
        <v>32</v>
      </c>
      <c r="M147" s="255">
        <v>0.12</v>
      </c>
    </row>
    <row r="148">
      <c r="A148" s="256" t="s">
        <v>574</v>
      </c>
      <c r="B148" s="257">
        <v>38.0</v>
      </c>
      <c r="C148" s="257">
        <v>33.0</v>
      </c>
      <c r="D148" s="257">
        <v>3.0</v>
      </c>
      <c r="E148" s="258">
        <v>0.091</v>
      </c>
      <c r="F148" s="256" t="s">
        <v>855</v>
      </c>
      <c r="G148" s="258">
        <v>0.0588</v>
      </c>
      <c r="H148" s="258">
        <v>0.0294</v>
      </c>
      <c r="I148" s="258">
        <v>0.0</v>
      </c>
      <c r="J148" s="258">
        <v>0.0294</v>
      </c>
      <c r="K148" s="258">
        <v>0.0</v>
      </c>
      <c r="L148" s="256" t="s">
        <v>32</v>
      </c>
      <c r="M148" s="258">
        <v>0.0588</v>
      </c>
    </row>
    <row r="149">
      <c r="A149" s="253" t="s">
        <v>575</v>
      </c>
      <c r="B149" s="254">
        <v>150.0</v>
      </c>
      <c r="C149" s="254">
        <v>145.0</v>
      </c>
      <c r="D149" s="254">
        <v>15.0</v>
      </c>
      <c r="E149" s="255">
        <v>0.103</v>
      </c>
      <c r="F149" s="253" t="s">
        <v>855</v>
      </c>
      <c r="G149" s="255">
        <v>0.0476</v>
      </c>
      <c r="H149" s="255">
        <v>0.0204</v>
      </c>
      <c r="I149" s="255">
        <v>0.034</v>
      </c>
      <c r="J149" s="255">
        <v>0.0544</v>
      </c>
      <c r="K149" s="255">
        <v>0.0</v>
      </c>
      <c r="L149" s="253" t="s">
        <v>382</v>
      </c>
      <c r="M149" s="255">
        <v>0.0544</v>
      </c>
    </row>
    <row r="150">
      <c r="A150" s="256" t="s">
        <v>486</v>
      </c>
      <c r="B150" s="257">
        <v>101.0</v>
      </c>
      <c r="C150" s="257">
        <v>97.0</v>
      </c>
      <c r="D150" s="257">
        <v>10.0</v>
      </c>
      <c r="E150" s="258">
        <v>0.103</v>
      </c>
      <c r="F150" s="256" t="s">
        <v>855</v>
      </c>
      <c r="G150" s="258">
        <v>0.0588</v>
      </c>
      <c r="H150" s="258">
        <v>0.0098</v>
      </c>
      <c r="I150" s="258">
        <v>0.0294</v>
      </c>
      <c r="J150" s="258">
        <v>0.0882</v>
      </c>
      <c r="K150" s="258">
        <v>0.0098</v>
      </c>
      <c r="L150" s="256" t="s">
        <v>382</v>
      </c>
      <c r="M150" s="258">
        <v>0.0882</v>
      </c>
    </row>
    <row r="151">
      <c r="A151" s="253" t="s">
        <v>576</v>
      </c>
      <c r="B151" s="254">
        <v>26.0</v>
      </c>
      <c r="C151" s="254">
        <v>26.0</v>
      </c>
      <c r="D151" s="254">
        <v>3.0</v>
      </c>
      <c r="E151" s="255">
        <v>0.115</v>
      </c>
      <c r="F151" s="253" t="s">
        <v>855</v>
      </c>
      <c r="G151" s="255">
        <v>0.0741</v>
      </c>
      <c r="H151" s="255">
        <v>0.0</v>
      </c>
      <c r="I151" s="255">
        <v>0.037</v>
      </c>
      <c r="J151" s="255">
        <v>0.1481</v>
      </c>
      <c r="K151" s="255">
        <v>0.0</v>
      </c>
      <c r="L151" s="253" t="s">
        <v>382</v>
      </c>
      <c r="M151" s="255">
        <v>0.1481</v>
      </c>
    </row>
    <row r="152">
      <c r="A152" s="256" t="s">
        <v>441</v>
      </c>
      <c r="B152" s="257">
        <v>64.0</v>
      </c>
      <c r="C152" s="257">
        <v>51.0</v>
      </c>
      <c r="D152" s="257">
        <v>29.0</v>
      </c>
      <c r="E152" s="258">
        <v>0.569</v>
      </c>
      <c r="F152" s="256" t="s">
        <v>855</v>
      </c>
      <c r="G152" s="258">
        <v>0.0133</v>
      </c>
      <c r="H152" s="258">
        <v>0.3467</v>
      </c>
      <c r="I152" s="258">
        <v>0.0</v>
      </c>
      <c r="J152" s="258">
        <v>0.0533</v>
      </c>
      <c r="K152" s="258">
        <v>0.04</v>
      </c>
      <c r="L152" s="256" t="s">
        <v>17</v>
      </c>
      <c r="M152" s="258">
        <v>0.3467</v>
      </c>
    </row>
    <row r="153">
      <c r="A153" s="253" t="s">
        <v>577</v>
      </c>
      <c r="B153" s="254">
        <v>31.0</v>
      </c>
      <c r="C153" s="254">
        <v>27.0</v>
      </c>
      <c r="D153" s="254">
        <v>9.0</v>
      </c>
      <c r="E153" s="255">
        <v>0.333</v>
      </c>
      <c r="F153" s="253" t="s">
        <v>855</v>
      </c>
      <c r="G153" s="255">
        <v>0.0323</v>
      </c>
      <c r="H153" s="255">
        <v>0.2581</v>
      </c>
      <c r="I153" s="255">
        <v>0.0</v>
      </c>
      <c r="J153" s="255">
        <v>0.0323</v>
      </c>
      <c r="K153" s="255">
        <v>0.0323</v>
      </c>
      <c r="L153" s="253" t="s">
        <v>17</v>
      </c>
      <c r="M153" s="255">
        <v>0.2581</v>
      </c>
    </row>
    <row r="154">
      <c r="A154" s="256" t="s">
        <v>578</v>
      </c>
      <c r="B154" s="257">
        <v>45.0</v>
      </c>
      <c r="C154" s="257">
        <v>41.0</v>
      </c>
      <c r="D154" s="257">
        <v>7.0</v>
      </c>
      <c r="E154" s="258">
        <v>0.171</v>
      </c>
      <c r="F154" s="256" t="s">
        <v>855</v>
      </c>
      <c r="G154" s="258">
        <v>0.0</v>
      </c>
      <c r="H154" s="258">
        <v>0.1273</v>
      </c>
      <c r="I154" s="258">
        <v>0.0</v>
      </c>
      <c r="J154" s="258">
        <v>0.0364</v>
      </c>
      <c r="K154" s="258">
        <v>0.0</v>
      </c>
      <c r="L154" s="256" t="s">
        <v>17</v>
      </c>
      <c r="M154" s="258">
        <v>0.1273</v>
      </c>
    </row>
    <row r="155">
      <c r="A155" s="253" t="s">
        <v>426</v>
      </c>
      <c r="B155" s="254">
        <v>11.0</v>
      </c>
      <c r="C155" s="254">
        <v>9.0</v>
      </c>
      <c r="D155" s="254">
        <v>5.0</v>
      </c>
      <c r="E155" s="255">
        <v>0.556</v>
      </c>
      <c r="F155" s="253" t="s">
        <v>855</v>
      </c>
      <c r="G155" s="255">
        <v>0.0</v>
      </c>
      <c r="H155" s="255">
        <v>0.3</v>
      </c>
      <c r="I155" s="255">
        <v>0.1</v>
      </c>
      <c r="J155" s="255">
        <v>0.1</v>
      </c>
      <c r="K155" s="255">
        <v>0.1</v>
      </c>
      <c r="L155" s="253" t="s">
        <v>17</v>
      </c>
      <c r="M155" s="255">
        <v>0.3</v>
      </c>
    </row>
    <row r="156">
      <c r="A156" s="256" t="s">
        <v>579</v>
      </c>
      <c r="B156" s="257">
        <v>35.0</v>
      </c>
      <c r="C156" s="257">
        <v>37.0</v>
      </c>
      <c r="D156" s="257">
        <v>5.0</v>
      </c>
      <c r="E156" s="258">
        <v>0.135</v>
      </c>
      <c r="F156" s="256" t="s">
        <v>855</v>
      </c>
      <c r="G156" s="258">
        <v>0.0465</v>
      </c>
      <c r="H156" s="258">
        <v>0.0698</v>
      </c>
      <c r="I156" s="258">
        <v>0.0</v>
      </c>
      <c r="J156" s="258">
        <v>0.0233</v>
      </c>
      <c r="K156" s="258">
        <v>0.0233</v>
      </c>
      <c r="L156" s="256" t="s">
        <v>17</v>
      </c>
      <c r="M156" s="258">
        <v>0.0698</v>
      </c>
    </row>
    <row r="157">
      <c r="A157" s="253" t="s">
        <v>580</v>
      </c>
      <c r="B157" s="254">
        <v>6.0</v>
      </c>
      <c r="C157" s="254">
        <v>4.0</v>
      </c>
      <c r="D157" s="254">
        <v>3.0</v>
      </c>
      <c r="E157" s="255">
        <v>0.75</v>
      </c>
      <c r="F157" s="253" t="s">
        <v>855</v>
      </c>
      <c r="G157" s="255">
        <v>0.0</v>
      </c>
      <c r="H157" s="255">
        <v>0.375</v>
      </c>
      <c r="I157" s="255">
        <v>0.0</v>
      </c>
      <c r="J157" s="255">
        <v>0.0</v>
      </c>
      <c r="K157" s="255">
        <v>0.0</v>
      </c>
      <c r="L157" s="253" t="s">
        <v>17</v>
      </c>
      <c r="M157" s="255">
        <v>0.375</v>
      </c>
    </row>
    <row r="158">
      <c r="A158" s="256" t="s">
        <v>581</v>
      </c>
      <c r="B158" s="257">
        <v>16.0</v>
      </c>
      <c r="C158" s="257">
        <v>16.0</v>
      </c>
      <c r="D158" s="257">
        <v>3.0</v>
      </c>
      <c r="E158" s="258">
        <v>0.188</v>
      </c>
      <c r="F158" s="256" t="s">
        <v>855</v>
      </c>
      <c r="G158" s="258">
        <v>0.0</v>
      </c>
      <c r="H158" s="258">
        <v>0.1176</v>
      </c>
      <c r="I158" s="258">
        <v>0.0</v>
      </c>
      <c r="J158" s="258">
        <v>0.0588</v>
      </c>
      <c r="K158" s="258">
        <v>0.0588</v>
      </c>
      <c r="L158" s="256" t="s">
        <v>17</v>
      </c>
      <c r="M158" s="258">
        <v>0.1176</v>
      </c>
    </row>
    <row r="159">
      <c r="A159" s="253" t="s">
        <v>582</v>
      </c>
      <c r="B159" s="254">
        <v>12.0</v>
      </c>
      <c r="C159" s="254">
        <v>9.0</v>
      </c>
      <c r="D159" s="254">
        <v>3.0</v>
      </c>
      <c r="E159" s="255">
        <v>0.333</v>
      </c>
      <c r="F159" s="253" t="s">
        <v>855</v>
      </c>
      <c r="G159" s="255">
        <v>0.0909</v>
      </c>
      <c r="H159" s="255">
        <v>0.0</v>
      </c>
      <c r="I159" s="255">
        <v>0.0909</v>
      </c>
      <c r="J159" s="255">
        <v>0.0909</v>
      </c>
      <c r="K159" s="255">
        <v>0.0909</v>
      </c>
      <c r="L159" s="253" t="s">
        <v>323</v>
      </c>
      <c r="M159" s="255">
        <v>0.0909</v>
      </c>
    </row>
    <row r="160">
      <c r="A160" s="259" t="s">
        <v>503</v>
      </c>
      <c r="B160" s="179">
        <v>14.0</v>
      </c>
      <c r="C160" s="179">
        <v>11.0</v>
      </c>
      <c r="D160" s="179">
        <v>4.0</v>
      </c>
      <c r="E160" s="180">
        <v>0.364</v>
      </c>
      <c r="F160" s="178" t="s">
        <v>855</v>
      </c>
      <c r="G160" s="180">
        <v>0.25</v>
      </c>
      <c r="H160" s="180">
        <v>0.0833</v>
      </c>
      <c r="I160" s="180">
        <v>0.1667</v>
      </c>
      <c r="J160" s="180">
        <v>0.0</v>
      </c>
      <c r="K160" s="180">
        <v>0.0</v>
      </c>
      <c r="L160" s="178" t="s">
        <v>32</v>
      </c>
      <c r="M160" s="180">
        <v>0.25</v>
      </c>
    </row>
    <row r="161">
      <c r="A161" s="183" t="s">
        <v>583</v>
      </c>
      <c r="B161" s="184">
        <v>12.0</v>
      </c>
      <c r="C161" s="184">
        <v>11.0</v>
      </c>
      <c r="D161" s="184">
        <v>3.0</v>
      </c>
      <c r="E161" s="185">
        <v>0.273</v>
      </c>
      <c r="F161" s="183" t="s">
        <v>855</v>
      </c>
      <c r="G161" s="185">
        <v>0.25</v>
      </c>
      <c r="H161" s="185">
        <v>0.0</v>
      </c>
      <c r="I161" s="185">
        <v>0.0</v>
      </c>
      <c r="J161" s="185">
        <v>0.0</v>
      </c>
      <c r="K161" s="185">
        <v>0.0</v>
      </c>
      <c r="L161" s="183" t="s">
        <v>32</v>
      </c>
      <c r="M161" s="185">
        <v>0.25</v>
      </c>
    </row>
    <row r="162">
      <c r="A162" s="178" t="s">
        <v>584</v>
      </c>
      <c r="B162" s="179">
        <v>11.0</v>
      </c>
      <c r="C162" s="179">
        <v>7.0</v>
      </c>
      <c r="D162" s="179">
        <v>3.0</v>
      </c>
      <c r="E162" s="180">
        <v>0.429</v>
      </c>
      <c r="F162" s="178" t="s">
        <v>855</v>
      </c>
      <c r="G162" s="180">
        <v>0.2222</v>
      </c>
      <c r="H162" s="180">
        <v>0.1111</v>
      </c>
      <c r="I162" s="180">
        <v>0.1111</v>
      </c>
      <c r="J162" s="180">
        <v>0.0</v>
      </c>
      <c r="K162" s="180">
        <v>0.0</v>
      </c>
      <c r="L162" s="178" t="s">
        <v>32</v>
      </c>
      <c r="M162" s="180">
        <v>0.2222</v>
      </c>
    </row>
    <row r="163">
      <c r="A163" s="183" t="s">
        <v>585</v>
      </c>
      <c r="B163" s="184">
        <v>48.0</v>
      </c>
      <c r="C163" s="184">
        <v>38.0</v>
      </c>
      <c r="D163" s="184">
        <v>9.0</v>
      </c>
      <c r="E163" s="185">
        <v>0.237</v>
      </c>
      <c r="F163" s="183" t="s">
        <v>855</v>
      </c>
      <c r="G163" s="185">
        <v>0.0976</v>
      </c>
      <c r="H163" s="185">
        <v>0.0244</v>
      </c>
      <c r="I163" s="185">
        <v>0.0732</v>
      </c>
      <c r="J163" s="185">
        <v>0.0488</v>
      </c>
      <c r="K163" s="185">
        <v>0.0488</v>
      </c>
      <c r="L163" s="183" t="s">
        <v>32</v>
      </c>
      <c r="M163" s="185">
        <v>0.0976</v>
      </c>
    </row>
    <row r="164">
      <c r="A164" s="178" t="s">
        <v>586</v>
      </c>
      <c r="B164" s="179">
        <v>17.0</v>
      </c>
      <c r="C164" s="179">
        <v>12.0</v>
      </c>
      <c r="D164" s="179">
        <v>3.0</v>
      </c>
      <c r="E164" s="180">
        <v>0.25</v>
      </c>
      <c r="F164" s="178" t="s">
        <v>855</v>
      </c>
      <c r="G164" s="180">
        <v>0.1538</v>
      </c>
      <c r="H164" s="180">
        <v>0.0</v>
      </c>
      <c r="I164" s="180">
        <v>0.1538</v>
      </c>
      <c r="J164" s="180">
        <v>0.0</v>
      </c>
      <c r="K164" s="180">
        <v>0.0769</v>
      </c>
      <c r="L164" s="178" t="s">
        <v>382</v>
      </c>
      <c r="M164" s="180">
        <v>0.1538</v>
      </c>
    </row>
    <row r="165">
      <c r="A165" s="183" t="s">
        <v>354</v>
      </c>
      <c r="B165" s="184">
        <v>12.0</v>
      </c>
      <c r="C165" s="184">
        <v>8.0</v>
      </c>
      <c r="D165" s="184">
        <v>4.0</v>
      </c>
      <c r="E165" s="185">
        <v>0.5</v>
      </c>
      <c r="F165" s="183" t="s">
        <v>855</v>
      </c>
      <c r="G165" s="185">
        <v>0.0</v>
      </c>
      <c r="H165" s="185">
        <v>0.0</v>
      </c>
      <c r="I165" s="185">
        <v>0.1</v>
      </c>
      <c r="J165" s="185">
        <v>0.0</v>
      </c>
      <c r="K165" s="185">
        <v>0.4</v>
      </c>
      <c r="L165" s="183" t="s">
        <v>124</v>
      </c>
      <c r="M165" s="185">
        <v>0.4</v>
      </c>
    </row>
    <row r="166">
      <c r="A166" s="178" t="s">
        <v>329</v>
      </c>
      <c r="B166" s="179">
        <v>23.0</v>
      </c>
      <c r="C166" s="179">
        <v>21.0</v>
      </c>
      <c r="D166" s="179">
        <v>3.0</v>
      </c>
      <c r="E166" s="180">
        <v>0.143</v>
      </c>
      <c r="F166" s="178" t="s">
        <v>855</v>
      </c>
      <c r="G166" s="180">
        <v>0.0476</v>
      </c>
      <c r="H166" s="180">
        <v>0.0</v>
      </c>
      <c r="I166" s="180">
        <v>0.0476</v>
      </c>
      <c r="J166" s="180">
        <v>0.0</v>
      </c>
      <c r="K166" s="180">
        <v>0.0952</v>
      </c>
      <c r="L166" s="178" t="s">
        <v>124</v>
      </c>
      <c r="M166" s="180">
        <v>0.0952</v>
      </c>
    </row>
    <row r="167">
      <c r="A167" s="183" t="s">
        <v>587</v>
      </c>
      <c r="B167" s="184">
        <v>53.0</v>
      </c>
      <c r="C167" s="184">
        <v>51.0</v>
      </c>
      <c r="D167" s="184">
        <v>4.0</v>
      </c>
      <c r="E167" s="185">
        <v>0.078</v>
      </c>
      <c r="F167" s="183" t="s">
        <v>855</v>
      </c>
      <c r="G167" s="185">
        <v>0.0364</v>
      </c>
      <c r="H167" s="185">
        <v>0.0</v>
      </c>
      <c r="I167" s="185">
        <v>0.0182</v>
      </c>
      <c r="J167" s="185">
        <v>0.0</v>
      </c>
      <c r="K167" s="185">
        <v>0.0545</v>
      </c>
      <c r="L167" s="183" t="s">
        <v>124</v>
      </c>
      <c r="M167" s="185">
        <v>0.0545</v>
      </c>
    </row>
    <row r="168">
      <c r="A168" s="259" t="s">
        <v>426</v>
      </c>
      <c r="B168" s="179">
        <v>15.0</v>
      </c>
      <c r="C168" s="179">
        <v>9.0</v>
      </c>
      <c r="D168" s="179">
        <v>3.0</v>
      </c>
      <c r="E168" s="180">
        <v>0.333</v>
      </c>
      <c r="F168" s="178" t="s">
        <v>855</v>
      </c>
      <c r="G168" s="180">
        <v>0.1</v>
      </c>
      <c r="H168" s="180">
        <v>0.1</v>
      </c>
      <c r="I168" s="180">
        <v>0.2</v>
      </c>
      <c r="J168" s="180">
        <v>0.0</v>
      </c>
      <c r="K168" s="180">
        <v>0.1</v>
      </c>
      <c r="L168" s="178" t="s">
        <v>588</v>
      </c>
      <c r="M168" s="180">
        <v>0.2</v>
      </c>
    </row>
    <row r="169">
      <c r="A169" s="183" t="s">
        <v>159</v>
      </c>
      <c r="B169" s="184">
        <v>30.0</v>
      </c>
      <c r="C169" s="184">
        <v>29.0</v>
      </c>
      <c r="D169" s="184">
        <v>3.0</v>
      </c>
      <c r="E169" s="185">
        <v>0.103</v>
      </c>
      <c r="F169" s="183" t="s">
        <v>855</v>
      </c>
      <c r="G169" s="185">
        <v>0.0667</v>
      </c>
      <c r="H169" s="185">
        <v>0.0333</v>
      </c>
      <c r="I169" s="185">
        <v>0.1333</v>
      </c>
      <c r="J169" s="185">
        <v>0.0</v>
      </c>
      <c r="K169" s="185">
        <v>0.0</v>
      </c>
      <c r="L169" s="183" t="s">
        <v>588</v>
      </c>
      <c r="M169" s="185">
        <v>0.1333</v>
      </c>
    </row>
    <row r="170">
      <c r="A170" s="178" t="s">
        <v>570</v>
      </c>
      <c r="B170" s="179">
        <v>41.0</v>
      </c>
      <c r="C170" s="179">
        <v>36.0</v>
      </c>
      <c r="D170" s="179">
        <v>7.0</v>
      </c>
      <c r="E170" s="180">
        <v>0.194</v>
      </c>
      <c r="F170" s="178" t="s">
        <v>855</v>
      </c>
      <c r="G170" s="180">
        <v>0.1053</v>
      </c>
      <c r="H170" s="180">
        <v>0.0</v>
      </c>
      <c r="I170" s="180">
        <v>0.1316</v>
      </c>
      <c r="J170" s="180">
        <v>0.0263</v>
      </c>
      <c r="K170" s="180">
        <v>0.0526</v>
      </c>
      <c r="L170" s="178" t="s">
        <v>588</v>
      </c>
      <c r="M170" s="180">
        <v>0.1316</v>
      </c>
    </row>
    <row r="171">
      <c r="A171" s="183" t="s">
        <v>496</v>
      </c>
      <c r="B171" s="184">
        <v>39.0</v>
      </c>
      <c r="C171" s="184">
        <v>32.0</v>
      </c>
      <c r="D171" s="184">
        <v>3.0</v>
      </c>
      <c r="E171" s="185">
        <v>0.094</v>
      </c>
      <c r="F171" s="183" t="s">
        <v>855</v>
      </c>
      <c r="G171" s="185">
        <v>0.0278</v>
      </c>
      <c r="H171" s="185">
        <v>0.0</v>
      </c>
      <c r="I171" s="185">
        <v>0.1111</v>
      </c>
      <c r="J171" s="185">
        <v>0.0</v>
      </c>
      <c r="K171" s="185">
        <v>0.0556</v>
      </c>
      <c r="L171" s="183" t="s">
        <v>588</v>
      </c>
      <c r="M171" s="185">
        <v>0.1111</v>
      </c>
    </row>
    <row r="172">
      <c r="A172" s="178" t="s">
        <v>589</v>
      </c>
      <c r="B172" s="179">
        <v>44.0</v>
      </c>
      <c r="C172" s="179">
        <v>39.0</v>
      </c>
      <c r="D172" s="179">
        <v>3.0</v>
      </c>
      <c r="E172" s="180">
        <v>0.077</v>
      </c>
      <c r="F172" s="178" t="s">
        <v>855</v>
      </c>
      <c r="G172" s="180">
        <v>0.05</v>
      </c>
      <c r="H172" s="180">
        <v>0.0</v>
      </c>
      <c r="I172" s="180">
        <v>0.05</v>
      </c>
      <c r="J172" s="180">
        <v>0.0</v>
      </c>
      <c r="K172" s="180">
        <v>0.025</v>
      </c>
      <c r="L172" s="178" t="s">
        <v>588</v>
      </c>
      <c r="M172" s="180">
        <v>0.05</v>
      </c>
    </row>
    <row r="173">
      <c r="A173" s="183" t="s">
        <v>590</v>
      </c>
      <c r="B173" s="184">
        <v>85.0</v>
      </c>
      <c r="C173" s="184">
        <v>80.0</v>
      </c>
      <c r="D173" s="184">
        <v>5.0</v>
      </c>
      <c r="E173" s="185">
        <v>0.063</v>
      </c>
      <c r="F173" s="183" t="s">
        <v>855</v>
      </c>
      <c r="G173" s="185">
        <v>0.025</v>
      </c>
      <c r="H173" s="185">
        <v>0.025</v>
      </c>
      <c r="I173" s="185">
        <v>0.0375</v>
      </c>
      <c r="J173" s="185">
        <v>0.0</v>
      </c>
      <c r="K173" s="185">
        <v>0.025</v>
      </c>
      <c r="L173" s="183" t="s">
        <v>588</v>
      </c>
      <c r="M173" s="185">
        <v>0.0375</v>
      </c>
    </row>
    <row r="174">
      <c r="A174" s="178" t="s">
        <v>521</v>
      </c>
      <c r="B174" s="179">
        <v>8.0</v>
      </c>
      <c r="C174" s="179">
        <v>4.0</v>
      </c>
      <c r="D174" s="179">
        <v>3.0</v>
      </c>
      <c r="E174" s="180">
        <v>0.75</v>
      </c>
      <c r="F174" s="178" t="s">
        <v>855</v>
      </c>
      <c r="G174" s="180">
        <v>0.0</v>
      </c>
      <c r="H174" s="180">
        <v>0.4286</v>
      </c>
      <c r="I174" s="180">
        <v>0.1429</v>
      </c>
      <c r="J174" s="180">
        <v>0.0</v>
      </c>
      <c r="K174" s="180">
        <v>0.0</v>
      </c>
      <c r="L174" s="178" t="s">
        <v>17</v>
      </c>
      <c r="M174" s="180">
        <v>0.4286</v>
      </c>
    </row>
    <row r="175">
      <c r="A175" s="183" t="s">
        <v>577</v>
      </c>
      <c r="B175" s="184">
        <v>52.0</v>
      </c>
      <c r="C175" s="184">
        <v>42.0</v>
      </c>
      <c r="D175" s="184">
        <v>11.0</v>
      </c>
      <c r="E175" s="185">
        <v>0.262</v>
      </c>
      <c r="F175" s="183" t="s">
        <v>855</v>
      </c>
      <c r="G175" s="185">
        <v>0.0227</v>
      </c>
      <c r="H175" s="185">
        <v>0.2045</v>
      </c>
      <c r="I175" s="185">
        <v>0.0</v>
      </c>
      <c r="J175" s="185">
        <v>0.0227</v>
      </c>
      <c r="K175" s="185">
        <v>0.0</v>
      </c>
      <c r="L175" s="183" t="s">
        <v>17</v>
      </c>
      <c r="M175" s="185">
        <v>0.2045</v>
      </c>
    </row>
    <row r="176">
      <c r="A176" s="178" t="s">
        <v>534</v>
      </c>
      <c r="B176" s="179">
        <v>72.0</v>
      </c>
      <c r="C176" s="179">
        <v>43.0</v>
      </c>
      <c r="D176" s="179">
        <v>17.0</v>
      </c>
      <c r="E176" s="180">
        <v>0.395</v>
      </c>
      <c r="F176" s="178" t="s">
        <v>855</v>
      </c>
      <c r="G176" s="180">
        <v>0.1111</v>
      </c>
      <c r="H176" s="180">
        <v>0.1481</v>
      </c>
      <c r="I176" s="180">
        <v>0.0185</v>
      </c>
      <c r="J176" s="180">
        <v>0.037</v>
      </c>
      <c r="K176" s="180">
        <v>0.0741</v>
      </c>
      <c r="L176" s="178" t="s">
        <v>17</v>
      </c>
      <c r="M176" s="180">
        <v>0.1481</v>
      </c>
    </row>
    <row r="177">
      <c r="A177" s="183" t="s">
        <v>289</v>
      </c>
      <c r="B177" s="184">
        <v>15.0</v>
      </c>
      <c r="C177" s="184">
        <v>12.0</v>
      </c>
      <c r="D177" s="184">
        <v>5.0</v>
      </c>
      <c r="E177" s="185">
        <v>0.417</v>
      </c>
      <c r="F177" s="183" t="s">
        <v>855</v>
      </c>
      <c r="G177" s="185">
        <v>0.1538</v>
      </c>
      <c r="H177" s="185">
        <v>0.0</v>
      </c>
      <c r="I177" s="185">
        <v>0.1538</v>
      </c>
      <c r="J177" s="185">
        <v>0.2308</v>
      </c>
      <c r="K177" s="185">
        <v>0.0</v>
      </c>
      <c r="L177" s="183" t="s">
        <v>402</v>
      </c>
      <c r="M177" s="185">
        <v>0.2308</v>
      </c>
    </row>
    <row r="178">
      <c r="A178" s="178" t="s">
        <v>591</v>
      </c>
      <c r="B178" s="179">
        <v>10.0</v>
      </c>
      <c r="C178" s="179">
        <v>10.0</v>
      </c>
      <c r="D178" s="179">
        <v>3.0</v>
      </c>
      <c r="E178" s="180">
        <v>0.3</v>
      </c>
      <c r="F178" s="178" t="s">
        <v>855</v>
      </c>
      <c r="G178" s="180">
        <v>0.0909</v>
      </c>
      <c r="H178" s="180">
        <v>0.0</v>
      </c>
      <c r="I178" s="180">
        <v>0.0909</v>
      </c>
      <c r="J178" s="180">
        <v>0.1818</v>
      </c>
      <c r="K178" s="180">
        <v>0.0</v>
      </c>
      <c r="L178" s="178" t="s">
        <v>402</v>
      </c>
      <c r="M178" s="180">
        <v>0.1818</v>
      </c>
    </row>
    <row r="179">
      <c r="A179" s="178" t="s">
        <v>289</v>
      </c>
      <c r="B179" s="179">
        <v>26.0</v>
      </c>
      <c r="C179" s="179">
        <v>15.0</v>
      </c>
      <c r="D179" s="179">
        <v>10.0</v>
      </c>
      <c r="E179" s="180">
        <v>0.667</v>
      </c>
      <c r="F179" s="178" t="s">
        <v>855</v>
      </c>
      <c r="G179" s="180">
        <v>0.381</v>
      </c>
      <c r="H179" s="180">
        <v>0.0476</v>
      </c>
      <c r="I179" s="180">
        <v>0.1905</v>
      </c>
      <c r="J179" s="180">
        <v>0.0</v>
      </c>
      <c r="K179" s="180">
        <v>0.0476</v>
      </c>
      <c r="L179" s="178" t="s">
        <v>32</v>
      </c>
      <c r="M179" s="181">
        <v>0.381</v>
      </c>
    </row>
    <row r="180">
      <c r="A180" s="183" t="s">
        <v>503</v>
      </c>
      <c r="B180" s="184">
        <v>26.0</v>
      </c>
      <c r="C180" s="184">
        <v>16.0</v>
      </c>
      <c r="D180" s="184">
        <v>5.0</v>
      </c>
      <c r="E180" s="185">
        <v>0.313</v>
      </c>
      <c r="F180" s="183" t="s">
        <v>855</v>
      </c>
      <c r="G180" s="185">
        <v>0.1818</v>
      </c>
      <c r="H180" s="185">
        <v>0.0</v>
      </c>
      <c r="I180" s="185">
        <v>0.0455</v>
      </c>
      <c r="J180" s="185">
        <v>0.0455</v>
      </c>
      <c r="K180" s="185">
        <v>0.0909</v>
      </c>
      <c r="L180" s="183" t="s">
        <v>32</v>
      </c>
      <c r="M180" s="186">
        <v>0.1818</v>
      </c>
    </row>
    <row r="181">
      <c r="A181" s="178" t="s">
        <v>167</v>
      </c>
      <c r="B181" s="179">
        <v>64.0</v>
      </c>
      <c r="C181" s="179">
        <v>63.0</v>
      </c>
      <c r="D181" s="179">
        <v>5.0</v>
      </c>
      <c r="E181" s="180">
        <v>0.079</v>
      </c>
      <c r="F181" s="178" t="s">
        <v>855</v>
      </c>
      <c r="G181" s="180">
        <v>0.0635</v>
      </c>
      <c r="H181" s="180">
        <v>0.0159</v>
      </c>
      <c r="I181" s="180">
        <v>0.0159</v>
      </c>
      <c r="J181" s="180">
        <v>0.0</v>
      </c>
      <c r="K181" s="180">
        <v>0.0</v>
      </c>
      <c r="L181" s="178" t="s">
        <v>32</v>
      </c>
      <c r="M181" s="181">
        <v>0.0635</v>
      </c>
    </row>
    <row r="182">
      <c r="A182" s="183" t="s">
        <v>593</v>
      </c>
      <c r="B182" s="184">
        <v>93.0</v>
      </c>
      <c r="C182" s="184">
        <v>90.0</v>
      </c>
      <c r="D182" s="184">
        <v>6.0</v>
      </c>
      <c r="E182" s="185">
        <v>0.067</v>
      </c>
      <c r="F182" s="183" t="s">
        <v>855</v>
      </c>
      <c r="G182" s="185">
        <v>0.0532</v>
      </c>
      <c r="H182" s="185">
        <v>0.0</v>
      </c>
      <c r="I182" s="185">
        <v>0.0426</v>
      </c>
      <c r="J182" s="185">
        <v>0.0</v>
      </c>
      <c r="K182" s="185">
        <v>0.0106</v>
      </c>
      <c r="L182" s="183" t="s">
        <v>32</v>
      </c>
      <c r="M182" s="186">
        <v>0.0532</v>
      </c>
    </row>
    <row r="183">
      <c r="A183" s="178" t="s">
        <v>594</v>
      </c>
      <c r="B183" s="179">
        <v>201.0</v>
      </c>
      <c r="C183" s="179">
        <v>198.0</v>
      </c>
      <c r="D183" s="179">
        <v>11.0</v>
      </c>
      <c r="E183" s="180">
        <v>0.056</v>
      </c>
      <c r="F183" s="178" t="s">
        <v>855</v>
      </c>
      <c r="G183" s="180">
        <v>0.04</v>
      </c>
      <c r="H183" s="180">
        <v>0.0</v>
      </c>
      <c r="I183" s="180">
        <v>0.015</v>
      </c>
      <c r="J183" s="180">
        <v>0.015</v>
      </c>
      <c r="K183" s="180">
        <v>0.005</v>
      </c>
      <c r="L183" s="178" t="s">
        <v>32</v>
      </c>
      <c r="M183" s="181">
        <v>0.04</v>
      </c>
    </row>
    <row r="184">
      <c r="A184" s="183" t="s">
        <v>595</v>
      </c>
      <c r="B184" s="184">
        <v>127.0</v>
      </c>
      <c r="C184" s="184">
        <v>115.0</v>
      </c>
      <c r="D184" s="184">
        <v>7.0</v>
      </c>
      <c r="E184" s="185">
        <v>0.061</v>
      </c>
      <c r="F184" s="183" t="s">
        <v>855</v>
      </c>
      <c r="G184" s="185">
        <v>0.042</v>
      </c>
      <c r="H184" s="185">
        <v>0.0</v>
      </c>
      <c r="I184" s="185">
        <v>0.042</v>
      </c>
      <c r="J184" s="185">
        <v>0.0168</v>
      </c>
      <c r="K184" s="185">
        <v>0.0</v>
      </c>
      <c r="L184" s="183" t="s">
        <v>382</v>
      </c>
      <c r="M184" s="186">
        <v>0.042</v>
      </c>
    </row>
    <row r="185">
      <c r="A185" s="260" t="s">
        <v>354</v>
      </c>
      <c r="B185" s="261">
        <v>16.0</v>
      </c>
      <c r="C185" s="261">
        <v>11.0</v>
      </c>
      <c r="D185" s="261">
        <v>7.0</v>
      </c>
      <c r="E185" s="262">
        <v>0.636</v>
      </c>
      <c r="F185" s="260" t="s">
        <v>855</v>
      </c>
      <c r="G185" s="262">
        <v>0.1053</v>
      </c>
      <c r="H185" s="262">
        <v>0.0</v>
      </c>
      <c r="I185" s="262">
        <v>0.1579</v>
      </c>
      <c r="J185" s="262">
        <v>0.3158</v>
      </c>
      <c r="K185" s="262">
        <v>0.0</v>
      </c>
      <c r="L185" s="260" t="s">
        <v>124</v>
      </c>
      <c r="M185" s="263">
        <v>0.3158</v>
      </c>
    </row>
    <row r="186">
      <c r="A186" s="183" t="s">
        <v>361</v>
      </c>
      <c r="B186" s="184">
        <v>115.0</v>
      </c>
      <c r="C186" s="184">
        <v>108.0</v>
      </c>
      <c r="D186" s="184">
        <v>13.0</v>
      </c>
      <c r="E186" s="185">
        <v>0.12</v>
      </c>
      <c r="F186" s="183" t="s">
        <v>855</v>
      </c>
      <c r="G186" s="185">
        <v>0.0182</v>
      </c>
      <c r="H186" s="185">
        <v>0.0091</v>
      </c>
      <c r="I186" s="185">
        <v>0.0273</v>
      </c>
      <c r="J186" s="185">
        <v>0.1</v>
      </c>
      <c r="K186" s="185">
        <v>0.0</v>
      </c>
      <c r="L186" s="183" t="s">
        <v>124</v>
      </c>
      <c r="M186" s="186">
        <v>0.1</v>
      </c>
    </row>
    <row r="187">
      <c r="A187" s="178" t="s">
        <v>298</v>
      </c>
      <c r="B187" s="179">
        <v>203.0</v>
      </c>
      <c r="C187" s="179">
        <v>195.0</v>
      </c>
      <c r="D187" s="179">
        <v>13.0</v>
      </c>
      <c r="E187" s="180">
        <v>0.067</v>
      </c>
      <c r="F187" s="178" t="s">
        <v>855</v>
      </c>
      <c r="G187" s="180">
        <v>0.0305</v>
      </c>
      <c r="H187" s="180">
        <v>0.0</v>
      </c>
      <c r="I187" s="180">
        <v>0.0254</v>
      </c>
      <c r="J187" s="180">
        <v>0.0457</v>
      </c>
      <c r="K187" s="180">
        <v>0.0</v>
      </c>
      <c r="L187" s="178" t="s">
        <v>124</v>
      </c>
      <c r="M187" s="181">
        <v>0.0457</v>
      </c>
    </row>
    <row r="188">
      <c r="A188" s="183" t="s">
        <v>596</v>
      </c>
      <c r="B188" s="184">
        <v>135.0</v>
      </c>
      <c r="C188" s="184">
        <v>127.0</v>
      </c>
      <c r="D188" s="184">
        <v>7.0</v>
      </c>
      <c r="E188" s="185">
        <v>0.055</v>
      </c>
      <c r="F188" s="183" t="s">
        <v>855</v>
      </c>
      <c r="G188" s="185">
        <v>0.0155</v>
      </c>
      <c r="H188" s="185">
        <v>0.0</v>
      </c>
      <c r="I188" s="185">
        <v>0.0233</v>
      </c>
      <c r="J188" s="185">
        <v>0.0388</v>
      </c>
      <c r="K188" s="185">
        <v>0.0</v>
      </c>
      <c r="L188" s="183" t="s">
        <v>124</v>
      </c>
      <c r="M188" s="186">
        <v>0.0388</v>
      </c>
    </row>
    <row r="189">
      <c r="A189" s="178" t="s">
        <v>597</v>
      </c>
      <c r="B189" s="179">
        <v>104.0</v>
      </c>
      <c r="C189" s="179">
        <v>97.0</v>
      </c>
      <c r="D189" s="179">
        <v>5.0</v>
      </c>
      <c r="E189" s="180">
        <v>0.052</v>
      </c>
      <c r="F189" s="178" t="s">
        <v>855</v>
      </c>
      <c r="G189" s="180">
        <v>0.0206</v>
      </c>
      <c r="H189" s="180">
        <v>0.0</v>
      </c>
      <c r="I189" s="180">
        <v>0.0825</v>
      </c>
      <c r="J189" s="180">
        <v>0.0206</v>
      </c>
      <c r="K189" s="180">
        <v>0.0103</v>
      </c>
      <c r="L189" s="178" t="s">
        <v>392</v>
      </c>
      <c r="M189" s="181">
        <v>0.0825</v>
      </c>
    </row>
    <row r="190">
      <c r="A190" s="183" t="s">
        <v>598</v>
      </c>
      <c r="B190" s="184">
        <v>32.0</v>
      </c>
      <c r="C190" s="184">
        <v>31.0</v>
      </c>
      <c r="D190" s="184">
        <v>6.0</v>
      </c>
      <c r="E190" s="185">
        <v>0.194</v>
      </c>
      <c r="F190" s="183" t="s">
        <v>855</v>
      </c>
      <c r="G190" s="185">
        <v>0.0909</v>
      </c>
      <c r="H190" s="185">
        <v>0.0303</v>
      </c>
      <c r="I190" s="185">
        <v>0.1212</v>
      </c>
      <c r="J190" s="185">
        <v>0.0606</v>
      </c>
      <c r="K190" s="185">
        <v>0.0303</v>
      </c>
      <c r="L190" s="183" t="s">
        <v>588</v>
      </c>
      <c r="M190" s="186">
        <v>0.1212</v>
      </c>
    </row>
    <row r="191">
      <c r="A191" s="178" t="s">
        <v>599</v>
      </c>
      <c r="B191" s="179">
        <v>82.0</v>
      </c>
      <c r="C191" s="179">
        <v>76.0</v>
      </c>
      <c r="D191" s="179">
        <v>6.0</v>
      </c>
      <c r="E191" s="180">
        <v>0.079</v>
      </c>
      <c r="F191" s="178" t="s">
        <v>855</v>
      </c>
      <c r="G191" s="180">
        <v>0.0263</v>
      </c>
      <c r="H191" s="180">
        <v>0.0</v>
      </c>
      <c r="I191" s="180">
        <v>0.0526</v>
      </c>
      <c r="J191" s="180">
        <v>0.0526</v>
      </c>
      <c r="K191" s="180">
        <v>0.0</v>
      </c>
      <c r="L191" s="178" t="s">
        <v>396</v>
      </c>
      <c r="M191" s="181">
        <v>0.0526</v>
      </c>
    </row>
    <row r="192">
      <c r="A192" s="183" t="s">
        <v>252</v>
      </c>
      <c r="B192" s="184">
        <v>12.0</v>
      </c>
      <c r="C192" s="184">
        <v>9.0</v>
      </c>
      <c r="D192" s="184">
        <v>9.0</v>
      </c>
      <c r="E192" s="185">
        <v>1.0</v>
      </c>
      <c r="F192" s="183" t="s">
        <v>855</v>
      </c>
      <c r="G192" s="185">
        <v>0.1</v>
      </c>
      <c r="H192" s="185">
        <v>0.7</v>
      </c>
      <c r="I192" s="185">
        <v>0.0</v>
      </c>
      <c r="J192" s="185">
        <v>0.0</v>
      </c>
      <c r="K192" s="185">
        <v>0.1</v>
      </c>
      <c r="L192" s="183" t="s">
        <v>17</v>
      </c>
      <c r="M192" s="186">
        <v>0.7</v>
      </c>
    </row>
    <row r="193">
      <c r="A193" s="178" t="s">
        <v>447</v>
      </c>
      <c r="B193" s="179">
        <v>6.0</v>
      </c>
      <c r="C193" s="179">
        <v>6.0</v>
      </c>
      <c r="D193" s="179">
        <v>6.0</v>
      </c>
      <c r="E193" s="180">
        <v>1.0</v>
      </c>
      <c r="F193" s="178" t="s">
        <v>855</v>
      </c>
      <c r="G193" s="180">
        <v>0.0</v>
      </c>
      <c r="H193" s="180">
        <v>1.0</v>
      </c>
      <c r="I193" s="180">
        <v>0.0</v>
      </c>
      <c r="J193" s="180">
        <v>0.0</v>
      </c>
      <c r="K193" s="180">
        <v>0.0</v>
      </c>
      <c r="L193" s="178" t="s">
        <v>17</v>
      </c>
      <c r="M193" s="181">
        <v>1.0</v>
      </c>
    </row>
    <row r="194">
      <c r="A194" s="183" t="s">
        <v>531</v>
      </c>
      <c r="B194" s="184">
        <v>7.0</v>
      </c>
      <c r="C194" s="184">
        <v>7.0</v>
      </c>
      <c r="D194" s="184">
        <v>6.0</v>
      </c>
      <c r="E194" s="185">
        <v>0.857</v>
      </c>
      <c r="F194" s="183" t="s">
        <v>855</v>
      </c>
      <c r="G194" s="185">
        <v>0.0909</v>
      </c>
      <c r="H194" s="185">
        <v>0.4545</v>
      </c>
      <c r="I194" s="185">
        <v>0.0909</v>
      </c>
      <c r="J194" s="185">
        <v>0.0</v>
      </c>
      <c r="K194" s="185">
        <v>0.0</v>
      </c>
      <c r="L194" s="183" t="s">
        <v>17</v>
      </c>
      <c r="M194" s="186">
        <v>0.4545</v>
      </c>
    </row>
    <row r="195">
      <c r="A195" s="260" t="s">
        <v>363</v>
      </c>
      <c r="B195" s="261">
        <v>13.0</v>
      </c>
      <c r="C195" s="261">
        <v>11.0</v>
      </c>
      <c r="D195" s="261">
        <v>6.0</v>
      </c>
      <c r="E195" s="262">
        <v>0.545</v>
      </c>
      <c r="F195" s="260" t="s">
        <v>855</v>
      </c>
      <c r="G195" s="262">
        <v>0.125</v>
      </c>
      <c r="H195" s="262">
        <v>0.25</v>
      </c>
      <c r="I195" s="262">
        <v>0.0625</v>
      </c>
      <c r="J195" s="262">
        <v>0.1875</v>
      </c>
      <c r="K195" s="262">
        <v>0.0625</v>
      </c>
      <c r="L195" s="260" t="s">
        <v>17</v>
      </c>
      <c r="M195" s="263">
        <v>0.25</v>
      </c>
    </row>
    <row r="196">
      <c r="A196" s="183" t="s">
        <v>534</v>
      </c>
      <c r="B196" s="184">
        <v>154.0</v>
      </c>
      <c r="C196" s="184">
        <v>125.0</v>
      </c>
      <c r="D196" s="184">
        <v>44.0</v>
      </c>
      <c r="E196" s="185">
        <v>0.352</v>
      </c>
      <c r="F196" s="183" t="s">
        <v>855</v>
      </c>
      <c r="G196" s="185">
        <v>0.0314</v>
      </c>
      <c r="H196" s="185">
        <v>0.3019</v>
      </c>
      <c r="I196" s="185">
        <v>0.0629</v>
      </c>
      <c r="J196" s="185">
        <v>0.0252</v>
      </c>
      <c r="K196" s="185">
        <v>0.0063</v>
      </c>
      <c r="L196" s="183" t="s">
        <v>17</v>
      </c>
      <c r="M196" s="186">
        <v>0.3019</v>
      </c>
    </row>
    <row r="197">
      <c r="A197" s="178" t="s">
        <v>329</v>
      </c>
      <c r="B197" s="179">
        <v>101.0</v>
      </c>
      <c r="C197" s="179">
        <v>96.0</v>
      </c>
      <c r="D197" s="179">
        <v>26.0</v>
      </c>
      <c r="E197" s="180">
        <v>0.271</v>
      </c>
      <c r="F197" s="178" t="s">
        <v>855</v>
      </c>
      <c r="G197" s="180">
        <v>0.0388</v>
      </c>
      <c r="H197" s="180">
        <v>0.1553</v>
      </c>
      <c r="I197" s="180">
        <v>0.0388</v>
      </c>
      <c r="J197" s="180">
        <v>0.0777</v>
      </c>
      <c r="K197" s="180">
        <v>0.0194</v>
      </c>
      <c r="L197" s="178" t="s">
        <v>17</v>
      </c>
      <c r="M197" s="181">
        <v>0.1553</v>
      </c>
    </row>
    <row r="198">
      <c r="A198" s="183" t="s">
        <v>496</v>
      </c>
      <c r="B198" s="184">
        <v>49.0</v>
      </c>
      <c r="C198" s="184">
        <v>42.0</v>
      </c>
      <c r="D198" s="184">
        <v>9.0</v>
      </c>
      <c r="E198" s="185">
        <v>0.214</v>
      </c>
      <c r="F198" s="183" t="s">
        <v>855</v>
      </c>
      <c r="G198" s="185">
        <v>0.0612</v>
      </c>
      <c r="H198" s="185">
        <v>0.1429</v>
      </c>
      <c r="I198" s="185">
        <v>0.0408</v>
      </c>
      <c r="J198" s="185">
        <v>0.0204</v>
      </c>
      <c r="K198" s="185">
        <v>0.0</v>
      </c>
      <c r="L198" s="183" t="s">
        <v>17</v>
      </c>
      <c r="M198" s="186">
        <v>0.1429</v>
      </c>
    </row>
    <row r="199">
      <c r="A199" s="178" t="s">
        <v>280</v>
      </c>
      <c r="B199" s="179">
        <v>61.0</v>
      </c>
      <c r="C199" s="179">
        <v>61.0</v>
      </c>
      <c r="D199" s="179">
        <v>7.0</v>
      </c>
      <c r="E199" s="180">
        <v>0.115</v>
      </c>
      <c r="F199" s="178" t="s">
        <v>855</v>
      </c>
      <c r="G199" s="180">
        <v>0.0328</v>
      </c>
      <c r="H199" s="180">
        <v>0.0492</v>
      </c>
      <c r="I199" s="180">
        <v>0.0328</v>
      </c>
      <c r="J199" s="180">
        <v>0.0328</v>
      </c>
      <c r="K199" s="180">
        <v>0.0</v>
      </c>
      <c r="L199" s="178" t="s">
        <v>17</v>
      </c>
      <c r="M199" s="181">
        <v>0.0492</v>
      </c>
    </row>
    <row r="200">
      <c r="A200" s="183" t="s">
        <v>592</v>
      </c>
      <c r="B200" s="184">
        <v>8.0</v>
      </c>
      <c r="C200" s="184">
        <v>7.0</v>
      </c>
      <c r="D200" s="184">
        <v>5.0</v>
      </c>
      <c r="E200" s="185">
        <v>0.714</v>
      </c>
      <c r="F200" s="183" t="s">
        <v>855</v>
      </c>
      <c r="G200" s="185">
        <v>0.1429</v>
      </c>
      <c r="H200" s="185">
        <v>0.0</v>
      </c>
      <c r="I200" s="185">
        <v>0.1429</v>
      </c>
      <c r="J200" s="185">
        <v>0.0</v>
      </c>
      <c r="K200" s="185">
        <v>0.5714</v>
      </c>
      <c r="L200" s="183" t="s">
        <v>402</v>
      </c>
      <c r="M200" s="186">
        <v>0.5714</v>
      </c>
    </row>
    <row r="201">
      <c r="A201" s="178" t="s">
        <v>601</v>
      </c>
      <c r="B201" s="179">
        <v>17.0</v>
      </c>
      <c r="C201" s="179">
        <v>17.0</v>
      </c>
      <c r="D201" s="179">
        <v>4.0</v>
      </c>
      <c r="E201" s="180">
        <v>0.235</v>
      </c>
      <c r="F201" s="178" t="s">
        <v>855</v>
      </c>
      <c r="G201" s="180">
        <v>0.1053</v>
      </c>
      <c r="H201" s="180">
        <v>0.0526</v>
      </c>
      <c r="I201" s="180">
        <v>0.0</v>
      </c>
      <c r="J201" s="180">
        <v>0.0526</v>
      </c>
      <c r="K201" s="180">
        <v>0.0</v>
      </c>
      <c r="L201" s="178" t="s">
        <v>32</v>
      </c>
      <c r="M201" s="181">
        <v>0.1053</v>
      </c>
    </row>
    <row r="202">
      <c r="A202" s="264" t="s">
        <v>575</v>
      </c>
      <c r="B202" s="265">
        <v>74.0</v>
      </c>
      <c r="C202" s="265">
        <v>73.0</v>
      </c>
      <c r="D202" s="265">
        <v>4.0</v>
      </c>
      <c r="E202" s="266">
        <v>0.055</v>
      </c>
      <c r="F202" s="264" t="s">
        <v>855</v>
      </c>
      <c r="G202" s="266">
        <v>0.0548</v>
      </c>
      <c r="H202" s="266">
        <v>0.0</v>
      </c>
      <c r="I202" s="266">
        <v>0.0411</v>
      </c>
      <c r="J202" s="266">
        <v>0.0</v>
      </c>
      <c r="K202" s="266">
        <v>0.0</v>
      </c>
      <c r="L202" s="264" t="s">
        <v>32</v>
      </c>
      <c r="M202" s="267">
        <v>0.0548</v>
      </c>
    </row>
    <row r="203">
      <c r="A203" s="268" t="s">
        <v>602</v>
      </c>
      <c r="B203" s="269">
        <v>55.0</v>
      </c>
      <c r="C203" s="269">
        <v>47.0</v>
      </c>
      <c r="D203" s="269">
        <v>4.0</v>
      </c>
      <c r="E203" s="270">
        <v>0.085</v>
      </c>
      <c r="F203" s="268" t="s">
        <v>855</v>
      </c>
      <c r="G203" s="270">
        <v>0.0784</v>
      </c>
      <c r="H203" s="270">
        <v>0.0</v>
      </c>
      <c r="I203" s="270">
        <v>0.0588</v>
      </c>
      <c r="J203" s="270">
        <v>0.0</v>
      </c>
      <c r="K203" s="270">
        <v>0.0</v>
      </c>
      <c r="L203" s="268" t="s">
        <v>32</v>
      </c>
      <c r="M203" s="271">
        <v>0.0784</v>
      </c>
    </row>
    <row r="204">
      <c r="A204" s="268" t="s">
        <v>603</v>
      </c>
      <c r="B204" s="269">
        <v>40.0</v>
      </c>
      <c r="C204" s="269">
        <v>38.0</v>
      </c>
      <c r="D204" s="269">
        <v>4.0</v>
      </c>
      <c r="E204" s="270">
        <v>0.105</v>
      </c>
      <c r="F204" s="268" t="s">
        <v>855</v>
      </c>
      <c r="G204" s="270">
        <v>0.1053</v>
      </c>
      <c r="H204" s="270">
        <v>0.0</v>
      </c>
      <c r="I204" s="270">
        <v>0.0</v>
      </c>
      <c r="J204" s="270">
        <v>0.0</v>
      </c>
      <c r="K204" s="270">
        <v>0.0</v>
      </c>
      <c r="L204" s="268" t="s">
        <v>32</v>
      </c>
      <c r="M204" s="271">
        <v>0.1053</v>
      </c>
    </row>
    <row r="205">
      <c r="A205" s="264" t="s">
        <v>604</v>
      </c>
      <c r="B205" s="265">
        <v>14.0</v>
      </c>
      <c r="C205" s="265">
        <v>14.0</v>
      </c>
      <c r="D205" s="265">
        <v>4.0</v>
      </c>
      <c r="E205" s="266">
        <v>0.286</v>
      </c>
      <c r="F205" s="264" t="s">
        <v>855</v>
      </c>
      <c r="G205" s="266">
        <v>0.1429</v>
      </c>
      <c r="H205" s="266">
        <v>0.0</v>
      </c>
      <c r="I205" s="266">
        <v>0.0714</v>
      </c>
      <c r="J205" s="266">
        <v>0.1429</v>
      </c>
      <c r="K205" s="266">
        <v>0.0</v>
      </c>
      <c r="L205" s="264" t="s">
        <v>32</v>
      </c>
      <c r="M205" s="267">
        <v>0.1429</v>
      </c>
    </row>
    <row r="206">
      <c r="A206" s="268" t="s">
        <v>605</v>
      </c>
      <c r="B206" s="269">
        <v>8.0</v>
      </c>
      <c r="C206" s="269">
        <v>7.0</v>
      </c>
      <c r="D206" s="269">
        <v>4.0</v>
      </c>
      <c r="E206" s="270">
        <v>0.571</v>
      </c>
      <c r="F206" s="268" t="s">
        <v>855</v>
      </c>
      <c r="G206" s="270">
        <v>0.3333</v>
      </c>
      <c r="H206" s="270">
        <v>0.0</v>
      </c>
      <c r="I206" s="270">
        <v>0.0</v>
      </c>
      <c r="J206" s="270">
        <v>0.1111</v>
      </c>
      <c r="K206" s="270">
        <v>0.0</v>
      </c>
      <c r="L206" s="268" t="s">
        <v>32</v>
      </c>
      <c r="M206" s="271">
        <v>0.3333</v>
      </c>
    </row>
    <row r="207">
      <c r="A207" s="268" t="s">
        <v>455</v>
      </c>
      <c r="B207" s="269">
        <v>18.0</v>
      </c>
      <c r="C207" s="269">
        <v>17.0</v>
      </c>
      <c r="D207" s="269">
        <v>4.0</v>
      </c>
      <c r="E207" s="270">
        <v>0.235</v>
      </c>
      <c r="F207" s="268" t="s">
        <v>855</v>
      </c>
      <c r="G207" s="270">
        <v>0.1667</v>
      </c>
      <c r="H207" s="270">
        <v>0.0</v>
      </c>
      <c r="I207" s="270">
        <v>0.0556</v>
      </c>
      <c r="J207" s="270">
        <v>0.0556</v>
      </c>
      <c r="K207" s="270">
        <v>0.0556</v>
      </c>
      <c r="L207" s="268" t="s">
        <v>32</v>
      </c>
      <c r="M207" s="271">
        <v>0.1667</v>
      </c>
    </row>
    <row r="208">
      <c r="A208" s="272" t="s">
        <v>315</v>
      </c>
      <c r="B208" s="273">
        <v>9.0</v>
      </c>
      <c r="C208" s="273">
        <v>6.0</v>
      </c>
      <c r="D208" s="273">
        <v>4.0</v>
      </c>
      <c r="E208" s="274">
        <v>0.667</v>
      </c>
      <c r="F208" s="272" t="s">
        <v>855</v>
      </c>
      <c r="G208" s="274">
        <v>0.0</v>
      </c>
      <c r="H208" s="274">
        <v>0.0</v>
      </c>
      <c r="I208" s="274">
        <v>0.3333</v>
      </c>
      <c r="J208" s="274">
        <v>0.5</v>
      </c>
      <c r="K208" s="274">
        <v>0.1667</v>
      </c>
      <c r="L208" s="272" t="s">
        <v>124</v>
      </c>
      <c r="M208" s="275">
        <v>0.5</v>
      </c>
    </row>
    <row r="209">
      <c r="A209" s="276" t="s">
        <v>426</v>
      </c>
      <c r="B209" s="277">
        <v>21.0</v>
      </c>
      <c r="C209" s="277">
        <v>12.0</v>
      </c>
      <c r="D209" s="277">
        <v>4.0</v>
      </c>
      <c r="E209" s="278">
        <v>0.333</v>
      </c>
      <c r="F209" s="276" t="s">
        <v>855</v>
      </c>
      <c r="G209" s="278">
        <v>0.1</v>
      </c>
      <c r="H209" s="278">
        <v>0.1</v>
      </c>
      <c r="I209" s="278">
        <v>0.25</v>
      </c>
      <c r="J209" s="278">
        <v>0.25</v>
      </c>
      <c r="K209" s="278">
        <v>0.05</v>
      </c>
      <c r="L209" s="276" t="s">
        <v>392</v>
      </c>
      <c r="M209" s="279">
        <v>0.25</v>
      </c>
    </row>
    <row r="210">
      <c r="A210" s="264" t="s">
        <v>606</v>
      </c>
      <c r="B210" s="265">
        <v>7.0</v>
      </c>
      <c r="C210" s="265">
        <v>5.0</v>
      </c>
      <c r="D210" s="265">
        <v>4.0</v>
      </c>
      <c r="E210" s="266">
        <v>0.8</v>
      </c>
      <c r="F210" s="264" t="s">
        <v>855</v>
      </c>
      <c r="G210" s="266">
        <v>0.0</v>
      </c>
      <c r="H210" s="266">
        <v>0.5</v>
      </c>
      <c r="I210" s="266">
        <v>0.0</v>
      </c>
      <c r="J210" s="266">
        <v>0.0</v>
      </c>
      <c r="K210" s="266">
        <v>0.1667</v>
      </c>
      <c r="L210" s="264" t="s">
        <v>17</v>
      </c>
      <c r="M210" s="267">
        <v>0.5</v>
      </c>
    </row>
    <row r="211">
      <c r="A211" s="264" t="s">
        <v>607</v>
      </c>
      <c r="B211" s="265">
        <v>10.0</v>
      </c>
      <c r="C211" s="265">
        <v>10.0</v>
      </c>
      <c r="D211" s="265">
        <v>4.0</v>
      </c>
      <c r="E211" s="266">
        <v>0.4</v>
      </c>
      <c r="F211" s="264" t="s">
        <v>855</v>
      </c>
      <c r="G211" s="266">
        <v>0.0833</v>
      </c>
      <c r="H211" s="266">
        <v>0.25</v>
      </c>
      <c r="I211" s="266">
        <v>0.0833</v>
      </c>
      <c r="J211" s="266">
        <v>0.0</v>
      </c>
      <c r="K211" s="266">
        <v>0.0</v>
      </c>
      <c r="L211" s="264" t="s">
        <v>17</v>
      </c>
      <c r="M211" s="267">
        <v>0.25</v>
      </c>
    </row>
    <row r="212">
      <c r="A212" s="264" t="s">
        <v>500</v>
      </c>
      <c r="B212" s="265">
        <v>8.0</v>
      </c>
      <c r="C212" s="265">
        <v>8.0</v>
      </c>
      <c r="D212" s="265">
        <v>4.0</v>
      </c>
      <c r="E212" s="266">
        <v>0.5</v>
      </c>
      <c r="F212" s="264" t="s">
        <v>855</v>
      </c>
      <c r="G212" s="266">
        <v>0.0</v>
      </c>
      <c r="H212" s="266">
        <v>0.5</v>
      </c>
      <c r="I212" s="266">
        <v>0.0</v>
      </c>
      <c r="J212" s="266">
        <v>0.0</v>
      </c>
      <c r="K212" s="266">
        <v>0.0</v>
      </c>
      <c r="L212" s="264" t="s">
        <v>17</v>
      </c>
      <c r="M212" s="267">
        <v>0.5</v>
      </c>
    </row>
    <row r="213">
      <c r="A213" s="268" t="s">
        <v>608</v>
      </c>
      <c r="B213" s="269">
        <v>76.0</v>
      </c>
      <c r="C213" s="269">
        <v>76.0</v>
      </c>
      <c r="D213" s="269">
        <v>4.0</v>
      </c>
      <c r="E213" s="270">
        <v>0.053</v>
      </c>
      <c r="F213" s="268" t="s">
        <v>855</v>
      </c>
      <c r="G213" s="270">
        <v>0.0132</v>
      </c>
      <c r="H213" s="270">
        <v>0.0263</v>
      </c>
      <c r="I213" s="270">
        <v>0.0263</v>
      </c>
      <c r="J213" s="270">
        <v>0.0</v>
      </c>
      <c r="K213" s="270">
        <v>0.0132</v>
      </c>
      <c r="L213" s="268" t="s">
        <v>402</v>
      </c>
      <c r="M213" s="271">
        <v>0.0263</v>
      </c>
    </row>
    <row r="214">
      <c r="A214" s="188" t="s">
        <v>631</v>
      </c>
      <c r="B214" s="179">
        <v>6.0</v>
      </c>
      <c r="C214" s="179">
        <v>7.0</v>
      </c>
      <c r="D214" s="179">
        <v>3.0</v>
      </c>
      <c r="E214" s="180">
        <v>0.429</v>
      </c>
      <c r="F214" s="178" t="s">
        <v>855</v>
      </c>
      <c r="G214" s="180">
        <v>0.4286</v>
      </c>
      <c r="H214" s="180">
        <v>0.0</v>
      </c>
      <c r="I214" s="180">
        <v>0.0</v>
      </c>
      <c r="J214" s="180">
        <v>0.0</v>
      </c>
      <c r="K214" s="180">
        <v>0.0</v>
      </c>
      <c r="L214" s="178" t="s">
        <v>32</v>
      </c>
      <c r="M214" s="181">
        <v>0.4286</v>
      </c>
    </row>
    <row r="215">
      <c r="A215" s="188" t="s">
        <v>632</v>
      </c>
      <c r="B215" s="184">
        <v>13.0</v>
      </c>
      <c r="C215" s="184">
        <v>11.0</v>
      </c>
      <c r="D215" s="184">
        <v>5.0</v>
      </c>
      <c r="E215" s="185">
        <v>0.455</v>
      </c>
      <c r="F215" s="183" t="s">
        <v>855</v>
      </c>
      <c r="G215" s="185">
        <v>0.3077</v>
      </c>
      <c r="H215" s="185">
        <v>0.0</v>
      </c>
      <c r="I215" s="185">
        <v>0.0769</v>
      </c>
      <c r="J215" s="185">
        <v>0.1538</v>
      </c>
      <c r="K215" s="185">
        <v>0.0</v>
      </c>
      <c r="L215" s="183" t="s">
        <v>32</v>
      </c>
      <c r="M215" s="186">
        <v>0.3077</v>
      </c>
    </row>
    <row r="216">
      <c r="A216" s="188" t="s">
        <v>544</v>
      </c>
      <c r="B216" s="179">
        <v>15.0</v>
      </c>
      <c r="C216" s="179">
        <v>15.0</v>
      </c>
      <c r="D216" s="179">
        <v>4.0</v>
      </c>
      <c r="E216" s="180">
        <v>0.267</v>
      </c>
      <c r="F216" s="178" t="s">
        <v>855</v>
      </c>
      <c r="G216" s="180">
        <v>0.25</v>
      </c>
      <c r="H216" s="180">
        <v>0.0</v>
      </c>
      <c r="I216" s="180">
        <v>0.0</v>
      </c>
      <c r="J216" s="180">
        <v>0.0625</v>
      </c>
      <c r="K216" s="180">
        <v>0.0</v>
      </c>
      <c r="L216" s="178" t="s">
        <v>32</v>
      </c>
      <c r="M216" s="181">
        <v>0.25</v>
      </c>
    </row>
    <row r="217">
      <c r="A217" s="188" t="s">
        <v>591</v>
      </c>
      <c r="B217" s="184">
        <v>23.0</v>
      </c>
      <c r="C217" s="184">
        <v>22.0</v>
      </c>
      <c r="D217" s="184">
        <v>6.0</v>
      </c>
      <c r="E217" s="185">
        <v>0.273</v>
      </c>
      <c r="F217" s="183" t="s">
        <v>855</v>
      </c>
      <c r="G217" s="185">
        <v>0.2083</v>
      </c>
      <c r="H217" s="185">
        <v>0.0417</v>
      </c>
      <c r="I217" s="185">
        <v>0.1667</v>
      </c>
      <c r="J217" s="185">
        <v>0.0</v>
      </c>
      <c r="K217" s="185">
        <v>0.0</v>
      </c>
      <c r="L217" s="183" t="s">
        <v>32</v>
      </c>
      <c r="M217" s="186">
        <v>0.2083</v>
      </c>
    </row>
    <row r="218">
      <c r="A218" s="188" t="s">
        <v>633</v>
      </c>
      <c r="B218" s="179">
        <v>11.0</v>
      </c>
      <c r="C218" s="179">
        <v>9.0</v>
      </c>
      <c r="D218" s="179">
        <v>3.0</v>
      </c>
      <c r="E218" s="180">
        <v>0.333</v>
      </c>
      <c r="F218" s="178" t="s">
        <v>855</v>
      </c>
      <c r="G218" s="180">
        <v>0.2</v>
      </c>
      <c r="H218" s="180">
        <v>0.0</v>
      </c>
      <c r="I218" s="180">
        <v>0.0</v>
      </c>
      <c r="J218" s="180">
        <v>0.0</v>
      </c>
      <c r="K218" s="180">
        <v>0.1</v>
      </c>
      <c r="L218" s="178" t="s">
        <v>32</v>
      </c>
      <c r="M218" s="181">
        <v>0.2</v>
      </c>
    </row>
    <row r="219">
      <c r="A219" s="183" t="s">
        <v>614</v>
      </c>
      <c r="B219" s="184">
        <v>18.0</v>
      </c>
      <c r="C219" s="184">
        <v>15.0</v>
      </c>
      <c r="D219" s="184">
        <v>3.0</v>
      </c>
      <c r="E219" s="185">
        <v>0.2</v>
      </c>
      <c r="F219" s="183" t="s">
        <v>855</v>
      </c>
      <c r="G219" s="185">
        <v>0.1333</v>
      </c>
      <c r="H219" s="185">
        <v>0.0</v>
      </c>
      <c r="I219" s="185">
        <v>0.0667</v>
      </c>
      <c r="J219" s="185">
        <v>0.0</v>
      </c>
      <c r="K219" s="185">
        <v>0.0667</v>
      </c>
      <c r="L219" s="183" t="s">
        <v>32</v>
      </c>
      <c r="M219" s="186">
        <v>0.1333</v>
      </c>
    </row>
    <row r="220">
      <c r="A220" s="178" t="s">
        <v>615</v>
      </c>
      <c r="B220" s="179">
        <v>27.0</v>
      </c>
      <c r="C220" s="179">
        <v>27.0</v>
      </c>
      <c r="D220" s="179">
        <v>3.0</v>
      </c>
      <c r="E220" s="180">
        <v>0.111</v>
      </c>
      <c r="F220" s="178" t="s">
        <v>855</v>
      </c>
      <c r="G220" s="180">
        <v>0.1111</v>
      </c>
      <c r="H220" s="180">
        <v>0.0</v>
      </c>
      <c r="I220" s="180">
        <v>0.0741</v>
      </c>
      <c r="J220" s="180">
        <v>0.0</v>
      </c>
      <c r="K220" s="180">
        <v>0.0</v>
      </c>
      <c r="L220" s="178" t="s">
        <v>32</v>
      </c>
      <c r="M220" s="181">
        <v>0.1111</v>
      </c>
    </row>
    <row r="221">
      <c r="A221" s="183" t="s">
        <v>616</v>
      </c>
      <c r="B221" s="184">
        <v>39.0</v>
      </c>
      <c r="C221" s="184">
        <v>38.0</v>
      </c>
      <c r="D221" s="184">
        <v>4.0</v>
      </c>
      <c r="E221" s="185">
        <v>0.105</v>
      </c>
      <c r="F221" s="183" t="s">
        <v>855</v>
      </c>
      <c r="G221" s="185">
        <v>0.0789</v>
      </c>
      <c r="H221" s="185">
        <v>0.0</v>
      </c>
      <c r="I221" s="185">
        <v>0.0</v>
      </c>
      <c r="J221" s="185">
        <v>0.0263</v>
      </c>
      <c r="K221" s="185">
        <v>0.0</v>
      </c>
      <c r="L221" s="183" t="s">
        <v>32</v>
      </c>
      <c r="M221" s="186">
        <v>0.0789</v>
      </c>
    </row>
    <row r="222">
      <c r="A222" s="178" t="s">
        <v>575</v>
      </c>
      <c r="B222" s="179">
        <v>129.0</v>
      </c>
      <c r="C222" s="179">
        <v>125.0</v>
      </c>
      <c r="D222" s="179">
        <v>7.0</v>
      </c>
      <c r="E222" s="180">
        <v>0.056</v>
      </c>
      <c r="F222" s="178" t="s">
        <v>855</v>
      </c>
      <c r="G222" s="180">
        <v>0.048</v>
      </c>
      <c r="H222" s="180">
        <v>0.0</v>
      </c>
      <c r="I222" s="180">
        <v>0.016</v>
      </c>
      <c r="J222" s="180">
        <v>0.008</v>
      </c>
      <c r="K222" s="180">
        <v>0.0</v>
      </c>
      <c r="L222" s="178" t="s">
        <v>32</v>
      </c>
      <c r="M222" s="181">
        <v>0.048</v>
      </c>
    </row>
    <row r="223">
      <c r="A223" s="240" t="s">
        <v>387</v>
      </c>
      <c r="B223" s="184">
        <v>20.0</v>
      </c>
      <c r="C223" s="184">
        <v>16.0</v>
      </c>
      <c r="D223" s="184">
        <v>7.0</v>
      </c>
      <c r="E223" s="185">
        <v>0.438</v>
      </c>
      <c r="F223" s="183" t="s">
        <v>855</v>
      </c>
      <c r="G223" s="185">
        <v>0.1579</v>
      </c>
      <c r="H223" s="185">
        <v>0.1053</v>
      </c>
      <c r="I223" s="185">
        <v>0.0526</v>
      </c>
      <c r="J223" s="185">
        <v>0.1579</v>
      </c>
      <c r="K223" s="185">
        <v>0.0526</v>
      </c>
      <c r="L223" s="183" t="s">
        <v>307</v>
      </c>
      <c r="M223" s="186">
        <v>0.1579</v>
      </c>
    </row>
    <row r="224">
      <c r="A224" s="178" t="s">
        <v>583</v>
      </c>
      <c r="B224" s="179">
        <v>23.0</v>
      </c>
      <c r="C224" s="179">
        <v>19.0</v>
      </c>
      <c r="D224" s="179">
        <v>4.0</v>
      </c>
      <c r="E224" s="180">
        <v>0.211</v>
      </c>
      <c r="F224" s="178" t="s">
        <v>855</v>
      </c>
      <c r="G224" s="180">
        <v>0.1364</v>
      </c>
      <c r="H224" s="180">
        <v>0.0</v>
      </c>
      <c r="I224" s="180">
        <v>0.0909</v>
      </c>
      <c r="J224" s="180">
        <v>0.1364</v>
      </c>
      <c r="K224" s="180">
        <v>0.0</v>
      </c>
      <c r="L224" s="178" t="s">
        <v>307</v>
      </c>
      <c r="M224" s="181">
        <v>0.1364</v>
      </c>
    </row>
    <row r="225">
      <c r="A225" s="183" t="s">
        <v>618</v>
      </c>
      <c r="B225" s="184">
        <v>61.0</v>
      </c>
      <c r="C225" s="184">
        <v>54.0</v>
      </c>
      <c r="D225" s="184">
        <v>8.0</v>
      </c>
      <c r="E225" s="185">
        <v>0.148</v>
      </c>
      <c r="F225" s="183" t="s">
        <v>855</v>
      </c>
      <c r="G225" s="185">
        <v>0.0862</v>
      </c>
      <c r="H225" s="185">
        <v>0.0</v>
      </c>
      <c r="I225" s="185">
        <v>0.0172</v>
      </c>
      <c r="J225" s="185">
        <v>0.069</v>
      </c>
      <c r="K225" s="185">
        <v>0.0345</v>
      </c>
      <c r="L225" s="183" t="s">
        <v>307</v>
      </c>
      <c r="M225" s="186">
        <v>0.0862</v>
      </c>
    </row>
    <row r="226">
      <c r="A226" s="178" t="s">
        <v>602</v>
      </c>
      <c r="B226" s="179">
        <v>63.0</v>
      </c>
      <c r="C226" s="179">
        <v>64.0</v>
      </c>
      <c r="D226" s="179">
        <v>4.0</v>
      </c>
      <c r="E226" s="180">
        <v>0.063</v>
      </c>
      <c r="F226" s="178" t="s">
        <v>855</v>
      </c>
      <c r="G226" s="180">
        <v>0.0462</v>
      </c>
      <c r="H226" s="180">
        <v>0.0</v>
      </c>
      <c r="I226" s="180">
        <v>0.0462</v>
      </c>
      <c r="J226" s="180">
        <v>0.0154</v>
      </c>
      <c r="K226" s="180">
        <v>0.0</v>
      </c>
      <c r="L226" s="178" t="s">
        <v>382</v>
      </c>
      <c r="M226" s="181">
        <v>0.0462</v>
      </c>
    </row>
    <row r="227">
      <c r="A227" s="183" t="s">
        <v>619</v>
      </c>
      <c r="B227" s="184">
        <v>15.0</v>
      </c>
      <c r="C227" s="184">
        <v>14.0</v>
      </c>
      <c r="D227" s="184">
        <v>5.0</v>
      </c>
      <c r="E227" s="185">
        <v>0.357</v>
      </c>
      <c r="F227" s="183" t="s">
        <v>855</v>
      </c>
      <c r="G227" s="185">
        <v>0.125</v>
      </c>
      <c r="H227" s="185">
        <v>0.0</v>
      </c>
      <c r="I227" s="185">
        <v>0.1875</v>
      </c>
      <c r="J227" s="185">
        <v>0.25</v>
      </c>
      <c r="K227" s="185">
        <v>0.0</v>
      </c>
      <c r="L227" s="183" t="s">
        <v>382</v>
      </c>
      <c r="M227" s="186">
        <v>0.25</v>
      </c>
    </row>
    <row r="228">
      <c r="A228" s="188" t="s">
        <v>634</v>
      </c>
      <c r="B228" s="179">
        <v>13.0</v>
      </c>
      <c r="C228" s="179">
        <v>9.0</v>
      </c>
      <c r="D228" s="179">
        <v>7.0</v>
      </c>
      <c r="E228" s="180">
        <v>0.778</v>
      </c>
      <c r="F228" s="178" t="s">
        <v>855</v>
      </c>
      <c r="G228" s="180">
        <v>0.0909</v>
      </c>
      <c r="H228" s="180">
        <v>0.5455</v>
      </c>
      <c r="I228" s="180">
        <v>0.0</v>
      </c>
      <c r="J228" s="180">
        <v>0.0</v>
      </c>
      <c r="K228" s="180">
        <v>0.0</v>
      </c>
      <c r="L228" s="178" t="s">
        <v>17</v>
      </c>
      <c r="M228" s="181">
        <v>0.5455</v>
      </c>
    </row>
    <row r="229">
      <c r="A229" s="188" t="s">
        <v>635</v>
      </c>
      <c r="B229" s="184">
        <v>6.0</v>
      </c>
      <c r="C229" s="184">
        <v>4.0</v>
      </c>
      <c r="D229" s="184">
        <v>3.0</v>
      </c>
      <c r="E229" s="185">
        <v>0.75</v>
      </c>
      <c r="F229" s="183" t="s">
        <v>855</v>
      </c>
      <c r="G229" s="185">
        <v>0.25</v>
      </c>
      <c r="H229" s="185">
        <v>0.5</v>
      </c>
      <c r="I229" s="185">
        <v>0.0</v>
      </c>
      <c r="J229" s="185">
        <v>0.0</v>
      </c>
      <c r="K229" s="185">
        <v>0.0</v>
      </c>
      <c r="L229" s="183" t="s">
        <v>17</v>
      </c>
      <c r="M229" s="186">
        <v>0.5</v>
      </c>
    </row>
    <row r="230">
      <c r="A230" s="188" t="s">
        <v>500</v>
      </c>
      <c r="B230" s="179">
        <v>4.0</v>
      </c>
      <c r="C230" s="179">
        <v>4.0</v>
      </c>
      <c r="D230" s="179">
        <v>3.0</v>
      </c>
      <c r="E230" s="180">
        <v>0.75</v>
      </c>
      <c r="F230" s="178" t="s">
        <v>855</v>
      </c>
      <c r="G230" s="180">
        <v>0.2</v>
      </c>
      <c r="H230" s="180">
        <v>0.4</v>
      </c>
      <c r="I230" s="180">
        <v>0.0</v>
      </c>
      <c r="J230" s="180">
        <v>0.0</v>
      </c>
      <c r="K230" s="180">
        <v>0.0</v>
      </c>
      <c r="L230" s="178" t="s">
        <v>17</v>
      </c>
      <c r="M230" s="181">
        <v>0.4</v>
      </c>
    </row>
    <row r="231">
      <c r="A231" s="188" t="s">
        <v>252</v>
      </c>
      <c r="B231" s="184">
        <v>14.0</v>
      </c>
      <c r="C231" s="184">
        <v>7.0</v>
      </c>
      <c r="D231" s="184">
        <v>6.0</v>
      </c>
      <c r="E231" s="185">
        <v>0.857</v>
      </c>
      <c r="F231" s="183" t="s">
        <v>855</v>
      </c>
      <c r="G231" s="185">
        <v>0.0714</v>
      </c>
      <c r="H231" s="185">
        <v>0.3571</v>
      </c>
      <c r="I231" s="185">
        <v>0.0</v>
      </c>
      <c r="J231" s="185">
        <v>0.0</v>
      </c>
      <c r="K231" s="185">
        <v>0.0</v>
      </c>
      <c r="L231" s="183" t="s">
        <v>17</v>
      </c>
      <c r="M231" s="186">
        <v>0.3571</v>
      </c>
    </row>
    <row r="232">
      <c r="A232" s="188" t="s">
        <v>636</v>
      </c>
      <c r="B232" s="179">
        <v>10.0</v>
      </c>
      <c r="C232" s="179">
        <v>9.0</v>
      </c>
      <c r="D232" s="179">
        <v>4.0</v>
      </c>
      <c r="E232" s="180">
        <v>0.444</v>
      </c>
      <c r="F232" s="178" t="s">
        <v>855</v>
      </c>
      <c r="G232" s="180">
        <v>0.1</v>
      </c>
      <c r="H232" s="180">
        <v>0.3</v>
      </c>
      <c r="I232" s="180">
        <v>0.0</v>
      </c>
      <c r="J232" s="180">
        <v>0.0</v>
      </c>
      <c r="K232" s="180">
        <v>0.0</v>
      </c>
      <c r="L232" s="178" t="s">
        <v>17</v>
      </c>
      <c r="M232" s="181">
        <v>0.3</v>
      </c>
    </row>
    <row r="233">
      <c r="A233" s="188" t="s">
        <v>637</v>
      </c>
      <c r="B233" s="184">
        <v>8.0</v>
      </c>
      <c r="C233" s="184">
        <v>9.0</v>
      </c>
      <c r="D233" s="184">
        <v>3.0</v>
      </c>
      <c r="E233" s="185">
        <v>0.333</v>
      </c>
      <c r="F233" s="183" t="s">
        <v>855</v>
      </c>
      <c r="G233" s="185">
        <v>0.0</v>
      </c>
      <c r="H233" s="185">
        <v>0.3</v>
      </c>
      <c r="I233" s="185">
        <v>0.0</v>
      </c>
      <c r="J233" s="185">
        <v>0.0</v>
      </c>
      <c r="K233" s="185">
        <v>0.0</v>
      </c>
      <c r="L233" s="183" t="s">
        <v>17</v>
      </c>
      <c r="M233" s="186">
        <v>0.3</v>
      </c>
    </row>
    <row r="234">
      <c r="A234" s="178" t="s">
        <v>585</v>
      </c>
      <c r="B234" s="179">
        <v>16.0</v>
      </c>
      <c r="C234" s="179">
        <v>16.0</v>
      </c>
      <c r="D234" s="179">
        <v>3.0</v>
      </c>
      <c r="E234" s="180">
        <v>0.188</v>
      </c>
      <c r="F234" s="178" t="s">
        <v>855</v>
      </c>
      <c r="G234" s="180">
        <v>0.0</v>
      </c>
      <c r="H234" s="180">
        <v>0.1176</v>
      </c>
      <c r="I234" s="180">
        <v>0.0588</v>
      </c>
      <c r="J234" s="180">
        <v>0.0</v>
      </c>
      <c r="K234" s="180">
        <v>0.0</v>
      </c>
      <c r="L234" s="178" t="s">
        <v>17</v>
      </c>
      <c r="M234" s="181">
        <v>0.1176</v>
      </c>
    </row>
    <row r="235">
      <c r="A235" s="183" t="s">
        <v>620</v>
      </c>
      <c r="B235" s="184">
        <v>40.0</v>
      </c>
      <c r="C235" s="184">
        <v>37.0</v>
      </c>
      <c r="D235" s="184">
        <v>4.0</v>
      </c>
      <c r="E235" s="185">
        <v>0.108</v>
      </c>
      <c r="F235" s="183" t="s">
        <v>855</v>
      </c>
      <c r="G235" s="185">
        <v>0.0263</v>
      </c>
      <c r="H235" s="185">
        <v>0.0789</v>
      </c>
      <c r="I235" s="185">
        <v>0.0526</v>
      </c>
      <c r="J235" s="185">
        <v>0.0</v>
      </c>
      <c r="K235" s="185">
        <v>0.0</v>
      </c>
      <c r="L235" s="183" t="s">
        <v>17</v>
      </c>
      <c r="M235" s="186">
        <v>0.0789</v>
      </c>
    </row>
    <row r="236">
      <c r="A236" s="178" t="s">
        <v>621</v>
      </c>
      <c r="B236" s="179">
        <v>91.0</v>
      </c>
      <c r="C236" s="179">
        <v>90.0</v>
      </c>
      <c r="D236" s="179">
        <v>5.0</v>
      </c>
      <c r="E236" s="180">
        <v>0.056</v>
      </c>
      <c r="F236" s="178" t="s">
        <v>855</v>
      </c>
      <c r="G236" s="180">
        <v>0.0</v>
      </c>
      <c r="H236" s="180">
        <v>0.0549</v>
      </c>
      <c r="I236" s="180">
        <v>0.022</v>
      </c>
      <c r="J236" s="180">
        <v>0.0</v>
      </c>
      <c r="K236" s="180">
        <v>0.0</v>
      </c>
      <c r="L236" s="178" t="s">
        <v>17</v>
      </c>
      <c r="M236" s="181">
        <v>0.0549</v>
      </c>
    </row>
    <row r="237">
      <c r="A237" s="183" t="s">
        <v>622</v>
      </c>
      <c r="B237" s="184">
        <v>54.0</v>
      </c>
      <c r="C237" s="184">
        <v>53.0</v>
      </c>
      <c r="D237" s="184">
        <v>3.0</v>
      </c>
      <c r="E237" s="185">
        <v>0.057</v>
      </c>
      <c r="F237" s="183" t="s">
        <v>855</v>
      </c>
      <c r="G237" s="185">
        <v>0.0185</v>
      </c>
      <c r="H237" s="185">
        <v>0.037</v>
      </c>
      <c r="I237" s="185">
        <v>0.0185</v>
      </c>
      <c r="J237" s="185">
        <v>0.0185</v>
      </c>
      <c r="K237" s="185">
        <v>0.0</v>
      </c>
      <c r="L237" s="183" t="s">
        <v>17</v>
      </c>
      <c r="M237" s="186">
        <v>0.037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6" t="s">
        <v>848</v>
      </c>
      <c r="B1" s="176" t="s">
        <v>849</v>
      </c>
      <c r="C1" s="176" t="s">
        <v>868</v>
      </c>
      <c r="D1" s="176" t="s">
        <v>869</v>
      </c>
      <c r="E1" s="176" t="s">
        <v>870</v>
      </c>
      <c r="F1" s="176" t="s">
        <v>850</v>
      </c>
      <c r="G1" s="176" t="s">
        <v>851</v>
      </c>
      <c r="H1" s="176" t="s">
        <v>852</v>
      </c>
      <c r="I1" s="176" t="s">
        <v>853</v>
      </c>
      <c r="J1" s="176" t="s">
        <v>32</v>
      </c>
      <c r="K1" s="176" t="s">
        <v>17</v>
      </c>
      <c r="L1" s="176" t="s">
        <v>392</v>
      </c>
      <c r="M1" s="176" t="s">
        <v>124</v>
      </c>
      <c r="N1" s="176" t="s">
        <v>402</v>
      </c>
      <c r="O1" s="176" t="s">
        <v>907</v>
      </c>
      <c r="P1" s="177" t="s">
        <v>908</v>
      </c>
    </row>
    <row r="2">
      <c r="A2" s="188" t="s">
        <v>631</v>
      </c>
      <c r="B2" s="179">
        <v>6.0</v>
      </c>
      <c r="C2" s="191">
        <v>0.5</v>
      </c>
      <c r="D2" s="180">
        <v>1.0</v>
      </c>
      <c r="E2" s="192"/>
      <c r="F2" s="179">
        <v>7.0</v>
      </c>
      <c r="G2" s="179">
        <v>3.0</v>
      </c>
      <c r="H2" s="180">
        <v>0.429</v>
      </c>
      <c r="I2" s="178" t="s">
        <v>855</v>
      </c>
      <c r="J2" s="180">
        <v>0.4286</v>
      </c>
      <c r="K2" s="180">
        <v>0.0</v>
      </c>
      <c r="L2" s="180">
        <v>0.0</v>
      </c>
      <c r="M2" s="180">
        <v>0.0</v>
      </c>
      <c r="N2" s="180">
        <v>0.0</v>
      </c>
      <c r="O2" s="178" t="s">
        <v>32</v>
      </c>
      <c r="P2" s="181">
        <v>0.4286</v>
      </c>
    </row>
    <row r="3">
      <c r="A3" s="188" t="s">
        <v>632</v>
      </c>
      <c r="B3" s="184">
        <v>13.0</v>
      </c>
      <c r="C3" s="195">
        <v>0.28</v>
      </c>
      <c r="D3" s="185">
        <v>1.0</v>
      </c>
      <c r="E3" s="196"/>
      <c r="F3" s="184">
        <v>11.0</v>
      </c>
      <c r="G3" s="184">
        <v>5.0</v>
      </c>
      <c r="H3" s="185">
        <v>0.455</v>
      </c>
      <c r="I3" s="183" t="s">
        <v>855</v>
      </c>
      <c r="J3" s="185">
        <v>0.3077</v>
      </c>
      <c r="K3" s="185">
        <v>0.0</v>
      </c>
      <c r="L3" s="185">
        <v>0.0769</v>
      </c>
      <c r="M3" s="185">
        <v>0.1538</v>
      </c>
      <c r="N3" s="185">
        <v>0.0</v>
      </c>
      <c r="O3" s="183" t="s">
        <v>32</v>
      </c>
      <c r="P3" s="186">
        <v>0.3077</v>
      </c>
    </row>
    <row r="4">
      <c r="A4" s="188" t="s">
        <v>544</v>
      </c>
      <c r="B4" s="179">
        <v>15.0</v>
      </c>
      <c r="C4" s="191">
        <v>1.0</v>
      </c>
      <c r="D4" s="180">
        <v>1.0</v>
      </c>
      <c r="E4" s="192"/>
      <c r="F4" s="179">
        <v>15.0</v>
      </c>
      <c r="G4" s="179">
        <v>4.0</v>
      </c>
      <c r="H4" s="180">
        <v>0.267</v>
      </c>
      <c r="I4" s="178" t="s">
        <v>855</v>
      </c>
      <c r="J4" s="180">
        <v>0.25</v>
      </c>
      <c r="K4" s="180">
        <v>0.0</v>
      </c>
      <c r="L4" s="180">
        <v>0.0</v>
      </c>
      <c r="M4" s="180">
        <v>0.0625</v>
      </c>
      <c r="N4" s="180">
        <v>0.0</v>
      </c>
      <c r="O4" s="178" t="s">
        <v>32</v>
      </c>
      <c r="P4" s="181">
        <v>0.25</v>
      </c>
    </row>
    <row r="5">
      <c r="A5" s="188" t="s">
        <v>591</v>
      </c>
      <c r="B5" s="184">
        <v>23.0</v>
      </c>
      <c r="C5" s="195">
        <v>0.09</v>
      </c>
      <c r="D5" s="185">
        <v>1.0</v>
      </c>
      <c r="E5" s="196"/>
      <c r="F5" s="184">
        <v>22.0</v>
      </c>
      <c r="G5" s="184">
        <v>6.0</v>
      </c>
      <c r="H5" s="185">
        <v>0.273</v>
      </c>
      <c r="I5" s="183" t="s">
        <v>855</v>
      </c>
      <c r="J5" s="185">
        <v>0.2083</v>
      </c>
      <c r="K5" s="185">
        <v>0.0417</v>
      </c>
      <c r="L5" s="185">
        <v>0.1667</v>
      </c>
      <c r="M5" s="185">
        <v>0.0</v>
      </c>
      <c r="N5" s="185">
        <v>0.0</v>
      </c>
      <c r="O5" s="183" t="s">
        <v>32</v>
      </c>
      <c r="P5" s="186">
        <v>0.2083</v>
      </c>
    </row>
    <row r="6">
      <c r="A6" s="188" t="s">
        <v>633</v>
      </c>
      <c r="B6" s="179">
        <v>11.0</v>
      </c>
      <c r="C6" s="191">
        <v>0.52</v>
      </c>
      <c r="D6" s="180">
        <v>1.0</v>
      </c>
      <c r="E6" s="192"/>
      <c r="F6" s="179">
        <v>9.0</v>
      </c>
      <c r="G6" s="179">
        <v>3.0</v>
      </c>
      <c r="H6" s="180">
        <v>0.333</v>
      </c>
      <c r="I6" s="178" t="s">
        <v>855</v>
      </c>
      <c r="J6" s="180">
        <v>0.2</v>
      </c>
      <c r="K6" s="180">
        <v>0.0</v>
      </c>
      <c r="L6" s="180">
        <v>0.0</v>
      </c>
      <c r="M6" s="180">
        <v>0.0</v>
      </c>
      <c r="N6" s="180">
        <v>0.1</v>
      </c>
      <c r="O6" s="178" t="s">
        <v>32</v>
      </c>
      <c r="P6" s="181">
        <v>0.2</v>
      </c>
    </row>
    <row r="7">
      <c r="A7" s="183" t="s">
        <v>614</v>
      </c>
      <c r="B7" s="184">
        <v>18.0</v>
      </c>
      <c r="C7" s="195">
        <v>0.9</v>
      </c>
      <c r="D7" s="185">
        <v>1.0</v>
      </c>
      <c r="E7" s="196"/>
      <c r="F7" s="184">
        <v>15.0</v>
      </c>
      <c r="G7" s="184">
        <v>3.0</v>
      </c>
      <c r="H7" s="185">
        <v>0.2</v>
      </c>
      <c r="I7" s="183" t="s">
        <v>855</v>
      </c>
      <c r="J7" s="185">
        <v>0.1333</v>
      </c>
      <c r="K7" s="185">
        <v>0.0</v>
      </c>
      <c r="L7" s="185">
        <v>0.0667</v>
      </c>
      <c r="M7" s="185">
        <v>0.0</v>
      </c>
      <c r="N7" s="185">
        <v>0.0667</v>
      </c>
      <c r="O7" s="183" t="s">
        <v>32</v>
      </c>
      <c r="P7" s="186">
        <v>0.1333</v>
      </c>
    </row>
    <row r="8">
      <c r="A8" s="178" t="s">
        <v>615</v>
      </c>
      <c r="B8" s="179">
        <v>27.0</v>
      </c>
      <c r="C8" s="191">
        <v>1.0</v>
      </c>
      <c r="D8" s="180">
        <v>1.0</v>
      </c>
      <c r="E8" s="192"/>
      <c r="F8" s="179">
        <v>27.0</v>
      </c>
      <c r="G8" s="179">
        <v>3.0</v>
      </c>
      <c r="H8" s="180">
        <v>0.111</v>
      </c>
      <c r="I8" s="178" t="s">
        <v>855</v>
      </c>
      <c r="J8" s="180">
        <v>0.1111</v>
      </c>
      <c r="K8" s="180">
        <v>0.0</v>
      </c>
      <c r="L8" s="180">
        <v>0.0741</v>
      </c>
      <c r="M8" s="180">
        <v>0.0</v>
      </c>
      <c r="N8" s="180">
        <v>0.0</v>
      </c>
      <c r="O8" s="178" t="s">
        <v>32</v>
      </c>
      <c r="P8" s="181">
        <v>0.1111</v>
      </c>
    </row>
    <row r="9">
      <c r="A9" s="183" t="s">
        <v>616</v>
      </c>
      <c r="B9" s="184">
        <v>39.0</v>
      </c>
      <c r="C9" s="195">
        <v>0.43</v>
      </c>
      <c r="D9" s="185">
        <v>1.0</v>
      </c>
      <c r="E9" s="196"/>
      <c r="F9" s="184">
        <v>38.0</v>
      </c>
      <c r="G9" s="184">
        <v>4.0</v>
      </c>
      <c r="H9" s="185">
        <v>0.105</v>
      </c>
      <c r="I9" s="183" t="s">
        <v>855</v>
      </c>
      <c r="J9" s="185">
        <v>0.0789</v>
      </c>
      <c r="K9" s="185">
        <v>0.0</v>
      </c>
      <c r="L9" s="185">
        <v>0.0</v>
      </c>
      <c r="M9" s="185">
        <v>0.0263</v>
      </c>
      <c r="N9" s="185">
        <v>0.0</v>
      </c>
      <c r="O9" s="183" t="s">
        <v>32</v>
      </c>
      <c r="P9" s="186">
        <v>0.0789</v>
      </c>
    </row>
    <row r="10">
      <c r="A10" s="178" t="s">
        <v>575</v>
      </c>
      <c r="B10" s="179">
        <v>129.0</v>
      </c>
      <c r="C10" s="191">
        <v>0.54</v>
      </c>
      <c r="D10" s="180">
        <v>1.0</v>
      </c>
      <c r="E10" s="192"/>
      <c r="F10" s="179">
        <v>125.0</v>
      </c>
      <c r="G10" s="179">
        <v>7.0</v>
      </c>
      <c r="H10" s="180">
        <v>0.056</v>
      </c>
      <c r="I10" s="178" t="s">
        <v>855</v>
      </c>
      <c r="J10" s="180">
        <v>0.048</v>
      </c>
      <c r="K10" s="180">
        <v>0.0</v>
      </c>
      <c r="L10" s="180">
        <v>0.016</v>
      </c>
      <c r="M10" s="180">
        <v>0.008</v>
      </c>
      <c r="N10" s="180">
        <v>0.0</v>
      </c>
      <c r="O10" s="178" t="s">
        <v>32</v>
      </c>
      <c r="P10" s="181">
        <v>0.048</v>
      </c>
    </row>
    <row r="11">
      <c r="A11" s="240" t="s">
        <v>387</v>
      </c>
      <c r="B11" s="184">
        <v>20.0</v>
      </c>
      <c r="C11" s="195">
        <v>0.28</v>
      </c>
      <c r="D11" s="185">
        <v>1.0</v>
      </c>
      <c r="E11" s="196"/>
      <c r="F11" s="184">
        <v>16.0</v>
      </c>
      <c r="G11" s="184">
        <v>7.0</v>
      </c>
      <c r="H11" s="185">
        <v>0.438</v>
      </c>
      <c r="I11" s="183" t="s">
        <v>855</v>
      </c>
      <c r="J11" s="185">
        <v>0.1579</v>
      </c>
      <c r="K11" s="185">
        <v>0.1053</v>
      </c>
      <c r="L11" s="185">
        <v>0.0526</v>
      </c>
      <c r="M11" s="185">
        <v>0.1579</v>
      </c>
      <c r="N11" s="185">
        <v>0.0526</v>
      </c>
      <c r="O11" s="183" t="s">
        <v>307</v>
      </c>
      <c r="P11" s="186">
        <v>0.1579</v>
      </c>
    </row>
    <row r="12">
      <c r="A12" s="178" t="s">
        <v>583</v>
      </c>
      <c r="B12" s="179">
        <v>23.0</v>
      </c>
      <c r="C12" s="191">
        <v>1.0</v>
      </c>
      <c r="D12" s="180">
        <v>1.0</v>
      </c>
      <c r="E12" s="192"/>
      <c r="F12" s="179">
        <v>19.0</v>
      </c>
      <c r="G12" s="179">
        <v>4.0</v>
      </c>
      <c r="H12" s="180">
        <v>0.211</v>
      </c>
      <c r="I12" s="178" t="s">
        <v>855</v>
      </c>
      <c r="J12" s="180">
        <v>0.1364</v>
      </c>
      <c r="K12" s="180">
        <v>0.0</v>
      </c>
      <c r="L12" s="180">
        <v>0.0909</v>
      </c>
      <c r="M12" s="180">
        <v>0.1364</v>
      </c>
      <c r="N12" s="180">
        <v>0.0</v>
      </c>
      <c r="O12" s="178" t="s">
        <v>307</v>
      </c>
      <c r="P12" s="181">
        <v>0.1364</v>
      </c>
    </row>
    <row r="13">
      <c r="A13" s="183" t="s">
        <v>618</v>
      </c>
      <c r="B13" s="184">
        <v>61.0</v>
      </c>
      <c r="C13" s="195">
        <v>0.32</v>
      </c>
      <c r="D13" s="185">
        <v>1.0</v>
      </c>
      <c r="E13" s="196"/>
      <c r="F13" s="184">
        <v>54.0</v>
      </c>
      <c r="G13" s="184">
        <v>8.0</v>
      </c>
      <c r="H13" s="185">
        <v>0.148</v>
      </c>
      <c r="I13" s="183" t="s">
        <v>855</v>
      </c>
      <c r="J13" s="185">
        <v>0.0862</v>
      </c>
      <c r="K13" s="185">
        <v>0.0</v>
      </c>
      <c r="L13" s="185">
        <v>0.0172</v>
      </c>
      <c r="M13" s="185">
        <v>0.069</v>
      </c>
      <c r="N13" s="185">
        <v>0.0345</v>
      </c>
      <c r="O13" s="183" t="s">
        <v>307</v>
      </c>
      <c r="P13" s="186">
        <v>0.0862</v>
      </c>
    </row>
    <row r="14">
      <c r="A14" s="178" t="s">
        <v>602</v>
      </c>
      <c r="B14" s="179">
        <v>63.0</v>
      </c>
      <c r="C14" s="191">
        <v>0.57</v>
      </c>
      <c r="D14" s="180">
        <v>1.0</v>
      </c>
      <c r="E14" s="192"/>
      <c r="F14" s="179">
        <v>64.0</v>
      </c>
      <c r="G14" s="179">
        <v>4.0</v>
      </c>
      <c r="H14" s="180">
        <v>0.063</v>
      </c>
      <c r="I14" s="178" t="s">
        <v>855</v>
      </c>
      <c r="J14" s="180">
        <v>0.0462</v>
      </c>
      <c r="K14" s="180">
        <v>0.0</v>
      </c>
      <c r="L14" s="180">
        <v>0.0462</v>
      </c>
      <c r="M14" s="180">
        <v>0.0154</v>
      </c>
      <c r="N14" s="180">
        <v>0.0</v>
      </c>
      <c r="O14" s="178" t="s">
        <v>382</v>
      </c>
      <c r="P14" s="181">
        <v>0.0462</v>
      </c>
    </row>
    <row r="15">
      <c r="A15" s="183" t="s">
        <v>619</v>
      </c>
      <c r="B15" s="184">
        <v>15.0</v>
      </c>
      <c r="C15" s="195">
        <v>0.75</v>
      </c>
      <c r="D15" s="185">
        <v>1.0</v>
      </c>
      <c r="E15" s="196"/>
      <c r="F15" s="184">
        <v>14.0</v>
      </c>
      <c r="G15" s="184">
        <v>5.0</v>
      </c>
      <c r="H15" s="185">
        <v>0.357</v>
      </c>
      <c r="I15" s="183" t="s">
        <v>855</v>
      </c>
      <c r="J15" s="185">
        <v>0.125</v>
      </c>
      <c r="K15" s="185">
        <v>0.0</v>
      </c>
      <c r="L15" s="185">
        <v>0.1875</v>
      </c>
      <c r="M15" s="185">
        <v>0.25</v>
      </c>
      <c r="N15" s="185">
        <v>0.0</v>
      </c>
      <c r="O15" s="183" t="s">
        <v>382</v>
      </c>
      <c r="P15" s="186">
        <v>0.25</v>
      </c>
    </row>
    <row r="16">
      <c r="A16" s="188" t="s">
        <v>634</v>
      </c>
      <c r="B16" s="179">
        <v>13.0</v>
      </c>
      <c r="C16" s="191">
        <v>0.14</v>
      </c>
      <c r="D16" s="180">
        <v>1.0</v>
      </c>
      <c r="E16" s="192"/>
      <c r="F16" s="179">
        <v>9.0</v>
      </c>
      <c r="G16" s="179">
        <v>7.0</v>
      </c>
      <c r="H16" s="180">
        <v>0.778</v>
      </c>
      <c r="I16" s="178" t="s">
        <v>855</v>
      </c>
      <c r="J16" s="180">
        <v>0.0909</v>
      </c>
      <c r="K16" s="180">
        <v>0.5455</v>
      </c>
      <c r="L16" s="180">
        <v>0.0</v>
      </c>
      <c r="M16" s="180">
        <v>0.0</v>
      </c>
      <c r="N16" s="180">
        <v>0.0</v>
      </c>
      <c r="O16" s="178" t="s">
        <v>17</v>
      </c>
      <c r="P16" s="181">
        <v>0.5455</v>
      </c>
    </row>
    <row r="17">
      <c r="A17" s="188" t="s">
        <v>635</v>
      </c>
      <c r="B17" s="184">
        <v>6.0</v>
      </c>
      <c r="C17" s="195">
        <v>0.22</v>
      </c>
      <c r="D17" s="185">
        <v>1.0</v>
      </c>
      <c r="E17" s="196"/>
      <c r="F17" s="184">
        <v>4.0</v>
      </c>
      <c r="G17" s="184">
        <v>3.0</v>
      </c>
      <c r="H17" s="185">
        <v>0.75</v>
      </c>
      <c r="I17" s="183" t="s">
        <v>855</v>
      </c>
      <c r="J17" s="185">
        <v>0.25</v>
      </c>
      <c r="K17" s="185">
        <v>0.5</v>
      </c>
      <c r="L17" s="185">
        <v>0.0</v>
      </c>
      <c r="M17" s="185">
        <v>0.0</v>
      </c>
      <c r="N17" s="185">
        <v>0.0</v>
      </c>
      <c r="O17" s="183" t="s">
        <v>17</v>
      </c>
      <c r="P17" s="186">
        <v>0.5</v>
      </c>
    </row>
    <row r="18">
      <c r="A18" s="188" t="s">
        <v>500</v>
      </c>
      <c r="B18" s="179">
        <v>4.0</v>
      </c>
      <c r="C18" s="191">
        <v>0.12</v>
      </c>
      <c r="D18" s="180">
        <v>1.0</v>
      </c>
      <c r="E18" s="192"/>
      <c r="F18" s="179">
        <v>4.0</v>
      </c>
      <c r="G18" s="179">
        <v>3.0</v>
      </c>
      <c r="H18" s="180">
        <v>0.75</v>
      </c>
      <c r="I18" s="178" t="s">
        <v>855</v>
      </c>
      <c r="J18" s="180">
        <v>0.2</v>
      </c>
      <c r="K18" s="180">
        <v>0.4</v>
      </c>
      <c r="L18" s="180">
        <v>0.0</v>
      </c>
      <c r="M18" s="180">
        <v>0.0</v>
      </c>
      <c r="N18" s="180">
        <v>0.0</v>
      </c>
      <c r="O18" s="178" t="s">
        <v>17</v>
      </c>
      <c r="P18" s="181">
        <v>0.4</v>
      </c>
    </row>
    <row r="19">
      <c r="A19" s="188" t="s">
        <v>252</v>
      </c>
      <c r="B19" s="184">
        <v>14.0</v>
      </c>
      <c r="C19" s="195">
        <v>0.22</v>
      </c>
      <c r="D19" s="185">
        <v>1.0</v>
      </c>
      <c r="E19" s="196"/>
      <c r="F19" s="184">
        <v>7.0</v>
      </c>
      <c r="G19" s="184">
        <v>6.0</v>
      </c>
      <c r="H19" s="185">
        <v>0.857</v>
      </c>
      <c r="I19" s="183" t="s">
        <v>855</v>
      </c>
      <c r="J19" s="185">
        <v>0.0714</v>
      </c>
      <c r="K19" s="185">
        <v>0.3571</v>
      </c>
      <c r="L19" s="185">
        <v>0.0</v>
      </c>
      <c r="M19" s="185">
        <v>0.0</v>
      </c>
      <c r="N19" s="185">
        <v>0.0</v>
      </c>
      <c r="O19" s="183" t="s">
        <v>17</v>
      </c>
      <c r="P19" s="186">
        <v>0.3571</v>
      </c>
    </row>
    <row r="20">
      <c r="A20" s="188" t="s">
        <v>636</v>
      </c>
      <c r="B20" s="179">
        <v>10.0</v>
      </c>
      <c r="C20" s="191">
        <v>1.0</v>
      </c>
      <c r="D20" s="180">
        <v>1.0</v>
      </c>
      <c r="E20" s="192"/>
      <c r="F20" s="179">
        <v>9.0</v>
      </c>
      <c r="G20" s="179">
        <v>4.0</v>
      </c>
      <c r="H20" s="180">
        <v>0.444</v>
      </c>
      <c r="I20" s="178" t="s">
        <v>855</v>
      </c>
      <c r="J20" s="180">
        <v>0.1</v>
      </c>
      <c r="K20" s="180">
        <v>0.3</v>
      </c>
      <c r="L20" s="180">
        <v>0.0</v>
      </c>
      <c r="M20" s="180">
        <v>0.0</v>
      </c>
      <c r="N20" s="180">
        <v>0.0</v>
      </c>
      <c r="O20" s="178" t="s">
        <v>17</v>
      </c>
      <c r="P20" s="181">
        <v>0.3</v>
      </c>
    </row>
    <row r="21">
      <c r="A21" s="188" t="s">
        <v>637</v>
      </c>
      <c r="B21" s="184">
        <v>8.0</v>
      </c>
      <c r="C21" s="195">
        <v>0.19</v>
      </c>
      <c r="D21" s="185">
        <v>1.0</v>
      </c>
      <c r="E21" s="196"/>
      <c r="F21" s="184">
        <v>9.0</v>
      </c>
      <c r="G21" s="184">
        <v>3.0</v>
      </c>
      <c r="H21" s="185">
        <v>0.333</v>
      </c>
      <c r="I21" s="183" t="s">
        <v>855</v>
      </c>
      <c r="J21" s="185">
        <v>0.0</v>
      </c>
      <c r="K21" s="185">
        <v>0.3</v>
      </c>
      <c r="L21" s="185">
        <v>0.0</v>
      </c>
      <c r="M21" s="185">
        <v>0.0</v>
      </c>
      <c r="N21" s="185">
        <v>0.0</v>
      </c>
      <c r="O21" s="183" t="s">
        <v>17</v>
      </c>
      <c r="P21" s="186">
        <v>0.3</v>
      </c>
    </row>
    <row r="22">
      <c r="A22" s="178" t="s">
        <v>585</v>
      </c>
      <c r="B22" s="179">
        <v>16.0</v>
      </c>
      <c r="C22" s="191">
        <v>0.36</v>
      </c>
      <c r="D22" s="180">
        <v>1.0</v>
      </c>
      <c r="E22" s="192"/>
      <c r="F22" s="179">
        <v>16.0</v>
      </c>
      <c r="G22" s="179">
        <v>3.0</v>
      </c>
      <c r="H22" s="180">
        <v>0.188</v>
      </c>
      <c r="I22" s="178" t="s">
        <v>855</v>
      </c>
      <c r="J22" s="180">
        <v>0.0</v>
      </c>
      <c r="K22" s="180">
        <v>0.1176</v>
      </c>
      <c r="L22" s="180">
        <v>0.0588</v>
      </c>
      <c r="M22" s="180">
        <v>0.0</v>
      </c>
      <c r="N22" s="180">
        <v>0.0</v>
      </c>
      <c r="O22" s="178" t="s">
        <v>17</v>
      </c>
      <c r="P22" s="181">
        <v>0.1176</v>
      </c>
    </row>
    <row r="23">
      <c r="A23" s="183" t="s">
        <v>620</v>
      </c>
      <c r="B23" s="184">
        <v>40.0</v>
      </c>
      <c r="C23" s="195">
        <v>0.85</v>
      </c>
      <c r="D23" s="185">
        <v>1.0</v>
      </c>
      <c r="E23" s="196"/>
      <c r="F23" s="184">
        <v>37.0</v>
      </c>
      <c r="G23" s="184">
        <v>4.0</v>
      </c>
      <c r="H23" s="185">
        <v>0.108</v>
      </c>
      <c r="I23" s="183" t="s">
        <v>855</v>
      </c>
      <c r="J23" s="185">
        <v>0.0263</v>
      </c>
      <c r="K23" s="185">
        <v>0.0789</v>
      </c>
      <c r="L23" s="185">
        <v>0.0526</v>
      </c>
      <c r="M23" s="185">
        <v>0.0</v>
      </c>
      <c r="N23" s="185">
        <v>0.0</v>
      </c>
      <c r="O23" s="183" t="s">
        <v>17</v>
      </c>
      <c r="P23" s="186">
        <v>0.0789</v>
      </c>
    </row>
    <row r="24">
      <c r="A24" s="178" t="s">
        <v>621</v>
      </c>
      <c r="B24" s="179">
        <v>91.0</v>
      </c>
      <c r="C24" s="191">
        <v>0.82</v>
      </c>
      <c r="D24" s="180">
        <v>1.0</v>
      </c>
      <c r="E24" s="192"/>
      <c r="F24" s="179">
        <v>90.0</v>
      </c>
      <c r="G24" s="179">
        <v>5.0</v>
      </c>
      <c r="H24" s="180">
        <v>0.056</v>
      </c>
      <c r="I24" s="178" t="s">
        <v>855</v>
      </c>
      <c r="J24" s="180">
        <v>0.0</v>
      </c>
      <c r="K24" s="180">
        <v>0.0549</v>
      </c>
      <c r="L24" s="180">
        <v>0.022</v>
      </c>
      <c r="M24" s="180">
        <v>0.0</v>
      </c>
      <c r="N24" s="180">
        <v>0.0</v>
      </c>
      <c r="O24" s="178" t="s">
        <v>17</v>
      </c>
      <c r="P24" s="181">
        <v>0.0549</v>
      </c>
    </row>
    <row r="25">
      <c r="A25" s="183" t="s">
        <v>622</v>
      </c>
      <c r="B25" s="184">
        <v>54.0</v>
      </c>
      <c r="C25" s="195">
        <v>1.0</v>
      </c>
      <c r="D25" s="185">
        <v>1.0</v>
      </c>
      <c r="E25" s="196"/>
      <c r="F25" s="184">
        <v>53.0</v>
      </c>
      <c r="G25" s="184">
        <v>3.0</v>
      </c>
      <c r="H25" s="185">
        <v>0.057</v>
      </c>
      <c r="I25" s="183" t="s">
        <v>855</v>
      </c>
      <c r="J25" s="185">
        <v>0.0185</v>
      </c>
      <c r="K25" s="185">
        <v>0.037</v>
      </c>
      <c r="L25" s="185">
        <v>0.0185</v>
      </c>
      <c r="M25" s="185">
        <v>0.0185</v>
      </c>
      <c r="N25" s="185">
        <v>0.0</v>
      </c>
      <c r="O25" s="183" t="s">
        <v>17</v>
      </c>
      <c r="P25" s="186">
        <v>0.037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</cols>
  <sheetData>
    <row r="1">
      <c r="A1" s="176"/>
      <c r="B1" s="176" t="s">
        <v>849</v>
      </c>
      <c r="C1" s="176" t="s">
        <v>868</v>
      </c>
      <c r="D1" s="176" t="s">
        <v>869</v>
      </c>
      <c r="E1" s="176" t="s">
        <v>870</v>
      </c>
      <c r="F1" s="176" t="s">
        <v>850</v>
      </c>
      <c r="G1" s="176" t="s">
        <v>851</v>
      </c>
      <c r="H1" s="176" t="s">
        <v>852</v>
      </c>
      <c r="I1" s="176" t="s">
        <v>853</v>
      </c>
      <c r="J1" s="176" t="s">
        <v>120</v>
      </c>
      <c r="K1" s="176" t="s">
        <v>77</v>
      </c>
      <c r="L1" s="176" t="s">
        <v>493</v>
      </c>
      <c r="M1" s="176" t="s">
        <v>448</v>
      </c>
      <c r="N1" s="176" t="s">
        <v>374</v>
      </c>
      <c r="O1" s="176" t="s">
        <v>929</v>
      </c>
      <c r="P1" s="176" t="s">
        <v>908</v>
      </c>
    </row>
    <row r="2">
      <c r="A2" s="259" t="s">
        <v>503</v>
      </c>
      <c r="B2" s="179">
        <v>14.0</v>
      </c>
      <c r="C2" s="191">
        <v>1.0</v>
      </c>
      <c r="D2" s="180">
        <v>1.0</v>
      </c>
      <c r="E2" s="192"/>
      <c r="F2" s="179">
        <v>11.0</v>
      </c>
      <c r="G2" s="179">
        <v>4.0</v>
      </c>
      <c r="H2" s="180">
        <v>0.364</v>
      </c>
      <c r="I2" s="178" t="s">
        <v>855</v>
      </c>
      <c r="J2" s="180">
        <v>0.25</v>
      </c>
      <c r="K2" s="180">
        <v>0.0833</v>
      </c>
      <c r="L2" s="180">
        <v>0.1667</v>
      </c>
      <c r="M2" s="180">
        <v>0.0</v>
      </c>
      <c r="N2" s="180">
        <v>0.0</v>
      </c>
      <c r="O2" s="178" t="s">
        <v>32</v>
      </c>
      <c r="P2" s="180">
        <v>0.25</v>
      </c>
    </row>
    <row r="3">
      <c r="A3" s="183" t="s">
        <v>583</v>
      </c>
      <c r="B3" s="184">
        <v>12.0</v>
      </c>
      <c r="C3" s="195">
        <v>1.0</v>
      </c>
      <c r="D3" s="185">
        <v>1.0</v>
      </c>
      <c r="E3" s="196"/>
      <c r="F3" s="184">
        <v>11.0</v>
      </c>
      <c r="G3" s="184">
        <v>3.0</v>
      </c>
      <c r="H3" s="185">
        <v>0.273</v>
      </c>
      <c r="I3" s="183" t="s">
        <v>855</v>
      </c>
      <c r="J3" s="185">
        <v>0.25</v>
      </c>
      <c r="K3" s="185">
        <v>0.0</v>
      </c>
      <c r="L3" s="185">
        <v>0.0</v>
      </c>
      <c r="M3" s="185">
        <v>0.0</v>
      </c>
      <c r="N3" s="185">
        <v>0.0</v>
      </c>
      <c r="O3" s="183" t="s">
        <v>32</v>
      </c>
      <c r="P3" s="185">
        <v>0.25</v>
      </c>
    </row>
    <row r="4">
      <c r="A4" s="178" t="s">
        <v>584</v>
      </c>
      <c r="B4" s="179">
        <v>11.0</v>
      </c>
      <c r="C4" s="191">
        <v>0.52</v>
      </c>
      <c r="D4" s="180">
        <v>1.0</v>
      </c>
      <c r="E4" s="192"/>
      <c r="F4" s="179">
        <v>7.0</v>
      </c>
      <c r="G4" s="179">
        <v>3.0</v>
      </c>
      <c r="H4" s="180">
        <v>0.429</v>
      </c>
      <c r="I4" s="178" t="s">
        <v>855</v>
      </c>
      <c r="J4" s="180">
        <v>0.2222</v>
      </c>
      <c r="K4" s="180">
        <v>0.1111</v>
      </c>
      <c r="L4" s="180">
        <v>0.1111</v>
      </c>
      <c r="M4" s="180">
        <v>0.0</v>
      </c>
      <c r="N4" s="180">
        <v>0.0</v>
      </c>
      <c r="O4" s="178" t="s">
        <v>32</v>
      </c>
      <c r="P4" s="180">
        <v>0.2222</v>
      </c>
    </row>
    <row r="5">
      <c r="A5" s="183" t="s">
        <v>585</v>
      </c>
      <c r="B5" s="184">
        <v>48.0</v>
      </c>
      <c r="C5" s="195">
        <v>0.89</v>
      </c>
      <c r="D5" s="185">
        <v>1.0</v>
      </c>
      <c r="E5" s="196"/>
      <c r="F5" s="184">
        <v>38.0</v>
      </c>
      <c r="G5" s="184">
        <v>9.0</v>
      </c>
      <c r="H5" s="185">
        <v>0.237</v>
      </c>
      <c r="I5" s="183" t="s">
        <v>855</v>
      </c>
      <c r="J5" s="185">
        <v>0.0976</v>
      </c>
      <c r="K5" s="185">
        <v>0.0244</v>
      </c>
      <c r="L5" s="185">
        <v>0.0732</v>
      </c>
      <c r="M5" s="185">
        <v>0.0488</v>
      </c>
      <c r="N5" s="185">
        <v>0.0488</v>
      </c>
      <c r="O5" s="183" t="s">
        <v>32</v>
      </c>
      <c r="P5" s="185">
        <v>0.0976</v>
      </c>
    </row>
    <row r="6">
      <c r="A6" s="178" t="s">
        <v>586</v>
      </c>
      <c r="B6" s="179">
        <v>17.0</v>
      </c>
      <c r="C6" s="191">
        <v>0.61</v>
      </c>
      <c r="D6" s="180">
        <v>1.0</v>
      </c>
      <c r="E6" s="192"/>
      <c r="F6" s="179">
        <v>12.0</v>
      </c>
      <c r="G6" s="179">
        <v>3.0</v>
      </c>
      <c r="H6" s="180">
        <v>0.25</v>
      </c>
      <c r="I6" s="178" t="s">
        <v>855</v>
      </c>
      <c r="J6" s="180">
        <v>0.1538</v>
      </c>
      <c r="K6" s="180">
        <v>0.0</v>
      </c>
      <c r="L6" s="180">
        <v>0.1538</v>
      </c>
      <c r="M6" s="180">
        <v>0.0</v>
      </c>
      <c r="N6" s="180">
        <v>0.0769</v>
      </c>
      <c r="O6" s="178" t="s">
        <v>382</v>
      </c>
      <c r="P6" s="180">
        <v>0.1538</v>
      </c>
    </row>
    <row r="7">
      <c r="A7" s="259" t="s">
        <v>354</v>
      </c>
      <c r="B7" s="184">
        <v>12.0</v>
      </c>
      <c r="C7" s="195">
        <v>0.29</v>
      </c>
      <c r="D7" s="185">
        <v>1.0</v>
      </c>
      <c r="E7" s="196"/>
      <c r="F7" s="184">
        <v>8.0</v>
      </c>
      <c r="G7" s="184">
        <v>4.0</v>
      </c>
      <c r="H7" s="185">
        <v>0.5</v>
      </c>
      <c r="I7" s="183" t="s">
        <v>855</v>
      </c>
      <c r="J7" s="185">
        <v>0.0</v>
      </c>
      <c r="K7" s="185">
        <v>0.0</v>
      </c>
      <c r="L7" s="185">
        <v>0.1</v>
      </c>
      <c r="M7" s="185">
        <v>0.0</v>
      </c>
      <c r="N7" s="185">
        <v>0.4</v>
      </c>
      <c r="O7" s="183" t="s">
        <v>124</v>
      </c>
      <c r="P7" s="185">
        <v>0.4</v>
      </c>
    </row>
    <row r="8">
      <c r="A8" s="178" t="s">
        <v>329</v>
      </c>
      <c r="B8" s="179">
        <v>23.0</v>
      </c>
      <c r="C8" s="191">
        <v>0.79</v>
      </c>
      <c r="D8" s="180">
        <v>1.0</v>
      </c>
      <c r="E8" s="192"/>
      <c r="F8" s="179">
        <v>21.0</v>
      </c>
      <c r="G8" s="179">
        <v>3.0</v>
      </c>
      <c r="H8" s="180">
        <v>0.143</v>
      </c>
      <c r="I8" s="178" t="s">
        <v>855</v>
      </c>
      <c r="J8" s="180">
        <v>0.0476</v>
      </c>
      <c r="K8" s="180">
        <v>0.0</v>
      </c>
      <c r="L8" s="180">
        <v>0.0476</v>
      </c>
      <c r="M8" s="180">
        <v>0.0</v>
      </c>
      <c r="N8" s="180">
        <v>0.0952</v>
      </c>
      <c r="O8" s="178" t="s">
        <v>124</v>
      </c>
      <c r="P8" s="180">
        <v>0.0952</v>
      </c>
    </row>
    <row r="9">
      <c r="A9" s="183" t="s">
        <v>587</v>
      </c>
      <c r="B9" s="184">
        <v>53.0</v>
      </c>
      <c r="C9" s="195">
        <v>0.62</v>
      </c>
      <c r="D9" s="185">
        <v>1.0</v>
      </c>
      <c r="E9" s="196"/>
      <c r="F9" s="184">
        <v>51.0</v>
      </c>
      <c r="G9" s="184">
        <v>4.0</v>
      </c>
      <c r="H9" s="185">
        <v>0.078</v>
      </c>
      <c r="I9" s="183" t="s">
        <v>855</v>
      </c>
      <c r="J9" s="185">
        <v>0.0364</v>
      </c>
      <c r="K9" s="185">
        <v>0.0</v>
      </c>
      <c r="L9" s="185">
        <v>0.0182</v>
      </c>
      <c r="M9" s="185">
        <v>0.0</v>
      </c>
      <c r="N9" s="185">
        <v>0.0545</v>
      </c>
      <c r="O9" s="183" t="s">
        <v>124</v>
      </c>
      <c r="P9" s="185">
        <v>0.0545</v>
      </c>
    </row>
    <row r="10">
      <c r="A10" s="259" t="s">
        <v>426</v>
      </c>
      <c r="B10" s="179">
        <v>15.0</v>
      </c>
      <c r="C10" s="191">
        <v>0.5</v>
      </c>
      <c r="D10" s="180">
        <v>1.0</v>
      </c>
      <c r="E10" s="192"/>
      <c r="F10" s="179">
        <v>9.0</v>
      </c>
      <c r="G10" s="179">
        <v>3.0</v>
      </c>
      <c r="H10" s="180">
        <v>0.333</v>
      </c>
      <c r="I10" s="178" t="s">
        <v>855</v>
      </c>
      <c r="J10" s="180">
        <v>0.1</v>
      </c>
      <c r="K10" s="180">
        <v>0.1</v>
      </c>
      <c r="L10" s="180">
        <v>0.2</v>
      </c>
      <c r="M10" s="180">
        <v>0.0</v>
      </c>
      <c r="N10" s="180">
        <v>0.1</v>
      </c>
      <c r="O10" s="178" t="s">
        <v>588</v>
      </c>
      <c r="P10" s="180">
        <v>0.2</v>
      </c>
    </row>
    <row r="11">
      <c r="A11" s="183" t="s">
        <v>159</v>
      </c>
      <c r="B11" s="184">
        <v>30.0</v>
      </c>
      <c r="C11" s="195">
        <v>0.37</v>
      </c>
      <c r="D11" s="185">
        <v>1.0</v>
      </c>
      <c r="E11" s="196"/>
      <c r="F11" s="184">
        <v>29.0</v>
      </c>
      <c r="G11" s="184">
        <v>3.0</v>
      </c>
      <c r="H11" s="185">
        <v>0.103</v>
      </c>
      <c r="I11" s="183" t="s">
        <v>855</v>
      </c>
      <c r="J11" s="185">
        <v>0.0667</v>
      </c>
      <c r="K11" s="185">
        <v>0.0333</v>
      </c>
      <c r="L11" s="185">
        <v>0.1333</v>
      </c>
      <c r="M11" s="185">
        <v>0.0</v>
      </c>
      <c r="N11" s="185">
        <v>0.0</v>
      </c>
      <c r="O11" s="183" t="s">
        <v>588</v>
      </c>
      <c r="P11" s="185">
        <v>0.1333</v>
      </c>
    </row>
    <row r="12">
      <c r="A12" s="178" t="s">
        <v>570</v>
      </c>
      <c r="B12" s="179">
        <v>41.0</v>
      </c>
      <c r="C12" s="191">
        <v>0.39</v>
      </c>
      <c r="D12" s="180">
        <v>1.0</v>
      </c>
      <c r="E12" s="192"/>
      <c r="F12" s="179">
        <v>36.0</v>
      </c>
      <c r="G12" s="179">
        <v>7.0</v>
      </c>
      <c r="H12" s="180">
        <v>0.194</v>
      </c>
      <c r="I12" s="178" t="s">
        <v>855</v>
      </c>
      <c r="J12" s="180">
        <v>0.1053</v>
      </c>
      <c r="K12" s="180">
        <v>0.0</v>
      </c>
      <c r="L12" s="180">
        <v>0.1316</v>
      </c>
      <c r="M12" s="180">
        <v>0.0263</v>
      </c>
      <c r="N12" s="180">
        <v>0.0526</v>
      </c>
      <c r="O12" s="178" t="s">
        <v>588</v>
      </c>
      <c r="P12" s="180">
        <v>0.1316</v>
      </c>
    </row>
    <row r="13">
      <c r="A13" s="183" t="s">
        <v>496</v>
      </c>
      <c r="B13" s="184">
        <v>39.0</v>
      </c>
      <c r="C13" s="195">
        <v>0.72</v>
      </c>
      <c r="D13" s="185">
        <v>1.0</v>
      </c>
      <c r="E13" s="196"/>
      <c r="F13" s="184">
        <v>32.0</v>
      </c>
      <c r="G13" s="184">
        <v>3.0</v>
      </c>
      <c r="H13" s="185">
        <v>0.094</v>
      </c>
      <c r="I13" s="183" t="s">
        <v>855</v>
      </c>
      <c r="J13" s="185">
        <v>0.0278</v>
      </c>
      <c r="K13" s="185">
        <v>0.0</v>
      </c>
      <c r="L13" s="185">
        <v>0.1111</v>
      </c>
      <c r="M13" s="185">
        <v>0.0</v>
      </c>
      <c r="N13" s="185">
        <v>0.0556</v>
      </c>
      <c r="O13" s="183" t="s">
        <v>588</v>
      </c>
      <c r="P13" s="185">
        <v>0.1111</v>
      </c>
    </row>
    <row r="14">
      <c r="A14" s="178" t="s">
        <v>589</v>
      </c>
      <c r="B14" s="179">
        <v>44.0</v>
      </c>
      <c r="C14" s="191">
        <v>0.3</v>
      </c>
      <c r="D14" s="180">
        <v>1.0</v>
      </c>
      <c r="E14" s="192"/>
      <c r="F14" s="179">
        <v>39.0</v>
      </c>
      <c r="G14" s="179">
        <v>3.0</v>
      </c>
      <c r="H14" s="180">
        <v>0.077</v>
      </c>
      <c r="I14" s="178" t="s">
        <v>855</v>
      </c>
      <c r="J14" s="180">
        <v>0.05</v>
      </c>
      <c r="K14" s="180">
        <v>0.0</v>
      </c>
      <c r="L14" s="180">
        <v>0.05</v>
      </c>
      <c r="M14" s="180">
        <v>0.0</v>
      </c>
      <c r="N14" s="180">
        <v>0.025</v>
      </c>
      <c r="O14" s="178" t="s">
        <v>588</v>
      </c>
      <c r="P14" s="180">
        <v>0.05</v>
      </c>
    </row>
    <row r="15">
      <c r="A15" s="183" t="s">
        <v>590</v>
      </c>
      <c r="B15" s="184">
        <v>85.0</v>
      </c>
      <c r="C15" s="195">
        <v>0.68</v>
      </c>
      <c r="D15" s="185">
        <v>1.0</v>
      </c>
      <c r="E15" s="196"/>
      <c r="F15" s="184">
        <v>80.0</v>
      </c>
      <c r="G15" s="184">
        <v>5.0</v>
      </c>
      <c r="H15" s="185">
        <v>0.063</v>
      </c>
      <c r="I15" s="183" t="s">
        <v>855</v>
      </c>
      <c r="J15" s="185">
        <v>0.025</v>
      </c>
      <c r="K15" s="185">
        <v>0.025</v>
      </c>
      <c r="L15" s="185">
        <v>0.0375</v>
      </c>
      <c r="M15" s="185">
        <v>0.0</v>
      </c>
      <c r="N15" s="185">
        <v>0.025</v>
      </c>
      <c r="O15" s="183" t="s">
        <v>588</v>
      </c>
      <c r="P15" s="185">
        <v>0.0375</v>
      </c>
    </row>
    <row r="16">
      <c r="A16" s="178" t="s">
        <v>521</v>
      </c>
      <c r="B16" s="179">
        <v>8.0</v>
      </c>
      <c r="C16" s="191">
        <v>0.62</v>
      </c>
      <c r="D16" s="180">
        <v>1.0</v>
      </c>
      <c r="E16" s="192"/>
      <c r="F16" s="179">
        <v>4.0</v>
      </c>
      <c r="G16" s="179">
        <v>3.0</v>
      </c>
      <c r="H16" s="180">
        <v>0.75</v>
      </c>
      <c r="I16" s="178" t="s">
        <v>855</v>
      </c>
      <c r="J16" s="180">
        <v>0.0</v>
      </c>
      <c r="K16" s="180">
        <v>0.4286</v>
      </c>
      <c r="L16" s="180">
        <v>0.1429</v>
      </c>
      <c r="M16" s="180">
        <v>0.0</v>
      </c>
      <c r="N16" s="180">
        <v>0.0</v>
      </c>
      <c r="O16" s="178" t="s">
        <v>17</v>
      </c>
      <c r="P16" s="180">
        <v>0.4286</v>
      </c>
    </row>
    <row r="17">
      <c r="A17" s="183" t="s">
        <v>577</v>
      </c>
      <c r="B17" s="184">
        <v>52.0</v>
      </c>
      <c r="C17" s="195">
        <v>0.98</v>
      </c>
      <c r="D17" s="185">
        <v>1.0</v>
      </c>
      <c r="E17" s="196"/>
      <c r="F17" s="184">
        <v>42.0</v>
      </c>
      <c r="G17" s="184">
        <v>11.0</v>
      </c>
      <c r="H17" s="185">
        <v>0.262</v>
      </c>
      <c r="I17" s="183" t="s">
        <v>855</v>
      </c>
      <c r="J17" s="185">
        <v>0.0227</v>
      </c>
      <c r="K17" s="185">
        <v>0.2045</v>
      </c>
      <c r="L17" s="185">
        <v>0.0</v>
      </c>
      <c r="M17" s="185">
        <v>0.0227</v>
      </c>
      <c r="N17" s="185">
        <v>0.0</v>
      </c>
      <c r="O17" s="183" t="s">
        <v>17</v>
      </c>
      <c r="P17" s="185">
        <v>0.2045</v>
      </c>
    </row>
    <row r="18">
      <c r="A18" s="259" t="s">
        <v>534</v>
      </c>
      <c r="B18" s="179">
        <v>72.0</v>
      </c>
      <c r="C18" s="191">
        <v>0.9</v>
      </c>
      <c r="D18" s="180">
        <v>1.0</v>
      </c>
      <c r="E18" s="192"/>
      <c r="F18" s="179">
        <v>43.0</v>
      </c>
      <c r="G18" s="179">
        <v>17.0</v>
      </c>
      <c r="H18" s="180">
        <v>0.395</v>
      </c>
      <c r="I18" s="178" t="s">
        <v>855</v>
      </c>
      <c r="J18" s="180">
        <v>0.1111</v>
      </c>
      <c r="K18" s="180">
        <v>0.1481</v>
      </c>
      <c r="L18" s="180">
        <v>0.0185</v>
      </c>
      <c r="M18" s="180">
        <v>0.037</v>
      </c>
      <c r="N18" s="180">
        <v>0.0741</v>
      </c>
      <c r="O18" s="178" t="s">
        <v>17</v>
      </c>
      <c r="P18" s="180">
        <v>0.1481</v>
      </c>
    </row>
    <row r="19">
      <c r="A19" s="183" t="s">
        <v>289</v>
      </c>
      <c r="B19" s="184">
        <v>15.0</v>
      </c>
      <c r="C19" s="195">
        <v>0.83</v>
      </c>
      <c r="D19" s="185">
        <v>1.0</v>
      </c>
      <c r="E19" s="196"/>
      <c r="F19" s="184">
        <v>12.0</v>
      </c>
      <c r="G19" s="184">
        <v>5.0</v>
      </c>
      <c r="H19" s="185">
        <v>0.417</v>
      </c>
      <c r="I19" s="183" t="s">
        <v>855</v>
      </c>
      <c r="J19" s="185">
        <v>0.1538</v>
      </c>
      <c r="K19" s="185">
        <v>0.0</v>
      </c>
      <c r="L19" s="185">
        <v>0.1538</v>
      </c>
      <c r="M19" s="185">
        <v>0.2308</v>
      </c>
      <c r="N19" s="185">
        <v>0.0</v>
      </c>
      <c r="O19" s="183" t="s">
        <v>402</v>
      </c>
      <c r="P19" s="185">
        <v>0.2308</v>
      </c>
    </row>
    <row r="20">
      <c r="A20" s="178" t="s">
        <v>591</v>
      </c>
      <c r="B20" s="179">
        <v>10.0</v>
      </c>
      <c r="C20" s="191">
        <v>0.11</v>
      </c>
      <c r="D20" s="180">
        <v>1.0</v>
      </c>
      <c r="E20" s="192"/>
      <c r="F20" s="179">
        <v>10.0</v>
      </c>
      <c r="G20" s="179">
        <v>3.0</v>
      </c>
      <c r="H20" s="180">
        <v>0.3</v>
      </c>
      <c r="I20" s="178" t="s">
        <v>855</v>
      </c>
      <c r="J20" s="180">
        <v>0.0909</v>
      </c>
      <c r="K20" s="180">
        <v>0.0</v>
      </c>
      <c r="L20" s="180">
        <v>0.0909</v>
      </c>
      <c r="M20" s="180">
        <v>0.1818</v>
      </c>
      <c r="N20" s="180">
        <v>0.0</v>
      </c>
      <c r="O20" s="178" t="s">
        <v>402</v>
      </c>
      <c r="P20" s="180">
        <v>0.1818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6" t="s">
        <v>903</v>
      </c>
      <c r="B1" s="176" t="s">
        <v>849</v>
      </c>
      <c r="C1" s="176" t="s">
        <v>868</v>
      </c>
      <c r="D1" s="176" t="s">
        <v>869</v>
      </c>
      <c r="E1" s="176" t="s">
        <v>870</v>
      </c>
      <c r="F1" s="176" t="s">
        <v>850</v>
      </c>
      <c r="G1" s="176" t="s">
        <v>851</v>
      </c>
      <c r="H1" s="176" t="s">
        <v>852</v>
      </c>
      <c r="I1" s="176" t="s">
        <v>853</v>
      </c>
      <c r="J1" s="176" t="s">
        <v>120</v>
      </c>
      <c r="K1" s="176" t="s">
        <v>77</v>
      </c>
      <c r="L1" s="176" t="s">
        <v>493</v>
      </c>
      <c r="M1" s="176" t="s">
        <v>374</v>
      </c>
      <c r="N1" s="176" t="s">
        <v>906</v>
      </c>
      <c r="O1" s="176" t="s">
        <v>907</v>
      </c>
      <c r="P1" s="177" t="s">
        <v>908</v>
      </c>
    </row>
    <row r="2">
      <c r="A2" s="178" t="s">
        <v>289</v>
      </c>
      <c r="B2" s="179">
        <v>26.0</v>
      </c>
      <c r="C2" s="191">
        <v>0.39</v>
      </c>
      <c r="D2" s="180">
        <v>1.0</v>
      </c>
      <c r="E2" s="192"/>
      <c r="F2" s="179">
        <v>15.0</v>
      </c>
      <c r="G2" s="179">
        <v>10.0</v>
      </c>
      <c r="H2" s="180">
        <v>0.667</v>
      </c>
      <c r="I2" s="178" t="s">
        <v>855</v>
      </c>
      <c r="J2" s="180">
        <v>0.381</v>
      </c>
      <c r="K2" s="180">
        <v>0.0476</v>
      </c>
      <c r="L2" s="180">
        <v>0.1905</v>
      </c>
      <c r="M2" s="180">
        <v>0.0</v>
      </c>
      <c r="N2" s="180">
        <v>0.0476</v>
      </c>
      <c r="O2" s="178" t="s">
        <v>32</v>
      </c>
      <c r="P2" s="181">
        <v>0.381</v>
      </c>
    </row>
    <row r="3">
      <c r="A3" s="183" t="s">
        <v>503</v>
      </c>
      <c r="B3" s="184">
        <v>26.0</v>
      </c>
      <c r="C3" s="195">
        <v>1.0</v>
      </c>
      <c r="D3" s="185">
        <v>1.0</v>
      </c>
      <c r="E3" s="196"/>
      <c r="F3" s="184">
        <v>16.0</v>
      </c>
      <c r="G3" s="184">
        <v>5.0</v>
      </c>
      <c r="H3" s="185">
        <v>0.313</v>
      </c>
      <c r="I3" s="183" t="s">
        <v>855</v>
      </c>
      <c r="J3" s="185">
        <v>0.1818</v>
      </c>
      <c r="K3" s="185">
        <v>0.0</v>
      </c>
      <c r="L3" s="185">
        <v>0.0455</v>
      </c>
      <c r="M3" s="185">
        <v>0.0455</v>
      </c>
      <c r="N3" s="185">
        <v>0.0909</v>
      </c>
      <c r="O3" s="183" t="s">
        <v>32</v>
      </c>
      <c r="P3" s="186">
        <v>0.1818</v>
      </c>
    </row>
    <row r="4">
      <c r="A4" s="178" t="s">
        <v>167</v>
      </c>
      <c r="B4" s="179">
        <v>64.0</v>
      </c>
      <c r="C4" s="191">
        <v>0.97</v>
      </c>
      <c r="D4" s="180">
        <v>1.0</v>
      </c>
      <c r="E4" s="192"/>
      <c r="F4" s="179">
        <v>63.0</v>
      </c>
      <c r="G4" s="179">
        <v>5.0</v>
      </c>
      <c r="H4" s="180">
        <v>0.079</v>
      </c>
      <c r="I4" s="178" t="s">
        <v>855</v>
      </c>
      <c r="J4" s="180">
        <v>0.0635</v>
      </c>
      <c r="K4" s="180">
        <v>0.0159</v>
      </c>
      <c r="L4" s="180">
        <v>0.0159</v>
      </c>
      <c r="M4" s="180">
        <v>0.0</v>
      </c>
      <c r="N4" s="180">
        <v>0.0</v>
      </c>
      <c r="O4" s="178" t="s">
        <v>32</v>
      </c>
      <c r="P4" s="181">
        <v>0.0635</v>
      </c>
    </row>
    <row r="5">
      <c r="A5" s="183" t="s">
        <v>593</v>
      </c>
      <c r="B5" s="184">
        <v>93.0</v>
      </c>
      <c r="C5" s="195">
        <v>0.18</v>
      </c>
      <c r="D5" s="185">
        <v>1.0</v>
      </c>
      <c r="E5" s="196"/>
      <c r="F5" s="184">
        <v>90.0</v>
      </c>
      <c r="G5" s="184">
        <v>6.0</v>
      </c>
      <c r="H5" s="185">
        <v>0.067</v>
      </c>
      <c r="I5" s="183" t="s">
        <v>855</v>
      </c>
      <c r="J5" s="185">
        <v>0.0532</v>
      </c>
      <c r="K5" s="185">
        <v>0.0</v>
      </c>
      <c r="L5" s="185">
        <v>0.0426</v>
      </c>
      <c r="M5" s="185">
        <v>0.0</v>
      </c>
      <c r="N5" s="185">
        <v>0.0106</v>
      </c>
      <c r="O5" s="183" t="s">
        <v>32</v>
      </c>
      <c r="P5" s="186">
        <v>0.0532</v>
      </c>
    </row>
    <row r="6">
      <c r="A6" s="178" t="s">
        <v>594</v>
      </c>
      <c r="B6" s="179">
        <v>201.0</v>
      </c>
      <c r="C6" s="191">
        <v>0.55</v>
      </c>
      <c r="D6" s="180">
        <v>1.0</v>
      </c>
      <c r="E6" s="192"/>
      <c r="F6" s="179">
        <v>198.0</v>
      </c>
      <c r="G6" s="179">
        <v>11.0</v>
      </c>
      <c r="H6" s="180">
        <v>0.056</v>
      </c>
      <c r="I6" s="178" t="s">
        <v>855</v>
      </c>
      <c r="J6" s="180">
        <v>0.04</v>
      </c>
      <c r="K6" s="180">
        <v>0.0</v>
      </c>
      <c r="L6" s="180">
        <v>0.015</v>
      </c>
      <c r="M6" s="180">
        <v>0.015</v>
      </c>
      <c r="N6" s="180">
        <v>0.005</v>
      </c>
      <c r="O6" s="178" t="s">
        <v>32</v>
      </c>
      <c r="P6" s="181">
        <v>0.04</v>
      </c>
    </row>
    <row r="7">
      <c r="A7" s="183" t="s">
        <v>595</v>
      </c>
      <c r="B7" s="184">
        <v>127.0</v>
      </c>
      <c r="C7" s="195">
        <v>0.2</v>
      </c>
      <c r="D7" s="185">
        <v>1.0</v>
      </c>
      <c r="E7" s="196"/>
      <c r="F7" s="184">
        <v>115.0</v>
      </c>
      <c r="G7" s="184">
        <v>7.0</v>
      </c>
      <c r="H7" s="185">
        <v>0.061</v>
      </c>
      <c r="I7" s="183" t="s">
        <v>855</v>
      </c>
      <c r="J7" s="185">
        <v>0.042</v>
      </c>
      <c r="K7" s="185">
        <v>0.0</v>
      </c>
      <c r="L7" s="185">
        <v>0.042</v>
      </c>
      <c r="M7" s="185">
        <v>0.0168</v>
      </c>
      <c r="N7" s="185">
        <v>0.0</v>
      </c>
      <c r="O7" s="183" t="s">
        <v>382</v>
      </c>
      <c r="P7" s="186">
        <v>0.042</v>
      </c>
    </row>
    <row r="8">
      <c r="A8" s="260" t="s">
        <v>354</v>
      </c>
      <c r="B8" s="261">
        <v>16.0</v>
      </c>
      <c r="C8" s="280">
        <v>0.23</v>
      </c>
      <c r="D8" s="262">
        <v>1.0</v>
      </c>
      <c r="E8" s="281"/>
      <c r="F8" s="261">
        <v>11.0</v>
      </c>
      <c r="G8" s="261">
        <v>7.0</v>
      </c>
      <c r="H8" s="262">
        <v>0.636</v>
      </c>
      <c r="I8" s="260" t="s">
        <v>855</v>
      </c>
      <c r="J8" s="262">
        <v>0.1053</v>
      </c>
      <c r="K8" s="262">
        <v>0.0</v>
      </c>
      <c r="L8" s="262">
        <v>0.1579</v>
      </c>
      <c r="M8" s="262">
        <v>0.3158</v>
      </c>
      <c r="N8" s="262">
        <v>0.0</v>
      </c>
      <c r="O8" s="260" t="s">
        <v>124</v>
      </c>
      <c r="P8" s="263">
        <v>0.3158</v>
      </c>
    </row>
    <row r="9">
      <c r="A9" s="183" t="s">
        <v>361</v>
      </c>
      <c r="B9" s="184">
        <v>115.0</v>
      </c>
      <c r="C9" s="195">
        <v>0.99</v>
      </c>
      <c r="D9" s="185">
        <v>1.0</v>
      </c>
      <c r="E9" s="196"/>
      <c r="F9" s="184">
        <v>108.0</v>
      </c>
      <c r="G9" s="184">
        <v>13.0</v>
      </c>
      <c r="H9" s="185">
        <v>0.12</v>
      </c>
      <c r="I9" s="183" t="s">
        <v>855</v>
      </c>
      <c r="J9" s="185">
        <v>0.0182</v>
      </c>
      <c r="K9" s="185">
        <v>0.0091</v>
      </c>
      <c r="L9" s="185">
        <v>0.0273</v>
      </c>
      <c r="M9" s="185">
        <v>0.1</v>
      </c>
      <c r="N9" s="185">
        <v>0.0</v>
      </c>
      <c r="O9" s="183" t="s">
        <v>124</v>
      </c>
      <c r="P9" s="186">
        <v>0.1</v>
      </c>
    </row>
    <row r="10">
      <c r="A10" s="178" t="s">
        <v>298</v>
      </c>
      <c r="B10" s="179">
        <v>203.0</v>
      </c>
      <c r="C10" s="191">
        <v>1.0</v>
      </c>
      <c r="D10" s="180">
        <v>1.0</v>
      </c>
      <c r="E10" s="192"/>
      <c r="F10" s="179">
        <v>195.0</v>
      </c>
      <c r="G10" s="179">
        <v>13.0</v>
      </c>
      <c r="H10" s="180">
        <v>0.067</v>
      </c>
      <c r="I10" s="178" t="s">
        <v>855</v>
      </c>
      <c r="J10" s="180">
        <v>0.0305</v>
      </c>
      <c r="K10" s="180">
        <v>0.0</v>
      </c>
      <c r="L10" s="180">
        <v>0.0254</v>
      </c>
      <c r="M10" s="180">
        <v>0.0457</v>
      </c>
      <c r="N10" s="180">
        <v>0.0</v>
      </c>
      <c r="O10" s="178" t="s">
        <v>124</v>
      </c>
      <c r="P10" s="181">
        <v>0.0457</v>
      </c>
    </row>
    <row r="11">
      <c r="A11" s="183" t="s">
        <v>596</v>
      </c>
      <c r="B11" s="184">
        <v>135.0</v>
      </c>
      <c r="C11" s="195">
        <v>0.28</v>
      </c>
      <c r="D11" s="185">
        <v>1.0</v>
      </c>
      <c r="E11" s="196"/>
      <c r="F11" s="184">
        <v>127.0</v>
      </c>
      <c r="G11" s="184">
        <v>7.0</v>
      </c>
      <c r="H11" s="185">
        <v>0.055</v>
      </c>
      <c r="I11" s="183" t="s">
        <v>855</v>
      </c>
      <c r="J11" s="185">
        <v>0.0155</v>
      </c>
      <c r="K11" s="185">
        <v>0.0</v>
      </c>
      <c r="L11" s="185">
        <v>0.0233</v>
      </c>
      <c r="M11" s="185">
        <v>0.0388</v>
      </c>
      <c r="N11" s="185">
        <v>0.0</v>
      </c>
      <c r="O11" s="183" t="s">
        <v>124</v>
      </c>
      <c r="P11" s="186">
        <v>0.0388</v>
      </c>
    </row>
    <row r="12">
      <c r="A12" s="178" t="s">
        <v>597</v>
      </c>
      <c r="B12" s="179">
        <v>104.0</v>
      </c>
      <c r="C12" s="191">
        <v>1.0</v>
      </c>
      <c r="D12" s="180">
        <v>1.0</v>
      </c>
      <c r="E12" s="192"/>
      <c r="F12" s="179">
        <v>97.0</v>
      </c>
      <c r="G12" s="179">
        <v>5.0</v>
      </c>
      <c r="H12" s="180">
        <v>0.052</v>
      </c>
      <c r="I12" s="178" t="s">
        <v>855</v>
      </c>
      <c r="J12" s="180">
        <v>0.0206</v>
      </c>
      <c r="K12" s="180">
        <v>0.0</v>
      </c>
      <c r="L12" s="180">
        <v>0.0825</v>
      </c>
      <c r="M12" s="180">
        <v>0.0206</v>
      </c>
      <c r="N12" s="180">
        <v>0.0103</v>
      </c>
      <c r="O12" s="178" t="s">
        <v>392</v>
      </c>
      <c r="P12" s="181">
        <v>0.0825</v>
      </c>
    </row>
    <row r="13">
      <c r="A13" s="183" t="s">
        <v>598</v>
      </c>
      <c r="B13" s="184">
        <v>32.0</v>
      </c>
      <c r="C13" s="195">
        <v>0.36</v>
      </c>
      <c r="D13" s="185">
        <v>1.0</v>
      </c>
      <c r="E13" s="196"/>
      <c r="F13" s="184">
        <v>31.0</v>
      </c>
      <c r="G13" s="184">
        <v>6.0</v>
      </c>
      <c r="H13" s="185">
        <v>0.194</v>
      </c>
      <c r="I13" s="183" t="s">
        <v>855</v>
      </c>
      <c r="J13" s="185">
        <v>0.0909</v>
      </c>
      <c r="K13" s="185">
        <v>0.0303</v>
      </c>
      <c r="L13" s="185">
        <v>0.1212</v>
      </c>
      <c r="M13" s="185">
        <v>0.0606</v>
      </c>
      <c r="N13" s="185">
        <v>0.0303</v>
      </c>
      <c r="O13" s="183" t="s">
        <v>588</v>
      </c>
      <c r="P13" s="186">
        <v>0.1212</v>
      </c>
    </row>
    <row r="14">
      <c r="A14" s="178" t="s">
        <v>599</v>
      </c>
      <c r="B14" s="179">
        <v>82.0</v>
      </c>
      <c r="C14" s="191">
        <v>0.6</v>
      </c>
      <c r="D14" s="180">
        <v>1.0</v>
      </c>
      <c r="E14" s="192"/>
      <c r="F14" s="179">
        <v>76.0</v>
      </c>
      <c r="G14" s="179">
        <v>6.0</v>
      </c>
      <c r="H14" s="180">
        <v>0.079</v>
      </c>
      <c r="I14" s="178" t="s">
        <v>855</v>
      </c>
      <c r="J14" s="180">
        <v>0.0263</v>
      </c>
      <c r="K14" s="180">
        <v>0.0</v>
      </c>
      <c r="L14" s="180">
        <v>0.0526</v>
      </c>
      <c r="M14" s="180">
        <v>0.0526</v>
      </c>
      <c r="N14" s="180">
        <v>0.0</v>
      </c>
      <c r="O14" s="178" t="s">
        <v>396</v>
      </c>
      <c r="P14" s="181">
        <v>0.0526</v>
      </c>
    </row>
    <row r="15">
      <c r="A15" s="183" t="s">
        <v>252</v>
      </c>
      <c r="B15" s="184">
        <v>12.0</v>
      </c>
      <c r="C15" s="195">
        <v>0.16</v>
      </c>
      <c r="D15" s="185">
        <v>1.0</v>
      </c>
      <c r="E15" s="196"/>
      <c r="F15" s="184">
        <v>9.0</v>
      </c>
      <c r="G15" s="184">
        <v>9.0</v>
      </c>
      <c r="H15" s="185">
        <v>1.0</v>
      </c>
      <c r="I15" s="183" t="s">
        <v>855</v>
      </c>
      <c r="J15" s="185">
        <v>0.1</v>
      </c>
      <c r="K15" s="185">
        <v>0.7</v>
      </c>
      <c r="L15" s="185">
        <v>0.0</v>
      </c>
      <c r="M15" s="185">
        <v>0.0</v>
      </c>
      <c r="N15" s="185">
        <v>0.1</v>
      </c>
      <c r="O15" s="183" t="s">
        <v>17</v>
      </c>
      <c r="P15" s="186">
        <v>0.7</v>
      </c>
    </row>
    <row r="16">
      <c r="A16" s="178" t="s">
        <v>447</v>
      </c>
      <c r="B16" s="179">
        <v>6.0</v>
      </c>
      <c r="C16" s="191">
        <v>0.17</v>
      </c>
      <c r="D16" s="180">
        <v>1.0</v>
      </c>
      <c r="E16" s="192"/>
      <c r="F16" s="179">
        <v>6.0</v>
      </c>
      <c r="G16" s="179">
        <v>6.0</v>
      </c>
      <c r="H16" s="180">
        <v>1.0</v>
      </c>
      <c r="I16" s="178" t="s">
        <v>855</v>
      </c>
      <c r="J16" s="180">
        <v>0.0</v>
      </c>
      <c r="K16" s="180">
        <v>1.0</v>
      </c>
      <c r="L16" s="180">
        <v>0.0</v>
      </c>
      <c r="M16" s="180">
        <v>0.0</v>
      </c>
      <c r="N16" s="180">
        <v>0.0</v>
      </c>
      <c r="O16" s="178" t="s">
        <v>17</v>
      </c>
      <c r="P16" s="181">
        <v>1.0</v>
      </c>
    </row>
    <row r="17">
      <c r="A17" s="183" t="s">
        <v>531</v>
      </c>
      <c r="B17" s="184">
        <v>7.0</v>
      </c>
      <c r="C17" s="195">
        <v>0.47</v>
      </c>
      <c r="D17" s="185">
        <v>1.0</v>
      </c>
      <c r="E17" s="196"/>
      <c r="F17" s="184">
        <v>7.0</v>
      </c>
      <c r="G17" s="184">
        <v>6.0</v>
      </c>
      <c r="H17" s="185">
        <v>0.857</v>
      </c>
      <c r="I17" s="183" t="s">
        <v>855</v>
      </c>
      <c r="J17" s="185">
        <v>0.0909</v>
      </c>
      <c r="K17" s="185">
        <v>0.4545</v>
      </c>
      <c r="L17" s="185">
        <v>0.0909</v>
      </c>
      <c r="M17" s="185">
        <v>0.0</v>
      </c>
      <c r="N17" s="185">
        <v>0.0</v>
      </c>
      <c r="O17" s="183" t="s">
        <v>17</v>
      </c>
      <c r="P17" s="186">
        <v>0.4545</v>
      </c>
    </row>
    <row r="18">
      <c r="A18" s="260" t="s">
        <v>363</v>
      </c>
      <c r="B18" s="261">
        <v>13.0</v>
      </c>
      <c r="C18" s="280">
        <v>0.19</v>
      </c>
      <c r="D18" s="262">
        <v>1.0</v>
      </c>
      <c r="E18" s="281"/>
      <c r="F18" s="261">
        <v>11.0</v>
      </c>
      <c r="G18" s="261">
        <v>6.0</v>
      </c>
      <c r="H18" s="262">
        <v>0.545</v>
      </c>
      <c r="I18" s="260" t="s">
        <v>855</v>
      </c>
      <c r="J18" s="262">
        <v>0.125</v>
      </c>
      <c r="K18" s="262">
        <v>0.25</v>
      </c>
      <c r="L18" s="262">
        <v>0.0625</v>
      </c>
      <c r="M18" s="262">
        <v>0.1875</v>
      </c>
      <c r="N18" s="262">
        <v>0.0625</v>
      </c>
      <c r="O18" s="260" t="s">
        <v>17</v>
      </c>
      <c r="P18" s="263">
        <v>0.25</v>
      </c>
    </row>
    <row r="19">
      <c r="A19" s="183" t="s">
        <v>534</v>
      </c>
      <c r="B19" s="184">
        <v>154.0</v>
      </c>
      <c r="C19" s="195">
        <v>0.6</v>
      </c>
      <c r="D19" s="185">
        <v>1.0</v>
      </c>
      <c r="E19" s="196"/>
      <c r="F19" s="184">
        <v>125.0</v>
      </c>
      <c r="G19" s="184">
        <v>44.0</v>
      </c>
      <c r="H19" s="185">
        <v>0.352</v>
      </c>
      <c r="I19" s="183" t="s">
        <v>855</v>
      </c>
      <c r="J19" s="185">
        <v>0.0314</v>
      </c>
      <c r="K19" s="185">
        <v>0.3019</v>
      </c>
      <c r="L19" s="185">
        <v>0.0629</v>
      </c>
      <c r="M19" s="185">
        <v>0.0252</v>
      </c>
      <c r="N19" s="185">
        <v>0.0063</v>
      </c>
      <c r="O19" s="183" t="s">
        <v>17</v>
      </c>
      <c r="P19" s="186">
        <v>0.3019</v>
      </c>
    </row>
    <row r="20">
      <c r="A20" s="178" t="s">
        <v>329</v>
      </c>
      <c r="B20" s="179">
        <v>101.0</v>
      </c>
      <c r="C20" s="191">
        <v>0.59</v>
      </c>
      <c r="D20" s="180">
        <v>1.0</v>
      </c>
      <c r="E20" s="192"/>
      <c r="F20" s="179">
        <v>96.0</v>
      </c>
      <c r="G20" s="179">
        <v>26.0</v>
      </c>
      <c r="H20" s="180">
        <v>0.271</v>
      </c>
      <c r="I20" s="178" t="s">
        <v>855</v>
      </c>
      <c r="J20" s="180">
        <v>0.0388</v>
      </c>
      <c r="K20" s="180">
        <v>0.1553</v>
      </c>
      <c r="L20" s="180">
        <v>0.0388</v>
      </c>
      <c r="M20" s="180">
        <v>0.0777</v>
      </c>
      <c r="N20" s="180">
        <v>0.0194</v>
      </c>
      <c r="O20" s="178" t="s">
        <v>17</v>
      </c>
      <c r="P20" s="181">
        <v>0.1553</v>
      </c>
    </row>
    <row r="21">
      <c r="A21" s="183" t="s">
        <v>496</v>
      </c>
      <c r="B21" s="184">
        <v>49.0</v>
      </c>
      <c r="C21" s="195">
        <v>0.29</v>
      </c>
      <c r="D21" s="185">
        <v>1.0</v>
      </c>
      <c r="E21" s="196"/>
      <c r="F21" s="184">
        <v>42.0</v>
      </c>
      <c r="G21" s="184">
        <v>9.0</v>
      </c>
      <c r="H21" s="185">
        <v>0.214</v>
      </c>
      <c r="I21" s="183" t="s">
        <v>855</v>
      </c>
      <c r="J21" s="185">
        <v>0.0612</v>
      </c>
      <c r="K21" s="185">
        <v>0.1429</v>
      </c>
      <c r="L21" s="185">
        <v>0.0408</v>
      </c>
      <c r="M21" s="185">
        <v>0.0204</v>
      </c>
      <c r="N21" s="185">
        <v>0.0</v>
      </c>
      <c r="O21" s="183" t="s">
        <v>17</v>
      </c>
      <c r="P21" s="186">
        <v>0.1429</v>
      </c>
    </row>
    <row r="22">
      <c r="A22" s="178" t="s">
        <v>280</v>
      </c>
      <c r="B22" s="179">
        <v>61.0</v>
      </c>
      <c r="C22" s="191">
        <v>0.36</v>
      </c>
      <c r="D22" s="180">
        <v>1.0</v>
      </c>
      <c r="E22" s="192"/>
      <c r="F22" s="179">
        <v>61.0</v>
      </c>
      <c r="G22" s="179">
        <v>7.0</v>
      </c>
      <c r="H22" s="180">
        <v>0.115</v>
      </c>
      <c r="I22" s="178" t="s">
        <v>855</v>
      </c>
      <c r="J22" s="180">
        <v>0.0328</v>
      </c>
      <c r="K22" s="180">
        <v>0.0492</v>
      </c>
      <c r="L22" s="180">
        <v>0.0328</v>
      </c>
      <c r="M22" s="180">
        <v>0.0328</v>
      </c>
      <c r="N22" s="180">
        <v>0.0</v>
      </c>
      <c r="O22" s="178" t="s">
        <v>17</v>
      </c>
      <c r="P22" s="181">
        <v>0.0492</v>
      </c>
    </row>
    <row r="23">
      <c r="A23" s="183" t="s">
        <v>592</v>
      </c>
      <c r="B23" s="184">
        <v>8.0</v>
      </c>
      <c r="C23" s="195">
        <v>0.31</v>
      </c>
      <c r="D23" s="185">
        <v>1.0</v>
      </c>
      <c r="E23" s="196"/>
      <c r="F23" s="184">
        <v>7.0</v>
      </c>
      <c r="G23" s="184">
        <v>5.0</v>
      </c>
      <c r="H23" s="185">
        <v>0.714</v>
      </c>
      <c r="I23" s="183" t="s">
        <v>855</v>
      </c>
      <c r="J23" s="185">
        <v>0.1429</v>
      </c>
      <c r="K23" s="185">
        <v>0.0</v>
      </c>
      <c r="L23" s="185">
        <v>0.1429</v>
      </c>
      <c r="M23" s="185">
        <v>0.0</v>
      </c>
      <c r="N23" s="185">
        <v>0.5714</v>
      </c>
      <c r="O23" s="183" t="s">
        <v>402</v>
      </c>
      <c r="P23" s="186">
        <v>0.5714</v>
      </c>
    </row>
    <row r="24">
      <c r="A24" s="178" t="s">
        <v>601</v>
      </c>
      <c r="B24" s="179">
        <v>17.0</v>
      </c>
      <c r="C24" s="191">
        <v>0.21</v>
      </c>
      <c r="D24" s="180">
        <v>1.0</v>
      </c>
      <c r="E24" s="192"/>
      <c r="F24" s="179">
        <v>17.0</v>
      </c>
      <c r="G24" s="179">
        <v>4.0</v>
      </c>
      <c r="H24" s="180">
        <v>0.235</v>
      </c>
      <c r="I24" s="178" t="s">
        <v>855</v>
      </c>
      <c r="J24" s="180">
        <v>0.1053</v>
      </c>
      <c r="K24" s="180">
        <v>0.0526</v>
      </c>
      <c r="L24" s="180">
        <v>0.0</v>
      </c>
      <c r="M24" s="180">
        <v>0.0526</v>
      </c>
      <c r="N24" s="180">
        <v>0.0</v>
      </c>
      <c r="O24" s="178" t="s">
        <v>32</v>
      </c>
      <c r="P24" s="181">
        <v>0.1053</v>
      </c>
    </row>
    <row r="25">
      <c r="A25" s="264" t="s">
        <v>575</v>
      </c>
      <c r="B25" s="265">
        <v>74.0</v>
      </c>
      <c r="C25" s="282">
        <v>0.2</v>
      </c>
      <c r="D25" s="266">
        <v>1.0</v>
      </c>
      <c r="E25" s="283"/>
      <c r="F25" s="265">
        <v>73.0</v>
      </c>
      <c r="G25" s="265">
        <v>4.0</v>
      </c>
      <c r="H25" s="266">
        <v>0.055</v>
      </c>
      <c r="I25" s="264" t="s">
        <v>855</v>
      </c>
      <c r="J25" s="266">
        <v>0.0548</v>
      </c>
      <c r="K25" s="266">
        <v>0.0</v>
      </c>
      <c r="L25" s="266">
        <v>0.0411</v>
      </c>
      <c r="M25" s="266">
        <v>0.0</v>
      </c>
      <c r="N25" s="266">
        <v>0.0</v>
      </c>
      <c r="O25" s="264" t="s">
        <v>32</v>
      </c>
      <c r="P25" s="267">
        <v>0.0548</v>
      </c>
    </row>
    <row r="26">
      <c r="A26" s="268" t="s">
        <v>602</v>
      </c>
      <c r="B26" s="269">
        <v>55.0</v>
      </c>
      <c r="C26" s="284">
        <v>0.35</v>
      </c>
      <c r="D26" s="270">
        <v>1.0</v>
      </c>
      <c r="E26" s="285"/>
      <c r="F26" s="269">
        <v>47.0</v>
      </c>
      <c r="G26" s="269">
        <v>4.0</v>
      </c>
      <c r="H26" s="270">
        <v>0.085</v>
      </c>
      <c r="I26" s="268" t="s">
        <v>855</v>
      </c>
      <c r="J26" s="270">
        <v>0.0784</v>
      </c>
      <c r="K26" s="270">
        <v>0.0</v>
      </c>
      <c r="L26" s="270">
        <v>0.0588</v>
      </c>
      <c r="M26" s="270">
        <v>0.0</v>
      </c>
      <c r="N26" s="270">
        <v>0.0</v>
      </c>
      <c r="O26" s="268" t="s">
        <v>32</v>
      </c>
      <c r="P26" s="271">
        <v>0.0784</v>
      </c>
    </row>
    <row r="27">
      <c r="A27" s="268" t="s">
        <v>603</v>
      </c>
      <c r="B27" s="269">
        <v>40.0</v>
      </c>
      <c r="C27" s="284">
        <v>0.85</v>
      </c>
      <c r="D27" s="270">
        <v>1.0</v>
      </c>
      <c r="E27" s="285"/>
      <c r="F27" s="269">
        <v>38.0</v>
      </c>
      <c r="G27" s="269">
        <v>4.0</v>
      </c>
      <c r="H27" s="270">
        <v>0.105</v>
      </c>
      <c r="I27" s="268" t="s">
        <v>855</v>
      </c>
      <c r="J27" s="270">
        <v>0.1053</v>
      </c>
      <c r="K27" s="270">
        <v>0.0</v>
      </c>
      <c r="L27" s="270">
        <v>0.0</v>
      </c>
      <c r="M27" s="270">
        <v>0.0</v>
      </c>
      <c r="N27" s="270">
        <v>0.0</v>
      </c>
      <c r="O27" s="268" t="s">
        <v>32</v>
      </c>
      <c r="P27" s="271">
        <v>0.1053</v>
      </c>
    </row>
    <row r="28">
      <c r="A28" s="264" t="s">
        <v>604</v>
      </c>
      <c r="B28" s="265">
        <v>14.0</v>
      </c>
      <c r="C28" s="282">
        <v>1.0</v>
      </c>
      <c r="D28" s="266">
        <v>1.0</v>
      </c>
      <c r="E28" s="283"/>
      <c r="F28" s="265">
        <v>14.0</v>
      </c>
      <c r="G28" s="265">
        <v>4.0</v>
      </c>
      <c r="H28" s="266">
        <v>0.286</v>
      </c>
      <c r="I28" s="264" t="s">
        <v>855</v>
      </c>
      <c r="J28" s="266">
        <v>0.1429</v>
      </c>
      <c r="K28" s="266">
        <v>0.0</v>
      </c>
      <c r="L28" s="266">
        <v>0.0714</v>
      </c>
      <c r="M28" s="266">
        <v>0.1429</v>
      </c>
      <c r="N28" s="266">
        <v>0.0</v>
      </c>
      <c r="O28" s="264" t="s">
        <v>32</v>
      </c>
      <c r="P28" s="267">
        <v>0.1429</v>
      </c>
    </row>
    <row r="29">
      <c r="A29" s="268" t="s">
        <v>605</v>
      </c>
      <c r="B29" s="269">
        <v>8.0</v>
      </c>
      <c r="C29" s="284">
        <v>0.24</v>
      </c>
      <c r="D29" s="270">
        <v>1.0</v>
      </c>
      <c r="E29" s="285"/>
      <c r="F29" s="269">
        <v>7.0</v>
      </c>
      <c r="G29" s="269">
        <v>4.0</v>
      </c>
      <c r="H29" s="270">
        <v>0.571</v>
      </c>
      <c r="I29" s="268" t="s">
        <v>855</v>
      </c>
      <c r="J29" s="270">
        <v>0.3333</v>
      </c>
      <c r="K29" s="270">
        <v>0.0</v>
      </c>
      <c r="L29" s="270">
        <v>0.0</v>
      </c>
      <c r="M29" s="270">
        <v>0.1111</v>
      </c>
      <c r="N29" s="270">
        <v>0.0</v>
      </c>
      <c r="O29" s="268" t="s">
        <v>32</v>
      </c>
      <c r="P29" s="271">
        <v>0.3333</v>
      </c>
    </row>
    <row r="30">
      <c r="A30" s="268" t="s">
        <v>455</v>
      </c>
      <c r="B30" s="269">
        <v>18.0</v>
      </c>
      <c r="C30" s="284">
        <v>0.69</v>
      </c>
      <c r="D30" s="270">
        <v>1.0</v>
      </c>
      <c r="E30" s="285"/>
      <c r="F30" s="269">
        <v>17.0</v>
      </c>
      <c r="G30" s="269">
        <v>4.0</v>
      </c>
      <c r="H30" s="270">
        <v>0.235</v>
      </c>
      <c r="I30" s="268" t="s">
        <v>855</v>
      </c>
      <c r="J30" s="270">
        <v>0.1667</v>
      </c>
      <c r="K30" s="270">
        <v>0.0</v>
      </c>
      <c r="L30" s="270">
        <v>0.0556</v>
      </c>
      <c r="M30" s="270">
        <v>0.0556</v>
      </c>
      <c r="N30" s="270">
        <v>0.0556</v>
      </c>
      <c r="O30" s="268" t="s">
        <v>32</v>
      </c>
      <c r="P30" s="271">
        <v>0.1667</v>
      </c>
    </row>
    <row r="31">
      <c r="A31" s="272" t="s">
        <v>315</v>
      </c>
      <c r="B31" s="273">
        <v>9.0</v>
      </c>
      <c r="C31" s="286">
        <v>0.14</v>
      </c>
      <c r="D31" s="274">
        <v>1.0</v>
      </c>
      <c r="E31" s="287"/>
      <c r="F31" s="273">
        <v>6.0</v>
      </c>
      <c r="G31" s="273">
        <v>4.0</v>
      </c>
      <c r="H31" s="274">
        <v>0.667</v>
      </c>
      <c r="I31" s="272" t="s">
        <v>855</v>
      </c>
      <c r="J31" s="274">
        <v>0.0</v>
      </c>
      <c r="K31" s="274">
        <v>0.0</v>
      </c>
      <c r="L31" s="274">
        <v>0.3333</v>
      </c>
      <c r="M31" s="274">
        <v>0.5</v>
      </c>
      <c r="N31" s="274">
        <v>0.1667</v>
      </c>
      <c r="O31" s="272" t="s">
        <v>124</v>
      </c>
      <c r="P31" s="275">
        <v>0.5</v>
      </c>
    </row>
    <row r="32">
      <c r="A32" s="276" t="s">
        <v>426</v>
      </c>
      <c r="B32" s="277">
        <v>21.0</v>
      </c>
      <c r="C32" s="288">
        <v>0.33</v>
      </c>
      <c r="D32" s="278">
        <v>1.0</v>
      </c>
      <c r="E32" s="289"/>
      <c r="F32" s="277">
        <v>12.0</v>
      </c>
      <c r="G32" s="277">
        <v>4.0</v>
      </c>
      <c r="H32" s="278">
        <v>0.333</v>
      </c>
      <c r="I32" s="276" t="s">
        <v>855</v>
      </c>
      <c r="J32" s="278">
        <v>0.1</v>
      </c>
      <c r="K32" s="278">
        <v>0.1</v>
      </c>
      <c r="L32" s="278">
        <v>0.25</v>
      </c>
      <c r="M32" s="278">
        <v>0.25</v>
      </c>
      <c r="N32" s="278">
        <v>0.05</v>
      </c>
      <c r="O32" s="276" t="s">
        <v>392</v>
      </c>
      <c r="P32" s="279">
        <v>0.25</v>
      </c>
    </row>
    <row r="33">
      <c r="A33" s="264" t="s">
        <v>606</v>
      </c>
      <c r="B33" s="265">
        <v>7.0</v>
      </c>
      <c r="C33" s="282">
        <v>0.18</v>
      </c>
      <c r="D33" s="266">
        <v>1.0</v>
      </c>
      <c r="E33" s="283"/>
      <c r="F33" s="265">
        <v>5.0</v>
      </c>
      <c r="G33" s="265">
        <v>4.0</v>
      </c>
      <c r="H33" s="266">
        <v>0.8</v>
      </c>
      <c r="I33" s="264" t="s">
        <v>855</v>
      </c>
      <c r="J33" s="266">
        <v>0.0</v>
      </c>
      <c r="K33" s="266">
        <v>0.5</v>
      </c>
      <c r="L33" s="266">
        <v>0.0</v>
      </c>
      <c r="M33" s="266">
        <v>0.0</v>
      </c>
      <c r="N33" s="266">
        <v>0.1667</v>
      </c>
      <c r="O33" s="264" t="s">
        <v>17</v>
      </c>
      <c r="P33" s="267">
        <v>0.5</v>
      </c>
    </row>
    <row r="34">
      <c r="A34" s="264" t="s">
        <v>607</v>
      </c>
      <c r="B34" s="265">
        <v>10.0</v>
      </c>
      <c r="C34" s="282">
        <v>1.0</v>
      </c>
      <c r="D34" s="266">
        <v>1.0</v>
      </c>
      <c r="E34" s="283"/>
      <c r="F34" s="265">
        <v>10.0</v>
      </c>
      <c r="G34" s="265">
        <v>4.0</v>
      </c>
      <c r="H34" s="266">
        <v>0.4</v>
      </c>
      <c r="I34" s="264" t="s">
        <v>855</v>
      </c>
      <c r="J34" s="266">
        <v>0.0833</v>
      </c>
      <c r="K34" s="266">
        <v>0.25</v>
      </c>
      <c r="L34" s="266">
        <v>0.0833</v>
      </c>
      <c r="M34" s="266">
        <v>0.0</v>
      </c>
      <c r="N34" s="266">
        <v>0.0</v>
      </c>
      <c r="O34" s="264" t="s">
        <v>17</v>
      </c>
      <c r="P34" s="267">
        <v>0.25</v>
      </c>
    </row>
    <row r="35">
      <c r="A35" s="264" t="s">
        <v>500</v>
      </c>
      <c r="B35" s="265">
        <v>8.0</v>
      </c>
      <c r="C35" s="282">
        <v>0.14</v>
      </c>
      <c r="D35" s="266">
        <v>1.0</v>
      </c>
      <c r="E35" s="283"/>
      <c r="F35" s="265">
        <v>8.0</v>
      </c>
      <c r="G35" s="265">
        <v>4.0</v>
      </c>
      <c r="H35" s="266">
        <v>0.5</v>
      </c>
      <c r="I35" s="264" t="s">
        <v>855</v>
      </c>
      <c r="J35" s="266">
        <v>0.0</v>
      </c>
      <c r="K35" s="266">
        <v>0.5</v>
      </c>
      <c r="L35" s="266">
        <v>0.0</v>
      </c>
      <c r="M35" s="266">
        <v>0.0</v>
      </c>
      <c r="N35" s="266">
        <v>0.0</v>
      </c>
      <c r="O35" s="264" t="s">
        <v>17</v>
      </c>
      <c r="P35" s="267">
        <v>0.5</v>
      </c>
    </row>
    <row r="36">
      <c r="A36" s="268" t="s">
        <v>608</v>
      </c>
      <c r="B36" s="269">
        <v>76.0</v>
      </c>
      <c r="C36" s="284">
        <v>0.2</v>
      </c>
      <c r="D36" s="270">
        <v>1.0</v>
      </c>
      <c r="E36" s="285"/>
      <c r="F36" s="269">
        <v>76.0</v>
      </c>
      <c r="G36" s="269">
        <v>4.0</v>
      </c>
      <c r="H36" s="270">
        <v>0.053</v>
      </c>
      <c r="I36" s="268" t="s">
        <v>855</v>
      </c>
      <c r="J36" s="270">
        <v>0.0132</v>
      </c>
      <c r="K36" s="270">
        <v>0.0263</v>
      </c>
      <c r="L36" s="270">
        <v>0.0263</v>
      </c>
      <c r="M36" s="270">
        <v>0.0</v>
      </c>
      <c r="N36" s="270">
        <v>0.0132</v>
      </c>
      <c r="O36" s="268" t="s">
        <v>402</v>
      </c>
      <c r="P36" s="271">
        <v>0.0263</v>
      </c>
    </row>
  </sheetData>
  <autoFilter ref="$A$1:$P$36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0" t="s">
        <v>2</v>
      </c>
      <c r="B1" s="290" t="s">
        <v>849</v>
      </c>
      <c r="C1" s="290" t="s">
        <v>868</v>
      </c>
      <c r="D1" s="290" t="s">
        <v>869</v>
      </c>
      <c r="E1" s="290" t="s">
        <v>870</v>
      </c>
      <c r="F1" s="290" t="s">
        <v>850</v>
      </c>
      <c r="G1" s="290" t="s">
        <v>851</v>
      </c>
      <c r="H1" s="290" t="s">
        <v>852</v>
      </c>
      <c r="I1" s="290" t="s">
        <v>853</v>
      </c>
      <c r="J1" s="290" t="s">
        <v>120</v>
      </c>
      <c r="K1" s="290" t="s">
        <v>77</v>
      </c>
      <c r="L1" s="290" t="s">
        <v>374</v>
      </c>
      <c r="M1" s="290" t="s">
        <v>930</v>
      </c>
      <c r="N1" s="290" t="s">
        <v>448</v>
      </c>
      <c r="O1" s="290" t="s">
        <v>907</v>
      </c>
      <c r="P1" s="290" t="s">
        <v>908</v>
      </c>
      <c r="Q1" s="291" t="s">
        <v>931</v>
      </c>
    </row>
    <row r="2">
      <c r="A2" s="253" t="s">
        <v>503</v>
      </c>
      <c r="B2" s="254">
        <v>17.0</v>
      </c>
      <c r="C2" s="292">
        <v>1.0</v>
      </c>
      <c r="D2" s="255">
        <v>1.0</v>
      </c>
      <c r="E2" s="293"/>
      <c r="F2" s="254">
        <v>14.0</v>
      </c>
      <c r="G2" s="254">
        <v>5.0</v>
      </c>
      <c r="H2" s="255">
        <v>0.357</v>
      </c>
      <c r="I2" s="253" t="s">
        <v>855</v>
      </c>
      <c r="J2" s="255">
        <v>0.1667</v>
      </c>
      <c r="K2" s="255">
        <v>0.0</v>
      </c>
      <c r="L2" s="255">
        <v>0.0</v>
      </c>
      <c r="M2" s="255">
        <v>0.0556</v>
      </c>
      <c r="N2" s="255">
        <v>0.1111</v>
      </c>
      <c r="O2" s="253" t="s">
        <v>32</v>
      </c>
      <c r="P2" s="255">
        <v>0.1667</v>
      </c>
      <c r="Q2" s="294" t="e">
        <v>#N/A</v>
      </c>
    </row>
    <row r="3">
      <c r="A3" s="256" t="s">
        <v>111</v>
      </c>
      <c r="B3" s="257">
        <v>11.0</v>
      </c>
      <c r="C3" s="295">
        <v>0.06</v>
      </c>
      <c r="D3" s="258">
        <v>1.0</v>
      </c>
      <c r="E3" s="296"/>
      <c r="F3" s="257">
        <v>12.0</v>
      </c>
      <c r="G3" s="257">
        <v>3.0</v>
      </c>
      <c r="H3" s="258">
        <v>0.25</v>
      </c>
      <c r="I3" s="256" t="s">
        <v>855</v>
      </c>
      <c r="J3" s="258">
        <v>0.2308</v>
      </c>
      <c r="K3" s="258">
        <v>0.0</v>
      </c>
      <c r="L3" s="258">
        <v>0.0</v>
      </c>
      <c r="M3" s="258">
        <v>0.0769</v>
      </c>
      <c r="N3" s="258">
        <v>0.0</v>
      </c>
      <c r="O3" s="256" t="s">
        <v>32</v>
      </c>
      <c r="P3" s="258">
        <v>0.2308</v>
      </c>
      <c r="Q3" s="297" t="e">
        <v>#N/A</v>
      </c>
    </row>
    <row r="4">
      <c r="A4" s="253" t="s">
        <v>573</v>
      </c>
      <c r="B4" s="254">
        <v>19.0</v>
      </c>
      <c r="C4" s="292">
        <v>0.06</v>
      </c>
      <c r="D4" s="255">
        <v>1.0</v>
      </c>
      <c r="E4" s="293"/>
      <c r="F4" s="254">
        <v>19.0</v>
      </c>
      <c r="G4" s="254">
        <v>3.0</v>
      </c>
      <c r="H4" s="255">
        <v>0.158</v>
      </c>
      <c r="I4" s="253" t="s">
        <v>855</v>
      </c>
      <c r="J4" s="255">
        <v>0.12</v>
      </c>
      <c r="K4" s="255">
        <v>0.0</v>
      </c>
      <c r="L4" s="255">
        <v>0.0</v>
      </c>
      <c r="M4" s="255">
        <v>0.0</v>
      </c>
      <c r="N4" s="255">
        <v>0.0</v>
      </c>
      <c r="O4" s="253" t="s">
        <v>32</v>
      </c>
      <c r="P4" s="255">
        <v>0.12</v>
      </c>
      <c r="Q4" s="294" t="e">
        <v>#N/A</v>
      </c>
    </row>
    <row r="5">
      <c r="A5" s="256" t="s">
        <v>574</v>
      </c>
      <c r="B5" s="257">
        <v>38.0</v>
      </c>
      <c r="C5" s="295">
        <v>0.29</v>
      </c>
      <c r="D5" s="258">
        <v>1.0</v>
      </c>
      <c r="E5" s="296"/>
      <c r="F5" s="257">
        <v>33.0</v>
      </c>
      <c r="G5" s="257">
        <v>3.0</v>
      </c>
      <c r="H5" s="258">
        <v>0.091</v>
      </c>
      <c r="I5" s="256" t="s">
        <v>855</v>
      </c>
      <c r="J5" s="258">
        <v>0.0588</v>
      </c>
      <c r="K5" s="258">
        <v>0.0294</v>
      </c>
      <c r="L5" s="258">
        <v>0.0</v>
      </c>
      <c r="M5" s="258">
        <v>0.0294</v>
      </c>
      <c r="N5" s="258">
        <v>0.0</v>
      </c>
      <c r="O5" s="256" t="s">
        <v>32</v>
      </c>
      <c r="P5" s="258">
        <v>0.0588</v>
      </c>
      <c r="Q5" s="297" t="e">
        <v>#N/A</v>
      </c>
    </row>
    <row r="6">
      <c r="A6" s="253" t="s">
        <v>575</v>
      </c>
      <c r="B6" s="254">
        <v>150.0</v>
      </c>
      <c r="C6" s="292">
        <v>0.55</v>
      </c>
      <c r="D6" s="255">
        <v>1.0</v>
      </c>
      <c r="E6" s="293"/>
      <c r="F6" s="254">
        <v>145.0</v>
      </c>
      <c r="G6" s="254">
        <v>15.0</v>
      </c>
      <c r="H6" s="255">
        <v>0.103</v>
      </c>
      <c r="I6" s="253" t="s">
        <v>855</v>
      </c>
      <c r="J6" s="255">
        <v>0.0476</v>
      </c>
      <c r="K6" s="255">
        <v>0.0204</v>
      </c>
      <c r="L6" s="255">
        <v>0.034</v>
      </c>
      <c r="M6" s="255">
        <v>0.0544</v>
      </c>
      <c r="N6" s="255">
        <v>0.0</v>
      </c>
      <c r="O6" s="253" t="s">
        <v>382</v>
      </c>
      <c r="P6" s="255">
        <v>0.0544</v>
      </c>
      <c r="Q6" s="294" t="e">
        <v>#N/A</v>
      </c>
    </row>
    <row r="7">
      <c r="A7" s="256" t="s">
        <v>486</v>
      </c>
      <c r="B7" s="257">
        <v>101.0</v>
      </c>
      <c r="C7" s="295">
        <v>0.07</v>
      </c>
      <c r="D7" s="258">
        <v>1.0</v>
      </c>
      <c r="E7" s="296"/>
      <c r="F7" s="257">
        <v>97.0</v>
      </c>
      <c r="G7" s="257">
        <v>10.0</v>
      </c>
      <c r="H7" s="258">
        <v>0.103</v>
      </c>
      <c r="I7" s="256" t="s">
        <v>855</v>
      </c>
      <c r="J7" s="258">
        <v>0.0588</v>
      </c>
      <c r="K7" s="258">
        <v>0.0098</v>
      </c>
      <c r="L7" s="258">
        <v>0.0294</v>
      </c>
      <c r="M7" s="258">
        <v>0.0882</v>
      </c>
      <c r="N7" s="258">
        <v>0.0098</v>
      </c>
      <c r="O7" s="256" t="s">
        <v>382</v>
      </c>
      <c r="P7" s="258">
        <v>0.0882</v>
      </c>
      <c r="Q7" s="297" t="e">
        <v>#N/A</v>
      </c>
    </row>
    <row r="8">
      <c r="A8" s="253" t="s">
        <v>576</v>
      </c>
      <c r="B8" s="254">
        <v>26.0</v>
      </c>
      <c r="C8" s="292">
        <v>0.2</v>
      </c>
      <c r="D8" s="255">
        <v>1.0</v>
      </c>
      <c r="E8" s="293"/>
      <c r="F8" s="254">
        <v>26.0</v>
      </c>
      <c r="G8" s="254">
        <v>3.0</v>
      </c>
      <c r="H8" s="255">
        <v>0.115</v>
      </c>
      <c r="I8" s="253" t="s">
        <v>855</v>
      </c>
      <c r="J8" s="255">
        <v>0.0741</v>
      </c>
      <c r="K8" s="255">
        <v>0.0</v>
      </c>
      <c r="L8" s="255">
        <v>0.037</v>
      </c>
      <c r="M8" s="255">
        <v>0.1481</v>
      </c>
      <c r="N8" s="255">
        <v>0.0</v>
      </c>
      <c r="O8" s="253" t="s">
        <v>382</v>
      </c>
      <c r="P8" s="255">
        <v>0.1481</v>
      </c>
      <c r="Q8" s="294" t="e">
        <v>#N/A</v>
      </c>
    </row>
    <row r="9">
      <c r="A9" s="256" t="s">
        <v>441</v>
      </c>
      <c r="B9" s="257">
        <v>64.0</v>
      </c>
      <c r="C9" s="295">
        <v>0.43</v>
      </c>
      <c r="D9" s="258">
        <v>1.0</v>
      </c>
      <c r="E9" s="296"/>
      <c r="F9" s="257">
        <v>51.0</v>
      </c>
      <c r="G9" s="257">
        <v>29.0</v>
      </c>
      <c r="H9" s="258">
        <v>0.569</v>
      </c>
      <c r="I9" s="256" t="s">
        <v>855</v>
      </c>
      <c r="J9" s="258">
        <v>0.0133</v>
      </c>
      <c r="K9" s="258">
        <v>0.3467</v>
      </c>
      <c r="L9" s="258">
        <v>0.0</v>
      </c>
      <c r="M9" s="258">
        <v>0.0533</v>
      </c>
      <c r="N9" s="258">
        <v>0.04</v>
      </c>
      <c r="O9" s="256" t="s">
        <v>17</v>
      </c>
      <c r="P9" s="258">
        <v>0.3467</v>
      </c>
      <c r="Q9" s="297" t="e">
        <v>#N/A</v>
      </c>
    </row>
    <row r="10">
      <c r="A10" s="253" t="s">
        <v>577</v>
      </c>
      <c r="B10" s="254">
        <v>31.0</v>
      </c>
      <c r="C10" s="292">
        <v>0.69</v>
      </c>
      <c r="D10" s="255">
        <v>1.0</v>
      </c>
      <c r="E10" s="293"/>
      <c r="F10" s="254">
        <v>27.0</v>
      </c>
      <c r="G10" s="254">
        <v>9.0</v>
      </c>
      <c r="H10" s="255">
        <v>0.333</v>
      </c>
      <c r="I10" s="253" t="s">
        <v>855</v>
      </c>
      <c r="J10" s="255">
        <v>0.0323</v>
      </c>
      <c r="K10" s="255">
        <v>0.2581</v>
      </c>
      <c r="L10" s="255">
        <v>0.0</v>
      </c>
      <c r="M10" s="255">
        <v>0.0323</v>
      </c>
      <c r="N10" s="255">
        <v>0.0323</v>
      </c>
      <c r="O10" s="253" t="s">
        <v>17</v>
      </c>
      <c r="P10" s="255">
        <v>0.2581</v>
      </c>
      <c r="Q10" s="294" t="e">
        <v>#N/A</v>
      </c>
    </row>
    <row r="11">
      <c r="A11" s="256" t="s">
        <v>578</v>
      </c>
      <c r="B11" s="257">
        <v>45.0</v>
      </c>
      <c r="C11" s="295">
        <v>0.63</v>
      </c>
      <c r="D11" s="258">
        <v>1.0</v>
      </c>
      <c r="E11" s="296"/>
      <c r="F11" s="257">
        <v>41.0</v>
      </c>
      <c r="G11" s="257">
        <v>7.0</v>
      </c>
      <c r="H11" s="258">
        <v>0.171</v>
      </c>
      <c r="I11" s="256" t="s">
        <v>855</v>
      </c>
      <c r="J11" s="258">
        <v>0.0</v>
      </c>
      <c r="K11" s="258">
        <v>0.1273</v>
      </c>
      <c r="L11" s="258">
        <v>0.0</v>
      </c>
      <c r="M11" s="258">
        <v>0.0364</v>
      </c>
      <c r="N11" s="258">
        <v>0.0</v>
      </c>
      <c r="O11" s="256" t="s">
        <v>17</v>
      </c>
      <c r="P11" s="258">
        <v>0.1273</v>
      </c>
      <c r="Q11" s="297" t="e">
        <v>#N/A</v>
      </c>
    </row>
    <row r="12">
      <c r="A12" s="253" t="s">
        <v>426</v>
      </c>
      <c r="B12" s="254">
        <v>11.0</v>
      </c>
      <c r="C12" s="292">
        <v>0.16</v>
      </c>
      <c r="D12" s="255">
        <v>1.0</v>
      </c>
      <c r="E12" s="293"/>
      <c r="F12" s="254">
        <v>9.0</v>
      </c>
      <c r="G12" s="254">
        <v>5.0</v>
      </c>
      <c r="H12" s="255">
        <v>0.556</v>
      </c>
      <c r="I12" s="253" t="s">
        <v>855</v>
      </c>
      <c r="J12" s="255">
        <v>0.0</v>
      </c>
      <c r="K12" s="255">
        <v>0.3</v>
      </c>
      <c r="L12" s="255">
        <v>0.1</v>
      </c>
      <c r="M12" s="255">
        <v>0.1</v>
      </c>
      <c r="N12" s="255">
        <v>0.1</v>
      </c>
      <c r="O12" s="253" t="s">
        <v>17</v>
      </c>
      <c r="P12" s="255">
        <v>0.3</v>
      </c>
      <c r="Q12" s="294" t="e">
        <v>#N/A</v>
      </c>
    </row>
    <row r="13">
      <c r="A13" s="256" t="s">
        <v>579</v>
      </c>
      <c r="B13" s="257">
        <v>35.0</v>
      </c>
      <c r="C13" s="295">
        <v>0.2</v>
      </c>
      <c r="D13" s="258">
        <v>1.0</v>
      </c>
      <c r="E13" s="296"/>
      <c r="F13" s="257">
        <v>37.0</v>
      </c>
      <c r="G13" s="257">
        <v>5.0</v>
      </c>
      <c r="H13" s="258">
        <v>0.135</v>
      </c>
      <c r="I13" s="256" t="s">
        <v>855</v>
      </c>
      <c r="J13" s="258">
        <v>0.0465</v>
      </c>
      <c r="K13" s="258">
        <v>0.0698</v>
      </c>
      <c r="L13" s="258">
        <v>0.0</v>
      </c>
      <c r="M13" s="258">
        <v>0.0233</v>
      </c>
      <c r="N13" s="258">
        <v>0.0233</v>
      </c>
      <c r="O13" s="256" t="s">
        <v>17</v>
      </c>
      <c r="P13" s="258">
        <v>0.0698</v>
      </c>
      <c r="Q13" s="297" t="e">
        <v>#N/A</v>
      </c>
    </row>
    <row r="14">
      <c r="A14" s="253" t="s">
        <v>580</v>
      </c>
      <c r="B14" s="254">
        <v>6.0</v>
      </c>
      <c r="C14" s="292">
        <v>0.46</v>
      </c>
      <c r="D14" s="255">
        <v>1.0</v>
      </c>
      <c r="E14" s="293"/>
      <c r="F14" s="254">
        <v>4.0</v>
      </c>
      <c r="G14" s="254">
        <v>3.0</v>
      </c>
      <c r="H14" s="255">
        <v>0.75</v>
      </c>
      <c r="I14" s="253" t="s">
        <v>855</v>
      </c>
      <c r="J14" s="255">
        <v>0.0</v>
      </c>
      <c r="K14" s="255">
        <v>0.375</v>
      </c>
      <c r="L14" s="255">
        <v>0.0</v>
      </c>
      <c r="M14" s="255">
        <v>0.0</v>
      </c>
      <c r="N14" s="255">
        <v>0.0</v>
      </c>
      <c r="O14" s="253" t="s">
        <v>17</v>
      </c>
      <c r="P14" s="255">
        <v>0.375</v>
      </c>
      <c r="Q14" s="294" t="e">
        <v>#N/A</v>
      </c>
    </row>
    <row r="15">
      <c r="A15" s="256" t="s">
        <v>581</v>
      </c>
      <c r="B15" s="257">
        <v>16.0</v>
      </c>
      <c r="C15" s="295">
        <v>0.89</v>
      </c>
      <c r="D15" s="258">
        <v>1.0</v>
      </c>
      <c r="E15" s="296"/>
      <c r="F15" s="257">
        <v>16.0</v>
      </c>
      <c r="G15" s="257">
        <v>3.0</v>
      </c>
      <c r="H15" s="258">
        <v>0.188</v>
      </c>
      <c r="I15" s="256" t="s">
        <v>855</v>
      </c>
      <c r="J15" s="258">
        <v>0.0</v>
      </c>
      <c r="K15" s="258">
        <v>0.1176</v>
      </c>
      <c r="L15" s="258">
        <v>0.0</v>
      </c>
      <c r="M15" s="258">
        <v>0.0588</v>
      </c>
      <c r="N15" s="258">
        <v>0.0588</v>
      </c>
      <c r="O15" s="256" t="s">
        <v>17</v>
      </c>
      <c r="P15" s="258">
        <v>0.1176</v>
      </c>
      <c r="Q15" s="297" t="e">
        <v>#N/A</v>
      </c>
    </row>
    <row r="16">
      <c r="A16" s="253" t="s">
        <v>582</v>
      </c>
      <c r="B16" s="254">
        <v>12.0</v>
      </c>
      <c r="C16" s="292">
        <v>0.18</v>
      </c>
      <c r="D16" s="255">
        <v>1.0</v>
      </c>
      <c r="E16" s="293"/>
      <c r="F16" s="254">
        <v>9.0</v>
      </c>
      <c r="G16" s="254">
        <v>3.0</v>
      </c>
      <c r="H16" s="255">
        <v>0.333</v>
      </c>
      <c r="I16" s="253" t="s">
        <v>855</v>
      </c>
      <c r="J16" s="255">
        <v>0.0909</v>
      </c>
      <c r="K16" s="255">
        <v>0.0</v>
      </c>
      <c r="L16" s="255">
        <v>0.0909</v>
      </c>
      <c r="M16" s="255">
        <v>0.0909</v>
      </c>
      <c r="N16" s="255">
        <v>0.0909</v>
      </c>
      <c r="O16" s="253" t="s">
        <v>323</v>
      </c>
      <c r="P16" s="255">
        <v>0.0909</v>
      </c>
      <c r="Q16" s="294" t="e">
        <v>#N/A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6" t="s">
        <v>848</v>
      </c>
      <c r="B1" s="176" t="s">
        <v>849</v>
      </c>
      <c r="C1" s="176" t="s">
        <v>868</v>
      </c>
      <c r="D1" s="176" t="s">
        <v>869</v>
      </c>
      <c r="E1" s="176" t="s">
        <v>870</v>
      </c>
      <c r="F1" s="176" t="s">
        <v>850</v>
      </c>
      <c r="G1" s="176" t="s">
        <v>851</v>
      </c>
      <c r="H1" s="176" t="s">
        <v>852</v>
      </c>
      <c r="I1" s="176" t="s">
        <v>853</v>
      </c>
      <c r="J1" s="176" t="s">
        <v>32</v>
      </c>
      <c r="K1" s="176" t="s">
        <v>17</v>
      </c>
      <c r="L1" s="176" t="s">
        <v>124</v>
      </c>
      <c r="M1" s="176" t="s">
        <v>392</v>
      </c>
      <c r="N1" s="176" t="s">
        <v>323</v>
      </c>
      <c r="O1" s="176" t="s">
        <v>3</v>
      </c>
      <c r="P1" s="176" t="s">
        <v>4</v>
      </c>
    </row>
    <row r="2">
      <c r="A2" s="183" t="s">
        <v>562</v>
      </c>
      <c r="B2" s="184">
        <v>6.0</v>
      </c>
      <c r="C2" s="195">
        <v>0.01</v>
      </c>
      <c r="D2" s="185">
        <v>1.0</v>
      </c>
      <c r="E2" s="196"/>
      <c r="F2" s="184">
        <v>3.0</v>
      </c>
      <c r="G2" s="184">
        <v>3.0</v>
      </c>
      <c r="H2" s="185">
        <v>1.0</v>
      </c>
      <c r="I2" s="183" t="s">
        <v>855</v>
      </c>
      <c r="J2" s="185">
        <v>0.0</v>
      </c>
      <c r="K2" s="185">
        <v>0.6</v>
      </c>
      <c r="L2" s="185">
        <v>0.0</v>
      </c>
      <c r="M2" s="185">
        <v>0.2</v>
      </c>
      <c r="N2" s="185">
        <v>0.2</v>
      </c>
      <c r="O2" s="183" t="s">
        <v>17</v>
      </c>
      <c r="P2" s="185">
        <v>0.6</v>
      </c>
    </row>
    <row r="3">
      <c r="A3" s="183" t="s">
        <v>500</v>
      </c>
      <c r="B3" s="184">
        <v>10.0</v>
      </c>
      <c r="C3" s="195">
        <v>0.21</v>
      </c>
      <c r="D3" s="185">
        <v>1.0</v>
      </c>
      <c r="E3" s="196"/>
      <c r="F3" s="184">
        <v>9.0</v>
      </c>
      <c r="G3" s="184">
        <v>7.0</v>
      </c>
      <c r="H3" s="185">
        <v>0.778</v>
      </c>
      <c r="I3" s="183" t="s">
        <v>855</v>
      </c>
      <c r="J3" s="185">
        <v>0.0</v>
      </c>
      <c r="K3" s="185">
        <v>0.7</v>
      </c>
      <c r="L3" s="185">
        <v>0.0</v>
      </c>
      <c r="M3" s="185">
        <v>0.0</v>
      </c>
      <c r="N3" s="185">
        <v>0.0</v>
      </c>
      <c r="O3" s="183" t="s">
        <v>17</v>
      </c>
      <c r="P3" s="185">
        <v>0.7</v>
      </c>
    </row>
    <row r="4">
      <c r="A4" s="178" t="s">
        <v>559</v>
      </c>
      <c r="B4" s="179">
        <v>13.0</v>
      </c>
      <c r="C4" s="191">
        <v>0.26</v>
      </c>
      <c r="D4" s="180">
        <v>1.0</v>
      </c>
      <c r="E4" s="192"/>
      <c r="F4" s="179">
        <v>10.0</v>
      </c>
      <c r="G4" s="179">
        <v>6.0</v>
      </c>
      <c r="H4" s="180">
        <v>0.6</v>
      </c>
      <c r="I4" s="178" t="s">
        <v>855</v>
      </c>
      <c r="J4" s="180">
        <v>0.0833</v>
      </c>
      <c r="K4" s="180">
        <v>0.4167</v>
      </c>
      <c r="L4" s="180">
        <v>0.0</v>
      </c>
      <c r="M4" s="180">
        <v>0.0833</v>
      </c>
      <c r="N4" s="180">
        <v>0.0</v>
      </c>
      <c r="O4" s="178" t="s">
        <v>17</v>
      </c>
      <c r="P4" s="180">
        <v>0.4167</v>
      </c>
    </row>
    <row r="5" hidden="1">
      <c r="A5" s="298" t="s">
        <v>932</v>
      </c>
      <c r="B5" s="299">
        <v>5.0</v>
      </c>
      <c r="C5" s="300">
        <v>1.0</v>
      </c>
      <c r="D5" s="301">
        <v>1.0</v>
      </c>
      <c r="E5" s="302"/>
      <c r="F5" s="299">
        <v>5.0</v>
      </c>
      <c r="G5" s="299">
        <v>3.0</v>
      </c>
      <c r="H5" s="301">
        <v>0.6</v>
      </c>
      <c r="I5" s="298" t="s">
        <v>855</v>
      </c>
      <c r="J5" s="301">
        <v>0.1667</v>
      </c>
      <c r="K5" s="301">
        <v>0.0</v>
      </c>
      <c r="L5" s="301">
        <v>0.0</v>
      </c>
      <c r="M5" s="301">
        <v>0.0</v>
      </c>
      <c r="N5" s="301">
        <v>0.3333</v>
      </c>
      <c r="O5" s="298" t="s">
        <v>933</v>
      </c>
      <c r="P5" s="301">
        <v>0.3333</v>
      </c>
    </row>
    <row r="6" hidden="1">
      <c r="A6" s="298" t="s">
        <v>934</v>
      </c>
      <c r="B6" s="299">
        <v>6.0</v>
      </c>
      <c r="C6" s="300">
        <v>0.38</v>
      </c>
      <c r="D6" s="301">
        <v>1.0</v>
      </c>
      <c r="E6" s="302"/>
      <c r="F6" s="299">
        <v>6.0</v>
      </c>
      <c r="G6" s="299">
        <v>3.0</v>
      </c>
      <c r="H6" s="301">
        <v>0.5</v>
      </c>
      <c r="I6" s="298" t="s">
        <v>855</v>
      </c>
      <c r="J6" s="301">
        <v>0.0</v>
      </c>
      <c r="K6" s="301">
        <v>0.0</v>
      </c>
      <c r="L6" s="301">
        <v>0.0</v>
      </c>
      <c r="M6" s="301">
        <v>0.0</v>
      </c>
      <c r="N6" s="301">
        <v>0.5</v>
      </c>
      <c r="O6" s="298" t="s">
        <v>402</v>
      </c>
      <c r="P6" s="301">
        <v>0.5</v>
      </c>
    </row>
    <row r="7" hidden="1">
      <c r="A7" s="298" t="s">
        <v>935</v>
      </c>
      <c r="B7" s="299">
        <v>7.0</v>
      </c>
      <c r="C7" s="300">
        <v>0.24</v>
      </c>
      <c r="D7" s="301">
        <v>1.0</v>
      </c>
      <c r="E7" s="302"/>
      <c r="F7" s="299">
        <v>7.0</v>
      </c>
      <c r="G7" s="299">
        <v>3.0</v>
      </c>
      <c r="H7" s="301">
        <v>0.429</v>
      </c>
      <c r="I7" s="298" t="s">
        <v>855</v>
      </c>
      <c r="J7" s="301">
        <v>0.125</v>
      </c>
      <c r="K7" s="301">
        <v>0.125</v>
      </c>
      <c r="L7" s="301">
        <v>0.0</v>
      </c>
      <c r="M7" s="301">
        <v>0.0</v>
      </c>
      <c r="N7" s="301">
        <v>0.125</v>
      </c>
      <c r="O7" s="298" t="s">
        <v>402</v>
      </c>
      <c r="P7" s="301">
        <v>0.125</v>
      </c>
    </row>
    <row r="8" hidden="1">
      <c r="A8" s="298" t="s">
        <v>441</v>
      </c>
      <c r="B8" s="299">
        <v>30.0</v>
      </c>
      <c r="C8" s="300">
        <v>0.28</v>
      </c>
      <c r="D8" s="301">
        <v>1.0</v>
      </c>
      <c r="E8" s="302"/>
      <c r="F8" s="299">
        <v>26.0</v>
      </c>
      <c r="G8" s="299">
        <v>11.0</v>
      </c>
      <c r="H8" s="301">
        <v>0.423</v>
      </c>
      <c r="I8" s="298" t="s">
        <v>855</v>
      </c>
      <c r="J8" s="301">
        <v>0.1333</v>
      </c>
      <c r="K8" s="301">
        <v>0.2</v>
      </c>
      <c r="L8" s="301">
        <v>0.0</v>
      </c>
      <c r="M8" s="301">
        <v>0.2333</v>
      </c>
      <c r="N8" s="301">
        <v>0.0667</v>
      </c>
      <c r="O8" s="298" t="s">
        <v>392</v>
      </c>
      <c r="P8" s="301">
        <v>0.2333</v>
      </c>
    </row>
    <row r="9" hidden="1">
      <c r="A9" s="298" t="s">
        <v>363</v>
      </c>
      <c r="B9" s="299">
        <v>11.0</v>
      </c>
      <c r="C9" s="300">
        <v>0.14</v>
      </c>
      <c r="D9" s="301">
        <v>1.0</v>
      </c>
      <c r="E9" s="302"/>
      <c r="F9" s="299">
        <v>8.0</v>
      </c>
      <c r="G9" s="299">
        <v>3.0</v>
      </c>
      <c r="H9" s="301">
        <v>0.375</v>
      </c>
      <c r="I9" s="298" t="s">
        <v>855</v>
      </c>
      <c r="J9" s="301">
        <v>0.0</v>
      </c>
      <c r="K9" s="301">
        <v>0.125</v>
      </c>
      <c r="L9" s="301">
        <v>0.125</v>
      </c>
      <c r="M9" s="301">
        <v>0.0</v>
      </c>
      <c r="N9" s="301">
        <v>0.125</v>
      </c>
      <c r="O9" s="298" t="s">
        <v>936</v>
      </c>
      <c r="P9" s="301">
        <v>0.125</v>
      </c>
    </row>
    <row r="10">
      <c r="A10" s="183" t="s">
        <v>564</v>
      </c>
      <c r="B10" s="184">
        <v>9.0</v>
      </c>
      <c r="C10" s="195">
        <v>0.23</v>
      </c>
      <c r="D10" s="185">
        <v>1.0</v>
      </c>
      <c r="E10" s="196"/>
      <c r="F10" s="184">
        <v>8.0</v>
      </c>
      <c r="G10" s="184">
        <v>3.0</v>
      </c>
      <c r="H10" s="185">
        <v>0.375</v>
      </c>
      <c r="I10" s="183" t="s">
        <v>855</v>
      </c>
      <c r="J10" s="185">
        <v>0.0</v>
      </c>
      <c r="K10" s="185">
        <v>0.3333</v>
      </c>
      <c r="L10" s="185">
        <v>0.0</v>
      </c>
      <c r="M10" s="185">
        <v>0.0</v>
      </c>
      <c r="N10" s="185">
        <v>0.0</v>
      </c>
      <c r="O10" s="183" t="s">
        <v>17</v>
      </c>
      <c r="P10" s="185">
        <v>0.3333</v>
      </c>
    </row>
    <row r="11" hidden="1">
      <c r="A11" s="298" t="s">
        <v>503</v>
      </c>
      <c r="B11" s="299">
        <v>35.0</v>
      </c>
      <c r="C11" s="300">
        <v>1.0</v>
      </c>
      <c r="D11" s="301">
        <v>1.0</v>
      </c>
      <c r="E11" s="302"/>
      <c r="F11" s="299">
        <v>27.0</v>
      </c>
      <c r="G11" s="299">
        <v>9.0</v>
      </c>
      <c r="H11" s="301">
        <v>0.333</v>
      </c>
      <c r="I11" s="298" t="s">
        <v>855</v>
      </c>
      <c r="J11" s="301">
        <v>0.1892</v>
      </c>
      <c r="K11" s="301">
        <v>0.0541</v>
      </c>
      <c r="L11" s="301">
        <v>0.027</v>
      </c>
      <c r="M11" s="301">
        <v>0.2162</v>
      </c>
      <c r="N11" s="301">
        <v>0.027</v>
      </c>
      <c r="O11" s="298" t="s">
        <v>392</v>
      </c>
      <c r="P11" s="301">
        <v>0.2162</v>
      </c>
    </row>
    <row r="12">
      <c r="A12" s="178" t="s">
        <v>280</v>
      </c>
      <c r="B12" s="179">
        <v>31.0</v>
      </c>
      <c r="C12" s="191">
        <v>0.36</v>
      </c>
      <c r="D12" s="180">
        <v>1.0</v>
      </c>
      <c r="E12" s="192"/>
      <c r="F12" s="179">
        <v>24.0</v>
      </c>
      <c r="G12" s="179">
        <v>8.0</v>
      </c>
      <c r="H12" s="180">
        <v>0.333</v>
      </c>
      <c r="I12" s="178" t="s">
        <v>855</v>
      </c>
      <c r="J12" s="180">
        <v>0.0714</v>
      </c>
      <c r="K12" s="180">
        <v>0.2143</v>
      </c>
      <c r="L12" s="180">
        <v>0.0</v>
      </c>
      <c r="M12" s="180">
        <v>0.0</v>
      </c>
      <c r="N12" s="180">
        <v>0.0</v>
      </c>
      <c r="O12" s="178" t="s">
        <v>17</v>
      </c>
      <c r="P12" s="180">
        <v>0.2143</v>
      </c>
    </row>
    <row r="13" hidden="1">
      <c r="A13" s="298" t="s">
        <v>315</v>
      </c>
      <c r="B13" s="299">
        <v>21.0</v>
      </c>
      <c r="C13" s="300">
        <v>0.25</v>
      </c>
      <c r="D13" s="301">
        <v>1.0</v>
      </c>
      <c r="E13" s="302"/>
      <c r="F13" s="299">
        <v>15.0</v>
      </c>
      <c r="G13" s="299">
        <v>5.0</v>
      </c>
      <c r="H13" s="301">
        <v>0.333</v>
      </c>
      <c r="I13" s="298" t="s">
        <v>855</v>
      </c>
      <c r="J13" s="301">
        <v>0.0556</v>
      </c>
      <c r="K13" s="301">
        <v>0.0556</v>
      </c>
      <c r="L13" s="301">
        <v>0.1111</v>
      </c>
      <c r="M13" s="301">
        <v>0.0556</v>
      </c>
      <c r="N13" s="301">
        <v>0.0556</v>
      </c>
      <c r="O13" s="298" t="s">
        <v>124</v>
      </c>
      <c r="P13" s="301">
        <v>0.1111</v>
      </c>
    </row>
    <row r="14" hidden="1">
      <c r="A14" s="298" t="s">
        <v>488</v>
      </c>
      <c r="B14" s="299">
        <v>15.0</v>
      </c>
      <c r="C14" s="300">
        <v>0.19</v>
      </c>
      <c r="D14" s="301">
        <v>1.0</v>
      </c>
      <c r="E14" s="302"/>
      <c r="F14" s="299">
        <v>9.0</v>
      </c>
      <c r="G14" s="299">
        <v>3.0</v>
      </c>
      <c r="H14" s="301">
        <v>0.333</v>
      </c>
      <c r="I14" s="298" t="s">
        <v>855</v>
      </c>
      <c r="J14" s="301">
        <v>0.0</v>
      </c>
      <c r="K14" s="301">
        <v>0.0909</v>
      </c>
      <c r="L14" s="301">
        <v>0.1818</v>
      </c>
      <c r="M14" s="301">
        <v>0.0</v>
      </c>
      <c r="N14" s="301">
        <v>0.0</v>
      </c>
      <c r="O14" s="298" t="s">
        <v>124</v>
      </c>
      <c r="P14" s="301">
        <v>0.1818</v>
      </c>
    </row>
    <row r="15" hidden="1">
      <c r="A15" s="298" t="s">
        <v>357</v>
      </c>
      <c r="B15" s="299">
        <v>19.0</v>
      </c>
      <c r="C15" s="300">
        <v>0.22</v>
      </c>
      <c r="D15" s="301">
        <v>1.0</v>
      </c>
      <c r="E15" s="302"/>
      <c r="F15" s="299">
        <v>16.0</v>
      </c>
      <c r="G15" s="299">
        <v>5.0</v>
      </c>
      <c r="H15" s="301">
        <v>0.313</v>
      </c>
      <c r="I15" s="298" t="s">
        <v>855</v>
      </c>
      <c r="J15" s="301">
        <v>0.0</v>
      </c>
      <c r="K15" s="301">
        <v>0.0556</v>
      </c>
      <c r="L15" s="301">
        <v>0.2778</v>
      </c>
      <c r="M15" s="301">
        <v>0.1667</v>
      </c>
      <c r="N15" s="301">
        <v>0.0</v>
      </c>
      <c r="O15" s="298" t="s">
        <v>124</v>
      </c>
      <c r="P15" s="301">
        <v>0.2778</v>
      </c>
    </row>
    <row r="16" hidden="1">
      <c r="A16" s="298" t="s">
        <v>129</v>
      </c>
      <c r="B16" s="299">
        <v>22.0</v>
      </c>
      <c r="C16" s="300">
        <v>0.76</v>
      </c>
      <c r="D16" s="301">
        <v>1.0</v>
      </c>
      <c r="E16" s="302"/>
      <c r="F16" s="299">
        <v>16.0</v>
      </c>
      <c r="G16" s="299">
        <v>5.0</v>
      </c>
      <c r="H16" s="301">
        <v>0.313</v>
      </c>
      <c r="I16" s="298" t="s">
        <v>855</v>
      </c>
      <c r="J16" s="301">
        <v>0.1</v>
      </c>
      <c r="K16" s="301">
        <v>0.0</v>
      </c>
      <c r="L16" s="301">
        <v>0.0</v>
      </c>
      <c r="M16" s="301">
        <v>0.1</v>
      </c>
      <c r="N16" s="301">
        <v>0.15</v>
      </c>
      <c r="O16" s="298" t="s">
        <v>402</v>
      </c>
      <c r="P16" s="301">
        <v>0.15</v>
      </c>
    </row>
    <row r="17">
      <c r="A17" s="183" t="s">
        <v>553</v>
      </c>
      <c r="B17" s="184">
        <v>9.0</v>
      </c>
      <c r="C17" s="195">
        <v>0.6</v>
      </c>
      <c r="D17" s="185">
        <v>1.0</v>
      </c>
      <c r="E17" s="196"/>
      <c r="F17" s="184">
        <v>10.0</v>
      </c>
      <c r="G17" s="184">
        <v>3.0</v>
      </c>
      <c r="H17" s="185">
        <v>0.3</v>
      </c>
      <c r="I17" s="183" t="s">
        <v>855</v>
      </c>
      <c r="J17" s="185">
        <v>0.2</v>
      </c>
      <c r="K17" s="185">
        <v>0.0</v>
      </c>
      <c r="L17" s="185">
        <v>0.1</v>
      </c>
      <c r="M17" s="185">
        <v>0.2</v>
      </c>
      <c r="N17" s="185">
        <v>0.0</v>
      </c>
      <c r="O17" s="183" t="s">
        <v>32</v>
      </c>
      <c r="P17" s="185">
        <v>0.2</v>
      </c>
    </row>
    <row r="18">
      <c r="A18" s="178" t="s">
        <v>544</v>
      </c>
      <c r="B18" s="179">
        <v>29.0</v>
      </c>
      <c r="C18" s="191">
        <v>0.74</v>
      </c>
      <c r="D18" s="180">
        <v>1.0</v>
      </c>
      <c r="E18" s="192"/>
      <c r="F18" s="179">
        <v>24.0</v>
      </c>
      <c r="G18" s="179">
        <v>7.0</v>
      </c>
      <c r="H18" s="180">
        <v>0.292</v>
      </c>
      <c r="I18" s="178" t="s">
        <v>855</v>
      </c>
      <c r="J18" s="180">
        <v>0.3103</v>
      </c>
      <c r="K18" s="180">
        <v>0.0345</v>
      </c>
      <c r="L18" s="180">
        <v>0.0</v>
      </c>
      <c r="M18" s="180">
        <v>0.1379</v>
      </c>
      <c r="N18" s="180">
        <v>0.0</v>
      </c>
      <c r="O18" s="178" t="s">
        <v>32</v>
      </c>
      <c r="P18" s="180">
        <v>0.3103</v>
      </c>
    </row>
    <row r="19" hidden="1">
      <c r="A19" s="298" t="s">
        <v>937</v>
      </c>
      <c r="B19" s="299">
        <v>16.0</v>
      </c>
      <c r="C19" s="300">
        <v>0.46</v>
      </c>
      <c r="D19" s="301">
        <v>1.0</v>
      </c>
      <c r="E19" s="302"/>
      <c r="F19" s="299">
        <v>14.0</v>
      </c>
      <c r="G19" s="299">
        <v>4.0</v>
      </c>
      <c r="H19" s="301">
        <v>0.286</v>
      </c>
      <c r="I19" s="298" t="s">
        <v>855</v>
      </c>
      <c r="J19" s="301">
        <v>0.0667</v>
      </c>
      <c r="K19" s="301">
        <v>0.0</v>
      </c>
      <c r="L19" s="301">
        <v>0.0667</v>
      </c>
      <c r="M19" s="301">
        <v>0.1333</v>
      </c>
      <c r="N19" s="301">
        <v>0.1333</v>
      </c>
      <c r="O19" s="298" t="s">
        <v>938</v>
      </c>
      <c r="P19" s="301">
        <v>0.1333</v>
      </c>
    </row>
    <row r="20">
      <c r="A20" s="178" t="s">
        <v>478</v>
      </c>
      <c r="B20" s="179">
        <v>16.0</v>
      </c>
      <c r="C20" s="191">
        <v>0.11</v>
      </c>
      <c r="D20" s="180">
        <v>1.0</v>
      </c>
      <c r="E20" s="192"/>
      <c r="F20" s="179">
        <v>11.0</v>
      </c>
      <c r="G20" s="179">
        <v>3.0</v>
      </c>
      <c r="H20" s="180">
        <v>0.273</v>
      </c>
      <c r="I20" s="178" t="s">
        <v>855</v>
      </c>
      <c r="J20" s="180">
        <v>0.1667</v>
      </c>
      <c r="K20" s="180">
        <v>0.0833</v>
      </c>
      <c r="L20" s="180">
        <v>0.0</v>
      </c>
      <c r="M20" s="180">
        <v>0.0</v>
      </c>
      <c r="N20" s="180">
        <v>0.0</v>
      </c>
      <c r="O20" s="178" t="s">
        <v>32</v>
      </c>
      <c r="P20" s="180">
        <v>0.1667</v>
      </c>
    </row>
    <row r="21">
      <c r="A21" s="178" t="s">
        <v>555</v>
      </c>
      <c r="B21" s="179">
        <v>12.0</v>
      </c>
      <c r="C21" s="191">
        <v>0.2</v>
      </c>
      <c r="D21" s="180">
        <v>1.0</v>
      </c>
      <c r="E21" s="192"/>
      <c r="F21" s="179">
        <v>11.0</v>
      </c>
      <c r="G21" s="179">
        <v>3.0</v>
      </c>
      <c r="H21" s="180">
        <v>0.273</v>
      </c>
      <c r="I21" s="178" t="s">
        <v>855</v>
      </c>
      <c r="J21" s="180">
        <v>0.3077</v>
      </c>
      <c r="K21" s="180">
        <v>0.0</v>
      </c>
      <c r="L21" s="180">
        <v>0.0769</v>
      </c>
      <c r="M21" s="180">
        <v>0.0769</v>
      </c>
      <c r="N21" s="180">
        <v>0.0</v>
      </c>
      <c r="O21" s="178" t="s">
        <v>32</v>
      </c>
      <c r="P21" s="180">
        <v>0.3077</v>
      </c>
    </row>
    <row r="22">
      <c r="A22" s="178" t="s">
        <v>561</v>
      </c>
      <c r="B22" s="179">
        <v>11.0</v>
      </c>
      <c r="C22" s="191">
        <v>0.02</v>
      </c>
      <c r="D22" s="180">
        <v>1.0</v>
      </c>
      <c r="E22" s="192"/>
      <c r="F22" s="179">
        <v>11.0</v>
      </c>
      <c r="G22" s="179">
        <v>3.0</v>
      </c>
      <c r="H22" s="180">
        <v>0.273</v>
      </c>
      <c r="I22" s="178" t="s">
        <v>855</v>
      </c>
      <c r="J22" s="180">
        <v>0.0</v>
      </c>
      <c r="K22" s="180">
        <v>0.25</v>
      </c>
      <c r="L22" s="180">
        <v>0.0</v>
      </c>
      <c r="M22" s="180">
        <v>0.0</v>
      </c>
      <c r="N22" s="180">
        <v>0.0</v>
      </c>
      <c r="O22" s="178" t="s">
        <v>17</v>
      </c>
      <c r="P22" s="180">
        <v>0.25</v>
      </c>
    </row>
    <row r="23" hidden="1">
      <c r="A23" s="298" t="s">
        <v>387</v>
      </c>
      <c r="B23" s="299">
        <v>25.0</v>
      </c>
      <c r="C23" s="300">
        <v>0.32</v>
      </c>
      <c r="D23" s="301">
        <v>1.0</v>
      </c>
      <c r="E23" s="302"/>
      <c r="F23" s="299">
        <v>23.0</v>
      </c>
      <c r="G23" s="299">
        <v>5.0</v>
      </c>
      <c r="H23" s="301">
        <v>0.217</v>
      </c>
      <c r="I23" s="298" t="s">
        <v>855</v>
      </c>
      <c r="J23" s="301">
        <v>0.0</v>
      </c>
      <c r="K23" s="301">
        <v>0.0</v>
      </c>
      <c r="L23" s="301">
        <v>0.2308</v>
      </c>
      <c r="M23" s="301">
        <v>0.0385</v>
      </c>
      <c r="N23" s="301">
        <v>0.0</v>
      </c>
      <c r="O23" s="298" t="s">
        <v>124</v>
      </c>
      <c r="P23" s="301">
        <v>0.2308</v>
      </c>
    </row>
    <row r="24">
      <c r="A24" s="250" t="s">
        <v>484</v>
      </c>
      <c r="B24" s="251">
        <v>50.0</v>
      </c>
      <c r="C24" s="303">
        <v>0.48</v>
      </c>
      <c r="D24" s="252">
        <v>1.0</v>
      </c>
      <c r="E24" s="304"/>
      <c r="F24" s="251">
        <v>33.0</v>
      </c>
      <c r="G24" s="251">
        <v>7.0</v>
      </c>
      <c r="H24" s="252">
        <v>0.212</v>
      </c>
      <c r="I24" s="250" t="s">
        <v>855</v>
      </c>
      <c r="J24" s="252">
        <v>0.1463</v>
      </c>
      <c r="K24" s="252">
        <v>0.0244</v>
      </c>
      <c r="L24" s="252">
        <v>0.0488</v>
      </c>
      <c r="M24" s="252">
        <v>0.0976</v>
      </c>
      <c r="N24" s="252">
        <v>0.0</v>
      </c>
      <c r="O24" s="250" t="s">
        <v>32</v>
      </c>
      <c r="P24" s="252">
        <v>0.1463</v>
      </c>
    </row>
    <row r="25">
      <c r="A25" s="178" t="s">
        <v>548</v>
      </c>
      <c r="B25" s="179">
        <v>29.0</v>
      </c>
      <c r="C25" s="191">
        <v>0.88</v>
      </c>
      <c r="D25" s="180">
        <v>1.0</v>
      </c>
      <c r="E25" s="192"/>
      <c r="F25" s="179">
        <v>29.0</v>
      </c>
      <c r="G25" s="179">
        <v>6.0</v>
      </c>
      <c r="H25" s="180">
        <v>0.207</v>
      </c>
      <c r="I25" s="178" t="s">
        <v>855</v>
      </c>
      <c r="J25" s="180">
        <v>0.0968</v>
      </c>
      <c r="K25" s="180">
        <v>0.0645</v>
      </c>
      <c r="L25" s="180">
        <v>0.0</v>
      </c>
      <c r="M25" s="180">
        <v>0.0645</v>
      </c>
      <c r="N25" s="180">
        <v>0.0323</v>
      </c>
      <c r="O25" s="178" t="s">
        <v>32</v>
      </c>
      <c r="P25" s="180">
        <v>0.0968</v>
      </c>
    </row>
    <row r="26">
      <c r="A26" s="183" t="s">
        <v>549</v>
      </c>
      <c r="B26" s="184">
        <v>26.0</v>
      </c>
      <c r="C26" s="195">
        <v>0.33</v>
      </c>
      <c r="D26" s="185">
        <v>1.0</v>
      </c>
      <c r="E26" s="196"/>
      <c r="F26" s="184">
        <v>28.0</v>
      </c>
      <c r="G26" s="184">
        <v>5.0</v>
      </c>
      <c r="H26" s="185">
        <v>0.179</v>
      </c>
      <c r="I26" s="183" t="s">
        <v>855</v>
      </c>
      <c r="J26" s="185">
        <v>0.1</v>
      </c>
      <c r="K26" s="185">
        <v>0.0</v>
      </c>
      <c r="L26" s="185">
        <v>0.1</v>
      </c>
      <c r="M26" s="185">
        <v>0.0333</v>
      </c>
      <c r="N26" s="185">
        <v>0.0</v>
      </c>
      <c r="O26" s="183" t="s">
        <v>32</v>
      </c>
      <c r="P26" s="185">
        <v>0.1</v>
      </c>
    </row>
    <row r="27" hidden="1">
      <c r="A27" s="298" t="s">
        <v>601</v>
      </c>
      <c r="B27" s="299">
        <v>27.0</v>
      </c>
      <c r="C27" s="300">
        <v>0.34</v>
      </c>
      <c r="D27" s="301">
        <v>1.0</v>
      </c>
      <c r="E27" s="302"/>
      <c r="F27" s="299">
        <v>28.0</v>
      </c>
      <c r="G27" s="299">
        <v>5.0</v>
      </c>
      <c r="H27" s="301">
        <v>0.179</v>
      </c>
      <c r="I27" s="298" t="s">
        <v>855</v>
      </c>
      <c r="J27" s="301">
        <v>0.0345</v>
      </c>
      <c r="K27" s="301">
        <v>0.0</v>
      </c>
      <c r="L27" s="301">
        <v>0.1379</v>
      </c>
      <c r="M27" s="301">
        <v>0.1379</v>
      </c>
      <c r="N27" s="301">
        <v>0.0</v>
      </c>
      <c r="O27" s="298" t="s">
        <v>857</v>
      </c>
      <c r="P27" s="301">
        <v>0.1379</v>
      </c>
    </row>
    <row r="28">
      <c r="A28" s="183" t="s">
        <v>558</v>
      </c>
      <c r="B28" s="184">
        <v>49.0</v>
      </c>
      <c r="C28" s="195">
        <v>0.91</v>
      </c>
      <c r="D28" s="185">
        <v>1.0</v>
      </c>
      <c r="E28" s="196"/>
      <c r="F28" s="184">
        <v>47.0</v>
      </c>
      <c r="G28" s="184">
        <v>8.0</v>
      </c>
      <c r="H28" s="185">
        <v>0.17</v>
      </c>
      <c r="I28" s="183" t="s">
        <v>855</v>
      </c>
      <c r="J28" s="185">
        <v>0.0</v>
      </c>
      <c r="K28" s="185">
        <v>0.1176</v>
      </c>
      <c r="L28" s="185">
        <v>0.0196</v>
      </c>
      <c r="M28" s="185">
        <v>0.0</v>
      </c>
      <c r="N28" s="185">
        <v>0.0196</v>
      </c>
      <c r="O28" s="183" t="s">
        <v>17</v>
      </c>
      <c r="P28" s="185">
        <v>0.1176</v>
      </c>
    </row>
    <row r="29">
      <c r="A29" s="178" t="s">
        <v>556</v>
      </c>
      <c r="B29" s="179">
        <v>21.0</v>
      </c>
      <c r="C29" s="191">
        <v>1.0</v>
      </c>
      <c r="D29" s="180">
        <v>1.0</v>
      </c>
      <c r="E29" s="192"/>
      <c r="F29" s="179">
        <v>19.0</v>
      </c>
      <c r="G29" s="179">
        <v>3.0</v>
      </c>
      <c r="H29" s="180">
        <v>0.158</v>
      </c>
      <c r="I29" s="178" t="s">
        <v>855</v>
      </c>
      <c r="J29" s="180">
        <v>0.1579</v>
      </c>
      <c r="K29" s="180">
        <v>0.0</v>
      </c>
      <c r="L29" s="180">
        <v>0.0</v>
      </c>
      <c r="M29" s="180">
        <v>0.0526</v>
      </c>
      <c r="N29" s="180">
        <v>0.0</v>
      </c>
      <c r="O29" s="178" t="s">
        <v>32</v>
      </c>
      <c r="P29" s="180">
        <v>0.1579</v>
      </c>
    </row>
    <row r="30" hidden="1">
      <c r="A30" s="298" t="s">
        <v>939</v>
      </c>
      <c r="B30" s="299">
        <v>21.0</v>
      </c>
      <c r="C30" s="300">
        <v>0.25</v>
      </c>
      <c r="D30" s="301">
        <v>1.0</v>
      </c>
      <c r="E30" s="302"/>
      <c r="F30" s="299">
        <v>19.0</v>
      </c>
      <c r="G30" s="299">
        <v>3.0</v>
      </c>
      <c r="H30" s="301">
        <v>0.158</v>
      </c>
      <c r="I30" s="298" t="s">
        <v>855</v>
      </c>
      <c r="J30" s="301">
        <v>0.05</v>
      </c>
      <c r="K30" s="301">
        <v>0.0</v>
      </c>
      <c r="L30" s="301">
        <v>0.15</v>
      </c>
      <c r="M30" s="301">
        <v>0.0</v>
      </c>
      <c r="N30" s="301">
        <v>0.0</v>
      </c>
      <c r="O30" s="298" t="s">
        <v>124</v>
      </c>
      <c r="P30" s="301">
        <v>0.15</v>
      </c>
    </row>
    <row r="31">
      <c r="A31" s="178" t="s">
        <v>552</v>
      </c>
      <c r="B31" s="179">
        <v>29.0</v>
      </c>
      <c r="C31" s="191">
        <v>1.0</v>
      </c>
      <c r="D31" s="180">
        <v>1.0</v>
      </c>
      <c r="E31" s="192"/>
      <c r="F31" s="179">
        <v>27.0</v>
      </c>
      <c r="G31" s="179">
        <v>4.0</v>
      </c>
      <c r="H31" s="180">
        <v>0.148</v>
      </c>
      <c r="I31" s="178" t="s">
        <v>855</v>
      </c>
      <c r="J31" s="180">
        <v>0.1034</v>
      </c>
      <c r="K31" s="180">
        <v>0.0345</v>
      </c>
      <c r="L31" s="180">
        <v>0.0345</v>
      </c>
      <c r="M31" s="180">
        <v>0.0</v>
      </c>
      <c r="N31" s="180">
        <v>0.0345</v>
      </c>
      <c r="O31" s="178" t="s">
        <v>32</v>
      </c>
      <c r="P31" s="180">
        <v>0.1034</v>
      </c>
    </row>
    <row r="32">
      <c r="A32" s="183" t="s">
        <v>167</v>
      </c>
      <c r="B32" s="184">
        <v>44.0</v>
      </c>
      <c r="C32" s="195">
        <v>0.94</v>
      </c>
      <c r="D32" s="185">
        <v>1.0</v>
      </c>
      <c r="E32" s="196"/>
      <c r="F32" s="184">
        <v>41.0</v>
      </c>
      <c r="G32" s="184">
        <v>6.0</v>
      </c>
      <c r="H32" s="185">
        <v>0.146</v>
      </c>
      <c r="I32" s="183" t="s">
        <v>855</v>
      </c>
      <c r="J32" s="185">
        <v>0.0889</v>
      </c>
      <c r="K32" s="185">
        <v>0.0222</v>
      </c>
      <c r="L32" s="185">
        <v>0.0444</v>
      </c>
      <c r="M32" s="185">
        <v>0.0444</v>
      </c>
      <c r="N32" s="185">
        <v>0.0</v>
      </c>
      <c r="O32" s="183" t="s">
        <v>32</v>
      </c>
      <c r="P32" s="185">
        <v>0.0889</v>
      </c>
    </row>
    <row r="33">
      <c r="A33" s="178" t="s">
        <v>389</v>
      </c>
      <c r="B33" s="179">
        <v>22.0</v>
      </c>
      <c r="C33" s="191">
        <v>0.16</v>
      </c>
      <c r="D33" s="180">
        <v>1.0</v>
      </c>
      <c r="E33" s="192"/>
      <c r="F33" s="179">
        <v>21.0</v>
      </c>
      <c r="G33" s="179">
        <v>3.0</v>
      </c>
      <c r="H33" s="180">
        <v>0.143</v>
      </c>
      <c r="I33" s="178" t="s">
        <v>855</v>
      </c>
      <c r="J33" s="180">
        <v>0.0</v>
      </c>
      <c r="K33" s="180">
        <v>0.0909</v>
      </c>
      <c r="L33" s="180">
        <v>0.0455</v>
      </c>
      <c r="M33" s="180">
        <v>0.0455</v>
      </c>
      <c r="N33" s="180">
        <v>0.0</v>
      </c>
      <c r="O33" s="178" t="s">
        <v>17</v>
      </c>
      <c r="P33" s="180">
        <v>0.0909</v>
      </c>
    </row>
    <row r="34" hidden="1">
      <c r="A34" s="298" t="s">
        <v>940</v>
      </c>
      <c r="B34" s="299">
        <v>25.0</v>
      </c>
      <c r="C34" s="300">
        <v>0.78</v>
      </c>
      <c r="D34" s="301">
        <v>1.0</v>
      </c>
      <c r="E34" s="302"/>
      <c r="F34" s="299">
        <v>22.0</v>
      </c>
      <c r="G34" s="299">
        <v>3.0</v>
      </c>
      <c r="H34" s="301">
        <v>0.136</v>
      </c>
      <c r="I34" s="298" t="s">
        <v>861</v>
      </c>
      <c r="J34" s="301">
        <v>0.0</v>
      </c>
      <c r="K34" s="301">
        <v>0.0</v>
      </c>
      <c r="L34" s="301">
        <v>0.0909</v>
      </c>
      <c r="M34" s="301">
        <v>0.1364</v>
      </c>
      <c r="N34" s="301">
        <v>0.0455</v>
      </c>
      <c r="O34" s="298" t="s">
        <v>392</v>
      </c>
      <c r="P34" s="301">
        <v>0.1364</v>
      </c>
    </row>
    <row r="35">
      <c r="A35" s="183" t="s">
        <v>546</v>
      </c>
      <c r="B35" s="184">
        <v>45.0</v>
      </c>
      <c r="C35" s="195">
        <v>0.58</v>
      </c>
      <c r="D35" s="185">
        <v>1.0</v>
      </c>
      <c r="E35" s="196"/>
      <c r="F35" s="184">
        <v>45.0</v>
      </c>
      <c r="G35" s="184">
        <v>6.0</v>
      </c>
      <c r="H35" s="185">
        <v>0.133</v>
      </c>
      <c r="I35" s="183" t="s">
        <v>855</v>
      </c>
      <c r="J35" s="185">
        <v>0.087</v>
      </c>
      <c r="K35" s="185">
        <v>0.0</v>
      </c>
      <c r="L35" s="185">
        <v>0.0435</v>
      </c>
      <c r="M35" s="185">
        <v>0.0435</v>
      </c>
      <c r="N35" s="185">
        <v>0.0</v>
      </c>
      <c r="O35" s="183" t="s">
        <v>32</v>
      </c>
      <c r="P35" s="185">
        <v>0.087</v>
      </c>
    </row>
    <row r="36" hidden="1">
      <c r="A36" s="298" t="s">
        <v>941</v>
      </c>
      <c r="B36" s="299">
        <v>41.0</v>
      </c>
      <c r="C36" s="300">
        <v>0.39</v>
      </c>
      <c r="D36" s="301">
        <v>1.0</v>
      </c>
      <c r="E36" s="302"/>
      <c r="F36" s="299">
        <v>39.0</v>
      </c>
      <c r="G36" s="299">
        <v>5.0</v>
      </c>
      <c r="H36" s="301">
        <v>0.128</v>
      </c>
      <c r="I36" s="298" t="s">
        <v>855</v>
      </c>
      <c r="J36" s="301">
        <v>0.0465</v>
      </c>
      <c r="K36" s="301">
        <v>0.0233</v>
      </c>
      <c r="L36" s="301">
        <v>0.0698</v>
      </c>
      <c r="M36" s="301">
        <v>0.0465</v>
      </c>
      <c r="N36" s="301">
        <v>0.0</v>
      </c>
      <c r="O36" s="298" t="s">
        <v>124</v>
      </c>
      <c r="P36" s="301">
        <v>0.0698</v>
      </c>
    </row>
    <row r="37" hidden="1">
      <c r="A37" s="298" t="s">
        <v>623</v>
      </c>
      <c r="B37" s="299">
        <v>116.0</v>
      </c>
      <c r="C37" s="300">
        <v>0.82</v>
      </c>
      <c r="D37" s="301">
        <v>1.0</v>
      </c>
      <c r="E37" s="302"/>
      <c r="F37" s="299">
        <v>114.0</v>
      </c>
      <c r="G37" s="299">
        <v>14.0</v>
      </c>
      <c r="H37" s="301">
        <v>0.123</v>
      </c>
      <c r="I37" s="298" t="s">
        <v>855</v>
      </c>
      <c r="J37" s="301">
        <v>0.0547</v>
      </c>
      <c r="K37" s="301">
        <v>0.0625</v>
      </c>
      <c r="L37" s="301">
        <v>0.0234</v>
      </c>
      <c r="M37" s="301">
        <v>0.1563</v>
      </c>
      <c r="N37" s="301">
        <v>0.0</v>
      </c>
      <c r="O37" s="298" t="s">
        <v>392</v>
      </c>
      <c r="P37" s="301">
        <v>0.1563</v>
      </c>
    </row>
    <row r="38" hidden="1">
      <c r="A38" s="298" t="s">
        <v>298</v>
      </c>
      <c r="B38" s="299">
        <v>163.0</v>
      </c>
      <c r="C38" s="300">
        <v>0.99</v>
      </c>
      <c r="D38" s="301">
        <v>1.0</v>
      </c>
      <c r="E38" s="302"/>
      <c r="F38" s="299">
        <v>152.0</v>
      </c>
      <c r="G38" s="299">
        <v>18.0</v>
      </c>
      <c r="H38" s="301">
        <v>0.118</v>
      </c>
      <c r="I38" s="298" t="s">
        <v>855</v>
      </c>
      <c r="J38" s="301">
        <v>0.0382</v>
      </c>
      <c r="K38" s="301">
        <v>0.0064</v>
      </c>
      <c r="L38" s="301">
        <v>0.0764</v>
      </c>
      <c r="M38" s="301">
        <v>0.0382</v>
      </c>
      <c r="N38" s="301">
        <v>0.0064</v>
      </c>
      <c r="O38" s="298" t="s">
        <v>124</v>
      </c>
      <c r="P38" s="301">
        <v>0.0764</v>
      </c>
    </row>
    <row r="39">
      <c r="A39" s="183" t="s">
        <v>545</v>
      </c>
      <c r="B39" s="184">
        <v>64.0</v>
      </c>
      <c r="C39" s="195">
        <v>0.48</v>
      </c>
      <c r="D39" s="185">
        <v>1.0</v>
      </c>
      <c r="E39" s="196"/>
      <c r="F39" s="184">
        <v>61.0</v>
      </c>
      <c r="G39" s="184">
        <v>7.0</v>
      </c>
      <c r="H39" s="185">
        <v>0.115</v>
      </c>
      <c r="I39" s="183" t="s">
        <v>855</v>
      </c>
      <c r="J39" s="185">
        <v>0.0968</v>
      </c>
      <c r="K39" s="185">
        <v>0.0</v>
      </c>
      <c r="L39" s="185">
        <v>0.0161</v>
      </c>
      <c r="M39" s="185">
        <v>0.0806</v>
      </c>
      <c r="N39" s="185">
        <v>0.0</v>
      </c>
      <c r="O39" s="183" t="s">
        <v>32</v>
      </c>
      <c r="P39" s="185">
        <v>0.0968</v>
      </c>
    </row>
    <row r="40">
      <c r="A40" s="183" t="s">
        <v>455</v>
      </c>
      <c r="B40" s="184">
        <v>35.0</v>
      </c>
      <c r="C40" s="195">
        <v>0.95</v>
      </c>
      <c r="D40" s="185">
        <v>1.0</v>
      </c>
      <c r="E40" s="196"/>
      <c r="F40" s="184">
        <v>29.0</v>
      </c>
      <c r="G40" s="184">
        <v>3.0</v>
      </c>
      <c r="H40" s="185">
        <v>0.103</v>
      </c>
      <c r="I40" s="183" t="s">
        <v>855</v>
      </c>
      <c r="J40" s="185">
        <v>0.0588</v>
      </c>
      <c r="K40" s="185">
        <v>0.0</v>
      </c>
      <c r="L40" s="185">
        <v>0.0294</v>
      </c>
      <c r="M40" s="185">
        <v>0.0294</v>
      </c>
      <c r="N40" s="185">
        <v>0.0294</v>
      </c>
      <c r="O40" s="183" t="s">
        <v>32</v>
      </c>
      <c r="P40" s="185">
        <v>0.0588</v>
      </c>
    </row>
    <row r="41" hidden="1">
      <c r="A41" s="298" t="s">
        <v>626</v>
      </c>
      <c r="B41" s="299">
        <v>30.0</v>
      </c>
      <c r="C41" s="300">
        <v>0.28</v>
      </c>
      <c r="D41" s="301">
        <v>1.0</v>
      </c>
      <c r="E41" s="302"/>
      <c r="F41" s="299">
        <v>29.0</v>
      </c>
      <c r="G41" s="299">
        <v>3.0</v>
      </c>
      <c r="H41" s="301">
        <v>0.103</v>
      </c>
      <c r="I41" s="298" t="s">
        <v>855</v>
      </c>
      <c r="J41" s="301">
        <v>0.0667</v>
      </c>
      <c r="K41" s="301">
        <v>0.0</v>
      </c>
      <c r="L41" s="301">
        <v>0.0333</v>
      </c>
      <c r="M41" s="301">
        <v>0.0667</v>
      </c>
      <c r="N41" s="301">
        <v>0.0</v>
      </c>
      <c r="O41" s="298" t="s">
        <v>857</v>
      </c>
      <c r="P41" s="301">
        <v>0.0667</v>
      </c>
    </row>
    <row r="42">
      <c r="A42" s="178" t="s">
        <v>547</v>
      </c>
      <c r="B42" s="179">
        <v>61.0</v>
      </c>
      <c r="C42" s="191">
        <v>0.13</v>
      </c>
      <c r="D42" s="180">
        <v>1.0</v>
      </c>
      <c r="E42" s="192"/>
      <c r="F42" s="179">
        <v>63.0</v>
      </c>
      <c r="G42" s="179">
        <v>6.0</v>
      </c>
      <c r="H42" s="180">
        <v>0.095</v>
      </c>
      <c r="I42" s="178" t="s">
        <v>855</v>
      </c>
      <c r="J42" s="180">
        <v>0.0769</v>
      </c>
      <c r="K42" s="180">
        <v>0.0</v>
      </c>
      <c r="L42" s="180">
        <v>0.0154</v>
      </c>
      <c r="M42" s="180">
        <v>0.0154</v>
      </c>
      <c r="N42" s="180">
        <v>0.0154</v>
      </c>
      <c r="O42" s="178" t="s">
        <v>32</v>
      </c>
      <c r="P42" s="180">
        <v>0.0769</v>
      </c>
    </row>
    <row r="43" hidden="1">
      <c r="A43" s="298" t="s">
        <v>942</v>
      </c>
      <c r="B43" s="299">
        <v>34.0</v>
      </c>
      <c r="C43" s="300">
        <v>0.2</v>
      </c>
      <c r="D43" s="301">
        <v>1.0</v>
      </c>
      <c r="E43" s="302"/>
      <c r="F43" s="299">
        <v>32.0</v>
      </c>
      <c r="G43" s="299">
        <v>3.0</v>
      </c>
      <c r="H43" s="301">
        <v>0.094</v>
      </c>
      <c r="I43" s="298" t="s">
        <v>943</v>
      </c>
      <c r="J43" s="301">
        <v>0.0</v>
      </c>
      <c r="K43" s="301">
        <v>0.0313</v>
      </c>
      <c r="L43" s="301">
        <v>0.0313</v>
      </c>
      <c r="M43" s="301">
        <v>0.0625</v>
      </c>
      <c r="N43" s="301">
        <v>0.0313</v>
      </c>
      <c r="O43" s="298" t="s">
        <v>938</v>
      </c>
      <c r="P43" s="301">
        <v>0.0625</v>
      </c>
    </row>
    <row r="44" hidden="1">
      <c r="A44" s="298" t="s">
        <v>361</v>
      </c>
      <c r="B44" s="299">
        <v>112.0</v>
      </c>
      <c r="C44" s="300">
        <v>1.0</v>
      </c>
      <c r="D44" s="301">
        <v>1.0</v>
      </c>
      <c r="E44" s="302"/>
      <c r="F44" s="299">
        <v>107.0</v>
      </c>
      <c r="G44" s="299">
        <v>9.0</v>
      </c>
      <c r="H44" s="301">
        <v>0.084</v>
      </c>
      <c r="I44" s="298" t="s">
        <v>855</v>
      </c>
      <c r="J44" s="301">
        <v>0.0</v>
      </c>
      <c r="K44" s="301">
        <v>0.0</v>
      </c>
      <c r="L44" s="301">
        <v>0.0741</v>
      </c>
      <c r="M44" s="301">
        <v>0.037</v>
      </c>
      <c r="N44" s="301">
        <v>0.0093</v>
      </c>
      <c r="O44" s="298" t="s">
        <v>124</v>
      </c>
      <c r="P44" s="301">
        <v>0.0741</v>
      </c>
    </row>
    <row r="45">
      <c r="A45" s="183" t="s">
        <v>554</v>
      </c>
      <c r="B45" s="184">
        <v>36.0</v>
      </c>
      <c r="C45" s="195">
        <v>0.45</v>
      </c>
      <c r="D45" s="185">
        <v>1.0</v>
      </c>
      <c r="E45" s="196"/>
      <c r="F45" s="184">
        <v>36.0</v>
      </c>
      <c r="G45" s="184">
        <v>3.0</v>
      </c>
      <c r="H45" s="185">
        <v>0.083</v>
      </c>
      <c r="I45" s="183" t="s">
        <v>855</v>
      </c>
      <c r="J45" s="185">
        <v>0.0789</v>
      </c>
      <c r="K45" s="185">
        <v>0.0</v>
      </c>
      <c r="L45" s="185">
        <v>0.0</v>
      </c>
      <c r="M45" s="185">
        <v>0.0263</v>
      </c>
      <c r="N45" s="185">
        <v>0.0</v>
      </c>
      <c r="O45" s="183" t="s">
        <v>32</v>
      </c>
      <c r="P45" s="185">
        <v>0.0789</v>
      </c>
    </row>
    <row r="46" hidden="1">
      <c r="A46" s="298" t="s">
        <v>449</v>
      </c>
      <c r="B46" s="299">
        <v>52.0</v>
      </c>
      <c r="C46" s="300">
        <v>0.5</v>
      </c>
      <c r="D46" s="301">
        <v>1.0</v>
      </c>
      <c r="E46" s="302"/>
      <c r="F46" s="299">
        <v>51.0</v>
      </c>
      <c r="G46" s="299">
        <v>4.0</v>
      </c>
      <c r="H46" s="301">
        <v>0.078</v>
      </c>
      <c r="I46" s="298" t="s">
        <v>855</v>
      </c>
      <c r="J46" s="301">
        <v>0.0</v>
      </c>
      <c r="K46" s="301">
        <v>0.0</v>
      </c>
      <c r="L46" s="301">
        <v>0.0784</v>
      </c>
      <c r="M46" s="301">
        <v>0.0392</v>
      </c>
      <c r="N46" s="301">
        <v>0.0</v>
      </c>
      <c r="O46" s="298" t="s">
        <v>124</v>
      </c>
      <c r="P46" s="301">
        <v>0.0784</v>
      </c>
    </row>
    <row r="47" hidden="1">
      <c r="A47" s="298" t="s">
        <v>486</v>
      </c>
      <c r="B47" s="299">
        <v>215.0</v>
      </c>
      <c r="C47" s="300">
        <v>0.11</v>
      </c>
      <c r="D47" s="301">
        <v>1.0</v>
      </c>
      <c r="E47" s="302"/>
      <c r="F47" s="299">
        <v>212.0</v>
      </c>
      <c r="G47" s="299">
        <v>15.0</v>
      </c>
      <c r="H47" s="301">
        <v>0.071</v>
      </c>
      <c r="I47" s="298" t="s">
        <v>855</v>
      </c>
      <c r="J47" s="301">
        <v>0.0267</v>
      </c>
      <c r="K47" s="301">
        <v>0.0267</v>
      </c>
      <c r="L47" s="301">
        <v>0.0178</v>
      </c>
      <c r="M47" s="301">
        <v>0.0756</v>
      </c>
      <c r="N47" s="301">
        <v>0.0089</v>
      </c>
      <c r="O47" s="298" t="s">
        <v>392</v>
      </c>
      <c r="P47" s="301">
        <v>0.0756</v>
      </c>
    </row>
    <row r="48" hidden="1">
      <c r="A48" s="298" t="s">
        <v>944</v>
      </c>
      <c r="B48" s="299">
        <v>47.0</v>
      </c>
      <c r="C48" s="300">
        <v>0.11</v>
      </c>
      <c r="D48" s="301">
        <v>1.0</v>
      </c>
      <c r="E48" s="302"/>
      <c r="F48" s="299">
        <v>47.0</v>
      </c>
      <c r="G48" s="299">
        <v>3.0</v>
      </c>
      <c r="H48" s="301">
        <v>0.064</v>
      </c>
      <c r="I48" s="298" t="s">
        <v>855</v>
      </c>
      <c r="J48" s="301">
        <v>0.0213</v>
      </c>
      <c r="K48" s="301">
        <v>0.0</v>
      </c>
      <c r="L48" s="301">
        <v>0.0426</v>
      </c>
      <c r="M48" s="301">
        <v>0.0213</v>
      </c>
      <c r="N48" s="301">
        <v>0.0213</v>
      </c>
      <c r="O48" s="298" t="s">
        <v>936</v>
      </c>
      <c r="P48" s="301">
        <v>0.0426</v>
      </c>
    </row>
    <row r="49" hidden="1">
      <c r="A49" s="298" t="s">
        <v>916</v>
      </c>
      <c r="B49" s="299">
        <v>49.0</v>
      </c>
      <c r="C49" s="300">
        <v>0.6</v>
      </c>
      <c r="D49" s="301">
        <v>1.0</v>
      </c>
      <c r="E49" s="302"/>
      <c r="F49" s="299">
        <v>47.0</v>
      </c>
      <c r="G49" s="299">
        <v>3.0</v>
      </c>
      <c r="H49" s="301">
        <v>0.064</v>
      </c>
      <c r="I49" s="298" t="s">
        <v>855</v>
      </c>
      <c r="J49" s="301">
        <v>0.0213</v>
      </c>
      <c r="K49" s="301">
        <v>0.0426</v>
      </c>
      <c r="L49" s="301">
        <v>0.0</v>
      </c>
      <c r="M49" s="301">
        <v>0.0426</v>
      </c>
      <c r="N49" s="301">
        <v>0.0</v>
      </c>
      <c r="O49" s="298" t="s">
        <v>392</v>
      </c>
      <c r="P49" s="301">
        <v>0.0426</v>
      </c>
    </row>
    <row r="50" hidden="1">
      <c r="A50" s="298" t="s">
        <v>195</v>
      </c>
      <c r="B50" s="299">
        <v>103.0</v>
      </c>
      <c r="C50" s="300">
        <v>0.43</v>
      </c>
      <c r="D50" s="301">
        <v>1.0</v>
      </c>
      <c r="E50" s="302"/>
      <c r="F50" s="299">
        <v>100.0</v>
      </c>
      <c r="G50" s="299">
        <v>6.0</v>
      </c>
      <c r="H50" s="301">
        <v>0.06</v>
      </c>
      <c r="I50" s="298" t="s">
        <v>855</v>
      </c>
      <c r="J50" s="301">
        <v>0.0291</v>
      </c>
      <c r="K50" s="301">
        <v>0.0</v>
      </c>
      <c r="L50" s="301">
        <v>0.0485</v>
      </c>
      <c r="M50" s="301">
        <v>0.0388</v>
      </c>
      <c r="N50" s="301">
        <v>0.0</v>
      </c>
      <c r="O50" s="298" t="s">
        <v>124</v>
      </c>
      <c r="P50" s="301">
        <v>0.0485</v>
      </c>
    </row>
    <row r="51">
      <c r="A51" s="178" t="s">
        <v>557</v>
      </c>
      <c r="B51" s="179">
        <v>88.0</v>
      </c>
      <c r="C51" s="191">
        <v>0.58</v>
      </c>
      <c r="D51" s="180">
        <v>1.0</v>
      </c>
      <c r="E51" s="192"/>
      <c r="F51" s="179">
        <v>84.0</v>
      </c>
      <c r="G51" s="179">
        <v>5.0</v>
      </c>
      <c r="H51" s="180">
        <v>0.06</v>
      </c>
      <c r="I51" s="178" t="s">
        <v>855</v>
      </c>
      <c r="J51" s="180">
        <v>0.0357</v>
      </c>
      <c r="K51" s="180">
        <v>0.0</v>
      </c>
      <c r="L51" s="180">
        <v>0.0357</v>
      </c>
      <c r="M51" s="180">
        <v>0.0238</v>
      </c>
      <c r="N51" s="180">
        <v>0.0</v>
      </c>
      <c r="O51" s="178" t="s">
        <v>307</v>
      </c>
      <c r="P51" s="180">
        <v>0.0357</v>
      </c>
    </row>
    <row r="52">
      <c r="A52" s="183" t="s">
        <v>375</v>
      </c>
      <c r="B52" s="184">
        <v>52.0</v>
      </c>
      <c r="C52" s="195">
        <v>1.0</v>
      </c>
      <c r="D52" s="185">
        <v>1.0</v>
      </c>
      <c r="E52" s="196"/>
      <c r="F52" s="184">
        <v>50.0</v>
      </c>
      <c r="G52" s="184">
        <v>3.0</v>
      </c>
      <c r="H52" s="185">
        <v>0.06</v>
      </c>
      <c r="I52" s="183" t="s">
        <v>855</v>
      </c>
      <c r="J52" s="185">
        <v>0.0566</v>
      </c>
      <c r="K52" s="185">
        <v>0.0</v>
      </c>
      <c r="L52" s="185">
        <v>0.0</v>
      </c>
      <c r="M52" s="185">
        <v>0.0566</v>
      </c>
      <c r="N52" s="185">
        <v>0.0</v>
      </c>
      <c r="O52" s="183" t="s">
        <v>32</v>
      </c>
      <c r="P52" s="185">
        <v>0.0566</v>
      </c>
    </row>
    <row r="53" hidden="1">
      <c r="A53" s="298" t="s">
        <v>945</v>
      </c>
      <c r="B53" s="299">
        <v>50.0</v>
      </c>
      <c r="C53" s="300">
        <v>0.16</v>
      </c>
      <c r="D53" s="301">
        <v>1.0</v>
      </c>
      <c r="E53" s="302"/>
      <c r="F53" s="299">
        <v>50.0</v>
      </c>
      <c r="G53" s="299">
        <v>3.0</v>
      </c>
      <c r="H53" s="301">
        <v>0.06</v>
      </c>
      <c r="I53" s="298" t="s">
        <v>861</v>
      </c>
      <c r="J53" s="301">
        <v>0.0</v>
      </c>
      <c r="K53" s="301">
        <v>0.0</v>
      </c>
      <c r="L53" s="301">
        <v>0.06</v>
      </c>
      <c r="M53" s="301">
        <v>0.06</v>
      </c>
      <c r="N53" s="301">
        <v>0.0</v>
      </c>
      <c r="O53" s="298" t="s">
        <v>857</v>
      </c>
      <c r="P53" s="301">
        <v>0.06</v>
      </c>
    </row>
    <row r="54" hidden="1">
      <c r="A54" s="298" t="s">
        <v>946</v>
      </c>
      <c r="B54" s="299">
        <v>70.0</v>
      </c>
      <c r="C54" s="300">
        <v>1.0</v>
      </c>
      <c r="D54" s="301">
        <v>1.0</v>
      </c>
      <c r="E54" s="302"/>
      <c r="F54" s="299">
        <v>68.0</v>
      </c>
      <c r="G54" s="299">
        <v>4.0</v>
      </c>
      <c r="H54" s="301">
        <v>0.059</v>
      </c>
      <c r="I54" s="298" t="s">
        <v>855</v>
      </c>
      <c r="J54" s="301">
        <v>0.0</v>
      </c>
      <c r="K54" s="301">
        <v>0.0</v>
      </c>
      <c r="L54" s="301">
        <v>0.0294</v>
      </c>
      <c r="M54" s="301">
        <v>0.0</v>
      </c>
      <c r="N54" s="301">
        <v>0.0294</v>
      </c>
      <c r="O54" s="298" t="s">
        <v>936</v>
      </c>
      <c r="P54" s="301">
        <v>0.0294</v>
      </c>
    </row>
    <row r="55" hidden="1">
      <c r="A55" s="298" t="s">
        <v>159</v>
      </c>
      <c r="B55" s="299">
        <v>152.0</v>
      </c>
      <c r="C55" s="300">
        <v>0.58</v>
      </c>
      <c r="D55" s="301">
        <v>1.0</v>
      </c>
      <c r="E55" s="302"/>
      <c r="F55" s="299">
        <v>156.0</v>
      </c>
      <c r="G55" s="299">
        <v>9.0</v>
      </c>
      <c r="H55" s="301">
        <v>0.058</v>
      </c>
      <c r="I55" s="298" t="s">
        <v>855</v>
      </c>
      <c r="J55" s="301">
        <v>0.0313</v>
      </c>
      <c r="K55" s="301">
        <v>0.0313</v>
      </c>
      <c r="L55" s="301">
        <v>0.0</v>
      </c>
      <c r="M55" s="301">
        <v>0.1063</v>
      </c>
      <c r="N55" s="301">
        <v>0.0</v>
      </c>
      <c r="O55" s="298" t="s">
        <v>392</v>
      </c>
      <c r="P55" s="301">
        <v>0.1063</v>
      </c>
    </row>
    <row r="56">
      <c r="A56" s="183" t="s">
        <v>560</v>
      </c>
      <c r="B56" s="184">
        <v>88.0</v>
      </c>
      <c r="C56" s="195">
        <v>0.34</v>
      </c>
      <c r="D56" s="185">
        <v>1.0</v>
      </c>
      <c r="E56" s="196"/>
      <c r="F56" s="184">
        <v>91.0</v>
      </c>
      <c r="G56" s="184">
        <v>5.0</v>
      </c>
      <c r="H56" s="185">
        <v>0.055</v>
      </c>
      <c r="I56" s="183" t="s">
        <v>855</v>
      </c>
      <c r="J56" s="185">
        <v>0.0106</v>
      </c>
      <c r="K56" s="185">
        <v>0.0532</v>
      </c>
      <c r="L56" s="185">
        <v>0.0</v>
      </c>
      <c r="M56" s="185">
        <v>0.0426</v>
      </c>
      <c r="N56" s="185">
        <v>0.0</v>
      </c>
      <c r="O56" s="183" t="s">
        <v>17</v>
      </c>
      <c r="P56" s="185">
        <v>0.0532</v>
      </c>
    </row>
    <row r="57">
      <c r="A57" s="178" t="s">
        <v>550</v>
      </c>
      <c r="B57" s="179">
        <v>78.0</v>
      </c>
      <c r="C57" s="191">
        <v>0.95</v>
      </c>
      <c r="D57" s="180">
        <v>1.0</v>
      </c>
      <c r="E57" s="192"/>
      <c r="F57" s="179">
        <v>73.0</v>
      </c>
      <c r="G57" s="179">
        <v>4.0</v>
      </c>
      <c r="H57" s="180">
        <v>0.055</v>
      </c>
      <c r="I57" s="178" t="s">
        <v>855</v>
      </c>
      <c r="J57" s="180">
        <v>0.027</v>
      </c>
      <c r="K57" s="180">
        <v>0.0135</v>
      </c>
      <c r="L57" s="180">
        <v>0.0135</v>
      </c>
      <c r="M57" s="180">
        <v>0.0</v>
      </c>
      <c r="N57" s="180">
        <v>0.0</v>
      </c>
      <c r="O57" s="178" t="s">
        <v>32</v>
      </c>
      <c r="P57" s="180">
        <v>0.027</v>
      </c>
    </row>
    <row r="58" hidden="1">
      <c r="A58" s="298" t="s">
        <v>947</v>
      </c>
      <c r="B58" s="299">
        <v>191.0</v>
      </c>
      <c r="C58" s="300">
        <v>0.67</v>
      </c>
      <c r="D58" s="301">
        <v>1.0</v>
      </c>
      <c r="E58" s="302"/>
      <c r="F58" s="299">
        <v>187.0</v>
      </c>
      <c r="G58" s="299">
        <v>10.0</v>
      </c>
      <c r="H58" s="301">
        <v>0.053</v>
      </c>
      <c r="I58" s="298" t="s">
        <v>855</v>
      </c>
      <c r="J58" s="301">
        <v>0.0479</v>
      </c>
      <c r="K58" s="301">
        <v>0.0</v>
      </c>
      <c r="L58" s="301">
        <v>0.016</v>
      </c>
      <c r="M58" s="301">
        <v>0.0479</v>
      </c>
      <c r="N58" s="301">
        <v>0.0</v>
      </c>
      <c r="O58" s="298" t="s">
        <v>392</v>
      </c>
      <c r="P58" s="301">
        <v>0.0479</v>
      </c>
    </row>
    <row r="59">
      <c r="A59" s="183" t="s">
        <v>551</v>
      </c>
      <c r="B59" s="184">
        <v>73.0</v>
      </c>
      <c r="C59" s="195">
        <v>0.41</v>
      </c>
      <c r="D59" s="185">
        <v>1.0</v>
      </c>
      <c r="E59" s="196"/>
      <c r="F59" s="184">
        <v>75.0</v>
      </c>
      <c r="G59" s="184">
        <v>4.0</v>
      </c>
      <c r="H59" s="185">
        <v>0.053</v>
      </c>
      <c r="I59" s="183" t="s">
        <v>855</v>
      </c>
      <c r="J59" s="185">
        <v>0.0263</v>
      </c>
      <c r="K59" s="185">
        <v>0.0</v>
      </c>
      <c r="L59" s="185">
        <v>0.0263</v>
      </c>
      <c r="M59" s="185">
        <v>0.0263</v>
      </c>
      <c r="N59" s="185">
        <v>0.0</v>
      </c>
      <c r="O59" s="183" t="s">
        <v>32</v>
      </c>
      <c r="P59" s="185">
        <v>0.0263</v>
      </c>
    </row>
    <row r="60" hidden="1">
      <c r="A60" s="298" t="s">
        <v>530</v>
      </c>
      <c r="B60" s="299">
        <v>81.0</v>
      </c>
      <c r="C60" s="300">
        <v>0.99</v>
      </c>
      <c r="D60" s="301">
        <v>1.0</v>
      </c>
      <c r="E60" s="302"/>
      <c r="F60" s="299">
        <v>76.0</v>
      </c>
      <c r="G60" s="299">
        <v>4.0</v>
      </c>
      <c r="H60" s="301">
        <v>0.053</v>
      </c>
      <c r="I60" s="298" t="s">
        <v>855</v>
      </c>
      <c r="J60" s="301">
        <v>0.0125</v>
      </c>
      <c r="K60" s="301">
        <v>0.0</v>
      </c>
      <c r="L60" s="301">
        <v>0.0375</v>
      </c>
      <c r="M60" s="301">
        <v>0.1</v>
      </c>
      <c r="N60" s="301">
        <v>0.0</v>
      </c>
      <c r="O60" s="298" t="s">
        <v>392</v>
      </c>
      <c r="P60" s="301">
        <v>0.1</v>
      </c>
    </row>
    <row r="61" hidden="1">
      <c r="A61" s="298" t="s">
        <v>519</v>
      </c>
      <c r="B61" s="299">
        <v>103.0</v>
      </c>
      <c r="C61" s="300">
        <v>0.49</v>
      </c>
      <c r="D61" s="301">
        <v>1.0</v>
      </c>
      <c r="E61" s="302"/>
      <c r="F61" s="299">
        <v>96.0</v>
      </c>
      <c r="G61" s="299">
        <v>5.0</v>
      </c>
      <c r="H61" s="301">
        <v>0.052</v>
      </c>
      <c r="I61" s="298" t="s">
        <v>855</v>
      </c>
      <c r="J61" s="301">
        <v>0.03</v>
      </c>
      <c r="K61" s="301">
        <v>0.0</v>
      </c>
      <c r="L61" s="301">
        <v>0.01</v>
      </c>
      <c r="M61" s="301">
        <v>0.06</v>
      </c>
      <c r="N61" s="301">
        <v>0.01</v>
      </c>
      <c r="O61" s="298" t="s">
        <v>392</v>
      </c>
      <c r="P61" s="301">
        <v>0.06</v>
      </c>
    </row>
  </sheetData>
  <autoFilter ref="$A$1:$P$61">
    <filterColumn colId="14">
      <filters>
        <filter val="BIG"/>
        <filter val="SMALL"/>
        <filter val="BIG/CHIP"/>
      </filters>
    </filterColumn>
    <sortState ref="A1:P61">
      <sortCondition descending="1" ref="H1:H61"/>
      <sortCondition descending="1" ref="G1:G61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6" t="s">
        <v>948</v>
      </c>
      <c r="B1" s="176" t="s">
        <v>849</v>
      </c>
      <c r="C1" s="176" t="s">
        <v>868</v>
      </c>
      <c r="D1" s="176" t="s">
        <v>869</v>
      </c>
      <c r="E1" s="176" t="s">
        <v>870</v>
      </c>
      <c r="F1" s="176" t="s">
        <v>850</v>
      </c>
      <c r="G1" s="176" t="s">
        <v>851</v>
      </c>
      <c r="H1" s="176" t="s">
        <v>852</v>
      </c>
      <c r="I1" s="176" t="s">
        <v>120</v>
      </c>
      <c r="J1" s="176" t="s">
        <v>77</v>
      </c>
      <c r="K1" s="176" t="s">
        <v>374</v>
      </c>
      <c r="L1" s="176" t="s">
        <v>493</v>
      </c>
      <c r="M1" s="176" t="s">
        <v>448</v>
      </c>
      <c r="N1" s="176" t="s">
        <v>3</v>
      </c>
      <c r="O1" s="176" t="s">
        <v>4</v>
      </c>
      <c r="P1" s="176" t="s">
        <v>853</v>
      </c>
    </row>
    <row r="2">
      <c r="A2" s="178" t="s">
        <v>186</v>
      </c>
      <c r="B2" s="179">
        <v>21.0</v>
      </c>
      <c r="C2" s="191">
        <v>0.68</v>
      </c>
      <c r="D2" s="180">
        <v>1.0</v>
      </c>
      <c r="E2" s="192"/>
      <c r="F2" s="179">
        <v>18.0</v>
      </c>
      <c r="G2" s="179">
        <v>4.0</v>
      </c>
      <c r="H2" s="180">
        <v>0.222</v>
      </c>
      <c r="I2" s="180">
        <v>0.1905</v>
      </c>
      <c r="J2" s="180">
        <v>0.0</v>
      </c>
      <c r="K2" s="180">
        <v>0.0</v>
      </c>
      <c r="L2" s="180">
        <v>0.0476</v>
      </c>
      <c r="M2" s="180">
        <v>0.0</v>
      </c>
      <c r="N2" s="178" t="s">
        <v>32</v>
      </c>
      <c r="O2" s="180">
        <v>0.1905</v>
      </c>
      <c r="P2" s="178" t="s">
        <v>855</v>
      </c>
    </row>
    <row r="3">
      <c r="A3" s="183" t="s">
        <v>526</v>
      </c>
      <c r="B3" s="184">
        <v>114.0</v>
      </c>
      <c r="C3" s="195">
        <v>0.91</v>
      </c>
      <c r="D3" s="185">
        <v>1.0</v>
      </c>
      <c r="E3" s="196"/>
      <c r="F3" s="184">
        <v>109.0</v>
      </c>
      <c r="G3" s="184">
        <v>6.0</v>
      </c>
      <c r="H3" s="185">
        <v>0.055</v>
      </c>
      <c r="I3" s="185">
        <v>0.0364</v>
      </c>
      <c r="J3" s="185">
        <v>0.0091</v>
      </c>
      <c r="K3" s="185">
        <v>0.0091</v>
      </c>
      <c r="L3" s="185">
        <v>0.0273</v>
      </c>
      <c r="M3" s="185">
        <v>0.0091</v>
      </c>
      <c r="N3" s="183" t="s">
        <v>32</v>
      </c>
      <c r="O3" s="185">
        <v>0.0364</v>
      </c>
      <c r="P3" s="183" t="s">
        <v>855</v>
      </c>
    </row>
    <row r="4">
      <c r="A4" s="178" t="s">
        <v>527</v>
      </c>
      <c r="B4" s="179">
        <v>97.0</v>
      </c>
      <c r="C4" s="191">
        <v>0.78</v>
      </c>
      <c r="D4" s="180">
        <v>1.0</v>
      </c>
      <c r="E4" s="192"/>
      <c r="F4" s="179">
        <v>96.0</v>
      </c>
      <c r="G4" s="179">
        <v>5.0</v>
      </c>
      <c r="H4" s="180">
        <v>0.052</v>
      </c>
      <c r="I4" s="180">
        <v>0.051</v>
      </c>
      <c r="J4" s="180">
        <v>0.0102</v>
      </c>
      <c r="K4" s="180">
        <v>0.0102</v>
      </c>
      <c r="L4" s="180">
        <v>0.0408</v>
      </c>
      <c r="M4" s="180">
        <v>0.0</v>
      </c>
      <c r="N4" s="178" t="s">
        <v>32</v>
      </c>
      <c r="O4" s="180">
        <v>0.051</v>
      </c>
      <c r="P4" s="178" t="s">
        <v>855</v>
      </c>
    </row>
    <row r="5">
      <c r="A5" s="183" t="s">
        <v>529</v>
      </c>
      <c r="B5" s="184">
        <v>34.0</v>
      </c>
      <c r="C5" s="195">
        <v>0.27</v>
      </c>
      <c r="D5" s="185">
        <v>1.0</v>
      </c>
      <c r="E5" s="196"/>
      <c r="F5" s="184">
        <v>30.0</v>
      </c>
      <c r="G5" s="184">
        <v>4.0</v>
      </c>
      <c r="H5" s="185">
        <v>0.133</v>
      </c>
      <c r="I5" s="185">
        <v>0.0645</v>
      </c>
      <c r="J5" s="185">
        <v>0.0</v>
      </c>
      <c r="K5" s="185">
        <v>0.0645</v>
      </c>
      <c r="L5" s="185">
        <v>0.0</v>
      </c>
      <c r="M5" s="185">
        <v>0.0</v>
      </c>
      <c r="N5" s="183" t="s">
        <v>307</v>
      </c>
      <c r="O5" s="185">
        <v>0.0645</v>
      </c>
      <c r="P5" s="183" t="s">
        <v>855</v>
      </c>
    </row>
    <row r="6">
      <c r="A6" s="178" t="s">
        <v>419</v>
      </c>
      <c r="B6" s="179">
        <v>31.0</v>
      </c>
      <c r="C6" s="191">
        <v>0.24</v>
      </c>
      <c r="D6" s="180">
        <v>1.0</v>
      </c>
      <c r="E6" s="192"/>
      <c r="F6" s="179">
        <v>31.0</v>
      </c>
      <c r="G6" s="179">
        <v>4.0</v>
      </c>
      <c r="H6" s="180">
        <v>0.129</v>
      </c>
      <c r="I6" s="180">
        <v>0.0625</v>
      </c>
      <c r="J6" s="180">
        <v>0.0313</v>
      </c>
      <c r="K6" s="180">
        <v>0.0625</v>
      </c>
      <c r="L6" s="180">
        <v>0.0625</v>
      </c>
      <c r="M6" s="180">
        <v>0.0</v>
      </c>
      <c r="N6" s="178" t="s">
        <v>307</v>
      </c>
      <c r="O6" s="180">
        <v>0.0625</v>
      </c>
      <c r="P6" s="178" t="s">
        <v>855</v>
      </c>
    </row>
    <row r="7">
      <c r="A7" s="183" t="s">
        <v>530</v>
      </c>
      <c r="B7" s="184">
        <v>48.0</v>
      </c>
      <c r="C7" s="195">
        <v>0.91</v>
      </c>
      <c r="D7" s="185">
        <v>1.0</v>
      </c>
      <c r="E7" s="196"/>
      <c r="F7" s="184">
        <v>41.0</v>
      </c>
      <c r="G7" s="184">
        <v>5.0</v>
      </c>
      <c r="H7" s="185">
        <v>0.122</v>
      </c>
      <c r="I7" s="185">
        <v>0.0455</v>
      </c>
      <c r="J7" s="185">
        <v>0.0</v>
      </c>
      <c r="K7" s="185">
        <v>0.0455</v>
      </c>
      <c r="L7" s="185">
        <v>0.1136</v>
      </c>
      <c r="M7" s="185">
        <v>0.0227</v>
      </c>
      <c r="N7" s="183" t="s">
        <v>307</v>
      </c>
      <c r="O7" s="185">
        <v>0.1136</v>
      </c>
      <c r="P7" s="183" t="s">
        <v>855</v>
      </c>
    </row>
    <row r="8">
      <c r="A8" s="178" t="s">
        <v>926</v>
      </c>
      <c r="B8" s="179">
        <v>55.0</v>
      </c>
      <c r="C8" s="191">
        <v>0.24</v>
      </c>
      <c r="D8" s="180">
        <v>1.0</v>
      </c>
      <c r="E8" s="192"/>
      <c r="F8" s="179">
        <v>54.0</v>
      </c>
      <c r="G8" s="179">
        <v>4.0</v>
      </c>
      <c r="H8" s="180">
        <v>0.074</v>
      </c>
      <c r="I8" s="180">
        <v>0.0179</v>
      </c>
      <c r="J8" s="180">
        <v>0.0</v>
      </c>
      <c r="K8" s="180">
        <v>0.0536</v>
      </c>
      <c r="L8" s="180">
        <v>0.0</v>
      </c>
      <c r="M8" s="180">
        <v>0.0</v>
      </c>
      <c r="N8" s="178" t="s">
        <v>124</v>
      </c>
      <c r="O8" s="180">
        <v>0.0536</v>
      </c>
      <c r="P8" s="178" t="s">
        <v>855</v>
      </c>
    </row>
    <row r="9">
      <c r="A9" s="183" t="s">
        <v>927</v>
      </c>
      <c r="B9" s="184">
        <v>82.0</v>
      </c>
      <c r="C9" s="195">
        <v>0.68</v>
      </c>
      <c r="D9" s="185">
        <v>1.0</v>
      </c>
      <c r="E9" s="196"/>
      <c r="F9" s="184">
        <v>76.0</v>
      </c>
      <c r="G9" s="184">
        <v>4.0</v>
      </c>
      <c r="H9" s="185">
        <v>0.053</v>
      </c>
      <c r="I9" s="185">
        <v>0.013</v>
      </c>
      <c r="J9" s="185">
        <v>0.0</v>
      </c>
      <c r="K9" s="185">
        <v>0.026</v>
      </c>
      <c r="L9" s="185">
        <v>0.013</v>
      </c>
      <c r="M9" s="185">
        <v>0.013</v>
      </c>
      <c r="N9" s="183" t="s">
        <v>124</v>
      </c>
      <c r="O9" s="185">
        <v>0.026</v>
      </c>
      <c r="P9" s="183" t="s">
        <v>855</v>
      </c>
    </row>
    <row r="10">
      <c r="A10" s="178" t="s">
        <v>455</v>
      </c>
      <c r="B10" s="179">
        <v>29.0</v>
      </c>
      <c r="C10" s="191">
        <v>1.0</v>
      </c>
      <c r="D10" s="180">
        <v>1.0</v>
      </c>
      <c r="E10" s="192"/>
      <c r="F10" s="179">
        <v>24.0</v>
      </c>
      <c r="G10" s="179">
        <v>4.0</v>
      </c>
      <c r="H10" s="180">
        <v>0.167</v>
      </c>
      <c r="I10" s="180">
        <v>0.0769</v>
      </c>
      <c r="J10" s="180">
        <v>0.0</v>
      </c>
      <c r="K10" s="180">
        <v>0.0769</v>
      </c>
      <c r="L10" s="180">
        <v>0.0769</v>
      </c>
      <c r="M10" s="180">
        <v>0.0</v>
      </c>
      <c r="N10" s="178" t="s">
        <v>857</v>
      </c>
      <c r="O10" s="180">
        <v>0.0769</v>
      </c>
      <c r="P10" s="178" t="s">
        <v>855</v>
      </c>
    </row>
    <row r="11">
      <c r="A11" s="183" t="s">
        <v>384</v>
      </c>
      <c r="B11" s="184">
        <v>61.0</v>
      </c>
      <c r="C11" s="195">
        <v>0.3</v>
      </c>
      <c r="D11" s="185">
        <v>1.0</v>
      </c>
      <c r="E11" s="196"/>
      <c r="F11" s="184">
        <v>58.0</v>
      </c>
      <c r="G11" s="184">
        <v>4.0</v>
      </c>
      <c r="H11" s="185">
        <v>0.069</v>
      </c>
      <c r="I11" s="185">
        <v>0.0164</v>
      </c>
      <c r="J11" s="185">
        <v>0.0164</v>
      </c>
      <c r="K11" s="185">
        <v>0.0164</v>
      </c>
      <c r="L11" s="185">
        <v>0.0492</v>
      </c>
      <c r="M11" s="185">
        <v>0.0328</v>
      </c>
      <c r="N11" s="183" t="s">
        <v>392</v>
      </c>
      <c r="O11" s="185">
        <v>0.0492</v>
      </c>
      <c r="P11" s="183" t="s">
        <v>855</v>
      </c>
    </row>
    <row r="12">
      <c r="A12" s="247" t="s">
        <v>582</v>
      </c>
      <c r="B12" s="248">
        <v>15.0</v>
      </c>
      <c r="C12" s="305">
        <v>0.21</v>
      </c>
      <c r="D12" s="249">
        <v>1.0</v>
      </c>
      <c r="E12" s="306"/>
      <c r="F12" s="248">
        <v>14.0</v>
      </c>
      <c r="G12" s="248">
        <v>4.0</v>
      </c>
      <c r="H12" s="249">
        <v>0.286</v>
      </c>
      <c r="I12" s="249">
        <v>0.0588</v>
      </c>
      <c r="J12" s="249">
        <v>0.0588</v>
      </c>
      <c r="K12" s="249">
        <v>0.1176</v>
      </c>
      <c r="L12" s="249">
        <v>0.2353</v>
      </c>
      <c r="M12" s="249">
        <v>0.0588</v>
      </c>
      <c r="N12" s="247" t="s">
        <v>396</v>
      </c>
      <c r="O12" s="249">
        <v>0.2353</v>
      </c>
      <c r="P12" s="247" t="s">
        <v>855</v>
      </c>
    </row>
    <row r="13">
      <c r="A13" s="247" t="s">
        <v>315</v>
      </c>
      <c r="B13" s="241">
        <v>12.0</v>
      </c>
      <c r="C13" s="242">
        <v>0.17</v>
      </c>
      <c r="D13" s="243">
        <v>1.0</v>
      </c>
      <c r="E13" s="244"/>
      <c r="F13" s="241">
        <v>13.0</v>
      </c>
      <c r="G13" s="241">
        <v>4.0</v>
      </c>
      <c r="H13" s="243">
        <v>0.308</v>
      </c>
      <c r="I13" s="243">
        <v>0.0</v>
      </c>
      <c r="J13" s="243">
        <v>0.0769</v>
      </c>
      <c r="K13" s="243">
        <v>0.0769</v>
      </c>
      <c r="L13" s="243">
        <v>0.1538</v>
      </c>
      <c r="M13" s="243">
        <v>0.1538</v>
      </c>
      <c r="N13" s="240" t="s">
        <v>928</v>
      </c>
      <c r="O13" s="243">
        <v>0.1538</v>
      </c>
      <c r="P13" s="240" t="s">
        <v>855</v>
      </c>
    </row>
    <row r="14">
      <c r="A14" s="178" t="s">
        <v>531</v>
      </c>
      <c r="B14" s="179">
        <v>14.0</v>
      </c>
      <c r="C14" s="191">
        <v>0.74</v>
      </c>
      <c r="D14" s="180">
        <v>1.0</v>
      </c>
      <c r="E14" s="192"/>
      <c r="F14" s="179">
        <v>14.0</v>
      </c>
      <c r="G14" s="179">
        <v>10.0</v>
      </c>
      <c r="H14" s="180">
        <v>0.714</v>
      </c>
      <c r="I14" s="180">
        <v>0.1765</v>
      </c>
      <c r="J14" s="180">
        <v>0.4706</v>
      </c>
      <c r="K14" s="180">
        <v>0.0</v>
      </c>
      <c r="L14" s="180">
        <v>0.0588</v>
      </c>
      <c r="M14" s="180">
        <v>0.0</v>
      </c>
      <c r="N14" s="178" t="s">
        <v>17</v>
      </c>
      <c r="O14" s="180">
        <v>0.4706</v>
      </c>
      <c r="P14" s="178" t="s">
        <v>855</v>
      </c>
    </row>
    <row r="15">
      <c r="A15" s="183" t="s">
        <v>355</v>
      </c>
      <c r="B15" s="184">
        <v>16.0</v>
      </c>
      <c r="C15" s="195">
        <v>0.38</v>
      </c>
      <c r="D15" s="185">
        <v>1.0</v>
      </c>
      <c r="E15" s="196"/>
      <c r="F15" s="184">
        <v>15.0</v>
      </c>
      <c r="G15" s="184">
        <v>4.0</v>
      </c>
      <c r="H15" s="185">
        <v>0.267</v>
      </c>
      <c r="I15" s="185">
        <v>0.0667</v>
      </c>
      <c r="J15" s="185">
        <v>0.2</v>
      </c>
      <c r="K15" s="185">
        <v>0.0</v>
      </c>
      <c r="L15" s="185">
        <v>0.0</v>
      </c>
      <c r="M15" s="185">
        <v>0.0</v>
      </c>
      <c r="N15" s="183" t="s">
        <v>17</v>
      </c>
      <c r="O15" s="185">
        <v>0.2</v>
      </c>
      <c r="P15" s="183" t="s">
        <v>855</v>
      </c>
    </row>
    <row r="16">
      <c r="A16" s="178" t="s">
        <v>329</v>
      </c>
      <c r="B16" s="179">
        <v>33.0</v>
      </c>
      <c r="C16" s="191">
        <v>0.61</v>
      </c>
      <c r="D16" s="180">
        <v>1.0</v>
      </c>
      <c r="E16" s="192"/>
      <c r="F16" s="179">
        <v>32.0</v>
      </c>
      <c r="G16" s="179">
        <v>7.0</v>
      </c>
      <c r="H16" s="180">
        <v>0.219</v>
      </c>
      <c r="I16" s="180">
        <v>0.0625</v>
      </c>
      <c r="J16" s="180">
        <v>0.125</v>
      </c>
      <c r="K16" s="180">
        <v>0.0313</v>
      </c>
      <c r="L16" s="180">
        <v>0.0</v>
      </c>
      <c r="M16" s="180">
        <v>0.0</v>
      </c>
      <c r="N16" s="178" t="s">
        <v>17</v>
      </c>
      <c r="O16" s="180">
        <v>0.125</v>
      </c>
      <c r="P16" s="178" t="s">
        <v>855</v>
      </c>
    </row>
    <row r="17">
      <c r="A17" s="183" t="s">
        <v>532</v>
      </c>
      <c r="B17" s="184">
        <v>28.0</v>
      </c>
      <c r="C17" s="195">
        <v>0.61</v>
      </c>
      <c r="D17" s="185">
        <v>1.0</v>
      </c>
      <c r="E17" s="196"/>
      <c r="F17" s="184">
        <v>25.0</v>
      </c>
      <c r="G17" s="184">
        <v>5.0</v>
      </c>
      <c r="H17" s="185">
        <v>0.2</v>
      </c>
      <c r="I17" s="185">
        <v>0.0385</v>
      </c>
      <c r="J17" s="185">
        <v>0.1538</v>
      </c>
      <c r="K17" s="185">
        <v>0.0</v>
      </c>
      <c r="L17" s="185">
        <v>0.0</v>
      </c>
      <c r="M17" s="185">
        <v>0.0</v>
      </c>
      <c r="N17" s="183" t="s">
        <v>17</v>
      </c>
      <c r="O17" s="185">
        <v>0.1538</v>
      </c>
      <c r="P17" s="183" t="s">
        <v>855</v>
      </c>
    </row>
    <row r="18">
      <c r="A18" s="178" t="s">
        <v>475</v>
      </c>
      <c r="B18" s="179">
        <v>81.0</v>
      </c>
      <c r="C18" s="191">
        <v>0.58</v>
      </c>
      <c r="D18" s="180">
        <v>1.0</v>
      </c>
      <c r="E18" s="192"/>
      <c r="F18" s="179">
        <v>53.0</v>
      </c>
      <c r="G18" s="179">
        <v>8.0</v>
      </c>
      <c r="H18" s="180">
        <v>0.151</v>
      </c>
      <c r="I18" s="180">
        <v>0.0308</v>
      </c>
      <c r="J18" s="180">
        <v>0.1385</v>
      </c>
      <c r="K18" s="180">
        <v>0.0</v>
      </c>
      <c r="L18" s="180">
        <v>0.0615</v>
      </c>
      <c r="M18" s="180">
        <v>0.0462</v>
      </c>
      <c r="N18" s="178" t="s">
        <v>17</v>
      </c>
      <c r="O18" s="180">
        <v>0.1385</v>
      </c>
      <c r="P18" s="178" t="s">
        <v>855</v>
      </c>
    </row>
    <row r="19">
      <c r="A19" s="183" t="s">
        <v>159</v>
      </c>
      <c r="B19" s="184">
        <v>95.0</v>
      </c>
      <c r="C19" s="195">
        <v>0.45</v>
      </c>
      <c r="D19" s="185">
        <v>1.0</v>
      </c>
      <c r="E19" s="196"/>
      <c r="F19" s="184">
        <v>97.0</v>
      </c>
      <c r="G19" s="184">
        <v>8.0</v>
      </c>
      <c r="H19" s="185">
        <v>0.082</v>
      </c>
      <c r="I19" s="185">
        <v>0.0192</v>
      </c>
      <c r="J19" s="185">
        <v>0.0673</v>
      </c>
      <c r="K19" s="185">
        <v>0.0</v>
      </c>
      <c r="L19" s="185">
        <v>0.0577</v>
      </c>
      <c r="M19" s="185">
        <v>0.0</v>
      </c>
      <c r="N19" s="183" t="s">
        <v>17</v>
      </c>
      <c r="O19" s="185">
        <v>0.0673</v>
      </c>
      <c r="P19" s="183" t="s">
        <v>855</v>
      </c>
    </row>
    <row r="20">
      <c r="A20" s="178" t="s">
        <v>129</v>
      </c>
      <c r="B20" s="179">
        <v>9.0</v>
      </c>
      <c r="C20" s="191">
        <v>0.64</v>
      </c>
      <c r="D20" s="180">
        <v>1.0</v>
      </c>
      <c r="E20" s="192"/>
      <c r="F20" s="179">
        <v>9.0</v>
      </c>
      <c r="G20" s="179">
        <v>6.0</v>
      </c>
      <c r="H20" s="180">
        <v>0.667</v>
      </c>
      <c r="I20" s="180">
        <v>0.0</v>
      </c>
      <c r="J20" s="180">
        <v>0.0833</v>
      </c>
      <c r="K20" s="180">
        <v>0.0</v>
      </c>
      <c r="L20" s="180">
        <v>0.1667</v>
      </c>
      <c r="M20" s="180">
        <v>0.4167</v>
      </c>
      <c r="N20" s="178" t="s">
        <v>323</v>
      </c>
      <c r="O20" s="180">
        <v>0.4167</v>
      </c>
      <c r="P20" s="178" t="s">
        <v>855</v>
      </c>
    </row>
    <row r="21">
      <c r="A21" s="247" t="s">
        <v>426</v>
      </c>
      <c r="B21" s="248">
        <v>16.0</v>
      </c>
      <c r="C21" s="305">
        <v>0.23</v>
      </c>
      <c r="D21" s="249">
        <v>1.0</v>
      </c>
      <c r="E21" s="306"/>
      <c r="F21" s="248">
        <v>8.0</v>
      </c>
      <c r="G21" s="248">
        <v>5.0</v>
      </c>
      <c r="H21" s="249">
        <v>0.625</v>
      </c>
      <c r="I21" s="249">
        <v>0.1538</v>
      </c>
      <c r="J21" s="249">
        <v>0.1538</v>
      </c>
      <c r="K21" s="249">
        <v>0.1538</v>
      </c>
      <c r="L21" s="249">
        <v>0.1538</v>
      </c>
      <c r="M21" s="249">
        <v>0.0</v>
      </c>
      <c r="N21" s="247" t="s">
        <v>323</v>
      </c>
      <c r="O21" s="249">
        <v>0.1538</v>
      </c>
      <c r="P21" s="247" t="s">
        <v>855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19.5"/>
  </cols>
  <sheetData>
    <row r="1">
      <c r="A1" s="307" t="s">
        <v>949</v>
      </c>
      <c r="B1" s="307" t="s">
        <v>950</v>
      </c>
      <c r="C1" s="308" t="s">
        <v>6</v>
      </c>
      <c r="D1" s="309" t="s">
        <v>7</v>
      </c>
      <c r="E1" s="309" t="s">
        <v>8</v>
      </c>
      <c r="F1" s="309" t="s">
        <v>9</v>
      </c>
      <c r="G1" s="309" t="s">
        <v>10</v>
      </c>
      <c r="H1" s="309" t="s">
        <v>11</v>
      </c>
      <c r="I1" s="308" t="s">
        <v>12</v>
      </c>
      <c r="J1" s="309" t="s">
        <v>13</v>
      </c>
      <c r="K1" s="309" t="s">
        <v>14</v>
      </c>
      <c r="L1" s="310" t="s">
        <v>951</v>
      </c>
    </row>
    <row r="2">
      <c r="A2" s="311" t="s">
        <v>952</v>
      </c>
      <c r="B2" s="312">
        <v>990.0</v>
      </c>
      <c r="C2" s="310">
        <v>55.35</v>
      </c>
      <c r="D2" s="310">
        <v>41.09</v>
      </c>
      <c r="E2" s="310">
        <v>163.89</v>
      </c>
      <c r="F2" s="310">
        <v>163.89</v>
      </c>
      <c r="G2" s="310" t="s">
        <v>107</v>
      </c>
      <c r="H2" s="310">
        <v>55.42</v>
      </c>
      <c r="I2" s="310">
        <v>41.57</v>
      </c>
      <c r="J2" s="310">
        <v>164.29</v>
      </c>
      <c r="K2" s="310">
        <v>164.16</v>
      </c>
      <c r="L2" s="310" t="s">
        <v>90</v>
      </c>
    </row>
    <row r="3">
      <c r="A3" s="311" t="s">
        <v>953</v>
      </c>
      <c r="B3" s="312">
        <v>600.0</v>
      </c>
      <c r="C3" s="310">
        <v>55.3</v>
      </c>
      <c r="D3" s="310">
        <v>40.58</v>
      </c>
      <c r="E3" s="310">
        <v>163.37</v>
      </c>
      <c r="F3" s="310">
        <v>163.59</v>
      </c>
      <c r="G3" s="310" t="s">
        <v>107</v>
      </c>
      <c r="H3" s="310">
        <v>55.47</v>
      </c>
      <c r="I3" s="310">
        <v>41.32</v>
      </c>
      <c r="J3" s="310">
        <v>164.58</v>
      </c>
      <c r="K3" s="310">
        <v>163.59</v>
      </c>
      <c r="L3" s="310" t="s">
        <v>90</v>
      </c>
    </row>
    <row r="4">
      <c r="A4" s="311" t="s">
        <v>954</v>
      </c>
      <c r="B4" s="312">
        <v>442.0</v>
      </c>
      <c r="C4" s="310">
        <v>55.36</v>
      </c>
      <c r="D4" s="310">
        <v>40.39</v>
      </c>
      <c r="E4" s="310">
        <v>164.3</v>
      </c>
      <c r="F4" s="310">
        <v>163.3</v>
      </c>
      <c r="G4" s="310" t="s">
        <v>107</v>
      </c>
      <c r="H4" s="310">
        <v>55.61</v>
      </c>
      <c r="I4" s="310">
        <v>41.1</v>
      </c>
      <c r="J4" s="310">
        <v>164.62</v>
      </c>
      <c r="K4" s="310">
        <v>164.03</v>
      </c>
      <c r="L4" s="310" t="s">
        <v>90</v>
      </c>
    </row>
    <row r="5">
      <c r="A5" s="311" t="s">
        <v>955</v>
      </c>
      <c r="B5" s="312">
        <v>311.0</v>
      </c>
      <c r="C5" s="310">
        <v>55.41</v>
      </c>
      <c r="D5" s="310">
        <v>40.64</v>
      </c>
      <c r="E5" s="310">
        <v>163.76</v>
      </c>
      <c r="F5" s="310">
        <v>164.09</v>
      </c>
      <c r="G5" s="310" t="s">
        <v>107</v>
      </c>
      <c r="H5" s="310">
        <v>55.51</v>
      </c>
      <c r="I5" s="310">
        <v>41.31</v>
      </c>
      <c r="J5" s="310">
        <v>164.71</v>
      </c>
      <c r="K5" s="310">
        <v>163.98</v>
      </c>
      <c r="L5" s="310" t="s">
        <v>90</v>
      </c>
    </row>
    <row r="6">
      <c r="A6" s="311" t="s">
        <v>956</v>
      </c>
      <c r="B6" s="312">
        <v>145.0</v>
      </c>
      <c r="C6" s="310">
        <v>55.6</v>
      </c>
      <c r="D6" s="310">
        <v>40.85</v>
      </c>
      <c r="E6" s="310">
        <v>165.19</v>
      </c>
      <c r="F6" s="310">
        <v>164.79</v>
      </c>
      <c r="G6" s="310" t="s">
        <v>107</v>
      </c>
      <c r="H6" s="310">
        <v>55.67</v>
      </c>
      <c r="I6" s="310">
        <v>41.19</v>
      </c>
      <c r="J6" s="310">
        <v>165.69</v>
      </c>
      <c r="K6" s="310">
        <v>164.82</v>
      </c>
      <c r="L6" s="310" t="s">
        <v>90</v>
      </c>
    </row>
    <row r="7">
      <c r="A7" s="311" t="s">
        <v>957</v>
      </c>
      <c r="B7" s="312">
        <v>123.0</v>
      </c>
      <c r="C7" s="310">
        <v>55.39</v>
      </c>
      <c r="D7" s="310">
        <v>40.76</v>
      </c>
      <c r="E7" s="310">
        <v>163.62</v>
      </c>
      <c r="F7" s="310">
        <v>163.62</v>
      </c>
      <c r="G7" s="310" t="s">
        <v>107</v>
      </c>
      <c r="H7" s="310">
        <v>55.5</v>
      </c>
      <c r="I7" s="310">
        <v>40.86</v>
      </c>
      <c r="J7" s="310">
        <v>163.69</v>
      </c>
      <c r="K7" s="310">
        <v>163.69</v>
      </c>
      <c r="L7" s="310" t="s">
        <v>90</v>
      </c>
    </row>
    <row r="8">
      <c r="A8" s="313">
        <v>150581.0</v>
      </c>
      <c r="B8" s="313">
        <v>108.0</v>
      </c>
      <c r="C8" s="314" t="s">
        <v>958</v>
      </c>
      <c r="L8" s="315" t="s">
        <v>90</v>
      </c>
    </row>
    <row r="9">
      <c r="A9" s="311" t="s">
        <v>823</v>
      </c>
      <c r="B9" s="312">
        <v>105.0</v>
      </c>
      <c r="C9" s="310">
        <v>55.19</v>
      </c>
      <c r="D9" s="310">
        <v>40.58</v>
      </c>
      <c r="E9" s="310">
        <v>163.27</v>
      </c>
      <c r="F9" s="310">
        <v>163.27</v>
      </c>
      <c r="G9" s="310" t="s">
        <v>107</v>
      </c>
      <c r="H9" s="310">
        <v>55.29</v>
      </c>
      <c r="I9" s="310">
        <v>40.68</v>
      </c>
      <c r="J9" s="310">
        <v>163.34</v>
      </c>
      <c r="K9" s="310">
        <v>163.95</v>
      </c>
      <c r="L9" s="310" t="s">
        <v>90</v>
      </c>
    </row>
    <row r="10">
      <c r="A10" s="311" t="s">
        <v>959</v>
      </c>
      <c r="B10" s="312">
        <v>2002.0</v>
      </c>
      <c r="C10" s="310">
        <v>50.82</v>
      </c>
      <c r="D10" s="310">
        <v>43.38</v>
      </c>
      <c r="E10" s="310">
        <v>153.7</v>
      </c>
      <c r="F10" s="310">
        <v>153.7</v>
      </c>
      <c r="G10" s="310" t="s">
        <v>107</v>
      </c>
      <c r="H10" s="310">
        <v>50.92</v>
      </c>
      <c r="I10" s="310">
        <v>43.48</v>
      </c>
      <c r="J10" s="310">
        <v>153.95</v>
      </c>
      <c r="K10" s="310">
        <v>153.86</v>
      </c>
      <c r="L10" s="310" t="s">
        <v>90</v>
      </c>
    </row>
    <row r="11">
      <c r="A11" s="311" t="s">
        <v>960</v>
      </c>
      <c r="B11" s="312">
        <v>1210.0</v>
      </c>
      <c r="C11" s="310">
        <v>50.62</v>
      </c>
      <c r="D11" s="310">
        <v>43.3</v>
      </c>
      <c r="E11" s="310">
        <v>153.3</v>
      </c>
      <c r="F11" s="310">
        <v>153.3</v>
      </c>
      <c r="G11" s="310" t="s">
        <v>107</v>
      </c>
      <c r="H11" s="310">
        <v>50.74</v>
      </c>
      <c r="I11" s="310">
        <v>43.41</v>
      </c>
      <c r="J11" s="310">
        <v>153.59</v>
      </c>
      <c r="K11" s="310">
        <v>153.63</v>
      </c>
      <c r="L11" s="310" t="s">
        <v>90</v>
      </c>
    </row>
    <row r="12">
      <c r="A12" s="311" t="s">
        <v>961</v>
      </c>
      <c r="B12" s="312">
        <v>761.0</v>
      </c>
      <c r="C12" s="310">
        <v>50.42</v>
      </c>
      <c r="D12" s="310">
        <v>43.2</v>
      </c>
      <c r="E12" s="310">
        <v>154.07</v>
      </c>
      <c r="F12" s="310">
        <v>153.79</v>
      </c>
      <c r="G12" s="310" t="s">
        <v>107</v>
      </c>
      <c r="H12" s="310">
        <v>50.88</v>
      </c>
      <c r="I12" s="310">
        <v>43.5</v>
      </c>
      <c r="J12" s="310">
        <v>154.1</v>
      </c>
      <c r="K12" s="310">
        <v>155.09</v>
      </c>
      <c r="L12" s="310" t="s">
        <v>90</v>
      </c>
    </row>
    <row r="13">
      <c r="A13" s="311" t="s">
        <v>962</v>
      </c>
      <c r="B13" s="312">
        <v>410.0</v>
      </c>
      <c r="C13" s="310">
        <v>50.86</v>
      </c>
      <c r="D13" s="310">
        <v>43.26</v>
      </c>
      <c r="E13" s="310">
        <v>153.97</v>
      </c>
      <c r="F13" s="310">
        <v>153.92</v>
      </c>
      <c r="G13" s="310" t="s">
        <v>107</v>
      </c>
      <c r="H13" s="310">
        <v>51.0</v>
      </c>
      <c r="I13" s="310">
        <v>43.46</v>
      </c>
      <c r="J13" s="310">
        <v>154.2</v>
      </c>
      <c r="K13" s="310">
        <v>154.07</v>
      </c>
      <c r="L13" s="310" t="s">
        <v>90</v>
      </c>
    </row>
    <row r="14">
      <c r="A14" s="311" t="s">
        <v>963</v>
      </c>
      <c r="B14" s="312">
        <v>220.0</v>
      </c>
      <c r="C14" s="310">
        <v>50.95</v>
      </c>
      <c r="D14" s="310">
        <v>43.26</v>
      </c>
      <c r="E14" s="310">
        <v>154.54</v>
      </c>
      <c r="F14" s="310">
        <v>154.29</v>
      </c>
      <c r="G14" s="310" t="s">
        <v>107</v>
      </c>
      <c r="H14" s="310">
        <v>51.07</v>
      </c>
      <c r="I14" s="310">
        <v>43.63</v>
      </c>
      <c r="J14" s="310">
        <v>154.77</v>
      </c>
      <c r="K14" s="310">
        <v>155.1</v>
      </c>
      <c r="L14" s="310" t="s">
        <v>90</v>
      </c>
    </row>
    <row r="15">
      <c r="A15" s="311" t="s">
        <v>964</v>
      </c>
      <c r="B15" s="312">
        <v>204.0</v>
      </c>
      <c r="C15" s="310">
        <v>50.61</v>
      </c>
      <c r="D15" s="310">
        <v>43.54</v>
      </c>
      <c r="E15" s="310">
        <v>154.09</v>
      </c>
      <c r="F15" s="310">
        <v>154.0</v>
      </c>
      <c r="G15" s="310" t="s">
        <v>107</v>
      </c>
      <c r="H15" s="310">
        <v>50.75</v>
      </c>
      <c r="I15" s="310">
        <v>43.64</v>
      </c>
      <c r="J15" s="310">
        <v>154.16</v>
      </c>
      <c r="K15" s="310">
        <v>154.16</v>
      </c>
      <c r="L15" s="310" t="s">
        <v>90</v>
      </c>
    </row>
    <row r="16">
      <c r="A16" s="311" t="s">
        <v>965</v>
      </c>
      <c r="B16" s="312">
        <v>200.0</v>
      </c>
      <c r="C16" s="310">
        <v>50.6</v>
      </c>
      <c r="D16" s="310">
        <v>43.44</v>
      </c>
      <c r="E16" s="310">
        <v>153.98</v>
      </c>
      <c r="F16" s="310">
        <v>153.87</v>
      </c>
      <c r="G16" s="310" t="s">
        <v>107</v>
      </c>
      <c r="H16" s="316">
        <v>50.79</v>
      </c>
      <c r="I16" s="310">
        <v>43.54</v>
      </c>
      <c r="J16" s="310">
        <v>154.12</v>
      </c>
      <c r="K16" s="310">
        <v>154.27</v>
      </c>
      <c r="L16" s="310" t="s">
        <v>90</v>
      </c>
    </row>
    <row r="17">
      <c r="A17" s="311" t="s">
        <v>966</v>
      </c>
      <c r="B17" s="312">
        <v>197.0</v>
      </c>
      <c r="C17" s="310">
        <v>50.66</v>
      </c>
      <c r="D17" s="310">
        <v>43.13</v>
      </c>
      <c r="E17" s="310">
        <v>153.53</v>
      </c>
      <c r="F17" s="310">
        <v>153.55</v>
      </c>
      <c r="G17" s="310" t="s">
        <v>107</v>
      </c>
      <c r="H17" s="310">
        <v>50.7</v>
      </c>
      <c r="I17" s="310">
        <v>43.45</v>
      </c>
      <c r="J17" s="310">
        <v>154.1</v>
      </c>
      <c r="K17" s="310">
        <v>153.47</v>
      </c>
      <c r="L17" s="310" t="s">
        <v>90</v>
      </c>
    </row>
    <row r="18">
      <c r="A18" s="311" t="s">
        <v>967</v>
      </c>
      <c r="B18" s="312">
        <v>1356.0</v>
      </c>
      <c r="C18" s="310">
        <v>44.38</v>
      </c>
      <c r="D18" s="310">
        <v>37.13</v>
      </c>
      <c r="E18" s="310">
        <v>131.41</v>
      </c>
      <c r="F18" s="310">
        <v>131.09</v>
      </c>
      <c r="G18" s="310" t="s">
        <v>107</v>
      </c>
      <c r="H18" s="310">
        <v>44.43</v>
      </c>
      <c r="I18" s="310">
        <v>37.17</v>
      </c>
      <c r="J18" s="310">
        <v>131.42</v>
      </c>
      <c r="K18" s="310">
        <v>131.14</v>
      </c>
      <c r="L18" s="310" t="s">
        <v>90</v>
      </c>
    </row>
    <row r="19">
      <c r="A19" s="311" t="s">
        <v>968</v>
      </c>
      <c r="B19" s="312">
        <v>352.0</v>
      </c>
      <c r="C19" s="310">
        <v>44.61</v>
      </c>
      <c r="D19" s="310">
        <v>37.16</v>
      </c>
      <c r="E19" s="310">
        <v>131.74</v>
      </c>
      <c r="F19" s="310">
        <v>132.11</v>
      </c>
      <c r="G19" s="310" t="s">
        <v>107</v>
      </c>
      <c r="H19" s="310">
        <v>44.62</v>
      </c>
      <c r="I19" s="310">
        <v>37.34</v>
      </c>
      <c r="J19" s="310">
        <v>132.08</v>
      </c>
      <c r="K19" s="310">
        <v>132.21</v>
      </c>
      <c r="L19" s="310" t="s">
        <v>90</v>
      </c>
    </row>
    <row r="20">
      <c r="A20" s="311" t="s">
        <v>969</v>
      </c>
      <c r="B20" s="312">
        <v>1440.0</v>
      </c>
      <c r="C20" s="310">
        <v>46.6</v>
      </c>
      <c r="D20" s="310">
        <v>35.67</v>
      </c>
      <c r="E20" s="310">
        <v>136.79</v>
      </c>
      <c r="F20" s="310">
        <v>136.87</v>
      </c>
      <c r="G20" s="310" t="s">
        <v>107</v>
      </c>
      <c r="H20" s="310">
        <v>46.65</v>
      </c>
      <c r="I20" s="310">
        <v>35.74</v>
      </c>
      <c r="J20" s="310">
        <v>136.84</v>
      </c>
      <c r="K20" s="310">
        <v>137.12</v>
      </c>
      <c r="L20" s="310" t="s">
        <v>90</v>
      </c>
    </row>
    <row r="21">
      <c r="A21" s="311" t="s">
        <v>970</v>
      </c>
      <c r="B21" s="312">
        <v>1163.0</v>
      </c>
      <c r="C21" s="310">
        <v>46.45</v>
      </c>
      <c r="D21" s="310">
        <v>35.65</v>
      </c>
      <c r="E21" s="310">
        <v>136.28</v>
      </c>
      <c r="F21" s="310">
        <v>136.84</v>
      </c>
      <c r="G21" s="310" t="s">
        <v>107</v>
      </c>
      <c r="H21" s="310">
        <v>46.53</v>
      </c>
      <c r="I21" s="310">
        <v>35.96</v>
      </c>
      <c r="J21" s="310">
        <v>136.77</v>
      </c>
      <c r="K21" s="310">
        <v>136.73</v>
      </c>
      <c r="L21" s="310" t="s">
        <v>90</v>
      </c>
    </row>
    <row r="22">
      <c r="A22" s="311" t="s">
        <v>971</v>
      </c>
      <c r="B22" s="312">
        <v>15105.0</v>
      </c>
      <c r="C22" s="310">
        <v>50.62</v>
      </c>
      <c r="D22" s="310">
        <v>43.0</v>
      </c>
      <c r="E22" s="310">
        <v>153.9</v>
      </c>
      <c r="F22" s="310">
        <v>153.73</v>
      </c>
      <c r="G22" s="310" t="s">
        <v>107</v>
      </c>
      <c r="H22" s="310">
        <v>50.87</v>
      </c>
      <c r="I22" s="310">
        <v>43.25</v>
      </c>
      <c r="J22" s="310">
        <v>154.16</v>
      </c>
      <c r="K22" s="310">
        <v>154.16</v>
      </c>
      <c r="L22" s="310" t="s">
        <v>90</v>
      </c>
    </row>
    <row r="23">
      <c r="A23" s="311" t="s">
        <v>972</v>
      </c>
      <c r="B23" s="312">
        <v>15093.0</v>
      </c>
      <c r="C23" s="310">
        <v>50.64</v>
      </c>
      <c r="D23" s="310">
        <v>42.67</v>
      </c>
      <c r="E23" s="310">
        <v>153.38</v>
      </c>
      <c r="F23" s="310">
        <v>154.03</v>
      </c>
      <c r="G23" s="310" t="s">
        <v>107</v>
      </c>
      <c r="H23" s="310">
        <v>50.75</v>
      </c>
      <c r="I23" s="310">
        <v>43.35</v>
      </c>
      <c r="J23" s="310">
        <v>154.6</v>
      </c>
      <c r="K23" s="310">
        <v>153.99</v>
      </c>
      <c r="L23" s="310" t="s">
        <v>90</v>
      </c>
    </row>
    <row r="24">
      <c r="A24" s="311" t="s">
        <v>973</v>
      </c>
      <c r="B24" s="312">
        <v>9751.0</v>
      </c>
      <c r="C24" s="310">
        <v>50.56</v>
      </c>
      <c r="D24" s="310">
        <v>42.92</v>
      </c>
      <c r="E24" s="310">
        <v>153.78</v>
      </c>
      <c r="F24" s="310">
        <v>153.69</v>
      </c>
      <c r="G24" s="310" t="s">
        <v>107</v>
      </c>
      <c r="H24" s="310">
        <v>50.87</v>
      </c>
      <c r="I24" s="310">
        <v>43.25</v>
      </c>
      <c r="J24" s="310">
        <v>154.15</v>
      </c>
      <c r="K24" s="310">
        <v>154.09</v>
      </c>
      <c r="L24" s="310" t="s">
        <v>90</v>
      </c>
    </row>
    <row r="25">
      <c r="A25" s="311" t="s">
        <v>974</v>
      </c>
      <c r="B25" s="312">
        <v>3713.0</v>
      </c>
      <c r="C25" s="310">
        <v>50.76</v>
      </c>
      <c r="D25" s="310">
        <v>43.04</v>
      </c>
      <c r="E25" s="310">
        <v>153.98</v>
      </c>
      <c r="F25" s="310">
        <v>153.95</v>
      </c>
      <c r="G25" s="310" t="s">
        <v>107</v>
      </c>
      <c r="H25" s="310">
        <v>50.86</v>
      </c>
      <c r="I25" s="310">
        <v>43.38</v>
      </c>
      <c r="J25" s="310">
        <v>154.38</v>
      </c>
      <c r="K25" s="310">
        <v>154.11</v>
      </c>
      <c r="L25" s="310" t="s">
        <v>90</v>
      </c>
    </row>
    <row r="26">
      <c r="A26" s="311" t="s">
        <v>975</v>
      </c>
      <c r="B26" s="312">
        <v>2616.0</v>
      </c>
      <c r="C26" s="310">
        <v>50.7</v>
      </c>
      <c r="D26" s="310">
        <v>43.02</v>
      </c>
      <c r="E26" s="310">
        <v>153.73</v>
      </c>
      <c r="F26" s="310">
        <v>153.67</v>
      </c>
      <c r="G26" s="310" t="s">
        <v>107</v>
      </c>
      <c r="H26" s="310">
        <v>50.79</v>
      </c>
      <c r="I26" s="310">
        <v>43.07</v>
      </c>
      <c r="J26" s="310">
        <v>153.94</v>
      </c>
      <c r="K26" s="310">
        <v>153.75</v>
      </c>
      <c r="L26" s="310" t="s">
        <v>90</v>
      </c>
    </row>
    <row r="27">
      <c r="A27" s="317" t="s">
        <v>976</v>
      </c>
      <c r="B27" s="313">
        <v>603.0</v>
      </c>
      <c r="C27" s="314" t="s">
        <v>958</v>
      </c>
      <c r="L27" s="315" t="s">
        <v>90</v>
      </c>
    </row>
    <row r="28">
      <c r="A28" s="311" t="s">
        <v>977</v>
      </c>
      <c r="B28" s="312">
        <v>326.0</v>
      </c>
      <c r="C28" s="310">
        <v>51.14</v>
      </c>
      <c r="D28" s="310">
        <v>43.41</v>
      </c>
      <c r="E28" s="310">
        <v>155.0</v>
      </c>
      <c r="F28" s="310">
        <v>154.63</v>
      </c>
      <c r="G28" s="310" t="s">
        <v>107</v>
      </c>
      <c r="H28" s="310">
        <v>51.26</v>
      </c>
      <c r="I28" s="310">
        <v>43.52</v>
      </c>
      <c r="J28" s="310">
        <v>155.32</v>
      </c>
      <c r="K28" s="310">
        <v>154.99</v>
      </c>
      <c r="L28" s="310" t="s">
        <v>90</v>
      </c>
    </row>
    <row r="29">
      <c r="A29" s="311" t="s">
        <v>978</v>
      </c>
      <c r="B29" s="312">
        <v>317.0</v>
      </c>
      <c r="C29" s="310">
        <v>51.14</v>
      </c>
      <c r="D29" s="310">
        <v>43.4</v>
      </c>
      <c r="E29" s="310">
        <v>155.0</v>
      </c>
      <c r="F29" s="310">
        <v>154.71</v>
      </c>
      <c r="G29" s="310" t="s">
        <v>107</v>
      </c>
      <c r="H29" s="310">
        <v>51.25</v>
      </c>
      <c r="I29" s="310">
        <v>43.51</v>
      </c>
      <c r="J29" s="310">
        <v>155.33</v>
      </c>
      <c r="K29" s="310">
        <v>155.33</v>
      </c>
      <c r="L29" s="310" t="s">
        <v>90</v>
      </c>
    </row>
    <row r="30">
      <c r="A30" s="311" t="s">
        <v>979</v>
      </c>
      <c r="B30" s="312">
        <v>305.0</v>
      </c>
      <c r="C30" s="310">
        <v>50.91</v>
      </c>
      <c r="D30" s="310">
        <v>42.79</v>
      </c>
      <c r="E30" s="310">
        <v>154.0</v>
      </c>
      <c r="F30" s="310">
        <v>153.72</v>
      </c>
      <c r="G30" s="310" t="s">
        <v>107</v>
      </c>
      <c r="H30" s="310">
        <v>51.03</v>
      </c>
      <c r="I30" s="310">
        <v>42.9</v>
      </c>
      <c r="J30" s="310">
        <v>154.29</v>
      </c>
      <c r="K30" s="310">
        <v>154.29</v>
      </c>
      <c r="L30" s="310" t="s">
        <v>90</v>
      </c>
    </row>
    <row r="31">
      <c r="A31" s="317" t="s">
        <v>980</v>
      </c>
      <c r="B31" s="313">
        <v>300.0</v>
      </c>
      <c r="C31" s="314" t="s">
        <v>958</v>
      </c>
      <c r="L31" s="315" t="s">
        <v>90</v>
      </c>
    </row>
    <row r="32">
      <c r="A32" s="317" t="s">
        <v>981</v>
      </c>
      <c r="B32" s="313">
        <v>270.0</v>
      </c>
      <c r="C32" s="314" t="s">
        <v>958</v>
      </c>
      <c r="L32" s="315" t="s">
        <v>90</v>
      </c>
    </row>
    <row r="33">
      <c r="A33" s="311" t="s">
        <v>772</v>
      </c>
      <c r="B33" s="312">
        <v>268.0</v>
      </c>
      <c r="C33" s="310">
        <v>51.82</v>
      </c>
      <c r="D33" s="310">
        <v>43.69</v>
      </c>
      <c r="E33" s="310">
        <v>156.61</v>
      </c>
      <c r="F33" s="310">
        <v>156.07</v>
      </c>
      <c r="G33" s="310" t="s">
        <v>107</v>
      </c>
      <c r="H33" s="310">
        <v>51.93</v>
      </c>
      <c r="I33" s="310">
        <v>43.81</v>
      </c>
      <c r="J33" s="310">
        <v>156.93</v>
      </c>
      <c r="K33" s="310">
        <v>156.93</v>
      </c>
      <c r="L33" s="310" t="s">
        <v>90</v>
      </c>
    </row>
    <row r="34">
      <c r="A34" s="317" t="s">
        <v>982</v>
      </c>
      <c r="B34" s="313">
        <v>240.0</v>
      </c>
      <c r="C34" s="314" t="s">
        <v>958</v>
      </c>
      <c r="L34" s="315" t="s">
        <v>90</v>
      </c>
    </row>
    <row r="35">
      <c r="A35" s="311" t="s">
        <v>43</v>
      </c>
      <c r="B35" s="312">
        <v>217.0</v>
      </c>
      <c r="C35" s="310">
        <v>50.59</v>
      </c>
      <c r="D35" s="310">
        <v>43.07</v>
      </c>
      <c r="E35" s="310">
        <v>153.87</v>
      </c>
      <c r="F35" s="310">
        <v>153.75</v>
      </c>
      <c r="G35" s="310" t="s">
        <v>107</v>
      </c>
      <c r="H35" s="310">
        <v>50.79</v>
      </c>
      <c r="I35" s="310">
        <v>43.41</v>
      </c>
      <c r="J35" s="310">
        <v>154.27</v>
      </c>
      <c r="K35" s="310">
        <v>153.99</v>
      </c>
      <c r="L35" s="310" t="s">
        <v>90</v>
      </c>
    </row>
    <row r="36">
      <c r="A36" s="311" t="s">
        <v>983</v>
      </c>
      <c r="B36" s="312">
        <v>153.0</v>
      </c>
      <c r="C36" s="310">
        <v>50.78</v>
      </c>
      <c r="D36" s="310">
        <v>42.85</v>
      </c>
      <c r="E36" s="310">
        <v>153.86</v>
      </c>
      <c r="F36" s="310">
        <v>153.82</v>
      </c>
      <c r="G36" s="310" t="s">
        <v>107</v>
      </c>
      <c r="H36" s="310">
        <v>50.89</v>
      </c>
      <c r="I36" s="310">
        <v>42.96</v>
      </c>
      <c r="J36" s="310">
        <v>154.1</v>
      </c>
      <c r="K36" s="310">
        <v>154.1</v>
      </c>
      <c r="L36" s="310" t="s">
        <v>90</v>
      </c>
    </row>
    <row r="37">
      <c r="A37" s="317" t="s">
        <v>984</v>
      </c>
      <c r="B37" s="313">
        <v>141.0</v>
      </c>
      <c r="C37" s="314" t="s">
        <v>958</v>
      </c>
      <c r="L37" s="315" t="s">
        <v>90</v>
      </c>
    </row>
    <row r="38">
      <c r="A38" s="311" t="s">
        <v>985</v>
      </c>
      <c r="B38" s="312">
        <v>126.0</v>
      </c>
      <c r="C38" s="310">
        <v>50.61</v>
      </c>
      <c r="D38" s="310">
        <v>42.89</v>
      </c>
      <c r="E38" s="310">
        <v>153.59</v>
      </c>
      <c r="F38" s="310">
        <v>153.93</v>
      </c>
      <c r="G38" s="310" t="s">
        <v>107</v>
      </c>
      <c r="H38" s="310">
        <v>50.62</v>
      </c>
      <c r="I38" s="310">
        <v>42.89</v>
      </c>
      <c r="J38" s="310">
        <v>153.46</v>
      </c>
      <c r="K38" s="310">
        <v>155.07</v>
      </c>
      <c r="L38" s="310" t="s">
        <v>90</v>
      </c>
    </row>
    <row r="39">
      <c r="A39" s="311">
        <v>207481.0</v>
      </c>
      <c r="B39" s="312">
        <v>121.0</v>
      </c>
      <c r="C39" s="310">
        <v>51.26</v>
      </c>
      <c r="D39" s="310">
        <v>43.45</v>
      </c>
      <c r="E39" s="310">
        <v>155.51</v>
      </c>
      <c r="F39" s="310">
        <v>155.29</v>
      </c>
      <c r="G39" s="310" t="s">
        <v>107</v>
      </c>
      <c r="H39" s="310">
        <v>51.31</v>
      </c>
      <c r="I39" s="310">
        <v>43.51</v>
      </c>
      <c r="J39" s="310">
        <v>155.64</v>
      </c>
      <c r="K39" s="310">
        <v>155.45</v>
      </c>
      <c r="L39" s="310" t="s">
        <v>90</v>
      </c>
    </row>
    <row r="40">
      <c r="A40" s="311" t="s">
        <v>73</v>
      </c>
      <c r="B40" s="312">
        <v>98.0</v>
      </c>
      <c r="C40" s="310">
        <v>51.15</v>
      </c>
      <c r="D40" s="310">
        <v>43.01</v>
      </c>
      <c r="E40" s="310">
        <v>154.61</v>
      </c>
      <c r="F40" s="310">
        <v>154.61</v>
      </c>
      <c r="G40" s="310" t="s">
        <v>107</v>
      </c>
      <c r="H40" s="310">
        <v>51.25</v>
      </c>
      <c r="I40" s="310">
        <v>43.12</v>
      </c>
      <c r="J40" s="310">
        <v>154.96</v>
      </c>
      <c r="K40" s="310">
        <v>154.93</v>
      </c>
      <c r="L40" s="310" t="s">
        <v>90</v>
      </c>
    </row>
    <row r="41">
      <c r="A41" s="311" t="s">
        <v>986</v>
      </c>
      <c r="B41" s="312">
        <v>88.0</v>
      </c>
      <c r="C41" s="310">
        <v>50.64</v>
      </c>
      <c r="D41" s="310">
        <v>42.67</v>
      </c>
      <c r="E41" s="310">
        <v>153.38</v>
      </c>
      <c r="F41" s="310">
        <v>153.38</v>
      </c>
      <c r="G41" s="310" t="s">
        <v>107</v>
      </c>
      <c r="H41" s="310">
        <v>50.74</v>
      </c>
      <c r="I41" s="310">
        <v>42.77</v>
      </c>
      <c r="J41" s="310">
        <v>153.65</v>
      </c>
      <c r="K41" s="310">
        <v>153.65</v>
      </c>
      <c r="L41" s="310" t="s">
        <v>90</v>
      </c>
    </row>
    <row r="42">
      <c r="A42" s="317" t="s">
        <v>987</v>
      </c>
      <c r="B42" s="313">
        <v>85.0</v>
      </c>
      <c r="C42" s="314" t="s">
        <v>958</v>
      </c>
      <c r="L42" s="315" t="s">
        <v>90</v>
      </c>
    </row>
    <row r="43">
      <c r="A43" s="311" t="s">
        <v>988</v>
      </c>
      <c r="B43" s="312">
        <v>2540.0</v>
      </c>
      <c r="C43" s="310">
        <v>52.2</v>
      </c>
      <c r="D43" s="310">
        <v>38.92</v>
      </c>
      <c r="E43" s="310">
        <v>152.0</v>
      </c>
      <c r="F43" s="310">
        <v>151.88</v>
      </c>
      <c r="G43" s="310" t="s">
        <v>107</v>
      </c>
      <c r="H43" s="310">
        <v>52.3</v>
      </c>
      <c r="I43" s="310">
        <v>38.92</v>
      </c>
      <c r="J43" s="310">
        <v>152.18</v>
      </c>
      <c r="K43" s="310">
        <v>152.18</v>
      </c>
      <c r="L43" s="310" t="s">
        <v>90</v>
      </c>
    </row>
    <row r="44">
      <c r="A44" s="317" t="s">
        <v>989</v>
      </c>
      <c r="B44" s="313">
        <v>1598.0</v>
      </c>
      <c r="C44" s="314" t="s">
        <v>958</v>
      </c>
      <c r="L44" s="315" t="s">
        <v>90</v>
      </c>
    </row>
    <row r="45">
      <c r="A45" s="311" t="s">
        <v>990</v>
      </c>
      <c r="B45" s="312">
        <v>819.0</v>
      </c>
      <c r="C45" s="310">
        <v>51.97</v>
      </c>
      <c r="D45" s="310">
        <v>38.71</v>
      </c>
      <c r="E45" s="310">
        <v>151.67</v>
      </c>
      <c r="F45" s="310">
        <v>151.58</v>
      </c>
      <c r="G45" s="310" t="s">
        <v>107</v>
      </c>
      <c r="H45" s="310">
        <v>52.05</v>
      </c>
      <c r="I45" s="310">
        <v>38.73</v>
      </c>
      <c r="J45" s="310">
        <v>151.73</v>
      </c>
      <c r="K45" s="310">
        <v>151.4</v>
      </c>
      <c r="L45" s="310" t="s">
        <v>90</v>
      </c>
    </row>
    <row r="46">
      <c r="A46" s="311" t="s">
        <v>991</v>
      </c>
      <c r="B46" s="312">
        <v>811.0</v>
      </c>
      <c r="C46" s="310">
        <v>52.01</v>
      </c>
      <c r="D46" s="310">
        <v>38.58</v>
      </c>
      <c r="E46" s="310">
        <v>151.82</v>
      </c>
      <c r="F46" s="310">
        <v>151.74</v>
      </c>
      <c r="G46" s="310" t="s">
        <v>107</v>
      </c>
      <c r="H46" s="310">
        <v>52.11</v>
      </c>
      <c r="I46" s="310">
        <v>38.83</v>
      </c>
      <c r="J46" s="310">
        <v>152.25</v>
      </c>
      <c r="K46" s="310">
        <v>151.57</v>
      </c>
      <c r="L46" s="310" t="s">
        <v>90</v>
      </c>
    </row>
    <row r="47">
      <c r="A47" s="311" t="s">
        <v>992</v>
      </c>
      <c r="B47" s="312">
        <v>770.0</v>
      </c>
      <c r="C47" s="310">
        <v>52.16</v>
      </c>
      <c r="D47" s="310">
        <v>38.41</v>
      </c>
      <c r="E47" s="310">
        <v>151.52</v>
      </c>
      <c r="F47" s="310">
        <v>151.93</v>
      </c>
      <c r="G47" s="310" t="s">
        <v>107</v>
      </c>
      <c r="H47" s="310">
        <v>52.16</v>
      </c>
      <c r="I47" s="310">
        <v>38.89</v>
      </c>
      <c r="J47" s="310">
        <v>152.18</v>
      </c>
      <c r="K47" s="310">
        <v>151.98</v>
      </c>
      <c r="L47" s="310" t="s">
        <v>90</v>
      </c>
    </row>
    <row r="48">
      <c r="A48" s="311" t="s">
        <v>993</v>
      </c>
      <c r="B48" s="312">
        <v>425.0</v>
      </c>
      <c r="C48" s="310">
        <v>51.93</v>
      </c>
      <c r="D48" s="310">
        <v>38.51</v>
      </c>
      <c r="E48" s="310">
        <v>151.56</v>
      </c>
      <c r="F48" s="310">
        <v>151.71</v>
      </c>
      <c r="G48" s="310" t="s">
        <v>107</v>
      </c>
      <c r="H48" s="310">
        <v>52.11</v>
      </c>
      <c r="I48" s="310">
        <v>38.64</v>
      </c>
      <c r="J48" s="310">
        <v>151.91</v>
      </c>
      <c r="K48" s="310">
        <v>151.51</v>
      </c>
      <c r="L48" s="310" t="s">
        <v>90</v>
      </c>
    </row>
    <row r="49">
      <c r="A49" s="311" t="s">
        <v>994</v>
      </c>
      <c r="B49" s="312">
        <v>404.0</v>
      </c>
      <c r="C49" s="310">
        <v>52.18</v>
      </c>
      <c r="D49" s="310">
        <v>38.19</v>
      </c>
      <c r="E49" s="310">
        <v>151.64</v>
      </c>
      <c r="F49" s="310">
        <v>151.64</v>
      </c>
      <c r="G49" s="310" t="s">
        <v>107</v>
      </c>
      <c r="H49" s="310">
        <v>52.18</v>
      </c>
      <c r="I49" s="310">
        <v>52.18</v>
      </c>
      <c r="J49" s="310">
        <v>152.34</v>
      </c>
      <c r="K49" s="310">
        <v>151.57</v>
      </c>
      <c r="L49" s="310" t="s">
        <v>90</v>
      </c>
    </row>
    <row r="50">
      <c r="A50" s="311" t="s">
        <v>995</v>
      </c>
      <c r="B50" s="312">
        <v>293.0</v>
      </c>
      <c r="C50" s="310">
        <v>52.08</v>
      </c>
      <c r="D50" s="310">
        <v>38.66</v>
      </c>
      <c r="E50" s="310">
        <v>151.78</v>
      </c>
      <c r="F50" s="310">
        <v>151.83</v>
      </c>
      <c r="G50" s="310" t="s">
        <v>107</v>
      </c>
      <c r="H50" s="310">
        <v>52.14</v>
      </c>
      <c r="I50" s="310">
        <v>38.79</v>
      </c>
      <c r="J50" s="310">
        <v>151.95</v>
      </c>
      <c r="K50" s="310">
        <v>151.69</v>
      </c>
      <c r="L50" s="310" t="s">
        <v>90</v>
      </c>
    </row>
    <row r="51">
      <c r="A51" s="311" t="s">
        <v>996</v>
      </c>
      <c r="B51" s="312">
        <v>211.0</v>
      </c>
      <c r="C51" s="310">
        <v>52.06</v>
      </c>
      <c r="D51" s="310">
        <v>38.64</v>
      </c>
      <c r="E51" s="310">
        <v>151.81</v>
      </c>
      <c r="F51" s="310">
        <v>151.59</v>
      </c>
      <c r="G51" s="310" t="s">
        <v>107</v>
      </c>
      <c r="H51" s="310">
        <v>52.07</v>
      </c>
      <c r="I51" s="310">
        <v>38.82</v>
      </c>
      <c r="J51" s="310">
        <v>151.97</v>
      </c>
      <c r="K51" s="310">
        <v>151.47</v>
      </c>
      <c r="L51" s="310" t="s">
        <v>90</v>
      </c>
    </row>
    <row r="52">
      <c r="A52" s="311" t="s">
        <v>997</v>
      </c>
      <c r="B52" s="312">
        <v>205.0</v>
      </c>
      <c r="C52" s="310">
        <v>52.38</v>
      </c>
      <c r="D52" s="310">
        <v>39.02</v>
      </c>
      <c r="E52" s="310">
        <v>152.65</v>
      </c>
      <c r="F52" s="310">
        <v>152.65</v>
      </c>
      <c r="G52" s="310" t="s">
        <v>107</v>
      </c>
      <c r="H52" s="310">
        <v>52.39</v>
      </c>
      <c r="I52" s="310">
        <v>39.07</v>
      </c>
      <c r="J52" s="310">
        <v>152.77</v>
      </c>
      <c r="K52" s="310">
        <v>152.77</v>
      </c>
      <c r="L52" s="310" t="s">
        <v>90</v>
      </c>
    </row>
    <row r="53">
      <c r="A53" s="311" t="s">
        <v>998</v>
      </c>
      <c r="B53" s="312">
        <v>191.0</v>
      </c>
      <c r="C53" s="310">
        <v>52.29</v>
      </c>
      <c r="D53" s="310">
        <v>38.82</v>
      </c>
      <c r="E53" s="310">
        <v>152.39</v>
      </c>
      <c r="F53" s="310">
        <v>152.34</v>
      </c>
      <c r="G53" s="310" t="s">
        <v>107</v>
      </c>
      <c r="H53" s="310">
        <v>52.31</v>
      </c>
      <c r="I53" s="310">
        <v>38.89</v>
      </c>
      <c r="J53" s="310">
        <v>152.56</v>
      </c>
      <c r="K53" s="310">
        <v>152.37</v>
      </c>
      <c r="L53" s="310" t="s">
        <v>90</v>
      </c>
    </row>
    <row r="54">
      <c r="A54" s="311" t="s">
        <v>999</v>
      </c>
      <c r="B54" s="312">
        <v>1770.0</v>
      </c>
      <c r="C54" s="310">
        <v>54.12</v>
      </c>
      <c r="D54" s="310">
        <v>42.61</v>
      </c>
      <c r="E54" s="310">
        <v>162.63</v>
      </c>
      <c r="F54" s="310">
        <v>162.73</v>
      </c>
      <c r="G54" s="310" t="s">
        <v>107</v>
      </c>
      <c r="H54" s="310">
        <v>54.22</v>
      </c>
      <c r="I54" s="310">
        <v>42.74</v>
      </c>
      <c r="J54" s="310">
        <v>162.72</v>
      </c>
      <c r="K54" s="310">
        <v>162.78</v>
      </c>
      <c r="L54" s="310" t="s">
        <v>90</v>
      </c>
    </row>
    <row r="55">
      <c r="A55" s="311" t="s">
        <v>1000</v>
      </c>
      <c r="B55" s="312">
        <v>1627.0</v>
      </c>
      <c r="C55" s="310">
        <v>54.28</v>
      </c>
      <c r="D55" s="310">
        <v>42.83</v>
      </c>
      <c r="E55" s="310">
        <v>163.04</v>
      </c>
      <c r="F55" s="310">
        <v>163.24</v>
      </c>
      <c r="G55" s="310" t="s">
        <v>107</v>
      </c>
      <c r="H55" s="310">
        <v>54.32</v>
      </c>
      <c r="I55" s="310">
        <v>42.85</v>
      </c>
      <c r="J55" s="310">
        <v>163.14</v>
      </c>
      <c r="K55" s="310">
        <v>163.29</v>
      </c>
      <c r="L55" s="310" t="s">
        <v>90</v>
      </c>
    </row>
    <row r="56">
      <c r="A56" s="311" t="s">
        <v>1001</v>
      </c>
      <c r="B56" s="312">
        <v>1002.0</v>
      </c>
      <c r="C56" s="310">
        <v>54.13</v>
      </c>
      <c r="D56" s="310">
        <v>42.7</v>
      </c>
      <c r="E56" s="310">
        <v>162.67</v>
      </c>
      <c r="F56" s="310">
        <v>162.53</v>
      </c>
      <c r="G56" s="310" t="s">
        <v>107</v>
      </c>
      <c r="H56" s="310">
        <v>54.24</v>
      </c>
      <c r="I56" s="310">
        <v>42.72</v>
      </c>
      <c r="J56" s="310">
        <v>162.57</v>
      </c>
      <c r="K56" s="310">
        <v>162.62</v>
      </c>
      <c r="L56" s="310" t="s">
        <v>90</v>
      </c>
    </row>
    <row r="57">
      <c r="A57" s="311" t="s">
        <v>1002</v>
      </c>
      <c r="B57" s="312">
        <v>880.0</v>
      </c>
      <c r="C57" s="310">
        <v>54.31</v>
      </c>
      <c r="D57" s="310">
        <v>42.76</v>
      </c>
      <c r="E57" s="310">
        <v>163.22</v>
      </c>
      <c r="F57" s="310">
        <v>163.22</v>
      </c>
      <c r="G57" s="310" t="s">
        <v>107</v>
      </c>
      <c r="H57" s="310">
        <v>54.43</v>
      </c>
      <c r="I57" s="310">
        <v>42.95</v>
      </c>
      <c r="J57" s="310">
        <v>163.38</v>
      </c>
      <c r="K57" s="310">
        <v>163.4</v>
      </c>
      <c r="L57" s="310" t="s">
        <v>90</v>
      </c>
    </row>
    <row r="58">
      <c r="A58" s="311" t="s">
        <v>1003</v>
      </c>
      <c r="B58" s="312">
        <v>779.0</v>
      </c>
      <c r="C58" s="310">
        <v>54.28</v>
      </c>
      <c r="D58" s="310">
        <v>42.81</v>
      </c>
      <c r="E58" s="310">
        <v>162.98</v>
      </c>
      <c r="F58" s="310">
        <v>162.79</v>
      </c>
      <c r="G58" s="310" t="s">
        <v>107</v>
      </c>
      <c r="H58" s="310">
        <v>54.28</v>
      </c>
      <c r="I58" s="310">
        <v>42.91</v>
      </c>
      <c r="J58" s="310">
        <v>163.15</v>
      </c>
      <c r="K58" s="310">
        <v>163.11</v>
      </c>
      <c r="L58" s="310" t="s">
        <v>90</v>
      </c>
    </row>
    <row r="59">
      <c r="A59" s="311" t="s">
        <v>1004</v>
      </c>
      <c r="B59" s="312">
        <v>500.0</v>
      </c>
      <c r="C59" s="310">
        <v>54.24</v>
      </c>
      <c r="D59" s="310">
        <v>42.67</v>
      </c>
      <c r="E59" s="310">
        <v>162.96</v>
      </c>
      <c r="F59" s="310">
        <v>163.03</v>
      </c>
      <c r="G59" s="310" t="s">
        <v>107</v>
      </c>
      <c r="H59" s="310">
        <v>54.36</v>
      </c>
      <c r="I59" s="310">
        <v>42.87</v>
      </c>
      <c r="J59" s="310">
        <v>163.16</v>
      </c>
      <c r="K59" s="310">
        <v>163.14</v>
      </c>
      <c r="L59" s="310" t="s">
        <v>90</v>
      </c>
    </row>
    <row r="60">
      <c r="A60" s="311" t="s">
        <v>1005</v>
      </c>
      <c r="B60" s="312">
        <v>459.0</v>
      </c>
      <c r="C60" s="310">
        <v>54.21</v>
      </c>
      <c r="D60" s="310">
        <v>42.65</v>
      </c>
      <c r="E60" s="310">
        <v>162.78</v>
      </c>
      <c r="F60" s="310">
        <v>162.87</v>
      </c>
      <c r="G60" s="310" t="s">
        <v>107</v>
      </c>
      <c r="H60" s="310">
        <v>54.31</v>
      </c>
      <c r="I60" s="310">
        <v>42.8</v>
      </c>
      <c r="J60" s="310">
        <v>162.86</v>
      </c>
      <c r="K60" s="310">
        <v>162.93</v>
      </c>
      <c r="L60" s="310" t="s">
        <v>90</v>
      </c>
    </row>
    <row r="61">
      <c r="A61" s="311" t="s">
        <v>1006</v>
      </c>
      <c r="B61" s="312">
        <v>264.0</v>
      </c>
      <c r="C61" s="310">
        <v>54.29</v>
      </c>
      <c r="D61" s="310">
        <v>42.75</v>
      </c>
      <c r="E61" s="310">
        <v>162.9</v>
      </c>
      <c r="F61" s="310">
        <v>163.05</v>
      </c>
      <c r="G61" s="310" t="s">
        <v>107</v>
      </c>
      <c r="H61" s="310">
        <v>54.29</v>
      </c>
      <c r="I61" s="310">
        <v>42.94</v>
      </c>
      <c r="J61" s="310">
        <v>163.08</v>
      </c>
      <c r="K61" s="310">
        <v>163.09</v>
      </c>
      <c r="L61" s="310" t="s">
        <v>1007</v>
      </c>
    </row>
    <row r="62">
      <c r="A62" s="311" t="s">
        <v>1008</v>
      </c>
      <c r="B62" s="312">
        <v>103.0</v>
      </c>
      <c r="C62" s="310">
        <v>54.22</v>
      </c>
      <c r="D62" s="310">
        <v>42.64</v>
      </c>
      <c r="E62" s="310">
        <v>162.84</v>
      </c>
      <c r="F62" s="310">
        <v>162.89</v>
      </c>
      <c r="G62" s="310" t="s">
        <v>107</v>
      </c>
      <c r="H62" s="310">
        <v>54.35</v>
      </c>
      <c r="I62" s="310">
        <v>42.86</v>
      </c>
      <c r="J62" s="310">
        <v>163.03</v>
      </c>
      <c r="K62" s="310">
        <v>163.01</v>
      </c>
      <c r="L62" s="310" t="s">
        <v>1007</v>
      </c>
    </row>
    <row r="63">
      <c r="A63" s="311" t="s">
        <v>1009</v>
      </c>
      <c r="B63" s="312">
        <v>2362.0</v>
      </c>
      <c r="C63" s="310">
        <v>54.27</v>
      </c>
      <c r="D63" s="310">
        <v>42.63</v>
      </c>
      <c r="E63" s="310">
        <v>162.86</v>
      </c>
      <c r="F63" s="310">
        <v>162.8</v>
      </c>
      <c r="G63" s="310" t="s">
        <v>107</v>
      </c>
      <c r="H63" s="310">
        <v>54.3</v>
      </c>
      <c r="I63" s="310">
        <v>42.7</v>
      </c>
      <c r="J63" s="310">
        <v>162.92</v>
      </c>
      <c r="K63" s="310">
        <v>162.91</v>
      </c>
      <c r="L63" s="310" t="s">
        <v>1007</v>
      </c>
    </row>
    <row r="64">
      <c r="A64" s="311" t="s">
        <v>1010</v>
      </c>
      <c r="B64" s="312">
        <v>1654.0</v>
      </c>
      <c r="C64" s="310">
        <v>54.31</v>
      </c>
      <c r="D64" s="310">
        <v>42.91</v>
      </c>
      <c r="E64" s="310">
        <v>163.31</v>
      </c>
      <c r="F64" s="310">
        <v>163.15</v>
      </c>
      <c r="G64" s="310" t="s">
        <v>107</v>
      </c>
      <c r="H64" s="310">
        <v>54.34</v>
      </c>
      <c r="I64" s="310">
        <v>42.94</v>
      </c>
      <c r="J64" s="310">
        <v>163.32</v>
      </c>
      <c r="K64" s="310">
        <v>163.27</v>
      </c>
      <c r="L64" s="310" t="s">
        <v>1007</v>
      </c>
    </row>
    <row r="65">
      <c r="A65" s="311" t="s">
        <v>1011</v>
      </c>
      <c r="B65" s="312">
        <v>1033.0</v>
      </c>
      <c r="C65" s="310">
        <v>54.13</v>
      </c>
      <c r="D65" s="310">
        <v>42.53</v>
      </c>
      <c r="E65" s="310">
        <v>162.42</v>
      </c>
      <c r="F65" s="310">
        <v>162.53</v>
      </c>
      <c r="G65" s="310" t="s">
        <v>107</v>
      </c>
      <c r="H65" s="310">
        <v>54.16</v>
      </c>
      <c r="I65" s="310">
        <v>42.64</v>
      </c>
      <c r="J65" s="310">
        <v>162.52</v>
      </c>
      <c r="K65" s="310">
        <v>162.42</v>
      </c>
      <c r="L65" s="310" t="s">
        <v>1007</v>
      </c>
    </row>
    <row r="66">
      <c r="A66" s="311" t="s">
        <v>1012</v>
      </c>
      <c r="B66" s="312">
        <v>625.0</v>
      </c>
      <c r="C66" s="310">
        <v>54.16</v>
      </c>
      <c r="D66" s="310">
        <v>42.62</v>
      </c>
      <c r="E66" s="310">
        <v>162.73</v>
      </c>
      <c r="F66" s="310">
        <v>162.72</v>
      </c>
      <c r="G66" s="310" t="s">
        <v>107</v>
      </c>
      <c r="H66" s="310">
        <v>54.29</v>
      </c>
      <c r="I66" s="310">
        <v>42.75</v>
      </c>
      <c r="J66" s="310">
        <v>162.8</v>
      </c>
      <c r="K66" s="310">
        <v>162.84</v>
      </c>
      <c r="L66" s="310" t="s">
        <v>1007</v>
      </c>
    </row>
    <row r="67">
      <c r="A67" s="311" t="s">
        <v>1013</v>
      </c>
      <c r="B67" s="312">
        <v>456.0</v>
      </c>
      <c r="C67" s="310">
        <v>54.31</v>
      </c>
      <c r="D67" s="310">
        <v>42.91</v>
      </c>
      <c r="E67" s="310">
        <v>163.31</v>
      </c>
      <c r="F67" s="310">
        <v>163.15</v>
      </c>
      <c r="G67" s="310" t="s">
        <v>107</v>
      </c>
      <c r="H67" s="310">
        <v>54.34</v>
      </c>
      <c r="I67" s="310">
        <v>42.94</v>
      </c>
      <c r="J67" s="310">
        <v>163.32</v>
      </c>
      <c r="K67" s="310">
        <v>163.24</v>
      </c>
      <c r="L67" s="310" t="s">
        <v>1007</v>
      </c>
    </row>
    <row r="68">
      <c r="A68" s="311" t="s">
        <v>599</v>
      </c>
      <c r="B68" s="312">
        <v>1318.0</v>
      </c>
      <c r="C68" s="310">
        <v>48.06</v>
      </c>
      <c r="D68" s="310">
        <v>41.7</v>
      </c>
      <c r="E68" s="310">
        <v>144.82</v>
      </c>
      <c r="F68" s="310">
        <v>144.89</v>
      </c>
      <c r="G68" s="310" t="s">
        <v>107</v>
      </c>
      <c r="H68" s="310">
        <v>48.1</v>
      </c>
      <c r="I68" s="310">
        <v>41.8</v>
      </c>
      <c r="J68" s="310">
        <v>144.97</v>
      </c>
      <c r="K68" s="310">
        <v>144.96</v>
      </c>
      <c r="L68" s="310" t="s">
        <v>1007</v>
      </c>
    </row>
    <row r="69">
      <c r="A69" s="311" t="s">
        <v>1014</v>
      </c>
      <c r="B69" s="312">
        <v>319.0</v>
      </c>
      <c r="C69" s="310">
        <v>48.08</v>
      </c>
      <c r="D69" s="310">
        <v>41.96</v>
      </c>
      <c r="E69" s="310">
        <v>145.02</v>
      </c>
      <c r="F69" s="310">
        <v>144.82</v>
      </c>
      <c r="G69" s="310" t="s">
        <v>107</v>
      </c>
      <c r="H69" s="310">
        <v>48.09</v>
      </c>
      <c r="I69" s="310">
        <v>41.96</v>
      </c>
      <c r="J69" s="310">
        <v>145.02</v>
      </c>
      <c r="K69" s="310">
        <v>144.84</v>
      </c>
      <c r="L69" s="310" t="s">
        <v>1007</v>
      </c>
    </row>
    <row r="70">
      <c r="A70" s="311" t="s">
        <v>1015</v>
      </c>
      <c r="B70" s="312">
        <v>244.0</v>
      </c>
      <c r="C70" s="310">
        <v>47.67</v>
      </c>
      <c r="D70" s="310">
        <v>41.62</v>
      </c>
      <c r="E70" s="310">
        <v>144.29</v>
      </c>
      <c r="F70" s="310">
        <v>144.37</v>
      </c>
      <c r="G70" s="310" t="s">
        <v>107</v>
      </c>
      <c r="H70" s="310">
        <v>48.02</v>
      </c>
      <c r="I70" s="310">
        <v>41.8</v>
      </c>
      <c r="J70" s="310">
        <v>144.86</v>
      </c>
      <c r="K70" s="310">
        <v>144.66</v>
      </c>
      <c r="L70" s="310" t="s">
        <v>1007</v>
      </c>
    </row>
    <row r="71">
      <c r="A71" s="311" t="s">
        <v>1016</v>
      </c>
      <c r="B71" s="312">
        <v>196.0</v>
      </c>
      <c r="C71" s="310">
        <v>48.2</v>
      </c>
      <c r="D71" s="310">
        <v>41.95</v>
      </c>
      <c r="E71" s="310">
        <v>145.46</v>
      </c>
      <c r="F71" s="310">
        <v>145.13</v>
      </c>
      <c r="G71" s="310" t="s">
        <v>107</v>
      </c>
      <c r="H71" s="310">
        <v>48.31</v>
      </c>
      <c r="I71" s="310">
        <v>42.05</v>
      </c>
      <c r="J71" s="310">
        <v>145.64</v>
      </c>
      <c r="K71" s="310">
        <v>145.29</v>
      </c>
      <c r="L71" s="310" t="s">
        <v>1007</v>
      </c>
    </row>
    <row r="72">
      <c r="A72" s="311" t="s">
        <v>1017</v>
      </c>
      <c r="B72" s="312">
        <v>165.0</v>
      </c>
      <c r="C72" s="310">
        <v>47.95</v>
      </c>
      <c r="D72" s="310">
        <v>41.95</v>
      </c>
      <c r="E72" s="310">
        <v>145.07</v>
      </c>
      <c r="F72" s="310">
        <v>145.08</v>
      </c>
      <c r="G72" s="310" t="s">
        <v>107</v>
      </c>
      <c r="H72" s="310">
        <v>48.05</v>
      </c>
      <c r="I72" s="310">
        <v>42.0</v>
      </c>
      <c r="J72" s="310">
        <v>145.31</v>
      </c>
      <c r="K72" s="310">
        <v>145.09</v>
      </c>
      <c r="L72" s="310" t="s">
        <v>1007</v>
      </c>
    </row>
    <row r="73">
      <c r="A73" s="311" t="s">
        <v>1018</v>
      </c>
      <c r="B73" s="312">
        <v>107.0</v>
      </c>
      <c r="C73" s="310">
        <v>48.07</v>
      </c>
      <c r="D73" s="310">
        <v>41.9</v>
      </c>
      <c r="E73" s="310">
        <v>145.31</v>
      </c>
      <c r="F73" s="310">
        <v>145.07</v>
      </c>
      <c r="G73" s="310" t="s">
        <v>107</v>
      </c>
      <c r="H73" s="310">
        <v>48.21</v>
      </c>
      <c r="I73" s="310">
        <v>42.14</v>
      </c>
      <c r="J73" s="310">
        <v>145.53</v>
      </c>
      <c r="K73" s="310">
        <v>145.44</v>
      </c>
      <c r="L73" s="310" t="s">
        <v>1007</v>
      </c>
    </row>
    <row r="74">
      <c r="A74" s="311" t="s">
        <v>1019</v>
      </c>
      <c r="B74" s="312">
        <v>592.0</v>
      </c>
      <c r="C74" s="310">
        <v>49.61</v>
      </c>
      <c r="D74" s="310">
        <v>45.9</v>
      </c>
      <c r="E74" s="310">
        <v>154.0</v>
      </c>
      <c r="F74" s="310">
        <v>153.76</v>
      </c>
      <c r="G74" s="310" t="s">
        <v>107</v>
      </c>
      <c r="H74" s="310">
        <v>49.71</v>
      </c>
      <c r="I74" s="310">
        <v>45.95</v>
      </c>
      <c r="J74" s="310">
        <v>154.01</v>
      </c>
      <c r="K74" s="310">
        <v>154.01</v>
      </c>
      <c r="L74" s="310" t="s">
        <v>1007</v>
      </c>
    </row>
    <row r="75">
      <c r="A75" s="311" t="s">
        <v>1020</v>
      </c>
      <c r="B75" s="312">
        <v>1312.0</v>
      </c>
      <c r="C75" s="310">
        <v>52.31</v>
      </c>
      <c r="D75" s="310">
        <v>42.99</v>
      </c>
      <c r="E75" s="310">
        <v>155.41</v>
      </c>
      <c r="F75" s="310">
        <v>155.53</v>
      </c>
      <c r="G75" s="310" t="s">
        <v>107</v>
      </c>
      <c r="H75" s="310">
        <v>52.32</v>
      </c>
      <c r="I75" s="310">
        <v>43.14</v>
      </c>
      <c r="J75" s="310">
        <v>155.64</v>
      </c>
      <c r="K75" s="310">
        <v>155.48</v>
      </c>
      <c r="L75" s="310" t="s">
        <v>1007</v>
      </c>
    </row>
    <row r="76">
      <c r="A76" s="311" t="s">
        <v>1021</v>
      </c>
      <c r="B76" s="312">
        <v>2277.0</v>
      </c>
      <c r="C76" s="310">
        <v>50.7</v>
      </c>
      <c r="D76" s="310">
        <v>41.02</v>
      </c>
      <c r="E76" s="310">
        <v>153.29</v>
      </c>
      <c r="F76" s="310">
        <v>153.15</v>
      </c>
      <c r="G76" s="310" t="s">
        <v>107</v>
      </c>
      <c r="H76" s="310">
        <v>50.71</v>
      </c>
      <c r="I76" s="310">
        <v>41.08</v>
      </c>
      <c r="J76" s="310">
        <v>153.1</v>
      </c>
      <c r="K76" s="310">
        <v>153.1</v>
      </c>
      <c r="L76" s="310" t="s">
        <v>1007</v>
      </c>
    </row>
    <row r="77">
      <c r="A77" s="311" t="s">
        <v>1022</v>
      </c>
      <c r="B77" s="312">
        <v>988.0</v>
      </c>
      <c r="C77" s="310">
        <v>50.77</v>
      </c>
      <c r="D77" s="310">
        <v>41.04</v>
      </c>
      <c r="E77" s="310">
        <v>153.52</v>
      </c>
      <c r="F77" s="310">
        <v>153.49</v>
      </c>
      <c r="G77" s="310" t="s">
        <v>107</v>
      </c>
      <c r="H77" s="310">
        <v>50.79</v>
      </c>
      <c r="I77" s="310">
        <v>41.11</v>
      </c>
      <c r="J77" s="310">
        <v>153.39</v>
      </c>
      <c r="K77" s="310">
        <v>153.52</v>
      </c>
      <c r="L77" s="310" t="s">
        <v>1007</v>
      </c>
    </row>
    <row r="78">
      <c r="A78" s="311" t="s">
        <v>1023</v>
      </c>
      <c r="B78" s="312">
        <v>583.0</v>
      </c>
      <c r="C78" s="310">
        <v>50.71</v>
      </c>
      <c r="D78" s="310">
        <v>40.99</v>
      </c>
      <c r="E78" s="310">
        <v>153.34</v>
      </c>
      <c r="F78" s="310">
        <v>153.18</v>
      </c>
      <c r="G78" s="310" t="s">
        <v>107</v>
      </c>
      <c r="H78" s="310">
        <v>50.78</v>
      </c>
      <c r="I78" s="310">
        <v>41.11</v>
      </c>
      <c r="J78" s="310">
        <v>153.38</v>
      </c>
      <c r="K78" s="310">
        <v>153.56</v>
      </c>
      <c r="L78" s="310" t="s">
        <v>1007</v>
      </c>
    </row>
    <row r="79">
      <c r="A79" s="311" t="s">
        <v>1024</v>
      </c>
      <c r="B79" s="312">
        <v>2899.0</v>
      </c>
      <c r="C79" s="310">
        <v>53.75</v>
      </c>
      <c r="D79" s="310">
        <v>39.74</v>
      </c>
      <c r="E79" s="310">
        <v>155.81</v>
      </c>
      <c r="F79" s="310">
        <v>155.88</v>
      </c>
      <c r="G79" s="310" t="s">
        <v>107</v>
      </c>
      <c r="H79" s="310">
        <v>53.84</v>
      </c>
      <c r="I79" s="310">
        <v>39.79</v>
      </c>
      <c r="J79" s="310">
        <v>155.77</v>
      </c>
      <c r="K79" s="310">
        <v>155.81</v>
      </c>
      <c r="L79" s="310" t="s">
        <v>1007</v>
      </c>
    </row>
    <row r="80">
      <c r="A80" s="311" t="s">
        <v>1025</v>
      </c>
      <c r="B80" s="312">
        <v>1760.0</v>
      </c>
      <c r="C80" s="310">
        <v>53.71</v>
      </c>
      <c r="D80" s="310">
        <v>39.8</v>
      </c>
      <c r="E80" s="310">
        <v>155.63</v>
      </c>
      <c r="F80" s="310">
        <v>155.62</v>
      </c>
      <c r="G80" s="310" t="s">
        <v>107</v>
      </c>
      <c r="H80" s="310">
        <v>53.72</v>
      </c>
      <c r="I80" s="310">
        <v>39.81</v>
      </c>
      <c r="J80" s="310">
        <v>155.68</v>
      </c>
      <c r="K80" s="310">
        <v>155.66</v>
      </c>
      <c r="L80" s="310" t="s">
        <v>1007</v>
      </c>
    </row>
    <row r="81">
      <c r="A81" s="311" t="s">
        <v>1026</v>
      </c>
      <c r="B81" s="312">
        <v>1216.0</v>
      </c>
      <c r="C81" s="310">
        <v>53.8</v>
      </c>
      <c r="D81" s="310">
        <v>39.73</v>
      </c>
      <c r="E81" s="310">
        <v>155.83</v>
      </c>
      <c r="F81" s="310">
        <v>155.77</v>
      </c>
      <c r="G81" s="310" t="s">
        <v>107</v>
      </c>
      <c r="H81" s="310">
        <v>53.84</v>
      </c>
      <c r="I81" s="310">
        <v>39.87</v>
      </c>
      <c r="J81" s="310">
        <v>155.96</v>
      </c>
      <c r="K81" s="310">
        <v>156.05</v>
      </c>
      <c r="L81" s="310" t="s">
        <v>1007</v>
      </c>
    </row>
    <row r="82">
      <c r="A82" s="311" t="s">
        <v>1027</v>
      </c>
      <c r="B82" s="312">
        <v>1120.0</v>
      </c>
      <c r="C82" s="310">
        <v>53.72</v>
      </c>
      <c r="D82" s="310">
        <v>39.74</v>
      </c>
      <c r="E82" s="310">
        <v>155.87</v>
      </c>
      <c r="F82" s="310">
        <v>155.77</v>
      </c>
      <c r="G82" s="310" t="s">
        <v>107</v>
      </c>
      <c r="H82" s="310">
        <v>53.87</v>
      </c>
      <c r="I82" s="310">
        <v>39.74</v>
      </c>
      <c r="J82" s="310">
        <v>155.88</v>
      </c>
      <c r="K82" s="310">
        <v>155.6</v>
      </c>
      <c r="L82" s="310" t="s">
        <v>1007</v>
      </c>
    </row>
    <row r="83">
      <c r="A83" s="311" t="s">
        <v>1028</v>
      </c>
      <c r="B83" s="312">
        <v>299.0</v>
      </c>
      <c r="C83" s="310">
        <v>53.75</v>
      </c>
      <c r="D83" s="310">
        <v>39.72</v>
      </c>
      <c r="E83" s="310">
        <v>155.73</v>
      </c>
      <c r="F83" s="310">
        <v>155.81</v>
      </c>
      <c r="G83" s="310" t="s">
        <v>107</v>
      </c>
      <c r="H83" s="310">
        <v>53.83</v>
      </c>
      <c r="I83" s="310">
        <v>39.79</v>
      </c>
      <c r="J83" s="310">
        <v>155.67</v>
      </c>
      <c r="K83" s="310">
        <v>155.77</v>
      </c>
      <c r="L83" s="310" t="s">
        <v>1007</v>
      </c>
    </row>
    <row r="84">
      <c r="A84" s="311" t="s">
        <v>1029</v>
      </c>
      <c r="B84" s="312">
        <v>1029.0</v>
      </c>
      <c r="C84" s="310">
        <v>52.91</v>
      </c>
      <c r="D84" s="310">
        <v>39.59</v>
      </c>
      <c r="E84" s="310">
        <v>154.23</v>
      </c>
      <c r="F84" s="310">
        <v>154.11</v>
      </c>
      <c r="G84" s="310" t="s">
        <v>107</v>
      </c>
      <c r="H84" s="310">
        <v>53.12</v>
      </c>
      <c r="I84" s="310">
        <v>39.88</v>
      </c>
      <c r="J84" s="310">
        <v>154.7</v>
      </c>
      <c r="K84" s="310">
        <v>154.47</v>
      </c>
      <c r="L84" s="310" t="s">
        <v>1007</v>
      </c>
    </row>
    <row r="85">
      <c r="A85" s="311" t="s">
        <v>1030</v>
      </c>
      <c r="B85" s="312">
        <v>830.0</v>
      </c>
      <c r="C85" s="310">
        <v>52.83</v>
      </c>
      <c r="D85" s="310">
        <v>39.58</v>
      </c>
      <c r="E85" s="310">
        <v>154.5</v>
      </c>
      <c r="F85" s="310">
        <v>154.66</v>
      </c>
      <c r="G85" s="310" t="s">
        <v>107</v>
      </c>
      <c r="H85" s="310">
        <v>52.97</v>
      </c>
      <c r="I85" s="310">
        <v>39.84</v>
      </c>
      <c r="J85" s="310">
        <v>154.72</v>
      </c>
      <c r="K85" s="310">
        <v>154.68</v>
      </c>
      <c r="L85" s="310" t="s">
        <v>1007</v>
      </c>
    </row>
    <row r="86">
      <c r="A86" s="311" t="s">
        <v>1031</v>
      </c>
      <c r="B86" s="312">
        <v>607.0</v>
      </c>
      <c r="C86" s="310">
        <v>53.17</v>
      </c>
      <c r="D86" s="310">
        <v>39.95</v>
      </c>
      <c r="E86" s="310">
        <v>154.95</v>
      </c>
      <c r="F86" s="310">
        <v>154.82</v>
      </c>
      <c r="G86" s="310" t="s">
        <v>107</v>
      </c>
      <c r="H86" s="310">
        <v>53.22</v>
      </c>
      <c r="I86" s="310">
        <v>40.0</v>
      </c>
      <c r="J86" s="310">
        <v>154.87</v>
      </c>
      <c r="K86" s="310">
        <v>154.68</v>
      </c>
      <c r="L86" s="310" t="s">
        <v>1007</v>
      </c>
    </row>
    <row r="87">
      <c r="A87" s="311" t="s">
        <v>395</v>
      </c>
      <c r="B87" s="312">
        <v>398.0</v>
      </c>
      <c r="C87" s="310">
        <v>53.01</v>
      </c>
      <c r="D87" s="310">
        <v>39.86</v>
      </c>
      <c r="E87" s="310">
        <v>154.94</v>
      </c>
      <c r="F87" s="310">
        <v>155.01</v>
      </c>
      <c r="G87" s="310" t="s">
        <v>107</v>
      </c>
      <c r="H87" s="310">
        <v>53.36</v>
      </c>
      <c r="I87" s="310">
        <v>39.86</v>
      </c>
      <c r="J87" s="310">
        <v>155.33</v>
      </c>
      <c r="K87" s="310">
        <v>154.93</v>
      </c>
      <c r="L87" s="310" t="s">
        <v>1007</v>
      </c>
    </row>
    <row r="88">
      <c r="A88" s="317" t="s">
        <v>1032</v>
      </c>
      <c r="B88" s="313">
        <v>249.0</v>
      </c>
      <c r="C88" s="314" t="s">
        <v>958</v>
      </c>
      <c r="L88" s="315" t="s">
        <v>1007</v>
      </c>
    </row>
    <row r="89">
      <c r="A89" s="311" t="s">
        <v>1033</v>
      </c>
      <c r="B89" s="312">
        <v>223.0</v>
      </c>
      <c r="C89" s="310">
        <v>53.07</v>
      </c>
      <c r="D89" s="310">
        <v>39.76</v>
      </c>
      <c r="E89" s="310">
        <v>154.85</v>
      </c>
      <c r="F89" s="310">
        <v>154.77</v>
      </c>
      <c r="G89" s="310" t="s">
        <v>107</v>
      </c>
      <c r="H89" s="310">
        <v>53.31</v>
      </c>
      <c r="I89" s="310">
        <v>39.93</v>
      </c>
      <c r="J89" s="310">
        <v>155.09</v>
      </c>
      <c r="K89" s="310">
        <v>154.83</v>
      </c>
      <c r="L89" s="310" t="s">
        <v>1007</v>
      </c>
    </row>
    <row r="90">
      <c r="A90" s="317" t="s">
        <v>1034</v>
      </c>
      <c r="B90" s="313">
        <v>817.0</v>
      </c>
      <c r="C90" s="314" t="s">
        <v>958</v>
      </c>
      <c r="L90" s="315" t="s">
        <v>1007</v>
      </c>
    </row>
    <row r="91">
      <c r="A91" s="311" t="s">
        <v>1035</v>
      </c>
      <c r="B91" s="312">
        <v>877.0</v>
      </c>
      <c r="C91" s="310">
        <v>52.75</v>
      </c>
      <c r="D91" s="310">
        <v>41.86</v>
      </c>
      <c r="E91" s="310">
        <v>157.28</v>
      </c>
      <c r="F91" s="310">
        <v>157.38</v>
      </c>
      <c r="G91" s="310" t="s">
        <v>107</v>
      </c>
      <c r="H91" s="310">
        <v>52.81</v>
      </c>
      <c r="I91" s="310">
        <v>42.08</v>
      </c>
      <c r="J91" s="310">
        <v>157.55</v>
      </c>
      <c r="K91" s="310">
        <v>157.21</v>
      </c>
      <c r="L91" s="310" t="s">
        <v>1007</v>
      </c>
    </row>
    <row r="92">
      <c r="A92" s="311" t="s">
        <v>1036</v>
      </c>
      <c r="B92" s="312">
        <v>513.0</v>
      </c>
      <c r="C92" s="310">
        <v>52.65</v>
      </c>
      <c r="D92" s="310">
        <v>41.98</v>
      </c>
      <c r="E92" s="310">
        <v>157.02</v>
      </c>
      <c r="F92" s="310">
        <v>157.15</v>
      </c>
      <c r="G92" s="310" t="s">
        <v>107</v>
      </c>
      <c r="H92" s="310">
        <v>52.77</v>
      </c>
      <c r="I92" s="310">
        <v>42.06</v>
      </c>
      <c r="J92" s="310">
        <v>157.39</v>
      </c>
      <c r="K92" s="310">
        <v>157.22</v>
      </c>
      <c r="L92" s="310" t="s">
        <v>1007</v>
      </c>
    </row>
    <row r="93">
      <c r="A93" s="311" t="s">
        <v>1037</v>
      </c>
      <c r="B93" s="312">
        <v>330.0</v>
      </c>
      <c r="C93" s="310">
        <v>52.71</v>
      </c>
      <c r="D93" s="310">
        <v>41.93</v>
      </c>
      <c r="E93" s="310">
        <v>157.02</v>
      </c>
      <c r="F93" s="310">
        <v>157.17</v>
      </c>
      <c r="G93" s="310" t="s">
        <v>107</v>
      </c>
      <c r="H93" s="310">
        <v>52.76</v>
      </c>
      <c r="I93" s="310">
        <v>42.04</v>
      </c>
      <c r="J93" s="310">
        <v>157.31</v>
      </c>
      <c r="K93" s="310">
        <v>157.21</v>
      </c>
      <c r="L93" s="310" t="s">
        <v>1007</v>
      </c>
    </row>
    <row r="94">
      <c r="A94" s="311" t="s">
        <v>496</v>
      </c>
      <c r="B94" s="312">
        <v>1633.0</v>
      </c>
      <c r="C94" s="310">
        <v>53.86</v>
      </c>
      <c r="D94" s="310">
        <v>39.09</v>
      </c>
      <c r="E94" s="310">
        <v>156.01</v>
      </c>
      <c r="F94" s="310">
        <v>155.66</v>
      </c>
      <c r="G94" s="310" t="s">
        <v>107</v>
      </c>
      <c r="H94" s="310">
        <v>54.28</v>
      </c>
      <c r="I94" s="310">
        <v>39.17</v>
      </c>
      <c r="J94" s="310">
        <v>156.08</v>
      </c>
      <c r="K94" s="310">
        <v>156.1</v>
      </c>
      <c r="L94" s="310" t="s">
        <v>1007</v>
      </c>
    </row>
    <row r="95">
      <c r="A95" s="311" t="s">
        <v>623</v>
      </c>
      <c r="B95" s="312">
        <v>684.0</v>
      </c>
      <c r="C95" s="310">
        <v>53.84</v>
      </c>
      <c r="D95" s="310">
        <v>39.05</v>
      </c>
      <c r="E95" s="310">
        <v>155.89</v>
      </c>
      <c r="F95" s="310">
        <v>155.97</v>
      </c>
      <c r="G95" s="310" t="s">
        <v>107</v>
      </c>
      <c r="H95" s="310">
        <v>54.3</v>
      </c>
      <c r="I95" s="310">
        <v>39.24</v>
      </c>
      <c r="J95" s="310">
        <v>156.17</v>
      </c>
      <c r="K95" s="310">
        <v>155.91</v>
      </c>
      <c r="L95" s="310" t="s">
        <v>1007</v>
      </c>
    </row>
    <row r="96">
      <c r="A96" s="311" t="s">
        <v>212</v>
      </c>
      <c r="B96" s="312">
        <v>84.0</v>
      </c>
      <c r="C96" s="310">
        <v>51.15</v>
      </c>
      <c r="D96" s="310">
        <v>41.09</v>
      </c>
      <c r="E96" s="310">
        <v>155.43</v>
      </c>
      <c r="F96" s="310">
        <v>155.6</v>
      </c>
      <c r="G96" s="310" t="s">
        <v>107</v>
      </c>
      <c r="H96" s="310">
        <v>51.2</v>
      </c>
      <c r="I96" s="310">
        <v>41.1</v>
      </c>
      <c r="J96" s="310">
        <v>155.52</v>
      </c>
      <c r="K96" s="310">
        <v>155.7</v>
      </c>
      <c r="L96" s="310" t="s">
        <v>1007</v>
      </c>
    </row>
    <row r="97">
      <c r="A97" s="311" t="s">
        <v>1038</v>
      </c>
      <c r="B97" s="312">
        <v>900.0</v>
      </c>
      <c r="C97" s="310">
        <v>49.88</v>
      </c>
      <c r="D97" s="310">
        <v>39.02</v>
      </c>
      <c r="E97" s="310">
        <v>148.32</v>
      </c>
      <c r="F97" s="310">
        <v>148.34</v>
      </c>
      <c r="G97" s="310" t="s">
        <v>107</v>
      </c>
      <c r="H97" s="310">
        <v>49.92</v>
      </c>
      <c r="I97" s="310">
        <v>39.3</v>
      </c>
      <c r="J97" s="310">
        <v>148.72</v>
      </c>
      <c r="K97" s="310">
        <v>148.27</v>
      </c>
      <c r="L97" s="310" t="s">
        <v>1007</v>
      </c>
    </row>
    <row r="98">
      <c r="A98" s="311" t="s">
        <v>1039</v>
      </c>
      <c r="B98" s="312">
        <v>639.0</v>
      </c>
      <c r="C98" s="310">
        <v>49.99</v>
      </c>
      <c r="D98" s="310">
        <v>39.09</v>
      </c>
      <c r="E98" s="310">
        <v>148.52</v>
      </c>
      <c r="F98" s="310">
        <v>148.6</v>
      </c>
      <c r="G98" s="310" t="s">
        <v>107</v>
      </c>
      <c r="H98" s="310">
        <v>50.0</v>
      </c>
      <c r="I98" s="310">
        <v>39.36</v>
      </c>
      <c r="J98" s="310">
        <v>148.88</v>
      </c>
      <c r="K98" s="310">
        <v>148.54</v>
      </c>
      <c r="L98" s="310" t="s">
        <v>1007</v>
      </c>
    </row>
    <row r="99">
      <c r="A99" s="311" t="s">
        <v>1040</v>
      </c>
      <c r="B99" s="312">
        <v>309.0</v>
      </c>
      <c r="C99" s="310">
        <v>50.01</v>
      </c>
      <c r="D99" s="310">
        <v>39.21</v>
      </c>
      <c r="E99" s="310">
        <v>148.69</v>
      </c>
      <c r="F99" s="310">
        <v>148.61</v>
      </c>
      <c r="G99" s="310" t="s">
        <v>107</v>
      </c>
      <c r="H99" s="310">
        <v>50.04</v>
      </c>
      <c r="I99" s="310">
        <v>39.55</v>
      </c>
      <c r="J99" s="310">
        <v>149.11</v>
      </c>
      <c r="K99" s="310">
        <v>148.59</v>
      </c>
      <c r="L99" s="310" t="s">
        <v>1007</v>
      </c>
    </row>
    <row r="100">
      <c r="A100" s="311" t="s">
        <v>139</v>
      </c>
      <c r="B100" s="312">
        <v>304.0</v>
      </c>
      <c r="C100" s="310">
        <v>49.98</v>
      </c>
      <c r="D100" s="310">
        <v>39.17</v>
      </c>
      <c r="E100" s="310">
        <v>148.31</v>
      </c>
      <c r="F100" s="310">
        <v>148.31</v>
      </c>
      <c r="G100" s="310" t="s">
        <v>107</v>
      </c>
      <c r="H100" s="310">
        <v>49.99</v>
      </c>
      <c r="I100" s="310">
        <v>49.99</v>
      </c>
      <c r="J100" s="310">
        <v>148.36</v>
      </c>
      <c r="K100" s="310">
        <v>148.36</v>
      </c>
      <c r="L100" s="310" t="s">
        <v>1007</v>
      </c>
    </row>
    <row r="101">
      <c r="A101" s="311" t="s">
        <v>1041</v>
      </c>
      <c r="B101" s="312">
        <v>300.0</v>
      </c>
      <c r="C101" s="310">
        <v>50.11</v>
      </c>
      <c r="D101" s="310">
        <v>39.3</v>
      </c>
      <c r="E101" s="310">
        <v>148.9</v>
      </c>
      <c r="F101" s="310">
        <v>148.92</v>
      </c>
      <c r="G101" s="310" t="s">
        <v>107</v>
      </c>
      <c r="H101" s="310">
        <v>50.19</v>
      </c>
      <c r="I101" s="310">
        <v>39.58</v>
      </c>
      <c r="J101" s="310">
        <v>149.39</v>
      </c>
      <c r="K101" s="310">
        <v>149.1</v>
      </c>
      <c r="L101" s="310" t="s">
        <v>1007</v>
      </c>
    </row>
    <row r="102">
      <c r="A102" s="311" t="s">
        <v>1042</v>
      </c>
      <c r="B102" s="312">
        <v>900.0</v>
      </c>
      <c r="C102" s="310">
        <v>49.71</v>
      </c>
      <c r="D102" s="310">
        <v>39.13</v>
      </c>
      <c r="E102" s="310">
        <v>148.59</v>
      </c>
      <c r="F102" s="310">
        <v>148.59</v>
      </c>
      <c r="G102" s="310" t="s">
        <v>107</v>
      </c>
      <c r="H102" s="310">
        <v>49.85</v>
      </c>
      <c r="I102" s="310">
        <v>39.33</v>
      </c>
      <c r="J102" s="310">
        <v>148.94</v>
      </c>
      <c r="K102" s="310">
        <v>148.88</v>
      </c>
      <c r="L102" s="310" t="s">
        <v>1007</v>
      </c>
    </row>
    <row r="103">
      <c r="A103" s="311" t="s">
        <v>1043</v>
      </c>
      <c r="B103" s="312">
        <v>500.0</v>
      </c>
      <c r="C103" s="310">
        <v>50.16</v>
      </c>
      <c r="D103" s="310">
        <v>39.37</v>
      </c>
      <c r="E103" s="310">
        <v>149.35</v>
      </c>
      <c r="F103" s="310">
        <v>149.32</v>
      </c>
      <c r="G103" s="310" t="s">
        <v>107</v>
      </c>
      <c r="H103" s="310">
        <v>50.17</v>
      </c>
      <c r="I103" s="310">
        <v>39.39</v>
      </c>
      <c r="J103" s="310">
        <v>149.23</v>
      </c>
      <c r="K103" s="310">
        <v>149.27</v>
      </c>
      <c r="L103" s="310" t="s">
        <v>1007</v>
      </c>
    </row>
    <row r="104">
      <c r="A104" s="311" t="s">
        <v>1044</v>
      </c>
      <c r="B104" s="312">
        <v>308.0</v>
      </c>
      <c r="C104" s="310">
        <v>50.22</v>
      </c>
      <c r="D104" s="310">
        <v>39.58</v>
      </c>
      <c r="E104" s="310">
        <v>149.54</v>
      </c>
      <c r="F104" s="310">
        <v>149.38</v>
      </c>
      <c r="G104" s="310" t="s">
        <v>107</v>
      </c>
      <c r="H104" s="310">
        <v>50.29</v>
      </c>
      <c r="I104" s="310">
        <v>39.66</v>
      </c>
      <c r="J104" s="310">
        <v>149.71</v>
      </c>
      <c r="K104" s="310">
        <v>149.56</v>
      </c>
      <c r="L104" s="310" t="s">
        <v>1007</v>
      </c>
    </row>
    <row r="105">
      <c r="A105" s="311" t="s">
        <v>1045</v>
      </c>
      <c r="B105" s="312">
        <v>302.0</v>
      </c>
      <c r="C105" s="310">
        <v>50.09</v>
      </c>
      <c r="D105" s="310">
        <v>39.3</v>
      </c>
      <c r="E105" s="310">
        <v>148.93</v>
      </c>
      <c r="F105" s="310">
        <v>148.91</v>
      </c>
      <c r="G105" s="310" t="s">
        <v>107</v>
      </c>
      <c r="H105" s="310">
        <v>50.12</v>
      </c>
      <c r="I105" s="310">
        <v>39.52</v>
      </c>
      <c r="J105" s="310">
        <v>149.25</v>
      </c>
      <c r="K105" s="310">
        <v>148.93</v>
      </c>
      <c r="L105" s="310" t="s">
        <v>1007</v>
      </c>
    </row>
    <row r="106">
      <c r="A106" s="311" t="s">
        <v>1046</v>
      </c>
      <c r="B106" s="312">
        <v>72.0</v>
      </c>
      <c r="C106" s="310">
        <v>49.93</v>
      </c>
      <c r="D106" s="310">
        <v>39.3</v>
      </c>
      <c r="E106" s="310">
        <v>148.15</v>
      </c>
      <c r="F106" s="310">
        <v>148.49</v>
      </c>
      <c r="G106" s="310" t="s">
        <v>107</v>
      </c>
      <c r="H106" s="310">
        <v>49.97</v>
      </c>
      <c r="I106" s="310">
        <v>39.41</v>
      </c>
      <c r="J106" s="310">
        <v>148.38</v>
      </c>
      <c r="K106" s="310">
        <v>148.49</v>
      </c>
      <c r="L106" s="310" t="s">
        <v>1007</v>
      </c>
    </row>
    <row r="107">
      <c r="A107" s="311" t="s">
        <v>429</v>
      </c>
      <c r="B107" s="312">
        <v>54.0</v>
      </c>
      <c r="C107" s="310">
        <v>50.1</v>
      </c>
      <c r="D107" s="310">
        <v>39.28</v>
      </c>
      <c r="E107" s="310">
        <v>149.13</v>
      </c>
      <c r="F107" s="310">
        <v>148.93</v>
      </c>
      <c r="G107" s="310" t="s">
        <v>107</v>
      </c>
      <c r="H107" s="310">
        <v>50.11</v>
      </c>
      <c r="I107" s="310">
        <v>39.29</v>
      </c>
      <c r="J107" s="310">
        <v>149.16</v>
      </c>
      <c r="K107" s="310">
        <v>148.98</v>
      </c>
      <c r="L107" s="310" t="s">
        <v>1007</v>
      </c>
    </row>
    <row r="108">
      <c r="A108" s="311" t="s">
        <v>278</v>
      </c>
      <c r="B108" s="312">
        <v>1704.0</v>
      </c>
      <c r="C108" s="310">
        <v>49.99</v>
      </c>
      <c r="D108" s="310">
        <v>39.3</v>
      </c>
      <c r="E108" s="310">
        <v>148.96</v>
      </c>
      <c r="F108" s="310">
        <v>149.0</v>
      </c>
      <c r="G108" s="310" t="s">
        <v>107</v>
      </c>
      <c r="H108" s="310">
        <v>50.0</v>
      </c>
      <c r="I108" s="310">
        <v>39.3</v>
      </c>
      <c r="J108" s="310">
        <v>148.96</v>
      </c>
      <c r="K108" s="310">
        <v>149.01</v>
      </c>
      <c r="L108" s="310" t="s">
        <v>1007</v>
      </c>
    </row>
    <row r="109">
      <c r="A109" s="311" t="s">
        <v>1047</v>
      </c>
      <c r="B109" s="312">
        <v>912.0</v>
      </c>
      <c r="C109" s="310">
        <v>50.07</v>
      </c>
      <c r="D109" s="310">
        <v>39.27</v>
      </c>
      <c r="E109" s="310">
        <v>149.19</v>
      </c>
      <c r="F109" s="310">
        <v>149.07</v>
      </c>
      <c r="G109" s="310" t="s">
        <v>107</v>
      </c>
      <c r="H109" s="310">
        <v>50.09</v>
      </c>
      <c r="I109" s="310">
        <v>39.29</v>
      </c>
      <c r="J109" s="310">
        <v>149.23</v>
      </c>
      <c r="K109" s="310">
        <v>149.17</v>
      </c>
      <c r="L109" s="310" t="s">
        <v>1007</v>
      </c>
    </row>
    <row r="110">
      <c r="A110" s="311" t="s">
        <v>247</v>
      </c>
      <c r="B110" s="312">
        <v>701.0</v>
      </c>
      <c r="C110" s="310">
        <v>49.97</v>
      </c>
      <c r="D110" s="310">
        <v>39.35</v>
      </c>
      <c r="E110" s="310">
        <v>149.07</v>
      </c>
      <c r="F110" s="310">
        <v>149.08</v>
      </c>
      <c r="G110" s="310" t="s">
        <v>107</v>
      </c>
      <c r="H110" s="310">
        <v>49.98</v>
      </c>
      <c r="I110" s="310">
        <v>39.35</v>
      </c>
      <c r="J110" s="310">
        <v>149.04</v>
      </c>
      <c r="K110" s="310">
        <v>149.09</v>
      </c>
      <c r="L110" s="310" t="s">
        <v>1007</v>
      </c>
    </row>
    <row r="111">
      <c r="A111" s="311" t="s">
        <v>1048</v>
      </c>
      <c r="B111" s="312">
        <v>519.0</v>
      </c>
      <c r="C111" s="310">
        <v>50.04</v>
      </c>
      <c r="D111" s="310">
        <v>39.12</v>
      </c>
      <c r="E111" s="310">
        <v>148.62</v>
      </c>
      <c r="F111" s="310">
        <v>148.64</v>
      </c>
      <c r="G111" s="310" t="s">
        <v>107</v>
      </c>
      <c r="H111" s="310">
        <v>50.06</v>
      </c>
      <c r="I111" s="310">
        <v>39.45</v>
      </c>
      <c r="J111" s="310">
        <v>149.07</v>
      </c>
      <c r="K111" s="310">
        <v>148.55</v>
      </c>
      <c r="L111" s="310" t="s">
        <v>1007</v>
      </c>
    </row>
    <row r="112">
      <c r="A112" s="311" t="s">
        <v>1049</v>
      </c>
      <c r="B112" s="312">
        <v>501.0</v>
      </c>
      <c r="C112" s="310">
        <v>50.12</v>
      </c>
      <c r="D112" s="310">
        <v>39.26</v>
      </c>
      <c r="E112" s="310">
        <v>148.81</v>
      </c>
      <c r="F112" s="310">
        <v>148.86</v>
      </c>
      <c r="G112" s="310" t="s">
        <v>107</v>
      </c>
      <c r="H112" s="310">
        <v>50.2</v>
      </c>
      <c r="I112" s="310">
        <v>39.45</v>
      </c>
      <c r="J112" s="310">
        <v>149.3</v>
      </c>
      <c r="K112" s="310">
        <v>148.91</v>
      </c>
      <c r="L112" s="310" t="s">
        <v>1007</v>
      </c>
    </row>
    <row r="113">
      <c r="A113" s="311" t="s">
        <v>1050</v>
      </c>
      <c r="B113" s="312">
        <v>404.0</v>
      </c>
      <c r="C113" s="310">
        <v>50.19</v>
      </c>
      <c r="D113" s="310">
        <v>39.44</v>
      </c>
      <c r="E113" s="310">
        <v>149.3</v>
      </c>
      <c r="F113" s="310">
        <v>148.91</v>
      </c>
      <c r="G113" s="310" t="s">
        <v>107</v>
      </c>
      <c r="H113" s="310">
        <v>50.2</v>
      </c>
      <c r="I113" s="310">
        <v>39.45</v>
      </c>
      <c r="J113" s="310">
        <v>149.15</v>
      </c>
      <c r="K113" s="310">
        <v>148.9</v>
      </c>
      <c r="L113" s="310" t="s">
        <v>1007</v>
      </c>
    </row>
    <row r="114">
      <c r="A114" s="311" t="s">
        <v>1051</v>
      </c>
      <c r="B114" s="312">
        <v>304.0</v>
      </c>
      <c r="C114" s="310">
        <v>50.31</v>
      </c>
      <c r="D114" s="310">
        <v>39.5</v>
      </c>
      <c r="E114" s="310">
        <v>149.57</v>
      </c>
      <c r="F114" s="310">
        <v>149.6</v>
      </c>
      <c r="G114" s="310" t="s">
        <v>107</v>
      </c>
      <c r="H114" s="310">
        <v>50.35</v>
      </c>
      <c r="I114" s="310">
        <v>39.74</v>
      </c>
      <c r="J114" s="310">
        <v>149.97</v>
      </c>
      <c r="K114" s="310">
        <v>149.7</v>
      </c>
      <c r="L114" s="310" t="s">
        <v>1007</v>
      </c>
    </row>
    <row r="115">
      <c r="A115" s="311" t="s">
        <v>1052</v>
      </c>
      <c r="B115" s="312">
        <v>256.0</v>
      </c>
      <c r="C115" s="310">
        <v>50.02</v>
      </c>
      <c r="D115" s="310">
        <v>39.22</v>
      </c>
      <c r="E115" s="310">
        <v>149.09</v>
      </c>
      <c r="F115" s="310">
        <v>149.07</v>
      </c>
      <c r="G115" s="310" t="s">
        <v>107</v>
      </c>
      <c r="H115" s="310">
        <v>50.08</v>
      </c>
      <c r="I115" s="310">
        <v>39.36</v>
      </c>
      <c r="J115" s="310">
        <v>149.18</v>
      </c>
      <c r="K115" s="310">
        <v>149.06</v>
      </c>
      <c r="L115" s="310" t="s">
        <v>1007</v>
      </c>
    </row>
    <row r="116">
      <c r="A116" s="311" t="s">
        <v>653</v>
      </c>
      <c r="B116" s="312">
        <v>1255.0</v>
      </c>
      <c r="C116" s="310">
        <v>50.09</v>
      </c>
      <c r="D116" s="310">
        <v>39.38</v>
      </c>
      <c r="E116" s="310">
        <v>149.45</v>
      </c>
      <c r="F116" s="310">
        <v>149.31</v>
      </c>
      <c r="G116" s="310" t="s">
        <v>107</v>
      </c>
      <c r="H116" s="310">
        <v>50.13</v>
      </c>
      <c r="I116" s="310">
        <v>39.4</v>
      </c>
      <c r="J116" s="310">
        <v>149.5</v>
      </c>
      <c r="K116" s="310">
        <v>149.47</v>
      </c>
      <c r="L116" s="310" t="s">
        <v>1007</v>
      </c>
    </row>
    <row r="117">
      <c r="A117" s="311" t="s">
        <v>1053</v>
      </c>
      <c r="B117" s="312">
        <v>1203.0</v>
      </c>
      <c r="C117" s="310">
        <v>50.09</v>
      </c>
      <c r="D117" s="310">
        <v>39.4</v>
      </c>
      <c r="E117" s="310">
        <v>148.95</v>
      </c>
      <c r="F117" s="310">
        <v>148.76</v>
      </c>
      <c r="G117" s="310" t="s">
        <v>107</v>
      </c>
      <c r="H117" s="310">
        <v>50.13</v>
      </c>
      <c r="I117" s="310">
        <v>39.45</v>
      </c>
      <c r="J117" s="310">
        <v>149.15</v>
      </c>
      <c r="K117" s="310">
        <v>148.8</v>
      </c>
      <c r="L117" s="310" t="s">
        <v>1007</v>
      </c>
    </row>
    <row r="118">
      <c r="A118" s="311" t="s">
        <v>1054</v>
      </c>
      <c r="B118" s="312">
        <v>1057.0</v>
      </c>
      <c r="C118" s="310">
        <v>49.82</v>
      </c>
      <c r="D118" s="310">
        <v>39.13</v>
      </c>
      <c r="E118" s="310">
        <v>149.13</v>
      </c>
      <c r="F118" s="310">
        <v>148.82</v>
      </c>
      <c r="G118" s="310" t="s">
        <v>107</v>
      </c>
      <c r="H118" s="310">
        <v>50.12</v>
      </c>
      <c r="I118" s="310">
        <v>39.2</v>
      </c>
      <c r="J118" s="310">
        <v>149.12</v>
      </c>
      <c r="K118" s="310">
        <v>149.26</v>
      </c>
      <c r="L118" s="310" t="s">
        <v>1007</v>
      </c>
    </row>
    <row r="119">
      <c r="A119" s="311" t="s">
        <v>1055</v>
      </c>
      <c r="B119" s="312">
        <v>1026.0</v>
      </c>
      <c r="C119" s="310">
        <v>50.03</v>
      </c>
      <c r="D119" s="310">
        <v>39.34</v>
      </c>
      <c r="E119" s="310">
        <v>149.04</v>
      </c>
      <c r="F119" s="310">
        <v>148.84</v>
      </c>
      <c r="G119" s="310" t="s">
        <v>107</v>
      </c>
      <c r="H119" s="310">
        <v>50.16</v>
      </c>
      <c r="I119" s="310">
        <v>39.53</v>
      </c>
      <c r="J119" s="310">
        <v>149.37</v>
      </c>
      <c r="K119" s="310">
        <v>149.1</v>
      </c>
      <c r="L119" s="310" t="s">
        <v>1007</v>
      </c>
    </row>
    <row r="120">
      <c r="A120" s="311" t="s">
        <v>1056</v>
      </c>
      <c r="B120" s="312">
        <v>899.0</v>
      </c>
      <c r="C120" s="310">
        <v>50.0</v>
      </c>
      <c r="D120" s="310">
        <v>39.12</v>
      </c>
      <c r="E120" s="310">
        <v>148.7</v>
      </c>
      <c r="F120" s="310">
        <v>148.73</v>
      </c>
      <c r="G120" s="310" t="s">
        <v>107</v>
      </c>
      <c r="H120" s="310">
        <v>50.09</v>
      </c>
      <c r="I120" s="310">
        <v>39.24</v>
      </c>
      <c r="J120" s="310">
        <v>148.96</v>
      </c>
      <c r="K120" s="310">
        <v>148.75</v>
      </c>
      <c r="L120" s="310" t="s">
        <v>1007</v>
      </c>
    </row>
    <row r="121">
      <c r="A121" s="311" t="s">
        <v>1057</v>
      </c>
      <c r="B121" s="312">
        <v>743.0</v>
      </c>
      <c r="C121" s="310">
        <v>50.12</v>
      </c>
      <c r="D121" s="310">
        <v>39.48</v>
      </c>
      <c r="E121" s="310">
        <v>149.55</v>
      </c>
      <c r="F121" s="310">
        <v>149.45</v>
      </c>
      <c r="G121" s="310" t="s">
        <v>107</v>
      </c>
      <c r="H121" s="310">
        <v>50.16</v>
      </c>
      <c r="I121" s="310">
        <v>39.5</v>
      </c>
      <c r="J121" s="310">
        <v>149.44</v>
      </c>
      <c r="K121" s="310">
        <v>149.5</v>
      </c>
      <c r="L121" s="310" t="s">
        <v>1007</v>
      </c>
    </row>
    <row r="122">
      <c r="A122" s="311" t="s">
        <v>1058</v>
      </c>
      <c r="B122" s="312">
        <v>600.0</v>
      </c>
      <c r="C122" s="310">
        <v>50.0</v>
      </c>
      <c r="D122" s="310">
        <v>39.22</v>
      </c>
      <c r="E122" s="310">
        <v>148.75</v>
      </c>
      <c r="F122" s="310">
        <v>148.74</v>
      </c>
      <c r="G122" s="310" t="s">
        <v>107</v>
      </c>
      <c r="H122" s="310">
        <v>50.08</v>
      </c>
      <c r="I122" s="310">
        <v>39.36</v>
      </c>
      <c r="J122" s="310">
        <v>148.97</v>
      </c>
      <c r="K122" s="310">
        <v>148.65</v>
      </c>
      <c r="L122" s="310" t="s">
        <v>1007</v>
      </c>
    </row>
    <row r="123">
      <c r="A123" s="311" t="s">
        <v>1059</v>
      </c>
      <c r="B123" s="312">
        <v>300.0</v>
      </c>
      <c r="C123" s="310">
        <v>50.11</v>
      </c>
      <c r="D123" s="310">
        <v>39.3</v>
      </c>
      <c r="E123" s="310">
        <v>148.83</v>
      </c>
      <c r="F123" s="310">
        <v>148.84</v>
      </c>
      <c r="G123" s="310" t="s">
        <v>107</v>
      </c>
      <c r="H123" s="310">
        <v>50.14</v>
      </c>
      <c r="I123" s="310">
        <v>39.54</v>
      </c>
      <c r="J123" s="310">
        <v>149.1</v>
      </c>
      <c r="K123" s="310">
        <v>148.8</v>
      </c>
      <c r="L123" s="310" t="s">
        <v>1007</v>
      </c>
    </row>
    <row r="124">
      <c r="A124" s="311" t="s">
        <v>1060</v>
      </c>
      <c r="B124" s="312">
        <v>131.0</v>
      </c>
      <c r="C124" s="310">
        <v>49.94</v>
      </c>
      <c r="D124" s="310">
        <v>39.29</v>
      </c>
      <c r="E124" s="310">
        <v>149.13</v>
      </c>
      <c r="F124" s="310">
        <v>149.01</v>
      </c>
      <c r="G124" s="310" t="s">
        <v>107</v>
      </c>
      <c r="H124" s="310">
        <v>50.06</v>
      </c>
      <c r="I124" s="310">
        <v>39.31</v>
      </c>
      <c r="J124" s="310">
        <v>149.22</v>
      </c>
      <c r="K124" s="310">
        <v>149.24</v>
      </c>
      <c r="L124" s="310" t="s">
        <v>1007</v>
      </c>
    </row>
    <row r="125">
      <c r="A125" s="311" t="s">
        <v>1061</v>
      </c>
      <c r="B125" s="312">
        <v>543.0</v>
      </c>
      <c r="C125" s="310">
        <v>54.63</v>
      </c>
      <c r="D125" s="310">
        <v>43.41</v>
      </c>
      <c r="E125" s="310">
        <v>161.77</v>
      </c>
      <c r="F125" s="310">
        <v>161.78</v>
      </c>
      <c r="G125" s="310" t="s">
        <v>107</v>
      </c>
      <c r="H125" s="310">
        <v>54.79</v>
      </c>
      <c r="I125" s="310">
        <v>43.51</v>
      </c>
      <c r="J125" s="310">
        <v>161.81</v>
      </c>
      <c r="K125" s="310">
        <v>161.86</v>
      </c>
      <c r="L125" s="310" t="s">
        <v>1007</v>
      </c>
    </row>
    <row r="126">
      <c r="A126" s="311" t="s">
        <v>1062</v>
      </c>
      <c r="B126" s="312">
        <v>249.0</v>
      </c>
      <c r="C126" s="310">
        <v>54.85</v>
      </c>
      <c r="D126" s="310">
        <v>43.42</v>
      </c>
      <c r="E126" s="310">
        <v>161.95</v>
      </c>
      <c r="F126" s="310">
        <v>161.88</v>
      </c>
      <c r="G126" s="310" t="s">
        <v>107</v>
      </c>
      <c r="H126" s="310">
        <v>54.86</v>
      </c>
      <c r="I126" s="310">
        <v>43.66</v>
      </c>
      <c r="J126" s="310">
        <v>162.2</v>
      </c>
      <c r="K126" s="310">
        <v>161.75</v>
      </c>
      <c r="L126" s="310" t="s">
        <v>1007</v>
      </c>
    </row>
    <row r="127">
      <c r="A127" s="311" t="s">
        <v>1063</v>
      </c>
      <c r="B127" s="312">
        <v>595.0</v>
      </c>
      <c r="C127" s="310">
        <v>50.62</v>
      </c>
      <c r="D127" s="310">
        <v>40.05</v>
      </c>
      <c r="E127" s="310">
        <v>152.64</v>
      </c>
      <c r="F127" s="310">
        <v>153.7</v>
      </c>
      <c r="G127" s="310" t="s">
        <v>107</v>
      </c>
      <c r="H127" s="310">
        <v>50.85</v>
      </c>
      <c r="I127" s="310">
        <v>40.15</v>
      </c>
      <c r="J127" s="310">
        <v>153.03</v>
      </c>
      <c r="K127" s="310">
        <v>153.55</v>
      </c>
      <c r="L127" s="310" t="s">
        <v>1007</v>
      </c>
    </row>
    <row r="128">
      <c r="A128" s="311" t="s">
        <v>1064</v>
      </c>
      <c r="B128" s="312">
        <v>373.0</v>
      </c>
      <c r="C128" s="310">
        <v>50.89</v>
      </c>
      <c r="D128" s="310">
        <v>40.21</v>
      </c>
      <c r="E128" s="310">
        <v>153.42</v>
      </c>
      <c r="F128" s="310">
        <v>154.2</v>
      </c>
      <c r="G128" s="310" t="s">
        <v>107</v>
      </c>
      <c r="H128" s="310">
        <v>51.03</v>
      </c>
      <c r="I128" s="310">
        <v>40.28</v>
      </c>
      <c r="J128" s="310">
        <v>153.72</v>
      </c>
      <c r="K128" s="310">
        <v>154.23</v>
      </c>
      <c r="L128" s="310" t="s">
        <v>1007</v>
      </c>
    </row>
    <row r="129">
      <c r="A129" s="317" t="s">
        <v>1065</v>
      </c>
      <c r="B129" s="313">
        <v>81.0</v>
      </c>
      <c r="C129" s="314" t="s">
        <v>958</v>
      </c>
      <c r="L129" s="315" t="s">
        <v>1007</v>
      </c>
    </row>
    <row r="130">
      <c r="A130" s="311" t="s">
        <v>1066</v>
      </c>
      <c r="B130" s="312">
        <v>34.0</v>
      </c>
      <c r="C130" s="310">
        <v>52.49</v>
      </c>
      <c r="D130" s="310">
        <v>42.01</v>
      </c>
      <c r="E130" s="310">
        <v>155.46</v>
      </c>
      <c r="F130" s="310">
        <v>155.46</v>
      </c>
      <c r="G130" s="310" t="s">
        <v>107</v>
      </c>
      <c r="H130" s="310">
        <v>52.53</v>
      </c>
      <c r="I130" s="310">
        <v>42.05</v>
      </c>
      <c r="J130" s="310">
        <v>155.63</v>
      </c>
      <c r="K130" s="310">
        <v>155.63</v>
      </c>
      <c r="L130" s="310" t="s">
        <v>1007</v>
      </c>
    </row>
  </sheetData>
  <autoFilter ref="$A$1:$A$1000"/>
  <mergeCells count="11">
    <mergeCell ref="C44:K44"/>
    <mergeCell ref="C88:K88"/>
    <mergeCell ref="C90:K90"/>
    <mergeCell ref="C129:K129"/>
    <mergeCell ref="C8:K8"/>
    <mergeCell ref="C27:K27"/>
    <mergeCell ref="C31:K31"/>
    <mergeCell ref="C32:K32"/>
    <mergeCell ref="C34:K34"/>
    <mergeCell ref="C37:K37"/>
    <mergeCell ref="C42:K42"/>
  </mergeCells>
  <dataValidations>
    <dataValidation type="list" allowBlank="1" showErrorMessage="1" sqref="L2:L130">
      <formula1>"DHANENDRA,ADITI"</formula1>
    </dataValidation>
    <dataValidation type="list" allowBlank="1" showErrorMessage="1" sqref="G2:G7 G9:G26 G28:G30 G33 G35:G36 G38:G41 G43 G45:G87 G89 G91:G128 G130">
      <formula1>"MANUAL,TRACING"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6" t="s">
        <v>948</v>
      </c>
      <c r="B1" s="176" t="s">
        <v>849</v>
      </c>
      <c r="C1" s="176" t="s">
        <v>868</v>
      </c>
      <c r="D1" s="176" t="s">
        <v>869</v>
      </c>
      <c r="E1" s="176" t="s">
        <v>870</v>
      </c>
      <c r="F1" s="176" t="s">
        <v>850</v>
      </c>
      <c r="G1" s="176" t="s">
        <v>851</v>
      </c>
      <c r="H1" s="176" t="s">
        <v>852</v>
      </c>
      <c r="I1" s="176" t="s">
        <v>120</v>
      </c>
      <c r="J1" s="176" t="s">
        <v>77</v>
      </c>
      <c r="K1" s="176" t="s">
        <v>374</v>
      </c>
      <c r="L1" s="176" t="s">
        <v>493</v>
      </c>
      <c r="M1" s="176" t="s">
        <v>448</v>
      </c>
      <c r="N1" s="176" t="s">
        <v>853</v>
      </c>
      <c r="O1" s="176" t="s">
        <v>907</v>
      </c>
      <c r="P1" s="176" t="s">
        <v>908</v>
      </c>
    </row>
    <row r="2">
      <c r="A2" s="178" t="s">
        <v>475</v>
      </c>
      <c r="B2" s="179">
        <v>73.0</v>
      </c>
      <c r="C2" s="191">
        <v>0.48</v>
      </c>
      <c r="D2" s="180">
        <v>1.0</v>
      </c>
      <c r="E2" s="192"/>
      <c r="F2" s="179">
        <v>69.0</v>
      </c>
      <c r="G2" s="179">
        <v>28.0</v>
      </c>
      <c r="H2" s="180">
        <v>0.406</v>
      </c>
      <c r="I2" s="180">
        <v>0.0842</v>
      </c>
      <c r="J2" s="180">
        <v>0.0526</v>
      </c>
      <c r="K2" s="180">
        <v>0.0105</v>
      </c>
      <c r="L2" s="180">
        <v>0.1579</v>
      </c>
      <c r="M2" s="180">
        <v>0.2316</v>
      </c>
      <c r="N2" s="178" t="s">
        <v>855</v>
      </c>
      <c r="O2" s="178" t="s">
        <v>448</v>
      </c>
      <c r="P2" s="180">
        <v>0.2316</v>
      </c>
    </row>
    <row r="3">
      <c r="A3" s="183" t="s">
        <v>484</v>
      </c>
      <c r="B3" s="184">
        <v>101.0</v>
      </c>
      <c r="C3" s="195">
        <v>0.91</v>
      </c>
      <c r="D3" s="185">
        <v>1.0</v>
      </c>
      <c r="E3" s="196"/>
      <c r="F3" s="184">
        <v>97.0</v>
      </c>
      <c r="G3" s="184">
        <v>23.0</v>
      </c>
      <c r="H3" s="185">
        <v>0.237</v>
      </c>
      <c r="I3" s="185">
        <v>0.0882</v>
      </c>
      <c r="J3" s="185">
        <v>0.0588</v>
      </c>
      <c r="K3" s="185">
        <v>0.0686</v>
      </c>
      <c r="L3" s="185">
        <v>0.098</v>
      </c>
      <c r="M3" s="185">
        <v>0.0196</v>
      </c>
      <c r="N3" s="183" t="s">
        <v>855</v>
      </c>
      <c r="O3" s="183" t="s">
        <v>485</v>
      </c>
      <c r="P3" s="185">
        <v>0.098</v>
      </c>
    </row>
    <row r="4">
      <c r="A4" s="178" t="s">
        <v>298</v>
      </c>
      <c r="B4" s="179">
        <v>157.0</v>
      </c>
      <c r="C4" s="191">
        <v>1.0</v>
      </c>
      <c r="D4" s="180">
        <v>1.0</v>
      </c>
      <c r="E4" s="192"/>
      <c r="F4" s="179">
        <v>150.0</v>
      </c>
      <c r="G4" s="179">
        <v>20.0</v>
      </c>
      <c r="H4" s="180">
        <v>0.133</v>
      </c>
      <c r="I4" s="180">
        <v>0.0449</v>
      </c>
      <c r="J4" s="180">
        <v>0.0192</v>
      </c>
      <c r="K4" s="180">
        <v>0.0705</v>
      </c>
      <c r="L4" s="180">
        <v>0.0385</v>
      </c>
      <c r="M4" s="180">
        <v>0.0</v>
      </c>
      <c r="N4" s="178" t="s">
        <v>855</v>
      </c>
      <c r="O4" s="178" t="s">
        <v>483</v>
      </c>
      <c r="P4" s="180">
        <v>0.0705</v>
      </c>
    </row>
    <row r="5">
      <c r="A5" s="183" t="s">
        <v>424</v>
      </c>
      <c r="B5" s="184">
        <v>22.0</v>
      </c>
      <c r="C5" s="195">
        <v>0.51</v>
      </c>
      <c r="D5" s="185">
        <v>1.0</v>
      </c>
      <c r="E5" s="196"/>
      <c r="F5" s="184">
        <v>21.0</v>
      </c>
      <c r="G5" s="184">
        <v>15.0</v>
      </c>
      <c r="H5" s="185">
        <v>0.714</v>
      </c>
      <c r="I5" s="185">
        <v>0.0833</v>
      </c>
      <c r="J5" s="185">
        <v>0.5417</v>
      </c>
      <c r="K5" s="185">
        <v>0.0</v>
      </c>
      <c r="L5" s="185">
        <v>0.0417</v>
      </c>
      <c r="M5" s="185">
        <v>0.0</v>
      </c>
      <c r="N5" s="183" t="s">
        <v>855</v>
      </c>
      <c r="O5" s="183" t="s">
        <v>77</v>
      </c>
      <c r="P5" s="185">
        <v>0.5417</v>
      </c>
    </row>
    <row r="6">
      <c r="A6" s="178" t="s">
        <v>470</v>
      </c>
      <c r="B6" s="179">
        <v>53.0</v>
      </c>
      <c r="C6" s="191">
        <v>0.8</v>
      </c>
      <c r="D6" s="180">
        <v>1.0</v>
      </c>
      <c r="E6" s="192"/>
      <c r="F6" s="179">
        <v>51.0</v>
      </c>
      <c r="G6" s="179">
        <v>11.0</v>
      </c>
      <c r="H6" s="180">
        <v>0.216</v>
      </c>
      <c r="I6" s="180">
        <v>0.1091</v>
      </c>
      <c r="J6" s="180">
        <v>0.0909</v>
      </c>
      <c r="K6" s="180">
        <v>0.0</v>
      </c>
      <c r="L6" s="180">
        <v>0.1273</v>
      </c>
      <c r="M6" s="180">
        <v>0.0</v>
      </c>
      <c r="N6" s="178" t="s">
        <v>855</v>
      </c>
      <c r="O6" s="188" t="s">
        <v>485</v>
      </c>
      <c r="P6" s="180">
        <v>0.1273</v>
      </c>
    </row>
    <row r="7">
      <c r="A7" s="183" t="s">
        <v>477</v>
      </c>
      <c r="B7" s="184">
        <v>216.0</v>
      </c>
      <c r="C7" s="195">
        <v>1.0</v>
      </c>
      <c r="D7" s="185">
        <v>1.0</v>
      </c>
      <c r="E7" s="196"/>
      <c r="F7" s="184">
        <v>212.0</v>
      </c>
      <c r="G7" s="184">
        <v>11.0</v>
      </c>
      <c r="H7" s="185">
        <v>0.052</v>
      </c>
      <c r="I7" s="185">
        <v>0.0423</v>
      </c>
      <c r="J7" s="185">
        <v>0.0047</v>
      </c>
      <c r="K7" s="185">
        <v>0.0047</v>
      </c>
      <c r="L7" s="185">
        <v>0.0376</v>
      </c>
      <c r="M7" s="185">
        <v>0.0047</v>
      </c>
      <c r="N7" s="183" t="s">
        <v>855</v>
      </c>
      <c r="O7" s="183" t="s">
        <v>120</v>
      </c>
      <c r="P7" s="185">
        <v>0.0423</v>
      </c>
    </row>
    <row r="8">
      <c r="A8" s="178" t="s">
        <v>499</v>
      </c>
      <c r="B8" s="179">
        <v>35.0</v>
      </c>
      <c r="C8" s="191">
        <v>0.53</v>
      </c>
      <c r="D8" s="180">
        <v>1.0</v>
      </c>
      <c r="E8" s="192"/>
      <c r="F8" s="179">
        <v>34.0</v>
      </c>
      <c r="G8" s="179">
        <v>11.0</v>
      </c>
      <c r="H8" s="180">
        <v>0.324</v>
      </c>
      <c r="I8" s="180">
        <v>0.0488</v>
      </c>
      <c r="J8" s="180">
        <v>0.0732</v>
      </c>
      <c r="K8" s="180">
        <v>0.0732</v>
      </c>
      <c r="L8" s="180">
        <v>0.0488</v>
      </c>
      <c r="M8" s="180">
        <v>0.0488</v>
      </c>
      <c r="N8" s="178" t="s">
        <v>855</v>
      </c>
      <c r="O8" s="178" t="s">
        <v>77</v>
      </c>
      <c r="P8" s="180">
        <v>0.0732</v>
      </c>
    </row>
    <row r="9">
      <c r="A9" s="183" t="s">
        <v>496</v>
      </c>
      <c r="B9" s="184">
        <v>89.0</v>
      </c>
      <c r="C9" s="195">
        <v>0.95</v>
      </c>
      <c r="D9" s="185">
        <v>1.0</v>
      </c>
      <c r="E9" s="196"/>
      <c r="F9" s="184">
        <v>78.0</v>
      </c>
      <c r="G9" s="184">
        <v>10.0</v>
      </c>
      <c r="H9" s="185">
        <v>0.128</v>
      </c>
      <c r="I9" s="185">
        <v>0.0341</v>
      </c>
      <c r="J9" s="185">
        <v>0.0227</v>
      </c>
      <c r="K9" s="185">
        <v>0.0455</v>
      </c>
      <c r="L9" s="185">
        <v>0.1364</v>
      </c>
      <c r="M9" s="185">
        <v>0.0114</v>
      </c>
      <c r="N9" s="183" t="s">
        <v>855</v>
      </c>
      <c r="O9" s="183" t="s">
        <v>497</v>
      </c>
      <c r="P9" s="185">
        <v>0.1364</v>
      </c>
    </row>
    <row r="10">
      <c r="A10" s="178" t="s">
        <v>500</v>
      </c>
      <c r="B10" s="179">
        <v>14.0</v>
      </c>
      <c r="C10" s="191">
        <v>0.33</v>
      </c>
      <c r="D10" s="180">
        <v>1.0</v>
      </c>
      <c r="E10" s="192"/>
      <c r="F10" s="179">
        <v>15.0</v>
      </c>
      <c r="G10" s="179">
        <v>10.0</v>
      </c>
      <c r="H10" s="180">
        <v>0.667</v>
      </c>
      <c r="I10" s="180">
        <v>0.0</v>
      </c>
      <c r="J10" s="180">
        <v>0.5</v>
      </c>
      <c r="K10" s="180">
        <v>0.0</v>
      </c>
      <c r="L10" s="180">
        <v>0.1111</v>
      </c>
      <c r="M10" s="180">
        <v>0.0556</v>
      </c>
      <c r="N10" s="178" t="s">
        <v>855</v>
      </c>
      <c r="O10" s="178" t="s">
        <v>77</v>
      </c>
      <c r="P10" s="180">
        <v>0.5</v>
      </c>
    </row>
    <row r="11">
      <c r="A11" s="183" t="s">
        <v>486</v>
      </c>
      <c r="B11" s="184">
        <v>83.0</v>
      </c>
      <c r="C11" s="195">
        <v>0.04</v>
      </c>
      <c r="D11" s="185">
        <v>1.0</v>
      </c>
      <c r="E11" s="196"/>
      <c r="F11" s="184">
        <v>85.0</v>
      </c>
      <c r="G11" s="184">
        <v>9.0</v>
      </c>
      <c r="H11" s="185">
        <v>0.106</v>
      </c>
      <c r="I11" s="185">
        <v>0.069</v>
      </c>
      <c r="J11" s="185">
        <v>0.023</v>
      </c>
      <c r="K11" s="185">
        <v>0.023</v>
      </c>
      <c r="L11" s="185">
        <v>0.092</v>
      </c>
      <c r="M11" s="185">
        <v>0.0</v>
      </c>
      <c r="N11" s="183" t="s">
        <v>855</v>
      </c>
      <c r="O11" s="183" t="s">
        <v>485</v>
      </c>
      <c r="P11" s="185">
        <v>0.092</v>
      </c>
    </row>
    <row r="12">
      <c r="A12" s="178" t="s">
        <v>200</v>
      </c>
      <c r="B12" s="179">
        <v>26.0</v>
      </c>
      <c r="C12" s="191">
        <v>0.6</v>
      </c>
      <c r="D12" s="180">
        <v>1.0</v>
      </c>
      <c r="E12" s="192"/>
      <c r="F12" s="179">
        <v>20.0</v>
      </c>
      <c r="G12" s="179">
        <v>9.0</v>
      </c>
      <c r="H12" s="180">
        <v>0.45</v>
      </c>
      <c r="I12" s="180">
        <v>0.0</v>
      </c>
      <c r="J12" s="180">
        <v>0.2963</v>
      </c>
      <c r="K12" s="180">
        <v>0.037</v>
      </c>
      <c r="L12" s="180">
        <v>0.037</v>
      </c>
      <c r="M12" s="180">
        <v>0.037</v>
      </c>
      <c r="N12" s="178" t="s">
        <v>855</v>
      </c>
      <c r="O12" s="178" t="s">
        <v>77</v>
      </c>
      <c r="P12" s="180">
        <v>0.2963</v>
      </c>
    </row>
    <row r="13">
      <c r="A13" s="183" t="s">
        <v>487</v>
      </c>
      <c r="B13" s="184">
        <v>133.0</v>
      </c>
      <c r="C13" s="195">
        <v>0.96</v>
      </c>
      <c r="D13" s="185">
        <v>1.0</v>
      </c>
      <c r="E13" s="196"/>
      <c r="F13" s="184">
        <v>131.0</v>
      </c>
      <c r="G13" s="184">
        <v>8.0</v>
      </c>
      <c r="H13" s="185">
        <v>0.061</v>
      </c>
      <c r="I13" s="185">
        <v>0.035</v>
      </c>
      <c r="J13" s="185">
        <v>0.007</v>
      </c>
      <c r="K13" s="185">
        <v>0.014</v>
      </c>
      <c r="L13" s="185">
        <v>0.035</v>
      </c>
      <c r="M13" s="185">
        <v>0.0</v>
      </c>
      <c r="N13" s="183" t="s">
        <v>855</v>
      </c>
      <c r="O13" s="183" t="s">
        <v>485</v>
      </c>
      <c r="P13" s="185">
        <v>0.035</v>
      </c>
    </row>
    <row r="14">
      <c r="A14" s="178" t="s">
        <v>488</v>
      </c>
      <c r="B14" s="179">
        <v>20.0</v>
      </c>
      <c r="C14" s="191">
        <v>0.18</v>
      </c>
      <c r="D14" s="180">
        <v>1.0</v>
      </c>
      <c r="E14" s="192"/>
      <c r="F14" s="179">
        <v>17.0</v>
      </c>
      <c r="G14" s="179">
        <v>8.0</v>
      </c>
      <c r="H14" s="180">
        <v>0.471</v>
      </c>
      <c r="I14" s="180">
        <v>0.0</v>
      </c>
      <c r="J14" s="180">
        <v>0.0476</v>
      </c>
      <c r="K14" s="180">
        <v>0.381</v>
      </c>
      <c r="L14" s="180">
        <v>0.0476</v>
      </c>
      <c r="M14" s="180">
        <v>0.0</v>
      </c>
      <c r="N14" s="178" t="s">
        <v>855</v>
      </c>
      <c r="O14" s="178" t="s">
        <v>374</v>
      </c>
      <c r="P14" s="180">
        <v>0.381</v>
      </c>
    </row>
    <row r="15">
      <c r="A15" s="183" t="s">
        <v>501</v>
      </c>
      <c r="B15" s="184">
        <v>14.0</v>
      </c>
      <c r="C15" s="195">
        <v>0.36</v>
      </c>
      <c r="D15" s="185">
        <v>1.0</v>
      </c>
      <c r="E15" s="196"/>
      <c r="F15" s="184">
        <v>11.0</v>
      </c>
      <c r="G15" s="184">
        <v>8.0</v>
      </c>
      <c r="H15" s="185">
        <v>0.727</v>
      </c>
      <c r="I15" s="185">
        <v>0.0</v>
      </c>
      <c r="J15" s="185">
        <v>0.0</v>
      </c>
      <c r="K15" s="185">
        <v>0.0</v>
      </c>
      <c r="L15" s="185">
        <v>0.0625</v>
      </c>
      <c r="M15" s="185">
        <v>0.5</v>
      </c>
      <c r="N15" s="183" t="s">
        <v>855</v>
      </c>
      <c r="O15" s="183" t="s">
        <v>448</v>
      </c>
      <c r="P15" s="185">
        <v>0.5</v>
      </c>
    </row>
    <row r="16">
      <c r="A16" s="178" t="s">
        <v>354</v>
      </c>
      <c r="B16" s="179">
        <v>25.0</v>
      </c>
      <c r="C16" s="191">
        <v>0.23</v>
      </c>
      <c r="D16" s="180">
        <v>1.0</v>
      </c>
      <c r="E16" s="192"/>
      <c r="F16" s="179">
        <v>16.0</v>
      </c>
      <c r="G16" s="179">
        <v>7.0</v>
      </c>
      <c r="H16" s="180">
        <v>0.438</v>
      </c>
      <c r="I16" s="180">
        <v>0.0952</v>
      </c>
      <c r="J16" s="180">
        <v>0.0476</v>
      </c>
      <c r="K16" s="180">
        <v>0.2381</v>
      </c>
      <c r="L16" s="180">
        <v>0.0952</v>
      </c>
      <c r="M16" s="180">
        <v>0.0</v>
      </c>
      <c r="N16" s="178" t="s">
        <v>855</v>
      </c>
      <c r="O16" s="178" t="s">
        <v>374</v>
      </c>
      <c r="P16" s="180">
        <v>0.2381</v>
      </c>
    </row>
    <row r="17">
      <c r="A17" s="183" t="s">
        <v>495</v>
      </c>
      <c r="B17" s="184">
        <v>66.0</v>
      </c>
      <c r="C17" s="195">
        <v>0.47</v>
      </c>
      <c r="D17" s="185">
        <v>1.0</v>
      </c>
      <c r="E17" s="196"/>
      <c r="F17" s="184">
        <v>66.0</v>
      </c>
      <c r="G17" s="184">
        <v>7.0</v>
      </c>
      <c r="H17" s="185">
        <v>0.106</v>
      </c>
      <c r="I17" s="185">
        <v>0.0758</v>
      </c>
      <c r="J17" s="185">
        <v>0.0152</v>
      </c>
      <c r="K17" s="185">
        <v>0.0152</v>
      </c>
      <c r="L17" s="185">
        <v>0.0758</v>
      </c>
      <c r="M17" s="185">
        <v>0.0</v>
      </c>
      <c r="N17" s="183" t="s">
        <v>855</v>
      </c>
      <c r="O17" s="183" t="s">
        <v>493</v>
      </c>
      <c r="P17" s="185">
        <v>0.0758</v>
      </c>
    </row>
    <row r="18">
      <c r="A18" s="178" t="s">
        <v>361</v>
      </c>
      <c r="B18" s="179">
        <v>120.0</v>
      </c>
      <c r="C18" s="191">
        <v>0.94</v>
      </c>
      <c r="D18" s="180">
        <v>1.0</v>
      </c>
      <c r="E18" s="192"/>
      <c r="F18" s="179">
        <v>115.0</v>
      </c>
      <c r="G18" s="179">
        <v>7.0</v>
      </c>
      <c r="H18" s="180">
        <v>0.061</v>
      </c>
      <c r="I18" s="180">
        <v>0.0252</v>
      </c>
      <c r="J18" s="180">
        <v>0.0084</v>
      </c>
      <c r="K18" s="180">
        <v>0.0336</v>
      </c>
      <c r="L18" s="180">
        <v>0.0588</v>
      </c>
      <c r="M18" s="180">
        <v>0.0084</v>
      </c>
      <c r="N18" s="178" t="s">
        <v>855</v>
      </c>
      <c r="O18" s="188" t="s">
        <v>493</v>
      </c>
      <c r="P18" s="180">
        <v>0.0588</v>
      </c>
    </row>
    <row r="19">
      <c r="A19" s="183" t="s">
        <v>502</v>
      </c>
      <c r="B19" s="184">
        <v>69.0</v>
      </c>
      <c r="C19" s="195">
        <v>0.28</v>
      </c>
      <c r="D19" s="185">
        <v>1.0</v>
      </c>
      <c r="E19" s="196"/>
      <c r="F19" s="184">
        <v>67.0</v>
      </c>
      <c r="G19" s="184">
        <v>6.0</v>
      </c>
      <c r="H19" s="185">
        <v>0.09</v>
      </c>
      <c r="I19" s="185">
        <v>0.0299</v>
      </c>
      <c r="J19" s="185">
        <v>0.0149</v>
      </c>
      <c r="K19" s="185">
        <v>0.0149</v>
      </c>
      <c r="L19" s="185">
        <v>0.0149</v>
      </c>
      <c r="M19" s="185">
        <v>0.0299</v>
      </c>
      <c r="N19" s="183" t="s">
        <v>855</v>
      </c>
      <c r="O19" s="183" t="s">
        <v>448</v>
      </c>
      <c r="P19" s="185">
        <v>0.0299</v>
      </c>
    </row>
    <row r="20">
      <c r="A20" s="178" t="s">
        <v>478</v>
      </c>
      <c r="B20" s="179">
        <v>104.0</v>
      </c>
      <c r="C20" s="191">
        <v>0.52</v>
      </c>
      <c r="D20" s="180">
        <v>1.0</v>
      </c>
      <c r="E20" s="192"/>
      <c r="F20" s="179">
        <v>107.0</v>
      </c>
      <c r="G20" s="179">
        <v>6.0</v>
      </c>
      <c r="H20" s="180">
        <v>0.056</v>
      </c>
      <c r="I20" s="180">
        <v>0.0561</v>
      </c>
      <c r="J20" s="180">
        <v>0.0</v>
      </c>
      <c r="K20" s="180">
        <v>0.0</v>
      </c>
      <c r="L20" s="180">
        <v>0.0187</v>
      </c>
      <c r="M20" s="180">
        <v>0.0</v>
      </c>
      <c r="N20" s="178" t="s">
        <v>855</v>
      </c>
      <c r="O20" s="178" t="s">
        <v>120</v>
      </c>
      <c r="P20" s="180">
        <v>0.0561</v>
      </c>
    </row>
    <row r="21">
      <c r="A21" s="183" t="s">
        <v>509</v>
      </c>
      <c r="B21" s="184">
        <v>32.0</v>
      </c>
      <c r="C21" s="195">
        <v>0.53</v>
      </c>
      <c r="D21" s="185">
        <v>1.0</v>
      </c>
      <c r="E21" s="196"/>
      <c r="F21" s="184">
        <v>31.0</v>
      </c>
      <c r="G21" s="184">
        <v>6.0</v>
      </c>
      <c r="H21" s="185">
        <v>0.194</v>
      </c>
      <c r="I21" s="185">
        <v>0.0</v>
      </c>
      <c r="J21" s="185">
        <v>0.1818</v>
      </c>
      <c r="K21" s="185">
        <v>0.0</v>
      </c>
      <c r="L21" s="185">
        <v>0.0303</v>
      </c>
      <c r="M21" s="185">
        <v>0.0</v>
      </c>
      <c r="N21" s="183" t="s">
        <v>855</v>
      </c>
      <c r="O21" s="183" t="s">
        <v>77</v>
      </c>
      <c r="P21" s="185">
        <v>0.1818</v>
      </c>
    </row>
    <row r="22">
      <c r="A22" s="178" t="s">
        <v>490</v>
      </c>
      <c r="B22" s="179">
        <v>121.0</v>
      </c>
      <c r="C22" s="191">
        <v>0.42</v>
      </c>
      <c r="D22" s="180">
        <v>1.0</v>
      </c>
      <c r="E22" s="192"/>
      <c r="F22" s="179">
        <v>113.0</v>
      </c>
      <c r="G22" s="179">
        <v>6.0</v>
      </c>
      <c r="H22" s="180">
        <v>0.053</v>
      </c>
      <c r="I22" s="180">
        <v>0.0169</v>
      </c>
      <c r="J22" s="180">
        <v>0.0085</v>
      </c>
      <c r="K22" s="180">
        <v>0.0254</v>
      </c>
      <c r="L22" s="180">
        <v>0.0254</v>
      </c>
      <c r="M22" s="180">
        <v>0.0085</v>
      </c>
      <c r="N22" s="178" t="s">
        <v>855</v>
      </c>
      <c r="O22" s="178" t="s">
        <v>491</v>
      </c>
      <c r="P22" s="180">
        <v>0.0254</v>
      </c>
    </row>
    <row r="23">
      <c r="A23" s="183" t="s">
        <v>462</v>
      </c>
      <c r="B23" s="184">
        <v>118.0</v>
      </c>
      <c r="C23" s="195">
        <v>0.68</v>
      </c>
      <c r="D23" s="185">
        <v>1.0</v>
      </c>
      <c r="E23" s="196"/>
      <c r="F23" s="184">
        <v>116.0</v>
      </c>
      <c r="G23" s="184">
        <v>6.0</v>
      </c>
      <c r="H23" s="185">
        <v>0.052</v>
      </c>
      <c r="I23" s="185">
        <v>0.0168</v>
      </c>
      <c r="J23" s="185">
        <v>0.0084</v>
      </c>
      <c r="K23" s="185">
        <v>0.0</v>
      </c>
      <c r="L23" s="185">
        <v>0.0252</v>
      </c>
      <c r="M23" s="185">
        <v>0.0168</v>
      </c>
      <c r="N23" s="183" t="s">
        <v>855</v>
      </c>
      <c r="O23" s="183" t="s">
        <v>493</v>
      </c>
      <c r="P23" s="185">
        <v>0.0252</v>
      </c>
    </row>
    <row r="24">
      <c r="A24" s="178" t="s">
        <v>340</v>
      </c>
      <c r="B24" s="179">
        <v>44.0</v>
      </c>
      <c r="C24" s="191">
        <v>0.08</v>
      </c>
      <c r="D24" s="180">
        <v>1.0</v>
      </c>
      <c r="E24" s="192"/>
      <c r="F24" s="179">
        <v>38.0</v>
      </c>
      <c r="G24" s="179">
        <v>6.0</v>
      </c>
      <c r="H24" s="180">
        <v>0.158</v>
      </c>
      <c r="I24" s="180">
        <v>0.0652</v>
      </c>
      <c r="J24" s="180">
        <v>0.0217</v>
      </c>
      <c r="K24" s="180">
        <v>0.0435</v>
      </c>
      <c r="L24" s="180">
        <v>0.1087</v>
      </c>
      <c r="M24" s="180">
        <v>0.0217</v>
      </c>
      <c r="N24" s="178" t="s">
        <v>855</v>
      </c>
      <c r="O24" s="178" t="s">
        <v>493</v>
      </c>
      <c r="P24" s="180">
        <v>0.1087</v>
      </c>
    </row>
    <row r="25">
      <c r="A25" s="183" t="s">
        <v>503</v>
      </c>
      <c r="B25" s="184">
        <v>19.0</v>
      </c>
      <c r="C25" s="195">
        <v>1.0</v>
      </c>
      <c r="D25" s="185">
        <v>1.0</v>
      </c>
      <c r="E25" s="196"/>
      <c r="F25" s="184">
        <v>17.0</v>
      </c>
      <c r="G25" s="184">
        <v>6.0</v>
      </c>
      <c r="H25" s="185">
        <v>0.353</v>
      </c>
      <c r="I25" s="185">
        <v>0.15</v>
      </c>
      <c r="J25" s="185">
        <v>0.05</v>
      </c>
      <c r="K25" s="185">
        <v>0.05</v>
      </c>
      <c r="L25" s="185">
        <v>0.05</v>
      </c>
      <c r="M25" s="185">
        <v>0.15</v>
      </c>
      <c r="N25" s="183" t="s">
        <v>855</v>
      </c>
      <c r="O25" s="183" t="s">
        <v>448</v>
      </c>
      <c r="P25" s="185">
        <v>0.15</v>
      </c>
    </row>
    <row r="26">
      <c r="A26" s="178" t="s">
        <v>492</v>
      </c>
      <c r="B26" s="179">
        <v>113.0</v>
      </c>
      <c r="C26" s="191">
        <v>0.93</v>
      </c>
      <c r="D26" s="180">
        <v>1.0</v>
      </c>
      <c r="E26" s="192"/>
      <c r="F26" s="179">
        <v>110.0</v>
      </c>
      <c r="G26" s="179">
        <v>6.0</v>
      </c>
      <c r="H26" s="180">
        <v>0.055</v>
      </c>
      <c r="I26" s="180">
        <v>0.027</v>
      </c>
      <c r="J26" s="180">
        <v>0.009</v>
      </c>
      <c r="K26" s="180">
        <v>0.0</v>
      </c>
      <c r="L26" s="180">
        <v>0.045</v>
      </c>
      <c r="M26" s="180">
        <v>0.009</v>
      </c>
      <c r="N26" s="178" t="s">
        <v>855</v>
      </c>
      <c r="O26" s="178" t="s">
        <v>493</v>
      </c>
      <c r="P26" s="180">
        <v>0.045</v>
      </c>
    </row>
    <row r="27">
      <c r="A27" s="183" t="s">
        <v>466</v>
      </c>
      <c r="B27" s="184">
        <v>41.0</v>
      </c>
      <c r="C27" s="195">
        <v>0.25</v>
      </c>
      <c r="D27" s="185">
        <v>1.0</v>
      </c>
      <c r="E27" s="196"/>
      <c r="F27" s="184">
        <v>36.0</v>
      </c>
      <c r="G27" s="184">
        <v>6.0</v>
      </c>
      <c r="H27" s="185">
        <v>0.167</v>
      </c>
      <c r="I27" s="185">
        <v>0.0889</v>
      </c>
      <c r="J27" s="185">
        <v>0.0</v>
      </c>
      <c r="K27" s="185">
        <v>0.1111</v>
      </c>
      <c r="L27" s="185">
        <v>0.0444</v>
      </c>
      <c r="M27" s="185">
        <v>0.0</v>
      </c>
      <c r="N27" s="183" t="s">
        <v>855</v>
      </c>
      <c r="O27" s="188" t="s">
        <v>489</v>
      </c>
      <c r="P27" s="185">
        <v>0.1111</v>
      </c>
    </row>
    <row r="28">
      <c r="A28" s="178" t="s">
        <v>494</v>
      </c>
      <c r="B28" s="179">
        <v>72.0</v>
      </c>
      <c r="C28" s="191">
        <v>0.45</v>
      </c>
      <c r="D28" s="180">
        <v>1.0</v>
      </c>
      <c r="E28" s="192"/>
      <c r="F28" s="179">
        <v>69.0</v>
      </c>
      <c r="G28" s="179">
        <v>5.0</v>
      </c>
      <c r="H28" s="180">
        <v>0.072</v>
      </c>
      <c r="I28" s="180">
        <v>0.0286</v>
      </c>
      <c r="J28" s="180">
        <v>0.0143</v>
      </c>
      <c r="K28" s="180">
        <v>0.0143</v>
      </c>
      <c r="L28" s="180">
        <v>0.0571</v>
      </c>
      <c r="M28" s="180">
        <v>0.0143</v>
      </c>
      <c r="N28" s="178" t="s">
        <v>855</v>
      </c>
      <c r="O28" s="178" t="s">
        <v>493</v>
      </c>
      <c r="P28" s="180">
        <v>0.0571</v>
      </c>
    </row>
    <row r="29">
      <c r="A29" s="183" t="s">
        <v>450</v>
      </c>
      <c r="B29" s="184">
        <v>88.0</v>
      </c>
      <c r="C29" s="195">
        <v>0.87</v>
      </c>
      <c r="D29" s="185">
        <v>1.0</v>
      </c>
      <c r="E29" s="196"/>
      <c r="F29" s="184">
        <v>85.0</v>
      </c>
      <c r="G29" s="184">
        <v>5.0</v>
      </c>
      <c r="H29" s="185">
        <v>0.059</v>
      </c>
      <c r="I29" s="185">
        <v>0.0337</v>
      </c>
      <c r="J29" s="185">
        <v>0.0225</v>
      </c>
      <c r="K29" s="185">
        <v>0.0</v>
      </c>
      <c r="L29" s="185">
        <v>0.0449</v>
      </c>
      <c r="M29" s="185">
        <v>0.0</v>
      </c>
      <c r="N29" s="183" t="s">
        <v>855</v>
      </c>
      <c r="O29" s="183" t="s">
        <v>493</v>
      </c>
      <c r="P29" s="185">
        <v>0.0449</v>
      </c>
    </row>
    <row r="30">
      <c r="A30" s="178" t="s">
        <v>449</v>
      </c>
      <c r="B30" s="179">
        <v>84.0</v>
      </c>
      <c r="C30" s="191">
        <v>0.6</v>
      </c>
      <c r="D30" s="180">
        <v>1.0</v>
      </c>
      <c r="E30" s="192"/>
      <c r="F30" s="179">
        <v>78.0</v>
      </c>
      <c r="G30" s="179">
        <v>5.0</v>
      </c>
      <c r="H30" s="180">
        <v>0.064</v>
      </c>
      <c r="I30" s="180">
        <v>0.0247</v>
      </c>
      <c r="J30" s="180">
        <v>0.0123</v>
      </c>
      <c r="K30" s="180">
        <v>0.0247</v>
      </c>
      <c r="L30" s="180">
        <v>0.0494</v>
      </c>
      <c r="M30" s="180">
        <v>0.0</v>
      </c>
      <c r="N30" s="178" t="s">
        <v>855</v>
      </c>
      <c r="O30" s="178" t="s">
        <v>493</v>
      </c>
      <c r="P30" s="180">
        <v>0.0494</v>
      </c>
    </row>
    <row r="31">
      <c r="A31" s="183" t="s">
        <v>479</v>
      </c>
      <c r="B31" s="184">
        <v>86.0</v>
      </c>
      <c r="C31" s="195">
        <v>0.2</v>
      </c>
      <c r="D31" s="185">
        <v>1.0</v>
      </c>
      <c r="E31" s="196"/>
      <c r="F31" s="184">
        <v>78.0</v>
      </c>
      <c r="G31" s="184">
        <v>5.0</v>
      </c>
      <c r="H31" s="185">
        <v>0.064</v>
      </c>
      <c r="I31" s="185">
        <v>0.0494</v>
      </c>
      <c r="J31" s="185">
        <v>0.0123</v>
      </c>
      <c r="K31" s="185">
        <v>0.0123</v>
      </c>
      <c r="L31" s="185">
        <v>0.0123</v>
      </c>
      <c r="M31" s="185">
        <v>0.0</v>
      </c>
      <c r="N31" s="183" t="s">
        <v>855</v>
      </c>
      <c r="O31" s="183" t="s">
        <v>120</v>
      </c>
      <c r="P31" s="185">
        <v>0.0494</v>
      </c>
    </row>
    <row r="32">
      <c r="A32" s="178" t="s">
        <v>504</v>
      </c>
      <c r="B32" s="179">
        <v>26.0</v>
      </c>
      <c r="C32" s="191">
        <v>0.21</v>
      </c>
      <c r="D32" s="180">
        <v>1.0</v>
      </c>
      <c r="E32" s="192"/>
      <c r="F32" s="179">
        <v>23.0</v>
      </c>
      <c r="G32" s="179">
        <v>5.0</v>
      </c>
      <c r="H32" s="180">
        <v>0.217</v>
      </c>
      <c r="I32" s="180">
        <v>0.0</v>
      </c>
      <c r="J32" s="180">
        <v>0.0417</v>
      </c>
      <c r="K32" s="180">
        <v>0.0</v>
      </c>
      <c r="L32" s="180">
        <v>0.0</v>
      </c>
      <c r="M32" s="180">
        <v>0.2083</v>
      </c>
      <c r="N32" s="178" t="s">
        <v>855</v>
      </c>
      <c r="O32" s="178" t="s">
        <v>448</v>
      </c>
      <c r="P32" s="180">
        <v>0.2083</v>
      </c>
    </row>
    <row r="33">
      <c r="A33" s="183" t="s">
        <v>480</v>
      </c>
      <c r="B33" s="184">
        <v>21.0</v>
      </c>
      <c r="C33" s="195">
        <v>0.62</v>
      </c>
      <c r="D33" s="185">
        <v>1.0</v>
      </c>
      <c r="E33" s="196"/>
      <c r="F33" s="184">
        <v>13.0</v>
      </c>
      <c r="G33" s="184">
        <v>5.0</v>
      </c>
      <c r="H33" s="185">
        <v>0.385</v>
      </c>
      <c r="I33" s="185">
        <v>0.2632</v>
      </c>
      <c r="J33" s="185">
        <v>0.1053</v>
      </c>
      <c r="K33" s="185">
        <v>0.0</v>
      </c>
      <c r="L33" s="185">
        <v>0.1053</v>
      </c>
      <c r="M33" s="185">
        <v>0.0</v>
      </c>
      <c r="N33" s="183" t="s">
        <v>855</v>
      </c>
      <c r="O33" s="183" t="s">
        <v>120</v>
      </c>
      <c r="P33" s="185">
        <v>0.2632</v>
      </c>
    </row>
    <row r="34">
      <c r="A34" s="178" t="s">
        <v>481</v>
      </c>
      <c r="B34" s="179">
        <v>45.0</v>
      </c>
      <c r="C34" s="191">
        <v>0.79</v>
      </c>
      <c r="D34" s="180">
        <v>1.0</v>
      </c>
      <c r="E34" s="192"/>
      <c r="F34" s="179">
        <v>43.0</v>
      </c>
      <c r="G34" s="179">
        <v>5.0</v>
      </c>
      <c r="H34" s="180">
        <v>0.116</v>
      </c>
      <c r="I34" s="180">
        <v>0.1087</v>
      </c>
      <c r="J34" s="180">
        <v>0.0</v>
      </c>
      <c r="K34" s="180">
        <v>0.0</v>
      </c>
      <c r="L34" s="180">
        <v>0.1087</v>
      </c>
      <c r="M34" s="180">
        <v>0.0217</v>
      </c>
      <c r="N34" s="178" t="s">
        <v>855</v>
      </c>
      <c r="O34" s="178" t="s">
        <v>120</v>
      </c>
      <c r="P34" s="180">
        <v>0.1087</v>
      </c>
    </row>
    <row r="35">
      <c r="A35" s="183" t="s">
        <v>461</v>
      </c>
      <c r="B35" s="184">
        <v>42.0</v>
      </c>
      <c r="C35" s="195">
        <v>0.45</v>
      </c>
      <c r="D35" s="185">
        <v>1.0</v>
      </c>
      <c r="E35" s="196"/>
      <c r="F35" s="184">
        <v>39.0</v>
      </c>
      <c r="G35" s="184">
        <v>5.0</v>
      </c>
      <c r="H35" s="185">
        <v>0.128</v>
      </c>
      <c r="I35" s="185">
        <v>0.0488</v>
      </c>
      <c r="J35" s="185">
        <v>0.0</v>
      </c>
      <c r="K35" s="185">
        <v>0.0732</v>
      </c>
      <c r="L35" s="185">
        <v>0.0244</v>
      </c>
      <c r="M35" s="185">
        <v>0.0</v>
      </c>
      <c r="N35" s="183" t="s">
        <v>855</v>
      </c>
      <c r="O35" s="183" t="s">
        <v>483</v>
      </c>
      <c r="P35" s="185">
        <v>0.0732</v>
      </c>
    </row>
    <row r="36">
      <c r="A36" s="178" t="s">
        <v>482</v>
      </c>
      <c r="B36" s="179">
        <v>15.0</v>
      </c>
      <c r="C36" s="191">
        <v>0.25</v>
      </c>
      <c r="D36" s="180">
        <v>1.0</v>
      </c>
      <c r="E36" s="192"/>
      <c r="F36" s="179">
        <v>12.0</v>
      </c>
      <c r="G36" s="179">
        <v>5.0</v>
      </c>
      <c r="H36" s="180">
        <v>0.417</v>
      </c>
      <c r="I36" s="180">
        <v>0.3077</v>
      </c>
      <c r="J36" s="180">
        <v>0.0</v>
      </c>
      <c r="K36" s="180">
        <v>0.0769</v>
      </c>
      <c r="L36" s="180">
        <v>0.0769</v>
      </c>
      <c r="M36" s="180">
        <v>0.0</v>
      </c>
      <c r="N36" s="178" t="s">
        <v>855</v>
      </c>
      <c r="O36" s="178" t="s">
        <v>120</v>
      </c>
      <c r="P36" s="180">
        <v>0.3077</v>
      </c>
    </row>
    <row r="37">
      <c r="A37" s="183" t="s">
        <v>498</v>
      </c>
      <c r="B37" s="184">
        <v>40.0</v>
      </c>
      <c r="C37" s="195">
        <v>0.29</v>
      </c>
      <c r="D37" s="185">
        <v>1.0</v>
      </c>
      <c r="E37" s="196"/>
      <c r="F37" s="184">
        <v>45.0</v>
      </c>
      <c r="G37" s="184">
        <v>5.0</v>
      </c>
      <c r="H37" s="185">
        <v>0.111</v>
      </c>
      <c r="I37" s="185">
        <v>0.0444</v>
      </c>
      <c r="J37" s="185">
        <v>0.0444</v>
      </c>
      <c r="K37" s="185">
        <v>0.0444</v>
      </c>
      <c r="L37" s="185">
        <v>0.0889</v>
      </c>
      <c r="M37" s="185">
        <v>0.0</v>
      </c>
      <c r="N37" s="183" t="s">
        <v>855</v>
      </c>
      <c r="O37" s="183" t="s">
        <v>497</v>
      </c>
      <c r="P37" s="185">
        <v>0.0889</v>
      </c>
    </row>
    <row r="38">
      <c r="A38" s="178" t="s">
        <v>338</v>
      </c>
      <c r="B38" s="179">
        <v>69.0</v>
      </c>
      <c r="C38" s="191">
        <v>1.0</v>
      </c>
      <c r="D38" s="180">
        <v>1.0</v>
      </c>
      <c r="E38" s="192"/>
      <c r="F38" s="179">
        <v>69.0</v>
      </c>
      <c r="G38" s="179">
        <v>5.0</v>
      </c>
      <c r="H38" s="180">
        <v>0.072</v>
      </c>
      <c r="I38" s="180">
        <v>0.0694</v>
      </c>
      <c r="J38" s="180">
        <v>0.0</v>
      </c>
      <c r="K38" s="180">
        <v>0.0</v>
      </c>
      <c r="L38" s="180">
        <v>0.0417</v>
      </c>
      <c r="M38" s="180">
        <v>0.0</v>
      </c>
      <c r="N38" s="178" t="s">
        <v>855</v>
      </c>
      <c r="O38" s="178" t="s">
        <v>493</v>
      </c>
      <c r="P38" s="180">
        <v>0.0694</v>
      </c>
    </row>
    <row r="39">
      <c r="A39" s="183" t="s">
        <v>455</v>
      </c>
      <c r="B39" s="184">
        <v>23.0</v>
      </c>
      <c r="C39" s="195">
        <v>0.85</v>
      </c>
      <c r="D39" s="185">
        <v>1.0</v>
      </c>
      <c r="E39" s="196"/>
      <c r="F39" s="184">
        <v>22.0</v>
      </c>
      <c r="G39" s="184">
        <v>5.0</v>
      </c>
      <c r="H39" s="185">
        <v>0.227</v>
      </c>
      <c r="I39" s="185">
        <v>0.1304</v>
      </c>
      <c r="J39" s="185">
        <v>0.0</v>
      </c>
      <c r="K39" s="185">
        <v>0.087</v>
      </c>
      <c r="L39" s="185">
        <v>0.087</v>
      </c>
      <c r="M39" s="185">
        <v>0.0</v>
      </c>
      <c r="N39" s="183" t="s">
        <v>855</v>
      </c>
      <c r="O39" s="183" t="s">
        <v>120</v>
      </c>
      <c r="P39" s="185">
        <v>0.1304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38"/>
  </cols>
  <sheetData>
    <row r="1">
      <c r="A1" s="189" t="s">
        <v>865</v>
      </c>
      <c r="B1" s="176" t="s">
        <v>867</v>
      </c>
      <c r="C1" s="176" t="s">
        <v>848</v>
      </c>
      <c r="D1" s="176" t="s">
        <v>849</v>
      </c>
      <c r="E1" s="176" t="s">
        <v>850</v>
      </c>
      <c r="F1" s="176" t="s">
        <v>851</v>
      </c>
      <c r="G1" s="176" t="s">
        <v>852</v>
      </c>
      <c r="H1" s="176" t="s">
        <v>853</v>
      </c>
      <c r="I1" s="176" t="s">
        <v>32</v>
      </c>
      <c r="J1" s="176" t="s">
        <v>17</v>
      </c>
      <c r="K1" s="176" t="s">
        <v>124</v>
      </c>
      <c r="L1" s="176" t="s">
        <v>392</v>
      </c>
      <c r="M1" s="176" t="s">
        <v>323</v>
      </c>
      <c r="N1" s="176" t="s">
        <v>3</v>
      </c>
      <c r="O1" s="177" t="s">
        <v>4</v>
      </c>
      <c r="P1" s="310" t="s">
        <v>1067</v>
      </c>
    </row>
    <row r="2">
      <c r="A2" s="190">
        <v>241074.0</v>
      </c>
      <c r="B2" s="178" t="s">
        <v>1068</v>
      </c>
      <c r="C2" s="183" t="s">
        <v>454</v>
      </c>
      <c r="D2" s="179">
        <v>11.0</v>
      </c>
      <c r="E2" s="179">
        <v>11.0</v>
      </c>
      <c r="F2" s="179">
        <v>6.0</v>
      </c>
      <c r="G2" s="180">
        <v>0.545</v>
      </c>
      <c r="H2" s="178" t="s">
        <v>855</v>
      </c>
      <c r="I2" s="180">
        <v>0.3077</v>
      </c>
      <c r="J2" s="180">
        <v>0.0769</v>
      </c>
      <c r="K2" s="180">
        <v>0.0769</v>
      </c>
      <c r="L2" s="180">
        <v>0.1538</v>
      </c>
      <c r="M2" s="180">
        <v>0.0</v>
      </c>
      <c r="N2" s="178" t="s">
        <v>32</v>
      </c>
      <c r="O2" s="181">
        <v>0.3077</v>
      </c>
      <c r="P2" s="182" t="str">
        <f>VLOOKUP(C:C,'Loose Fitting'!A:A,1,0)</f>
        <v>#N/A</v>
      </c>
    </row>
    <row r="3">
      <c r="A3" s="194">
        <v>234791.0</v>
      </c>
      <c r="B3" s="183" t="s">
        <v>1069</v>
      </c>
      <c r="C3" s="240" t="s">
        <v>480</v>
      </c>
      <c r="D3" s="184">
        <v>121.0</v>
      </c>
      <c r="E3" s="184">
        <v>111.0</v>
      </c>
      <c r="F3" s="184">
        <v>33.0</v>
      </c>
      <c r="G3" s="185">
        <v>0.297</v>
      </c>
      <c r="H3" s="183" t="s">
        <v>855</v>
      </c>
      <c r="I3" s="185">
        <v>0.1812</v>
      </c>
      <c r="J3" s="185">
        <v>0.0671</v>
      </c>
      <c r="K3" s="185">
        <v>0.0</v>
      </c>
      <c r="L3" s="185">
        <v>0.0403</v>
      </c>
      <c r="M3" s="185">
        <v>0.0403</v>
      </c>
      <c r="N3" s="183" t="s">
        <v>32</v>
      </c>
      <c r="O3" s="186">
        <v>0.1812</v>
      </c>
      <c r="P3" s="182" t="str">
        <f>VLOOKUP(C:C,'Loose Fitting'!A:A,1,0)</f>
        <v>#N/A</v>
      </c>
    </row>
    <row r="4">
      <c r="A4" s="194">
        <v>247078.0</v>
      </c>
      <c r="B4" s="183" t="s">
        <v>1070</v>
      </c>
      <c r="C4" s="183" t="s">
        <v>455</v>
      </c>
      <c r="D4" s="184">
        <v>25.0</v>
      </c>
      <c r="E4" s="184">
        <v>25.0</v>
      </c>
      <c r="F4" s="184">
        <v>7.0</v>
      </c>
      <c r="G4" s="185">
        <v>0.28</v>
      </c>
      <c r="H4" s="183" t="s">
        <v>855</v>
      </c>
      <c r="I4" s="185">
        <v>0.1667</v>
      </c>
      <c r="J4" s="185">
        <v>0.0333</v>
      </c>
      <c r="K4" s="185">
        <v>0.0333</v>
      </c>
      <c r="L4" s="185">
        <v>0.0667</v>
      </c>
      <c r="M4" s="185">
        <v>0.0</v>
      </c>
      <c r="N4" s="183" t="s">
        <v>32</v>
      </c>
      <c r="O4" s="186">
        <v>0.1667</v>
      </c>
      <c r="P4" s="182" t="str">
        <f>VLOOKUP(C:C,'Loose Fitting'!A:A,1,0)</f>
        <v>#N/A</v>
      </c>
    </row>
    <row r="5">
      <c r="A5" s="194">
        <v>236092.0</v>
      </c>
      <c r="B5" s="183" t="s">
        <v>1071</v>
      </c>
      <c r="C5" s="183" t="s">
        <v>456</v>
      </c>
      <c r="D5" s="184">
        <v>40.0</v>
      </c>
      <c r="E5" s="184">
        <v>40.0</v>
      </c>
      <c r="F5" s="184">
        <v>6.0</v>
      </c>
      <c r="G5" s="185">
        <v>0.15</v>
      </c>
      <c r="H5" s="183" t="s">
        <v>855</v>
      </c>
      <c r="I5" s="185">
        <v>0.0976</v>
      </c>
      <c r="J5" s="185">
        <v>0.0488</v>
      </c>
      <c r="K5" s="185">
        <v>0.0</v>
      </c>
      <c r="L5" s="185">
        <v>0.0244</v>
      </c>
      <c r="M5" s="185">
        <v>0.0</v>
      </c>
      <c r="N5" s="183" t="s">
        <v>32</v>
      </c>
      <c r="O5" s="186">
        <v>0.0976</v>
      </c>
      <c r="P5" s="182" t="str">
        <f>VLOOKUP(C:C,'Loose Fitting'!A:A,1,0)</f>
        <v>#N/A</v>
      </c>
    </row>
    <row r="6">
      <c r="A6" s="194">
        <v>234791.0</v>
      </c>
      <c r="B6" s="183" t="s">
        <v>1072</v>
      </c>
      <c r="C6" s="240" t="s">
        <v>922</v>
      </c>
      <c r="D6" s="184">
        <v>39.0</v>
      </c>
      <c r="E6" s="184">
        <v>41.0</v>
      </c>
      <c r="F6" s="184">
        <v>5.0</v>
      </c>
      <c r="G6" s="185">
        <v>0.122</v>
      </c>
      <c r="H6" s="183" t="s">
        <v>855</v>
      </c>
      <c r="I6" s="185">
        <v>0.0909</v>
      </c>
      <c r="J6" s="185">
        <v>0.0</v>
      </c>
      <c r="K6" s="185">
        <v>0.0227</v>
      </c>
      <c r="L6" s="185">
        <v>0.0</v>
      </c>
      <c r="M6" s="185">
        <v>0.0227</v>
      </c>
      <c r="N6" s="183" t="s">
        <v>32</v>
      </c>
      <c r="O6" s="186">
        <v>0.0909</v>
      </c>
      <c r="P6" s="182" t="str">
        <f>VLOOKUP(C:C,'Loose Fitting'!A:A,1,0)</f>
        <v>#N/A</v>
      </c>
    </row>
    <row r="7">
      <c r="A7" s="190">
        <v>241117.0</v>
      </c>
      <c r="B7" s="178" t="s">
        <v>1073</v>
      </c>
      <c r="C7" s="183" t="s">
        <v>457</v>
      </c>
      <c r="D7" s="179">
        <v>61.0</v>
      </c>
      <c r="E7" s="179">
        <v>57.0</v>
      </c>
      <c r="F7" s="179">
        <v>7.0</v>
      </c>
      <c r="G7" s="180">
        <v>0.123</v>
      </c>
      <c r="H7" s="178" t="s">
        <v>855</v>
      </c>
      <c r="I7" s="180">
        <v>0.0678</v>
      </c>
      <c r="J7" s="180">
        <v>0.0169</v>
      </c>
      <c r="K7" s="180">
        <v>0.0169</v>
      </c>
      <c r="L7" s="180">
        <v>0.0508</v>
      </c>
      <c r="M7" s="180">
        <v>0.0169</v>
      </c>
      <c r="N7" s="178" t="s">
        <v>32</v>
      </c>
      <c r="O7" s="181">
        <v>0.0678</v>
      </c>
      <c r="P7" s="182" t="str">
        <f>VLOOKUP(C:C,'Loose Fitting'!A:A,1,0)</f>
        <v>#N/A</v>
      </c>
    </row>
    <row r="8">
      <c r="A8" s="194">
        <v>217079.0</v>
      </c>
      <c r="B8" s="183" t="s">
        <v>1074</v>
      </c>
      <c r="C8" s="183" t="s">
        <v>458</v>
      </c>
      <c r="D8" s="184">
        <v>149.0</v>
      </c>
      <c r="E8" s="184">
        <v>144.0</v>
      </c>
      <c r="F8" s="184">
        <v>8.0</v>
      </c>
      <c r="G8" s="185">
        <v>0.056</v>
      </c>
      <c r="H8" s="183" t="s">
        <v>855</v>
      </c>
      <c r="I8" s="185">
        <v>0.0411</v>
      </c>
      <c r="J8" s="185">
        <v>0.0</v>
      </c>
      <c r="K8" s="185">
        <v>0.0068</v>
      </c>
      <c r="L8" s="185">
        <v>0.0342</v>
      </c>
      <c r="M8" s="185">
        <v>0.0068</v>
      </c>
      <c r="N8" s="183" t="s">
        <v>32</v>
      </c>
      <c r="O8" s="186">
        <v>0.0411</v>
      </c>
      <c r="P8" s="182" t="str">
        <f>VLOOKUP(C:C,'Loose Fitting'!A:A,1,0)</f>
        <v>#N/A</v>
      </c>
    </row>
    <row r="9">
      <c r="A9" s="190">
        <v>222280.0</v>
      </c>
      <c r="B9" s="178" t="s">
        <v>1075</v>
      </c>
      <c r="C9" s="183" t="s">
        <v>459</v>
      </c>
      <c r="D9" s="179">
        <v>76.0</v>
      </c>
      <c r="E9" s="179">
        <v>81.0</v>
      </c>
      <c r="F9" s="179">
        <v>5.0</v>
      </c>
      <c r="G9" s="180">
        <v>0.062</v>
      </c>
      <c r="H9" s="178" t="s">
        <v>855</v>
      </c>
      <c r="I9" s="180">
        <v>0.0361</v>
      </c>
      <c r="J9" s="180">
        <v>0.0</v>
      </c>
      <c r="K9" s="180">
        <v>0.0</v>
      </c>
      <c r="L9" s="180">
        <v>0.012</v>
      </c>
      <c r="M9" s="180">
        <v>0.0241</v>
      </c>
      <c r="N9" s="178" t="s">
        <v>32</v>
      </c>
      <c r="O9" s="181">
        <v>0.0361</v>
      </c>
      <c r="P9" s="182" t="str">
        <f>VLOOKUP(C:C,'Loose Fitting'!A:A,1,0)</f>
        <v>#N/A</v>
      </c>
    </row>
    <row r="10">
      <c r="A10" s="194">
        <v>137971.0</v>
      </c>
      <c r="B10" s="183" t="s">
        <v>1076</v>
      </c>
      <c r="C10" s="183" t="s">
        <v>159</v>
      </c>
      <c r="D10" s="184">
        <v>119.0</v>
      </c>
      <c r="E10" s="184">
        <v>122.0</v>
      </c>
      <c r="F10" s="184">
        <v>9.0</v>
      </c>
      <c r="G10" s="185">
        <v>0.074</v>
      </c>
      <c r="H10" s="183" t="s">
        <v>855</v>
      </c>
      <c r="I10" s="185">
        <v>0.0391</v>
      </c>
      <c r="J10" s="185">
        <v>0.0313</v>
      </c>
      <c r="K10" s="185">
        <v>0.0156</v>
      </c>
      <c r="L10" s="185">
        <v>0.0469</v>
      </c>
      <c r="M10" s="185">
        <v>0.0</v>
      </c>
      <c r="N10" s="183" t="s">
        <v>460</v>
      </c>
      <c r="O10" s="186">
        <v>0.0469</v>
      </c>
      <c r="P10" s="182" t="str">
        <f>VLOOKUP(C:C,'Loose Fitting'!A:A,1,0)</f>
        <v>#N/A</v>
      </c>
    </row>
    <row r="11">
      <c r="A11" s="190">
        <v>222280.0</v>
      </c>
      <c r="B11" s="178" t="s">
        <v>1077</v>
      </c>
      <c r="C11" s="183" t="s">
        <v>340</v>
      </c>
      <c r="D11" s="179">
        <v>65.0</v>
      </c>
      <c r="E11" s="179">
        <v>67.0</v>
      </c>
      <c r="F11" s="179">
        <v>8.0</v>
      </c>
      <c r="G11" s="180">
        <v>0.119</v>
      </c>
      <c r="H11" s="178" t="s">
        <v>855</v>
      </c>
      <c r="I11" s="180">
        <v>0.0857</v>
      </c>
      <c r="J11" s="180">
        <v>0.0</v>
      </c>
      <c r="K11" s="180">
        <v>0.0143</v>
      </c>
      <c r="L11" s="180">
        <v>0.0857</v>
      </c>
      <c r="M11" s="180">
        <v>0.0143</v>
      </c>
      <c r="N11" s="178" t="s">
        <v>382</v>
      </c>
      <c r="O11" s="181">
        <v>0.0857</v>
      </c>
      <c r="P11" s="182" t="str">
        <f>VLOOKUP(C:C,'Loose Fitting'!A:A,1,0)</f>
        <v>#N/A</v>
      </c>
    </row>
    <row r="12">
      <c r="A12" s="194">
        <v>241089.0</v>
      </c>
      <c r="B12" s="183" t="s">
        <v>1078</v>
      </c>
      <c r="C12" s="183" t="s">
        <v>461</v>
      </c>
      <c r="D12" s="184">
        <v>114.0</v>
      </c>
      <c r="E12" s="184">
        <v>106.0</v>
      </c>
      <c r="F12" s="184">
        <v>15.0</v>
      </c>
      <c r="G12" s="185">
        <v>0.142</v>
      </c>
      <c r="H12" s="183" t="s">
        <v>855</v>
      </c>
      <c r="I12" s="185">
        <v>0.0796</v>
      </c>
      <c r="J12" s="185">
        <v>0.0</v>
      </c>
      <c r="K12" s="185">
        <v>0.0708</v>
      </c>
      <c r="L12" s="185">
        <v>0.0973</v>
      </c>
      <c r="M12" s="185">
        <v>0.0</v>
      </c>
      <c r="N12" s="183" t="s">
        <v>382</v>
      </c>
      <c r="O12" s="186">
        <v>0.0973</v>
      </c>
      <c r="P12" s="182" t="str">
        <f>VLOOKUP(C:C,'Loose Fitting'!A:A,1,0)</f>
        <v>#N/A</v>
      </c>
    </row>
    <row r="13">
      <c r="A13" s="190">
        <v>222135.0</v>
      </c>
      <c r="B13" s="178" t="s">
        <v>1079</v>
      </c>
      <c r="C13" s="183" t="s">
        <v>462</v>
      </c>
      <c r="D13" s="179">
        <v>91.0</v>
      </c>
      <c r="E13" s="179">
        <v>90.0</v>
      </c>
      <c r="F13" s="179">
        <v>5.0</v>
      </c>
      <c r="G13" s="180">
        <v>0.056</v>
      </c>
      <c r="H13" s="178" t="s">
        <v>855</v>
      </c>
      <c r="I13" s="180">
        <v>0.0222</v>
      </c>
      <c r="J13" s="180">
        <v>0.0111</v>
      </c>
      <c r="K13" s="180">
        <v>0.0111</v>
      </c>
      <c r="L13" s="180">
        <v>0.0222</v>
      </c>
      <c r="M13" s="180">
        <v>0.0111</v>
      </c>
      <c r="N13" s="178" t="s">
        <v>382</v>
      </c>
      <c r="O13" s="181">
        <v>0.0222</v>
      </c>
      <c r="P13" s="182" t="str">
        <f>VLOOKUP(C:C,'Loose Fitting'!A:A,1,0)</f>
        <v>#N/A</v>
      </c>
    </row>
    <row r="14">
      <c r="A14" s="194">
        <v>236398.0</v>
      </c>
      <c r="B14" s="183" t="s">
        <v>1080</v>
      </c>
      <c r="C14" s="183" t="s">
        <v>463</v>
      </c>
      <c r="D14" s="184">
        <v>40.0</v>
      </c>
      <c r="E14" s="184">
        <v>37.0</v>
      </c>
      <c r="F14" s="184">
        <v>6.0</v>
      </c>
      <c r="G14" s="185">
        <v>0.162</v>
      </c>
      <c r="H14" s="183" t="s">
        <v>855</v>
      </c>
      <c r="I14" s="185">
        <v>0.0769</v>
      </c>
      <c r="J14" s="185">
        <v>0.0</v>
      </c>
      <c r="K14" s="185">
        <v>0.1026</v>
      </c>
      <c r="L14" s="185">
        <v>0.1026</v>
      </c>
      <c r="M14" s="185">
        <v>0.0</v>
      </c>
      <c r="N14" s="183" t="s">
        <v>124</v>
      </c>
      <c r="O14" s="186">
        <v>0.1026</v>
      </c>
      <c r="P14" s="182" t="str">
        <f>VLOOKUP(C:C,'Loose Fitting'!A:A,1,0)</f>
        <v>#N/A</v>
      </c>
    </row>
    <row r="15">
      <c r="A15" s="190">
        <v>243170.0</v>
      </c>
      <c r="B15" s="178" t="s">
        <v>1081</v>
      </c>
      <c r="C15" s="183" t="s">
        <v>464</v>
      </c>
      <c r="D15" s="179">
        <v>178.0</v>
      </c>
      <c r="E15" s="179">
        <v>173.0</v>
      </c>
      <c r="F15" s="179">
        <v>11.0</v>
      </c>
      <c r="G15" s="180">
        <v>0.064</v>
      </c>
      <c r="H15" s="178" t="s">
        <v>855</v>
      </c>
      <c r="I15" s="180">
        <v>0.0284</v>
      </c>
      <c r="J15" s="180">
        <v>0.0</v>
      </c>
      <c r="K15" s="180">
        <v>0.0341</v>
      </c>
      <c r="L15" s="180">
        <v>0.0398</v>
      </c>
      <c r="M15" s="180">
        <v>0.0114</v>
      </c>
      <c r="N15" s="178" t="s">
        <v>465</v>
      </c>
      <c r="O15" s="181">
        <v>0.0398</v>
      </c>
      <c r="P15" s="182" t="str">
        <f>VLOOKUP(C:C,'Loose Fitting'!A:A,1,0)</f>
        <v>#N/A</v>
      </c>
    </row>
    <row r="16">
      <c r="A16" s="190">
        <v>239999.0</v>
      </c>
      <c r="B16" s="178" t="s">
        <v>1082</v>
      </c>
      <c r="C16" s="240" t="s">
        <v>761</v>
      </c>
      <c r="D16" s="179">
        <v>12.0</v>
      </c>
      <c r="E16" s="179">
        <v>11.0</v>
      </c>
      <c r="F16" s="179">
        <v>5.0</v>
      </c>
      <c r="G16" s="180">
        <v>0.455</v>
      </c>
      <c r="H16" s="178" t="s">
        <v>855</v>
      </c>
      <c r="I16" s="180">
        <v>0.0</v>
      </c>
      <c r="J16" s="180">
        <v>0.0</v>
      </c>
      <c r="K16" s="180">
        <v>0.3571</v>
      </c>
      <c r="L16" s="180">
        <v>0.3571</v>
      </c>
      <c r="M16" s="180">
        <v>0.0</v>
      </c>
      <c r="N16" s="178" t="s">
        <v>857</v>
      </c>
      <c r="O16" s="181">
        <v>0.3571</v>
      </c>
      <c r="P16" s="182" t="str">
        <f>VLOOKUP(C:C,'Loose Fitting'!A:A,1,0)</f>
        <v>#N/A</v>
      </c>
    </row>
    <row r="17">
      <c r="A17" s="194">
        <v>240000.0</v>
      </c>
      <c r="B17" s="183" t="s">
        <v>1083</v>
      </c>
      <c r="C17" s="240" t="s">
        <v>354</v>
      </c>
      <c r="D17" s="184">
        <v>28.0</v>
      </c>
      <c r="E17" s="184">
        <v>18.0</v>
      </c>
      <c r="F17" s="184">
        <v>9.0</v>
      </c>
      <c r="G17" s="185">
        <v>0.5</v>
      </c>
      <c r="H17" s="183" t="s">
        <v>855</v>
      </c>
      <c r="I17" s="185">
        <v>0.0417</v>
      </c>
      <c r="J17" s="185">
        <v>0.0833</v>
      </c>
      <c r="K17" s="185">
        <v>0.2083</v>
      </c>
      <c r="L17" s="185">
        <v>0.0417</v>
      </c>
      <c r="M17" s="185">
        <v>0.0833</v>
      </c>
      <c r="N17" s="183" t="s">
        <v>923</v>
      </c>
      <c r="O17" s="186">
        <v>0.2083</v>
      </c>
      <c r="P17" s="182" t="str">
        <f>VLOOKUP(C:C,'Loose Fitting'!A:A,1,0)</f>
        <v>#N/A</v>
      </c>
    </row>
    <row r="18">
      <c r="A18" s="190">
        <v>240000.0</v>
      </c>
      <c r="B18" s="178" t="s">
        <v>1084</v>
      </c>
      <c r="C18" s="240" t="s">
        <v>363</v>
      </c>
      <c r="D18" s="179">
        <v>24.0</v>
      </c>
      <c r="E18" s="179">
        <v>23.0</v>
      </c>
      <c r="F18" s="179">
        <v>8.0</v>
      </c>
      <c r="G18" s="180">
        <v>0.348</v>
      </c>
      <c r="H18" s="178" t="s">
        <v>855</v>
      </c>
      <c r="I18" s="180">
        <v>0.0303</v>
      </c>
      <c r="J18" s="180">
        <v>0.0606</v>
      </c>
      <c r="K18" s="180">
        <v>0.2424</v>
      </c>
      <c r="L18" s="180">
        <v>0.0303</v>
      </c>
      <c r="M18" s="180">
        <v>0.0</v>
      </c>
      <c r="N18" s="178" t="s">
        <v>923</v>
      </c>
      <c r="O18" s="181">
        <v>0.2424</v>
      </c>
      <c r="P18" s="182" t="str">
        <f>VLOOKUP(C:C,'Loose Fitting'!A:A,1,0)</f>
        <v>#N/A</v>
      </c>
    </row>
    <row r="19">
      <c r="A19" s="194">
        <v>241100.0</v>
      </c>
      <c r="B19" s="183" t="s">
        <v>1085</v>
      </c>
      <c r="C19" s="183" t="s">
        <v>466</v>
      </c>
      <c r="D19" s="184">
        <v>39.0</v>
      </c>
      <c r="E19" s="184">
        <v>39.0</v>
      </c>
      <c r="F19" s="184">
        <v>6.0</v>
      </c>
      <c r="G19" s="185">
        <v>0.154</v>
      </c>
      <c r="H19" s="183" t="s">
        <v>855</v>
      </c>
      <c r="I19" s="185">
        <v>0.093</v>
      </c>
      <c r="J19" s="185">
        <v>0.0</v>
      </c>
      <c r="K19" s="185">
        <v>0.1163</v>
      </c>
      <c r="L19" s="185">
        <v>0.1395</v>
      </c>
      <c r="M19" s="185">
        <v>0.0</v>
      </c>
      <c r="N19" s="183" t="s">
        <v>392</v>
      </c>
      <c r="O19" s="186">
        <v>0.1395</v>
      </c>
      <c r="P19" s="182" t="str">
        <f>VLOOKUP(C:C,'Loose Fitting'!A:A,1,0)</f>
        <v>#N/A</v>
      </c>
    </row>
    <row r="20">
      <c r="A20" s="190">
        <v>241124.0</v>
      </c>
      <c r="B20" s="178" t="s">
        <v>1086</v>
      </c>
      <c r="C20" s="183" t="s">
        <v>467</v>
      </c>
      <c r="D20" s="179">
        <v>54.0</v>
      </c>
      <c r="E20" s="179">
        <v>55.0</v>
      </c>
      <c r="F20" s="179">
        <v>6.0</v>
      </c>
      <c r="G20" s="180">
        <v>0.109</v>
      </c>
      <c r="H20" s="178" t="s">
        <v>855</v>
      </c>
      <c r="I20" s="180">
        <v>0.0862</v>
      </c>
      <c r="J20" s="180">
        <v>0.0</v>
      </c>
      <c r="K20" s="180">
        <v>0.0172</v>
      </c>
      <c r="L20" s="180">
        <v>0.1034</v>
      </c>
      <c r="M20" s="180">
        <v>0.0</v>
      </c>
      <c r="N20" s="178" t="s">
        <v>392</v>
      </c>
      <c r="O20" s="181">
        <v>0.1034</v>
      </c>
      <c r="P20" s="182" t="str">
        <f>VLOOKUP(C:C,'Loose Fitting'!A:A,1,0)</f>
        <v>#N/A</v>
      </c>
    </row>
    <row r="21">
      <c r="A21" s="194">
        <v>221282.0</v>
      </c>
      <c r="B21" s="183" t="s">
        <v>1087</v>
      </c>
      <c r="C21" s="183" t="s">
        <v>274</v>
      </c>
      <c r="D21" s="184">
        <v>89.0</v>
      </c>
      <c r="E21" s="184">
        <v>76.0</v>
      </c>
      <c r="F21" s="184">
        <v>6.0</v>
      </c>
      <c r="G21" s="185">
        <v>0.079</v>
      </c>
      <c r="H21" s="183" t="s">
        <v>855</v>
      </c>
      <c r="I21" s="185">
        <v>0.0471</v>
      </c>
      <c r="J21" s="185">
        <v>0.0118</v>
      </c>
      <c r="K21" s="185">
        <v>0.0118</v>
      </c>
      <c r="L21" s="185">
        <v>0.1294</v>
      </c>
      <c r="M21" s="185">
        <v>0.0</v>
      </c>
      <c r="N21" s="183" t="s">
        <v>392</v>
      </c>
      <c r="O21" s="186">
        <v>0.1294</v>
      </c>
      <c r="P21" s="182" t="str">
        <f>VLOOKUP(C:C,'Loose Fitting'!A:A,1,0)</f>
        <v>#N/A</v>
      </c>
    </row>
    <row r="22">
      <c r="A22" s="190">
        <v>236141.0</v>
      </c>
      <c r="B22" s="178" t="s">
        <v>1088</v>
      </c>
      <c r="C22" s="183" t="s">
        <v>468</v>
      </c>
      <c r="D22" s="179">
        <v>116.0</v>
      </c>
      <c r="E22" s="179">
        <v>114.0</v>
      </c>
      <c r="F22" s="179">
        <v>7.0</v>
      </c>
      <c r="G22" s="180">
        <v>0.061</v>
      </c>
      <c r="H22" s="178" t="s">
        <v>855</v>
      </c>
      <c r="I22" s="180">
        <v>0.0424</v>
      </c>
      <c r="J22" s="180">
        <v>0.0</v>
      </c>
      <c r="K22" s="180">
        <v>0.0339</v>
      </c>
      <c r="L22" s="180">
        <v>0.0678</v>
      </c>
      <c r="M22" s="180">
        <v>0.0085</v>
      </c>
      <c r="N22" s="178" t="s">
        <v>392</v>
      </c>
      <c r="O22" s="181">
        <v>0.0678</v>
      </c>
      <c r="P22" s="182" t="str">
        <f>VLOOKUP(C:C,'Loose Fitting'!A:A,1,0)</f>
        <v>#N/A</v>
      </c>
    </row>
    <row r="23">
      <c r="A23" s="194">
        <v>221928.0</v>
      </c>
      <c r="B23" s="183" t="s">
        <v>1089</v>
      </c>
      <c r="C23" s="183" t="s">
        <v>243</v>
      </c>
      <c r="D23" s="184">
        <v>68.0</v>
      </c>
      <c r="E23" s="184">
        <v>66.0</v>
      </c>
      <c r="F23" s="184">
        <v>5.0</v>
      </c>
      <c r="G23" s="185">
        <v>0.076</v>
      </c>
      <c r="H23" s="183" t="s">
        <v>855</v>
      </c>
      <c r="I23" s="185">
        <v>0.0423</v>
      </c>
      <c r="J23" s="185">
        <v>0.0423</v>
      </c>
      <c r="K23" s="185">
        <v>0.0</v>
      </c>
      <c r="L23" s="185">
        <v>0.0704</v>
      </c>
      <c r="M23" s="185">
        <v>0.0</v>
      </c>
      <c r="N23" s="183" t="s">
        <v>392</v>
      </c>
      <c r="O23" s="186">
        <v>0.0704</v>
      </c>
      <c r="P23" s="182" t="str">
        <f>VLOOKUP(C:C,'Loose Fitting'!A:A,1,0)</f>
        <v>#N/A</v>
      </c>
    </row>
    <row r="24">
      <c r="A24" s="194">
        <v>152984.0</v>
      </c>
      <c r="B24" s="183" t="s">
        <v>1090</v>
      </c>
      <c r="C24" s="183" t="s">
        <v>469</v>
      </c>
      <c r="D24" s="184">
        <v>102.0</v>
      </c>
      <c r="E24" s="184">
        <v>99.0</v>
      </c>
      <c r="F24" s="184">
        <v>6.0</v>
      </c>
      <c r="G24" s="185">
        <v>0.061</v>
      </c>
      <c r="H24" s="183" t="s">
        <v>855</v>
      </c>
      <c r="I24" s="185">
        <v>0.0297</v>
      </c>
      <c r="J24" s="185">
        <v>0.0</v>
      </c>
      <c r="K24" s="185">
        <v>0.0297</v>
      </c>
      <c r="L24" s="185">
        <v>0.0594</v>
      </c>
      <c r="M24" s="185">
        <v>0.0</v>
      </c>
      <c r="N24" s="183" t="s">
        <v>392</v>
      </c>
      <c r="O24" s="186">
        <v>0.0594</v>
      </c>
      <c r="P24" s="182" t="str">
        <f>VLOOKUP(C:C,'Loose Fitting'!A:A,1,0)</f>
        <v>#N/A</v>
      </c>
    </row>
    <row r="25">
      <c r="A25" s="194">
        <v>234768.0</v>
      </c>
      <c r="B25" s="183" t="s">
        <v>1091</v>
      </c>
      <c r="C25" s="240" t="s">
        <v>200</v>
      </c>
      <c r="D25" s="184">
        <v>26.0</v>
      </c>
      <c r="E25" s="184">
        <v>26.0</v>
      </c>
      <c r="F25" s="184">
        <v>13.0</v>
      </c>
      <c r="G25" s="185">
        <v>0.5</v>
      </c>
      <c r="H25" s="183" t="s">
        <v>855</v>
      </c>
      <c r="I25" s="185">
        <v>0.0968</v>
      </c>
      <c r="J25" s="185">
        <v>0.2903</v>
      </c>
      <c r="K25" s="185">
        <v>0.0</v>
      </c>
      <c r="L25" s="185">
        <v>0.0323</v>
      </c>
      <c r="M25" s="185">
        <v>0.0323</v>
      </c>
      <c r="N25" s="183" t="s">
        <v>17</v>
      </c>
      <c r="O25" s="186">
        <v>0.2903</v>
      </c>
      <c r="P25" s="182" t="str">
        <f>VLOOKUP(C:C,'Loose Fitting'!A:A,1,0)</f>
        <v>#N/A</v>
      </c>
    </row>
    <row r="26">
      <c r="A26" s="190">
        <v>236095.0</v>
      </c>
      <c r="B26" s="178" t="s">
        <v>1092</v>
      </c>
      <c r="C26" s="183" t="s">
        <v>470</v>
      </c>
      <c r="D26" s="179">
        <v>40.0</v>
      </c>
      <c r="E26" s="179">
        <v>37.0</v>
      </c>
      <c r="F26" s="179">
        <v>7.0</v>
      </c>
      <c r="G26" s="180">
        <v>0.189</v>
      </c>
      <c r="H26" s="178" t="s">
        <v>855</v>
      </c>
      <c r="I26" s="180">
        <v>0.0732</v>
      </c>
      <c r="J26" s="180">
        <v>0.122</v>
      </c>
      <c r="K26" s="180">
        <v>0.0</v>
      </c>
      <c r="L26" s="180">
        <v>0.0732</v>
      </c>
      <c r="M26" s="180">
        <v>0.0</v>
      </c>
      <c r="N26" s="178" t="s">
        <v>17</v>
      </c>
      <c r="O26" s="181">
        <v>0.122</v>
      </c>
      <c r="P26" s="182" t="str">
        <f>VLOOKUP(C:C,'Loose Fitting'!A:A,1,0)</f>
        <v>#N/A</v>
      </c>
    </row>
    <row r="27">
      <c r="A27" s="194">
        <v>208956.0</v>
      </c>
      <c r="B27" s="183" t="s">
        <v>1093</v>
      </c>
      <c r="C27" s="183" t="s">
        <v>471</v>
      </c>
      <c r="D27" s="184">
        <v>12.0</v>
      </c>
      <c r="E27" s="184">
        <v>12.0</v>
      </c>
      <c r="F27" s="184">
        <v>5.0</v>
      </c>
      <c r="G27" s="185">
        <v>0.417</v>
      </c>
      <c r="H27" s="183" t="s">
        <v>855</v>
      </c>
      <c r="I27" s="185">
        <v>0.0714</v>
      </c>
      <c r="J27" s="185">
        <v>0.2857</v>
      </c>
      <c r="K27" s="185">
        <v>0.0</v>
      </c>
      <c r="L27" s="185">
        <v>0.0</v>
      </c>
      <c r="M27" s="185">
        <v>0.0</v>
      </c>
      <c r="N27" s="183" t="s">
        <v>17</v>
      </c>
      <c r="O27" s="186">
        <v>0.2857</v>
      </c>
      <c r="P27" s="182" t="str">
        <f>VLOOKUP(C:C,'Loose Fitting'!A:A,1,0)</f>
        <v>#N/A</v>
      </c>
    </row>
    <row r="28">
      <c r="A28" s="190">
        <v>234791.0</v>
      </c>
      <c r="B28" s="178" t="s">
        <v>1094</v>
      </c>
      <c r="C28" s="240" t="s">
        <v>70</v>
      </c>
      <c r="D28" s="179">
        <v>16.0</v>
      </c>
      <c r="E28" s="179">
        <v>19.0</v>
      </c>
      <c r="F28" s="179">
        <v>9.0</v>
      </c>
      <c r="G28" s="180">
        <v>0.474</v>
      </c>
      <c r="H28" s="178" t="s">
        <v>855</v>
      </c>
      <c r="I28" s="180">
        <v>0.0294</v>
      </c>
      <c r="J28" s="180">
        <v>0.3824</v>
      </c>
      <c r="K28" s="180">
        <v>0.0294</v>
      </c>
      <c r="L28" s="180">
        <v>0.0294</v>
      </c>
      <c r="M28" s="180">
        <v>0.0294</v>
      </c>
      <c r="N28" s="178" t="s">
        <v>17</v>
      </c>
      <c r="O28" s="181">
        <v>0.3824</v>
      </c>
      <c r="P28" s="182" t="str">
        <f>VLOOKUP(C:C,'Loose Fitting'!A:A,1,0)</f>
        <v>#N/A</v>
      </c>
    </row>
    <row r="29">
      <c r="A29" s="194">
        <v>242175.0</v>
      </c>
      <c r="B29" s="183" t="s">
        <v>1095</v>
      </c>
      <c r="C29" s="183" t="s">
        <v>472</v>
      </c>
      <c r="D29" s="184">
        <v>39.0</v>
      </c>
      <c r="E29" s="184">
        <v>40.0</v>
      </c>
      <c r="F29" s="184">
        <v>5.0</v>
      </c>
      <c r="G29" s="185">
        <v>0.125</v>
      </c>
      <c r="H29" s="183" t="s">
        <v>855</v>
      </c>
      <c r="I29" s="185">
        <v>0.025</v>
      </c>
      <c r="J29" s="185">
        <v>0.05</v>
      </c>
      <c r="K29" s="185">
        <v>0.025</v>
      </c>
      <c r="L29" s="185">
        <v>0.025</v>
      </c>
      <c r="M29" s="185">
        <v>0.025</v>
      </c>
      <c r="N29" s="183" t="s">
        <v>17</v>
      </c>
      <c r="O29" s="186">
        <v>0.05</v>
      </c>
      <c r="P29" s="182" t="str">
        <f>VLOOKUP(C:C,'Loose Fitting'!A:A,1,0)</f>
        <v>#N/A</v>
      </c>
    </row>
    <row r="30">
      <c r="A30" s="190">
        <v>137971.0</v>
      </c>
      <c r="B30" s="178" t="s">
        <v>1096</v>
      </c>
      <c r="C30" s="183" t="s">
        <v>473</v>
      </c>
      <c r="D30" s="179">
        <v>112.0</v>
      </c>
      <c r="E30" s="179">
        <v>121.0</v>
      </c>
      <c r="F30" s="179">
        <v>7.0</v>
      </c>
      <c r="G30" s="180">
        <v>0.058</v>
      </c>
      <c r="H30" s="178" t="s">
        <v>855</v>
      </c>
      <c r="I30" s="180">
        <v>0.0242</v>
      </c>
      <c r="J30" s="180">
        <v>0.0323</v>
      </c>
      <c r="K30" s="180">
        <v>0.0161</v>
      </c>
      <c r="L30" s="180">
        <v>0.0242</v>
      </c>
      <c r="M30" s="180">
        <v>0.0</v>
      </c>
      <c r="N30" s="178" t="s">
        <v>17</v>
      </c>
      <c r="O30" s="181">
        <v>0.0323</v>
      </c>
      <c r="P30" s="182" t="str">
        <f>VLOOKUP(C:C,'Loose Fitting'!A:A,1,0)</f>
        <v>#N/A</v>
      </c>
    </row>
    <row r="31">
      <c r="A31" s="194">
        <v>240000.0</v>
      </c>
      <c r="B31" s="183" t="s">
        <v>882</v>
      </c>
      <c r="C31" s="240" t="s">
        <v>387</v>
      </c>
      <c r="D31" s="184">
        <v>50.0</v>
      </c>
      <c r="E31" s="184">
        <v>41.0</v>
      </c>
      <c r="F31" s="184">
        <v>9.0</v>
      </c>
      <c r="G31" s="185">
        <v>0.22</v>
      </c>
      <c r="H31" s="183" t="s">
        <v>855</v>
      </c>
      <c r="I31" s="185">
        <v>0.02</v>
      </c>
      <c r="J31" s="185">
        <v>0.14</v>
      </c>
      <c r="K31" s="185">
        <v>0.08</v>
      </c>
      <c r="L31" s="185">
        <v>0.08</v>
      </c>
      <c r="M31" s="185">
        <v>0.02</v>
      </c>
      <c r="N31" s="183" t="s">
        <v>17</v>
      </c>
      <c r="O31" s="186">
        <v>0.14</v>
      </c>
      <c r="P31" s="182" t="str">
        <f>VLOOKUP(C:C,'Loose Fitting'!A:A,1,0)</f>
        <v>#N/A</v>
      </c>
    </row>
    <row r="32">
      <c r="A32" s="190">
        <v>242143.0</v>
      </c>
      <c r="B32" s="178" t="s">
        <v>1097</v>
      </c>
      <c r="C32" s="183" t="s">
        <v>474</v>
      </c>
      <c r="D32" s="179">
        <v>56.0</v>
      </c>
      <c r="E32" s="179">
        <v>51.0</v>
      </c>
      <c r="F32" s="179">
        <v>9.0</v>
      </c>
      <c r="G32" s="180">
        <v>0.176</v>
      </c>
      <c r="H32" s="178" t="s">
        <v>855</v>
      </c>
      <c r="I32" s="180">
        <v>0.0175</v>
      </c>
      <c r="J32" s="180">
        <v>0.1053</v>
      </c>
      <c r="K32" s="180">
        <v>0.0351</v>
      </c>
      <c r="L32" s="180">
        <v>0.0702</v>
      </c>
      <c r="M32" s="180">
        <v>0.0</v>
      </c>
      <c r="N32" s="178" t="s">
        <v>17</v>
      </c>
      <c r="O32" s="181">
        <v>0.1053</v>
      </c>
      <c r="P32" s="182" t="str">
        <f>VLOOKUP(C:C,'Loose Fitting'!A:A,1,0)</f>
        <v>#N/A</v>
      </c>
    </row>
    <row r="33">
      <c r="A33" s="194">
        <v>242138.0</v>
      </c>
      <c r="B33" s="183" t="s">
        <v>1098</v>
      </c>
      <c r="C33" s="183" t="s">
        <v>361</v>
      </c>
      <c r="D33" s="184">
        <v>163.0</v>
      </c>
      <c r="E33" s="184">
        <v>156.0</v>
      </c>
      <c r="F33" s="184">
        <v>11.0</v>
      </c>
      <c r="G33" s="185">
        <v>0.071</v>
      </c>
      <c r="H33" s="183" t="s">
        <v>855</v>
      </c>
      <c r="I33" s="185">
        <v>0.0122</v>
      </c>
      <c r="J33" s="185">
        <v>0.0427</v>
      </c>
      <c r="K33" s="185">
        <v>0.0122</v>
      </c>
      <c r="L33" s="185">
        <v>0.0305</v>
      </c>
      <c r="M33" s="185">
        <v>0.0061</v>
      </c>
      <c r="N33" s="183" t="s">
        <v>17</v>
      </c>
      <c r="O33" s="186">
        <v>0.0427</v>
      </c>
      <c r="P33" s="182" t="str">
        <f>VLOOKUP(C:C,'Loose Fitting'!A:A,1,0)</f>
        <v>#N/A</v>
      </c>
    </row>
    <row r="34">
      <c r="A34" s="190">
        <v>234793.0</v>
      </c>
      <c r="B34" s="178" t="s">
        <v>1099</v>
      </c>
      <c r="C34" s="240" t="s">
        <v>252</v>
      </c>
      <c r="D34" s="179">
        <v>26.0</v>
      </c>
      <c r="E34" s="179">
        <v>26.0</v>
      </c>
      <c r="F34" s="179">
        <v>18.0</v>
      </c>
      <c r="G34" s="180">
        <v>0.692</v>
      </c>
      <c r="H34" s="178" t="s">
        <v>855</v>
      </c>
      <c r="I34" s="180">
        <v>0.0</v>
      </c>
      <c r="J34" s="180">
        <v>0.6</v>
      </c>
      <c r="K34" s="180">
        <v>0.0</v>
      </c>
      <c r="L34" s="180">
        <v>0.0</v>
      </c>
      <c r="M34" s="180">
        <v>0.0</v>
      </c>
      <c r="N34" s="178" t="s">
        <v>17</v>
      </c>
      <c r="O34" s="181">
        <v>0.6</v>
      </c>
      <c r="P34" s="182" t="str">
        <f>VLOOKUP(C:C,'Loose Fitting'!A:A,1,0)</f>
        <v>#N/A</v>
      </c>
    </row>
    <row r="35">
      <c r="A35" s="194">
        <v>234791.0</v>
      </c>
      <c r="B35" s="183" t="s">
        <v>1100</v>
      </c>
      <c r="C35" s="240" t="s">
        <v>924</v>
      </c>
      <c r="D35" s="184">
        <v>15.0</v>
      </c>
      <c r="E35" s="184">
        <v>8.0</v>
      </c>
      <c r="F35" s="184">
        <v>8.0</v>
      </c>
      <c r="G35" s="185">
        <v>1.0</v>
      </c>
      <c r="H35" s="183" t="s">
        <v>855</v>
      </c>
      <c r="I35" s="185">
        <v>0.0</v>
      </c>
      <c r="J35" s="185">
        <v>0.7143</v>
      </c>
      <c r="K35" s="185">
        <v>0.0</v>
      </c>
      <c r="L35" s="185">
        <v>0.0571</v>
      </c>
      <c r="M35" s="185">
        <v>0.0286</v>
      </c>
      <c r="N35" s="183" t="s">
        <v>17</v>
      </c>
      <c r="O35" s="186">
        <v>0.7143</v>
      </c>
      <c r="P35" s="182" t="str">
        <f>VLOOKUP(C:C,'Loose Fitting'!A:A,1,0)</f>
        <v>#N/A</v>
      </c>
    </row>
    <row r="36">
      <c r="A36" s="190">
        <v>239999.0</v>
      </c>
      <c r="B36" s="178" t="s">
        <v>881</v>
      </c>
      <c r="C36" s="240" t="s">
        <v>426</v>
      </c>
      <c r="D36" s="179">
        <v>21.0</v>
      </c>
      <c r="E36" s="179">
        <v>13.0</v>
      </c>
      <c r="F36" s="179">
        <v>6.0</v>
      </c>
      <c r="G36" s="180">
        <v>0.462</v>
      </c>
      <c r="H36" s="178" t="s">
        <v>855</v>
      </c>
      <c r="I36" s="180">
        <v>0.1053</v>
      </c>
      <c r="J36" s="180">
        <v>0.1579</v>
      </c>
      <c r="K36" s="180">
        <v>0.0526</v>
      </c>
      <c r="L36" s="180">
        <v>0.1579</v>
      </c>
      <c r="M36" s="180">
        <v>0.0</v>
      </c>
      <c r="N36" s="178" t="s">
        <v>925</v>
      </c>
      <c r="O36" s="181">
        <v>0.1579</v>
      </c>
      <c r="P36" s="182" t="str">
        <f>VLOOKUP(C:C,'Loose Fitting'!A:A,1,0)</f>
        <v>#N/A</v>
      </c>
    </row>
    <row r="37">
      <c r="A37" s="194">
        <v>244798.0</v>
      </c>
      <c r="B37" s="183" t="s">
        <v>1101</v>
      </c>
      <c r="C37" s="183" t="s">
        <v>129</v>
      </c>
      <c r="D37" s="184">
        <v>14.0</v>
      </c>
      <c r="E37" s="184">
        <v>13.0</v>
      </c>
      <c r="F37" s="184">
        <v>10.0</v>
      </c>
      <c r="G37" s="185">
        <v>0.769</v>
      </c>
      <c r="H37" s="183" t="s">
        <v>855</v>
      </c>
      <c r="I37" s="185">
        <v>0.1111</v>
      </c>
      <c r="J37" s="185">
        <v>0.0556</v>
      </c>
      <c r="K37" s="185">
        <v>0.0556</v>
      </c>
      <c r="L37" s="185">
        <v>0.1111</v>
      </c>
      <c r="M37" s="185">
        <v>0.3889</v>
      </c>
      <c r="N37" s="183" t="s">
        <v>323</v>
      </c>
      <c r="O37" s="186">
        <v>0.3889</v>
      </c>
      <c r="P37" s="182" t="str">
        <f>VLOOKUP(C:C,'Loose Fitting'!A:A,1,0)</f>
        <v>#N/A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6" t="s">
        <v>848</v>
      </c>
      <c r="B1" s="176" t="s">
        <v>849</v>
      </c>
      <c r="C1" s="176" t="s">
        <v>850</v>
      </c>
      <c r="D1" s="176" t="s">
        <v>851</v>
      </c>
      <c r="E1" s="176" t="s">
        <v>852</v>
      </c>
      <c r="F1" s="176" t="s">
        <v>853</v>
      </c>
      <c r="G1" s="176" t="s">
        <v>32</v>
      </c>
      <c r="H1" s="176" t="s">
        <v>17</v>
      </c>
      <c r="I1" s="176" t="s">
        <v>124</v>
      </c>
      <c r="J1" s="176" t="s">
        <v>323</v>
      </c>
      <c r="K1" s="176" t="s">
        <v>392</v>
      </c>
      <c r="L1" s="176" t="s">
        <v>3</v>
      </c>
      <c r="M1" s="177" t="s">
        <v>4</v>
      </c>
    </row>
    <row r="2">
      <c r="A2" s="178" t="s">
        <v>429</v>
      </c>
      <c r="B2" s="179">
        <v>19.0</v>
      </c>
      <c r="C2" s="179">
        <v>16.0</v>
      </c>
      <c r="D2" s="179">
        <v>3.0</v>
      </c>
      <c r="E2" s="180">
        <v>0.188</v>
      </c>
      <c r="F2" s="178" t="s">
        <v>855</v>
      </c>
      <c r="G2" s="180">
        <v>0.1875</v>
      </c>
      <c r="H2" s="180">
        <v>0.0</v>
      </c>
      <c r="I2" s="180">
        <v>0.0</v>
      </c>
      <c r="J2" s="180">
        <v>0.0</v>
      </c>
      <c r="K2" s="180">
        <v>0.0625</v>
      </c>
      <c r="L2" s="178" t="s">
        <v>32</v>
      </c>
      <c r="M2" s="181">
        <v>0.1875</v>
      </c>
    </row>
    <row r="3">
      <c r="A3" s="183" t="s">
        <v>420</v>
      </c>
      <c r="B3" s="184">
        <v>43.0</v>
      </c>
      <c r="C3" s="184">
        <v>41.0</v>
      </c>
      <c r="D3" s="184">
        <v>6.0</v>
      </c>
      <c r="E3" s="185">
        <v>0.146</v>
      </c>
      <c r="F3" s="183" t="s">
        <v>855</v>
      </c>
      <c r="G3" s="185">
        <v>0.119</v>
      </c>
      <c r="H3" s="185">
        <v>0.0</v>
      </c>
      <c r="I3" s="185">
        <v>0.0238</v>
      </c>
      <c r="J3" s="185">
        <v>0.0</v>
      </c>
      <c r="K3" s="185">
        <v>0.0952</v>
      </c>
      <c r="L3" s="183" t="s">
        <v>32</v>
      </c>
      <c r="M3" s="186">
        <v>0.119</v>
      </c>
    </row>
    <row r="4">
      <c r="A4" s="178" t="s">
        <v>430</v>
      </c>
      <c r="B4" s="179">
        <v>54.0</v>
      </c>
      <c r="C4" s="179">
        <v>52.0</v>
      </c>
      <c r="D4" s="179">
        <v>5.0</v>
      </c>
      <c r="E4" s="180">
        <v>0.096</v>
      </c>
      <c r="F4" s="178" t="s">
        <v>855</v>
      </c>
      <c r="G4" s="180">
        <v>0.0962</v>
      </c>
      <c r="H4" s="180">
        <v>0.0</v>
      </c>
      <c r="I4" s="180">
        <v>0.0</v>
      </c>
      <c r="J4" s="180">
        <v>0.0</v>
      </c>
      <c r="K4" s="180">
        <v>0.0385</v>
      </c>
      <c r="L4" s="178" t="s">
        <v>32</v>
      </c>
      <c r="M4" s="181">
        <v>0.0962</v>
      </c>
    </row>
    <row r="5">
      <c r="A5" s="183" t="s">
        <v>431</v>
      </c>
      <c r="B5" s="184">
        <v>53.0</v>
      </c>
      <c r="C5" s="184">
        <v>52.0</v>
      </c>
      <c r="D5" s="184">
        <v>5.0</v>
      </c>
      <c r="E5" s="185">
        <v>0.096</v>
      </c>
      <c r="F5" s="183" t="s">
        <v>855</v>
      </c>
      <c r="G5" s="185">
        <v>0.0943</v>
      </c>
      <c r="H5" s="185">
        <v>0.0</v>
      </c>
      <c r="I5" s="185">
        <v>0.0</v>
      </c>
      <c r="J5" s="185">
        <v>0.0</v>
      </c>
      <c r="K5" s="185">
        <v>0.0189</v>
      </c>
      <c r="L5" s="183" t="s">
        <v>32</v>
      </c>
      <c r="M5" s="186">
        <v>0.0943</v>
      </c>
    </row>
    <row r="6">
      <c r="A6" s="178" t="s">
        <v>379</v>
      </c>
      <c r="B6" s="179">
        <v>32.0</v>
      </c>
      <c r="C6" s="179">
        <v>31.0</v>
      </c>
      <c r="D6" s="179">
        <v>3.0</v>
      </c>
      <c r="E6" s="180">
        <v>0.097</v>
      </c>
      <c r="F6" s="178" t="s">
        <v>855</v>
      </c>
      <c r="G6" s="180">
        <v>0.0909</v>
      </c>
      <c r="H6" s="180">
        <v>0.0</v>
      </c>
      <c r="I6" s="180">
        <v>0.0</v>
      </c>
      <c r="J6" s="180">
        <v>0.0</v>
      </c>
      <c r="K6" s="180">
        <v>0.0606</v>
      </c>
      <c r="L6" s="178" t="s">
        <v>32</v>
      </c>
      <c r="M6" s="181">
        <v>0.0909</v>
      </c>
    </row>
    <row r="7">
      <c r="A7" s="183" t="s">
        <v>432</v>
      </c>
      <c r="B7" s="184">
        <v>52.0</v>
      </c>
      <c r="C7" s="184">
        <v>53.0</v>
      </c>
      <c r="D7" s="184">
        <v>3.0</v>
      </c>
      <c r="E7" s="185">
        <v>0.057</v>
      </c>
      <c r="F7" s="183" t="s">
        <v>855</v>
      </c>
      <c r="G7" s="185">
        <v>0.0566</v>
      </c>
      <c r="H7" s="185">
        <v>0.0</v>
      </c>
      <c r="I7" s="185">
        <v>0.0</v>
      </c>
      <c r="J7" s="185">
        <v>0.0</v>
      </c>
      <c r="K7" s="185">
        <v>0.0377</v>
      </c>
      <c r="L7" s="183" t="s">
        <v>32</v>
      </c>
      <c r="M7" s="186">
        <v>0.0566</v>
      </c>
    </row>
    <row r="8">
      <c r="A8" s="178" t="s">
        <v>413</v>
      </c>
      <c r="B8" s="179">
        <v>38.0</v>
      </c>
      <c r="C8" s="179">
        <v>37.0</v>
      </c>
      <c r="D8" s="179">
        <v>4.0</v>
      </c>
      <c r="E8" s="180">
        <v>0.108</v>
      </c>
      <c r="F8" s="178" t="s">
        <v>855</v>
      </c>
      <c r="G8" s="180">
        <v>0.0541</v>
      </c>
      <c r="H8" s="180">
        <v>0.027</v>
      </c>
      <c r="I8" s="180">
        <v>0.027</v>
      </c>
      <c r="J8" s="180">
        <v>0.0</v>
      </c>
      <c r="K8" s="180">
        <v>0.0</v>
      </c>
      <c r="L8" s="178" t="s">
        <v>32</v>
      </c>
      <c r="M8" s="181">
        <v>0.0541</v>
      </c>
    </row>
    <row r="9">
      <c r="A9" s="183" t="s">
        <v>433</v>
      </c>
      <c r="B9" s="184">
        <v>79.0</v>
      </c>
      <c r="C9" s="184">
        <v>79.0</v>
      </c>
      <c r="D9" s="184">
        <v>4.0</v>
      </c>
      <c r="E9" s="185">
        <v>0.051</v>
      </c>
      <c r="F9" s="183" t="s">
        <v>855</v>
      </c>
      <c r="G9" s="185">
        <v>0.038</v>
      </c>
      <c r="H9" s="185">
        <v>0.0</v>
      </c>
      <c r="I9" s="185">
        <v>0.0127</v>
      </c>
      <c r="J9" s="185">
        <v>0.0</v>
      </c>
      <c r="K9" s="185">
        <v>0.0253</v>
      </c>
      <c r="L9" s="183" t="s">
        <v>32</v>
      </c>
      <c r="M9" s="186">
        <v>0.038</v>
      </c>
    </row>
    <row r="10">
      <c r="A10" s="178" t="s">
        <v>434</v>
      </c>
      <c r="B10" s="179">
        <v>55.0</v>
      </c>
      <c r="C10" s="179">
        <v>52.0</v>
      </c>
      <c r="D10" s="179">
        <v>3.0</v>
      </c>
      <c r="E10" s="180">
        <v>0.058</v>
      </c>
      <c r="F10" s="178" t="s">
        <v>855</v>
      </c>
      <c r="G10" s="180">
        <v>0.037</v>
      </c>
      <c r="H10" s="180">
        <v>0.0</v>
      </c>
      <c r="I10" s="180">
        <v>0.0185</v>
      </c>
      <c r="J10" s="180">
        <v>0.0</v>
      </c>
      <c r="K10" s="180">
        <v>0.0</v>
      </c>
      <c r="L10" s="178" t="s">
        <v>32</v>
      </c>
      <c r="M10" s="181">
        <v>0.037</v>
      </c>
    </row>
    <row r="11">
      <c r="A11" s="183" t="s">
        <v>435</v>
      </c>
      <c r="B11" s="184">
        <v>28.0</v>
      </c>
      <c r="C11" s="184">
        <v>28.0</v>
      </c>
      <c r="D11" s="184">
        <v>3.0</v>
      </c>
      <c r="E11" s="185">
        <v>0.107</v>
      </c>
      <c r="F11" s="183" t="s">
        <v>855</v>
      </c>
      <c r="G11" s="185">
        <v>0.0714</v>
      </c>
      <c r="H11" s="185">
        <v>0.0</v>
      </c>
      <c r="I11" s="185">
        <v>0.0714</v>
      </c>
      <c r="J11" s="185">
        <v>0.0</v>
      </c>
      <c r="K11" s="185">
        <v>0.0</v>
      </c>
      <c r="L11" s="183" t="s">
        <v>307</v>
      </c>
      <c r="M11" s="186">
        <v>0.0714</v>
      </c>
    </row>
    <row r="12">
      <c r="A12" s="178" t="s">
        <v>436</v>
      </c>
      <c r="B12" s="179">
        <v>64.0</v>
      </c>
      <c r="C12" s="179">
        <v>61.0</v>
      </c>
      <c r="D12" s="179">
        <v>4.0</v>
      </c>
      <c r="E12" s="180">
        <v>0.066</v>
      </c>
      <c r="F12" s="178" t="s">
        <v>855</v>
      </c>
      <c r="G12" s="180">
        <v>0.0625</v>
      </c>
      <c r="H12" s="180">
        <v>0.0</v>
      </c>
      <c r="I12" s="180">
        <v>0.0313</v>
      </c>
      <c r="J12" s="180">
        <v>0.0</v>
      </c>
      <c r="K12" s="180">
        <v>0.0625</v>
      </c>
      <c r="L12" s="178" t="s">
        <v>382</v>
      </c>
      <c r="M12" s="181">
        <v>0.0625</v>
      </c>
    </row>
    <row r="13">
      <c r="A13" s="183" t="s">
        <v>437</v>
      </c>
      <c r="B13" s="184">
        <v>49.0</v>
      </c>
      <c r="C13" s="184">
        <v>47.0</v>
      </c>
      <c r="D13" s="184">
        <v>3.0</v>
      </c>
      <c r="E13" s="185">
        <v>0.064</v>
      </c>
      <c r="F13" s="183" t="s">
        <v>855</v>
      </c>
      <c r="G13" s="185">
        <v>0.0417</v>
      </c>
      <c r="H13" s="185">
        <v>0.0</v>
      </c>
      <c r="I13" s="185">
        <v>0.0</v>
      </c>
      <c r="J13" s="185">
        <v>0.0208</v>
      </c>
      <c r="K13" s="185">
        <v>0.0417</v>
      </c>
      <c r="L13" s="183" t="s">
        <v>382</v>
      </c>
      <c r="M13" s="186">
        <v>0.0417</v>
      </c>
    </row>
    <row r="14">
      <c r="A14" s="178" t="s">
        <v>438</v>
      </c>
      <c r="B14" s="179">
        <v>23.0</v>
      </c>
      <c r="C14" s="179">
        <v>23.0</v>
      </c>
      <c r="D14" s="179">
        <v>3.0</v>
      </c>
      <c r="E14" s="180">
        <v>0.13</v>
      </c>
      <c r="F14" s="178" t="s">
        <v>855</v>
      </c>
      <c r="G14" s="180">
        <v>0.0435</v>
      </c>
      <c r="H14" s="180">
        <v>0.0</v>
      </c>
      <c r="I14" s="180">
        <v>0.1304</v>
      </c>
      <c r="J14" s="180">
        <v>0.0</v>
      </c>
      <c r="K14" s="180">
        <v>0.0</v>
      </c>
      <c r="L14" s="178" t="s">
        <v>439</v>
      </c>
      <c r="M14" s="181">
        <v>0.1304</v>
      </c>
    </row>
    <row r="15">
      <c r="A15" s="183" t="s">
        <v>298</v>
      </c>
      <c r="B15" s="184">
        <v>80.0</v>
      </c>
      <c r="C15" s="184">
        <v>66.0</v>
      </c>
      <c r="D15" s="184">
        <v>14.0</v>
      </c>
      <c r="E15" s="185">
        <v>0.212</v>
      </c>
      <c r="F15" s="183" t="s">
        <v>855</v>
      </c>
      <c r="G15" s="185">
        <v>0.0519</v>
      </c>
      <c r="H15" s="185">
        <v>0.013</v>
      </c>
      <c r="I15" s="185">
        <v>0.1299</v>
      </c>
      <c r="J15" s="185">
        <v>0.0</v>
      </c>
      <c r="K15" s="185">
        <v>0.0779</v>
      </c>
      <c r="L15" s="183" t="s">
        <v>439</v>
      </c>
      <c r="M15" s="186">
        <v>0.1299</v>
      </c>
    </row>
    <row r="16">
      <c r="A16" s="178" t="s">
        <v>200</v>
      </c>
      <c r="B16" s="179">
        <v>8.0</v>
      </c>
      <c r="C16" s="179">
        <v>7.0</v>
      </c>
      <c r="D16" s="179">
        <v>6.0</v>
      </c>
      <c r="E16" s="180">
        <v>0.857</v>
      </c>
      <c r="F16" s="178" t="s">
        <v>855</v>
      </c>
      <c r="G16" s="180">
        <v>0.0</v>
      </c>
      <c r="H16" s="180">
        <v>0.6364</v>
      </c>
      <c r="I16" s="180">
        <v>0.0</v>
      </c>
      <c r="J16" s="180">
        <v>0.0</v>
      </c>
      <c r="K16" s="180">
        <v>0.0</v>
      </c>
      <c r="L16" s="178" t="s">
        <v>17</v>
      </c>
      <c r="M16" s="181">
        <v>0.6364</v>
      </c>
    </row>
    <row r="17">
      <c r="A17" s="183" t="s">
        <v>424</v>
      </c>
      <c r="B17" s="184">
        <v>10.0</v>
      </c>
      <c r="C17" s="184">
        <v>5.0</v>
      </c>
      <c r="D17" s="184">
        <v>4.0</v>
      </c>
      <c r="E17" s="185">
        <v>0.8</v>
      </c>
      <c r="F17" s="183" t="s">
        <v>855</v>
      </c>
      <c r="G17" s="185">
        <v>0.1429</v>
      </c>
      <c r="H17" s="185">
        <v>0.4286</v>
      </c>
      <c r="I17" s="185">
        <v>0.0</v>
      </c>
      <c r="J17" s="185">
        <v>0.0</v>
      </c>
      <c r="K17" s="185">
        <v>0.0</v>
      </c>
      <c r="L17" s="183" t="s">
        <v>17</v>
      </c>
      <c r="M17" s="186">
        <v>0.4286</v>
      </c>
    </row>
    <row r="18">
      <c r="A18" s="178" t="s">
        <v>440</v>
      </c>
      <c r="B18" s="179">
        <v>16.0</v>
      </c>
      <c r="C18" s="179">
        <v>15.0</v>
      </c>
      <c r="D18" s="179">
        <v>3.0</v>
      </c>
      <c r="E18" s="180">
        <v>0.2</v>
      </c>
      <c r="F18" s="178" t="s">
        <v>855</v>
      </c>
      <c r="G18" s="180">
        <v>0.0</v>
      </c>
      <c r="H18" s="180">
        <v>0.381</v>
      </c>
      <c r="I18" s="180">
        <v>0.0</v>
      </c>
      <c r="J18" s="180">
        <v>0.0</v>
      </c>
      <c r="K18" s="180">
        <v>0.0</v>
      </c>
      <c r="L18" s="178" t="s">
        <v>17</v>
      </c>
      <c r="M18" s="181">
        <v>0.381</v>
      </c>
    </row>
    <row r="19">
      <c r="A19" s="183" t="s">
        <v>441</v>
      </c>
      <c r="B19" s="184">
        <v>5.0</v>
      </c>
      <c r="C19" s="184">
        <v>10.0</v>
      </c>
      <c r="D19" s="184">
        <v>8.0</v>
      </c>
      <c r="E19" s="185">
        <v>0.8</v>
      </c>
      <c r="F19" s="183" t="s">
        <v>855</v>
      </c>
      <c r="G19" s="185">
        <v>0.0</v>
      </c>
      <c r="H19" s="185">
        <v>0.2414</v>
      </c>
      <c r="I19" s="185">
        <v>0.0</v>
      </c>
      <c r="J19" s="185">
        <v>0.0345</v>
      </c>
      <c r="K19" s="185">
        <v>0.0</v>
      </c>
      <c r="L19" s="183" t="s">
        <v>17</v>
      </c>
      <c r="M19" s="186">
        <v>0.2414</v>
      </c>
    </row>
    <row r="20">
      <c r="A20" s="178" t="s">
        <v>370</v>
      </c>
      <c r="B20" s="179">
        <v>17.0</v>
      </c>
      <c r="C20" s="179">
        <v>15.0</v>
      </c>
      <c r="D20" s="179">
        <v>5.0</v>
      </c>
      <c r="E20" s="180">
        <v>0.333</v>
      </c>
      <c r="F20" s="178" t="s">
        <v>855</v>
      </c>
      <c r="G20" s="180">
        <v>0.0</v>
      </c>
      <c r="H20" s="180">
        <v>0.2</v>
      </c>
      <c r="I20" s="180">
        <v>0.0667</v>
      </c>
      <c r="J20" s="180">
        <v>0.0667</v>
      </c>
      <c r="K20" s="180">
        <v>0.0</v>
      </c>
      <c r="L20" s="178" t="s">
        <v>17</v>
      </c>
      <c r="M20" s="181">
        <v>0.2</v>
      </c>
    </row>
    <row r="21">
      <c r="A21" s="183" t="s">
        <v>329</v>
      </c>
      <c r="B21" s="184">
        <v>24.0</v>
      </c>
      <c r="C21" s="184">
        <v>20.0</v>
      </c>
      <c r="D21" s="184">
        <v>3.0</v>
      </c>
      <c r="E21" s="185">
        <v>0.15</v>
      </c>
      <c r="F21" s="183" t="s">
        <v>855</v>
      </c>
      <c r="G21" s="185">
        <v>0.0</v>
      </c>
      <c r="H21" s="185">
        <v>0.15</v>
      </c>
      <c r="I21" s="185">
        <v>0.0</v>
      </c>
      <c r="J21" s="185">
        <v>0.0</v>
      </c>
      <c r="K21" s="185">
        <v>0.0</v>
      </c>
      <c r="L21" s="183" t="s">
        <v>17</v>
      </c>
      <c r="M21" s="186">
        <v>0.15</v>
      </c>
    </row>
    <row r="22">
      <c r="A22" s="178" t="s">
        <v>442</v>
      </c>
      <c r="B22" s="179">
        <v>22.0</v>
      </c>
      <c r="C22" s="179">
        <v>23.0</v>
      </c>
      <c r="D22" s="179">
        <v>3.0</v>
      </c>
      <c r="E22" s="180">
        <v>0.13</v>
      </c>
      <c r="F22" s="178" t="s">
        <v>855</v>
      </c>
      <c r="G22" s="180">
        <v>0.0</v>
      </c>
      <c r="H22" s="180">
        <v>0.1304</v>
      </c>
      <c r="I22" s="180">
        <v>0.0</v>
      </c>
      <c r="J22" s="180">
        <v>0.0</v>
      </c>
      <c r="K22" s="180">
        <v>0.0435</v>
      </c>
      <c r="L22" s="178" t="s">
        <v>17</v>
      </c>
      <c r="M22" s="181">
        <v>0.1304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9.38"/>
  </cols>
  <sheetData>
    <row r="1">
      <c r="A1" s="176" t="s">
        <v>848</v>
      </c>
      <c r="B1" s="176" t="s">
        <v>849</v>
      </c>
      <c r="C1" s="176" t="s">
        <v>850</v>
      </c>
      <c r="D1" s="176" t="s">
        <v>851</v>
      </c>
      <c r="E1" s="176" t="s">
        <v>852</v>
      </c>
      <c r="F1" s="176" t="s">
        <v>853</v>
      </c>
      <c r="G1" s="176" t="s">
        <v>3</v>
      </c>
      <c r="H1" s="177" t="s">
        <v>4</v>
      </c>
    </row>
    <row r="2">
      <c r="A2" s="178" t="s">
        <v>298</v>
      </c>
      <c r="B2" s="179">
        <v>7.0</v>
      </c>
      <c r="C2" s="179">
        <v>9.0</v>
      </c>
      <c r="D2" s="179">
        <v>4.0</v>
      </c>
      <c r="E2" s="180">
        <v>0.444</v>
      </c>
      <c r="F2" s="178" t="s">
        <v>855</v>
      </c>
      <c r="G2" s="178" t="s">
        <v>32</v>
      </c>
      <c r="H2" s="181">
        <v>0.0972</v>
      </c>
    </row>
    <row r="3">
      <c r="A3" s="183" t="s">
        <v>414</v>
      </c>
      <c r="B3" s="184">
        <v>26.0</v>
      </c>
      <c r="C3" s="184">
        <v>23.0</v>
      </c>
      <c r="D3" s="184">
        <v>6.0</v>
      </c>
      <c r="E3" s="185">
        <v>0.261</v>
      </c>
      <c r="F3" s="183" t="s">
        <v>855</v>
      </c>
      <c r="G3" s="183" t="s">
        <v>32</v>
      </c>
      <c r="H3" s="186">
        <v>0.16</v>
      </c>
    </row>
    <row r="4">
      <c r="A4" s="178" t="s">
        <v>262</v>
      </c>
      <c r="B4" s="179">
        <v>42.0</v>
      </c>
      <c r="C4" s="179">
        <v>38.0</v>
      </c>
      <c r="D4" s="179">
        <v>9.0</v>
      </c>
      <c r="E4" s="180">
        <v>0.237</v>
      </c>
      <c r="F4" s="178" t="s">
        <v>855</v>
      </c>
      <c r="G4" s="178" t="s">
        <v>32</v>
      </c>
      <c r="H4" s="181">
        <v>0.1333</v>
      </c>
    </row>
    <row r="5">
      <c r="A5" s="183" t="s">
        <v>250</v>
      </c>
      <c r="B5" s="184">
        <v>56.0</v>
      </c>
      <c r="C5" s="184">
        <v>54.0</v>
      </c>
      <c r="D5" s="184">
        <v>5.0</v>
      </c>
      <c r="E5" s="185">
        <v>0.093</v>
      </c>
      <c r="F5" s="183" t="s">
        <v>855</v>
      </c>
      <c r="G5" s="183" t="s">
        <v>32</v>
      </c>
      <c r="H5" s="186">
        <v>0.0556</v>
      </c>
    </row>
    <row r="6">
      <c r="A6" s="178" t="s">
        <v>415</v>
      </c>
      <c r="B6" s="179">
        <v>66.0</v>
      </c>
      <c r="C6" s="179">
        <v>62.0</v>
      </c>
      <c r="D6" s="179">
        <v>4.0</v>
      </c>
      <c r="E6" s="180">
        <v>0.065</v>
      </c>
      <c r="F6" s="178" t="s">
        <v>855</v>
      </c>
      <c r="G6" s="178" t="s">
        <v>32</v>
      </c>
      <c r="H6" s="181">
        <v>0.0476</v>
      </c>
    </row>
    <row r="7">
      <c r="A7" s="183" t="s">
        <v>384</v>
      </c>
      <c r="B7" s="184">
        <v>71.0</v>
      </c>
      <c r="C7" s="184">
        <v>65.0</v>
      </c>
      <c r="D7" s="184">
        <v>4.0</v>
      </c>
      <c r="E7" s="185">
        <v>0.062</v>
      </c>
      <c r="F7" s="183" t="s">
        <v>855</v>
      </c>
      <c r="G7" s="183" t="s">
        <v>32</v>
      </c>
      <c r="H7" s="186">
        <v>0.0448</v>
      </c>
    </row>
    <row r="8">
      <c r="A8" s="178" t="s">
        <v>416</v>
      </c>
      <c r="B8" s="179">
        <v>65.0</v>
      </c>
      <c r="C8" s="179">
        <v>65.0</v>
      </c>
      <c r="D8" s="179">
        <v>4.0</v>
      </c>
      <c r="E8" s="180">
        <v>0.062</v>
      </c>
      <c r="F8" s="178" t="s">
        <v>855</v>
      </c>
      <c r="G8" s="178" t="s">
        <v>32</v>
      </c>
      <c r="H8" s="181">
        <v>0.0615</v>
      </c>
    </row>
    <row r="9">
      <c r="A9" s="183" t="s">
        <v>417</v>
      </c>
      <c r="B9" s="184">
        <v>106.0</v>
      </c>
      <c r="C9" s="184">
        <v>102.0</v>
      </c>
      <c r="D9" s="184">
        <v>6.0</v>
      </c>
      <c r="E9" s="185">
        <v>0.059</v>
      </c>
      <c r="F9" s="183" t="s">
        <v>855</v>
      </c>
      <c r="G9" s="183" t="s">
        <v>32</v>
      </c>
      <c r="H9" s="186">
        <v>0.049</v>
      </c>
    </row>
    <row r="10">
      <c r="A10" s="178" t="s">
        <v>354</v>
      </c>
      <c r="B10" s="179">
        <v>9.0</v>
      </c>
      <c r="C10" s="179">
        <v>8.0</v>
      </c>
      <c r="D10" s="179">
        <v>6.0</v>
      </c>
      <c r="E10" s="180">
        <v>0.75</v>
      </c>
      <c r="F10" s="178" t="s">
        <v>855</v>
      </c>
      <c r="G10" s="178" t="s">
        <v>307</v>
      </c>
      <c r="H10" s="181">
        <v>0.3333</v>
      </c>
    </row>
    <row r="11">
      <c r="A11" s="183" t="s">
        <v>298</v>
      </c>
      <c r="B11" s="184">
        <v>72.0</v>
      </c>
      <c r="C11" s="184">
        <v>71.0</v>
      </c>
      <c r="D11" s="184">
        <v>14.0</v>
      </c>
      <c r="E11" s="185">
        <v>0.197</v>
      </c>
      <c r="F11" s="183" t="s">
        <v>855</v>
      </c>
      <c r="G11" s="183" t="s">
        <v>307</v>
      </c>
      <c r="H11" s="186">
        <v>0.0972</v>
      </c>
    </row>
    <row r="12">
      <c r="A12" s="178" t="s">
        <v>418</v>
      </c>
      <c r="B12" s="179">
        <v>27.0</v>
      </c>
      <c r="C12" s="179">
        <v>28.0</v>
      </c>
      <c r="D12" s="179">
        <v>4.0</v>
      </c>
      <c r="E12" s="180">
        <v>0.143</v>
      </c>
      <c r="F12" s="178" t="s">
        <v>855</v>
      </c>
      <c r="G12" s="178" t="s">
        <v>382</v>
      </c>
      <c r="H12" s="181">
        <v>0.129</v>
      </c>
    </row>
    <row r="13">
      <c r="A13" s="183" t="s">
        <v>325</v>
      </c>
      <c r="B13" s="184">
        <v>93.0</v>
      </c>
      <c r="C13" s="184">
        <v>88.0</v>
      </c>
      <c r="D13" s="184">
        <v>5.0</v>
      </c>
      <c r="E13" s="185">
        <v>0.057</v>
      </c>
      <c r="F13" s="183" t="s">
        <v>855</v>
      </c>
      <c r="G13" s="183" t="s">
        <v>382</v>
      </c>
      <c r="H13" s="186">
        <v>0.0444</v>
      </c>
    </row>
    <row r="14">
      <c r="A14" s="178" t="s">
        <v>419</v>
      </c>
      <c r="B14" s="179">
        <v>54.0</v>
      </c>
      <c r="C14" s="179">
        <v>51.0</v>
      </c>
      <c r="D14" s="179">
        <v>5.0</v>
      </c>
      <c r="E14" s="180">
        <v>0.098</v>
      </c>
      <c r="F14" s="178" t="s">
        <v>855</v>
      </c>
      <c r="G14" s="178" t="s">
        <v>124</v>
      </c>
      <c r="H14" s="181">
        <v>0.0588</v>
      </c>
    </row>
    <row r="15">
      <c r="A15" s="183" t="s">
        <v>420</v>
      </c>
      <c r="B15" s="184">
        <v>48.0</v>
      </c>
      <c r="C15" s="184">
        <v>43.0</v>
      </c>
      <c r="D15" s="184">
        <v>4.0</v>
      </c>
      <c r="E15" s="185">
        <v>0.093</v>
      </c>
      <c r="F15" s="183" t="s">
        <v>855</v>
      </c>
      <c r="G15" s="183" t="s">
        <v>392</v>
      </c>
      <c r="H15" s="186">
        <v>0.0638</v>
      </c>
    </row>
    <row r="16">
      <c r="A16" s="178" t="s">
        <v>421</v>
      </c>
      <c r="B16" s="179">
        <v>56.0</v>
      </c>
      <c r="C16" s="179">
        <v>56.0</v>
      </c>
      <c r="D16" s="179">
        <v>4.0</v>
      </c>
      <c r="E16" s="180">
        <v>0.071</v>
      </c>
      <c r="F16" s="178" t="s">
        <v>855</v>
      </c>
      <c r="G16" s="178" t="s">
        <v>392</v>
      </c>
      <c r="H16" s="181">
        <v>0.0714</v>
      </c>
    </row>
    <row r="17">
      <c r="A17" s="183" t="s">
        <v>422</v>
      </c>
      <c r="B17" s="184">
        <v>62.0</v>
      </c>
      <c r="C17" s="184">
        <v>61.0</v>
      </c>
      <c r="D17" s="184">
        <v>4.0</v>
      </c>
      <c r="E17" s="185">
        <v>0.066</v>
      </c>
      <c r="F17" s="183" t="s">
        <v>855</v>
      </c>
      <c r="G17" s="183" t="s">
        <v>392</v>
      </c>
      <c r="H17" s="186">
        <v>0.0968</v>
      </c>
    </row>
    <row r="18">
      <c r="A18" s="178" t="s">
        <v>423</v>
      </c>
      <c r="B18" s="179">
        <v>102.0</v>
      </c>
      <c r="C18" s="179">
        <v>100.0</v>
      </c>
      <c r="D18" s="179">
        <v>6.0</v>
      </c>
      <c r="E18" s="180">
        <v>0.06</v>
      </c>
      <c r="F18" s="178" t="s">
        <v>855</v>
      </c>
      <c r="G18" s="178" t="s">
        <v>392</v>
      </c>
      <c r="H18" s="181">
        <v>0.0594</v>
      </c>
    </row>
    <row r="19">
      <c r="A19" s="183" t="s">
        <v>424</v>
      </c>
      <c r="B19" s="184">
        <v>8.0</v>
      </c>
      <c r="C19" s="184">
        <v>7.0</v>
      </c>
      <c r="D19" s="184">
        <v>4.0</v>
      </c>
      <c r="E19" s="185">
        <v>0.571</v>
      </c>
      <c r="F19" s="183" t="s">
        <v>855</v>
      </c>
      <c r="G19" s="183" t="s">
        <v>17</v>
      </c>
      <c r="H19" s="186">
        <v>0.375</v>
      </c>
    </row>
    <row r="20">
      <c r="A20" s="178" t="s">
        <v>200</v>
      </c>
      <c r="B20" s="179">
        <v>20.0</v>
      </c>
      <c r="C20" s="179">
        <v>16.0</v>
      </c>
      <c r="D20" s="179">
        <v>8.0</v>
      </c>
      <c r="E20" s="180">
        <v>0.5</v>
      </c>
      <c r="F20" s="178" t="s">
        <v>855</v>
      </c>
      <c r="G20" s="178" t="s">
        <v>17</v>
      </c>
      <c r="H20" s="181">
        <v>0.4211</v>
      </c>
    </row>
    <row r="21">
      <c r="A21" s="183" t="s">
        <v>332</v>
      </c>
      <c r="B21" s="184">
        <v>12.0</v>
      </c>
      <c r="C21" s="184">
        <v>11.0</v>
      </c>
      <c r="D21" s="184">
        <v>5.0</v>
      </c>
      <c r="E21" s="185">
        <v>0.455</v>
      </c>
      <c r="F21" s="183" t="s">
        <v>855</v>
      </c>
      <c r="G21" s="183" t="s">
        <v>17</v>
      </c>
      <c r="H21" s="186">
        <v>0.3846</v>
      </c>
    </row>
    <row r="22">
      <c r="A22" s="178" t="s">
        <v>425</v>
      </c>
      <c r="B22" s="179">
        <v>130.0</v>
      </c>
      <c r="C22" s="179">
        <v>129.0</v>
      </c>
      <c r="D22" s="179">
        <v>9.0</v>
      </c>
      <c r="E22" s="180">
        <v>0.07</v>
      </c>
      <c r="F22" s="178" t="s">
        <v>855</v>
      </c>
      <c r="G22" s="178" t="s">
        <v>17</v>
      </c>
      <c r="H22" s="181">
        <v>0.0458</v>
      </c>
    </row>
    <row r="23">
      <c r="A23" s="183" t="s">
        <v>210</v>
      </c>
      <c r="B23" s="184">
        <v>83.0</v>
      </c>
      <c r="C23" s="184">
        <v>77.0</v>
      </c>
      <c r="D23" s="184">
        <v>5.0</v>
      </c>
      <c r="E23" s="185">
        <v>0.065</v>
      </c>
      <c r="F23" s="183" t="s">
        <v>855</v>
      </c>
      <c r="G23" s="183" t="s">
        <v>17</v>
      </c>
      <c r="H23" s="186">
        <v>0.0488</v>
      </c>
    </row>
    <row r="24">
      <c r="A24" s="178" t="s">
        <v>426</v>
      </c>
      <c r="B24" s="179">
        <v>9.0</v>
      </c>
      <c r="C24" s="179">
        <v>7.0</v>
      </c>
      <c r="D24" s="179">
        <v>6.0</v>
      </c>
      <c r="E24" s="180">
        <v>0.857</v>
      </c>
      <c r="F24" s="178" t="s">
        <v>855</v>
      </c>
      <c r="G24" s="178" t="s">
        <v>371</v>
      </c>
      <c r="H24" s="181">
        <v>0.2667</v>
      </c>
    </row>
    <row r="25">
      <c r="A25" s="183" t="s">
        <v>262</v>
      </c>
      <c r="B25" s="184">
        <v>6.0</v>
      </c>
      <c r="C25" s="184">
        <v>8.0</v>
      </c>
      <c r="D25" s="184">
        <v>4.0</v>
      </c>
      <c r="E25" s="185">
        <v>0.5</v>
      </c>
      <c r="F25" s="183" t="s">
        <v>855</v>
      </c>
      <c r="G25" s="183" t="s">
        <v>323</v>
      </c>
      <c r="H25" s="186">
        <v>0.1333</v>
      </c>
    </row>
    <row r="26">
      <c r="A26" s="178" t="s">
        <v>427</v>
      </c>
      <c r="B26" s="179">
        <v>37.0</v>
      </c>
      <c r="C26" s="179">
        <v>36.0</v>
      </c>
      <c r="D26" s="179">
        <v>4.0</v>
      </c>
      <c r="E26" s="180">
        <v>0.111</v>
      </c>
      <c r="F26" s="178" t="s">
        <v>855</v>
      </c>
      <c r="G26" s="178" t="s">
        <v>323</v>
      </c>
      <c r="H26" s="181">
        <v>0.0541</v>
      </c>
    </row>
    <row r="27">
      <c r="A27" s="318"/>
      <c r="B27" s="318"/>
      <c r="C27" s="318"/>
      <c r="D27" s="318"/>
      <c r="E27" s="318"/>
      <c r="F27" s="318"/>
      <c r="G27" s="318"/>
      <c r="H27" s="31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75"/>
  </cols>
  <sheetData>
    <row r="1">
      <c r="A1" s="319" t="s">
        <v>848</v>
      </c>
      <c r="B1" s="46"/>
    </row>
    <row r="2">
      <c r="A2" s="14" t="s">
        <v>119</v>
      </c>
      <c r="B2" s="14" t="s">
        <v>198</v>
      </c>
    </row>
    <row r="3">
      <c r="A3" s="14" t="s">
        <v>184</v>
      </c>
      <c r="B3" s="14" t="s">
        <v>296</v>
      </c>
    </row>
    <row r="4">
      <c r="A4" s="14" t="s">
        <v>138</v>
      </c>
      <c r="B4" s="14" t="s">
        <v>1102</v>
      </c>
    </row>
    <row r="5">
      <c r="A5" s="14" t="s">
        <v>582</v>
      </c>
      <c r="B5" s="14" t="s">
        <v>1103</v>
      </c>
    </row>
    <row r="6">
      <c r="A6" s="14" t="s">
        <v>211</v>
      </c>
      <c r="B6" s="14" t="s">
        <v>274</v>
      </c>
    </row>
    <row r="7">
      <c r="A7" s="14" t="s">
        <v>91</v>
      </c>
      <c r="B7" s="14" t="s">
        <v>1104</v>
      </c>
    </row>
    <row r="8">
      <c r="A8" s="14" t="s">
        <v>152</v>
      </c>
      <c r="B8" s="14" t="s">
        <v>417</v>
      </c>
    </row>
    <row r="9">
      <c r="A9" s="14" t="s">
        <v>83</v>
      </c>
      <c r="B9" s="14" t="s">
        <v>1105</v>
      </c>
    </row>
    <row r="10">
      <c r="A10" s="14" t="s">
        <v>84</v>
      </c>
      <c r="B10" s="14" t="s">
        <v>1106</v>
      </c>
    </row>
    <row r="11">
      <c r="A11" s="14" t="s">
        <v>1107</v>
      </c>
      <c r="B11" s="14" t="s">
        <v>1108</v>
      </c>
    </row>
    <row r="12">
      <c r="A12" s="14" t="s">
        <v>87</v>
      </c>
      <c r="B12" s="14" t="s">
        <v>1109</v>
      </c>
    </row>
    <row r="13">
      <c r="A13" s="14" t="s">
        <v>1110</v>
      </c>
      <c r="B13" s="14" t="s">
        <v>1111</v>
      </c>
    </row>
    <row r="14">
      <c r="A14" s="14" t="s">
        <v>1112</v>
      </c>
      <c r="B14" s="14" t="s">
        <v>1113</v>
      </c>
    </row>
    <row r="15">
      <c r="A15" s="14" t="s">
        <v>1114</v>
      </c>
      <c r="B15" s="14" t="s">
        <v>1115</v>
      </c>
    </row>
    <row r="16">
      <c r="A16" s="14" t="s">
        <v>169</v>
      </c>
      <c r="B16" s="14" t="s">
        <v>1116</v>
      </c>
    </row>
    <row r="17">
      <c r="A17" s="12" t="s">
        <v>89</v>
      </c>
      <c r="B17" s="14" t="s">
        <v>1117</v>
      </c>
    </row>
    <row r="18">
      <c r="A18" s="12" t="s">
        <v>91</v>
      </c>
      <c r="B18" s="14" t="s">
        <v>1118</v>
      </c>
    </row>
    <row r="19">
      <c r="A19" s="12">
        <v>234791.0</v>
      </c>
      <c r="B19" s="12" t="s">
        <v>88</v>
      </c>
    </row>
    <row r="20">
      <c r="A20" s="12" t="s">
        <v>92</v>
      </c>
      <c r="B20" s="12" t="s">
        <v>93</v>
      </c>
    </row>
  </sheetData>
  <mergeCells count="1">
    <mergeCell ref="A1:B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3" max="3" width="32.5"/>
    <col customWidth="1" min="4" max="4" width="19.88"/>
    <col customWidth="1" min="5" max="5" width="22.75"/>
  </cols>
  <sheetData>
    <row r="1">
      <c r="A1" s="310"/>
    </row>
    <row r="2">
      <c r="A2" s="320" t="s">
        <v>1119</v>
      </c>
      <c r="B2" s="320" t="s">
        <v>1</v>
      </c>
      <c r="C2" s="320" t="s">
        <v>848</v>
      </c>
      <c r="D2" s="321" t="s">
        <v>1120</v>
      </c>
      <c r="E2" s="239" t="s">
        <v>1121</v>
      </c>
    </row>
    <row r="3">
      <c r="A3" s="310" t="s">
        <v>171</v>
      </c>
      <c r="B3" s="310">
        <v>228743.0</v>
      </c>
      <c r="C3" s="310" t="s">
        <v>1122</v>
      </c>
      <c r="D3" s="322">
        <v>92.0</v>
      </c>
      <c r="E3" s="182" t="str">
        <f>VLOOKUP(C3,'14-18 JULY'!C:C,1,0)</f>
        <v>#N/A</v>
      </c>
    </row>
    <row r="4">
      <c r="A4" s="310" t="s">
        <v>171</v>
      </c>
      <c r="B4" s="310">
        <v>228743.0</v>
      </c>
      <c r="C4" s="310" t="s">
        <v>1123</v>
      </c>
      <c r="D4" s="322">
        <v>76.0</v>
      </c>
      <c r="E4" s="182" t="str">
        <f>VLOOKUP(C4,'14-18 JULY'!C:C,1,0)</f>
        <v>#N/A</v>
      </c>
    </row>
    <row r="5">
      <c r="A5" s="310" t="s">
        <v>171</v>
      </c>
      <c r="B5" s="310">
        <v>228743.0</v>
      </c>
      <c r="C5" s="310" t="s">
        <v>1124</v>
      </c>
      <c r="D5" s="322">
        <v>50.0</v>
      </c>
      <c r="E5" s="310" t="s">
        <v>746</v>
      </c>
    </row>
    <row r="6">
      <c r="A6" s="310" t="s">
        <v>171</v>
      </c>
      <c r="B6" s="310">
        <v>228743.0</v>
      </c>
      <c r="C6" s="310" t="s">
        <v>1125</v>
      </c>
      <c r="D6" s="322">
        <v>31.0</v>
      </c>
      <c r="E6" s="182" t="str">
        <f>VLOOKUP(C6,'14-18 JULY'!C:C,1,0)</f>
        <v>#N/A</v>
      </c>
    </row>
    <row r="7">
      <c r="A7" s="310" t="s">
        <v>171</v>
      </c>
      <c r="B7" s="310">
        <v>234796.0</v>
      </c>
      <c r="C7" s="310" t="s">
        <v>53</v>
      </c>
      <c r="D7" s="322">
        <v>193.0</v>
      </c>
      <c r="E7" s="310" t="s">
        <v>746</v>
      </c>
    </row>
    <row r="8">
      <c r="A8" s="310" t="s">
        <v>171</v>
      </c>
      <c r="B8" s="310">
        <v>234796.0</v>
      </c>
      <c r="C8" s="310" t="s">
        <v>1126</v>
      </c>
      <c r="D8" s="322">
        <v>106.0</v>
      </c>
      <c r="E8" s="310" t="s">
        <v>746</v>
      </c>
    </row>
    <row r="9">
      <c r="A9" s="310" t="s">
        <v>171</v>
      </c>
      <c r="B9" s="310">
        <v>234796.0</v>
      </c>
      <c r="C9" s="310" t="s">
        <v>47</v>
      </c>
      <c r="D9" s="322">
        <v>80.0</v>
      </c>
      <c r="E9" s="310" t="s">
        <v>746</v>
      </c>
    </row>
    <row r="10">
      <c r="A10" s="310" t="s">
        <v>171</v>
      </c>
      <c r="B10" s="310">
        <v>220126.0</v>
      </c>
      <c r="C10" s="310" t="s">
        <v>21</v>
      </c>
      <c r="D10" s="322">
        <v>106.0</v>
      </c>
      <c r="E10" s="310" t="s">
        <v>746</v>
      </c>
    </row>
    <row r="11">
      <c r="A11" s="310" t="s">
        <v>171</v>
      </c>
      <c r="B11" s="310">
        <v>220126.0</v>
      </c>
      <c r="C11" s="310" t="s">
        <v>1127</v>
      </c>
      <c r="D11" s="322">
        <v>54.0</v>
      </c>
      <c r="E11" s="182" t="str">
        <f>VLOOKUP(C11,'14-18 JULY'!C:C,1,0)</f>
        <v>#N/A</v>
      </c>
    </row>
    <row r="12">
      <c r="A12" s="310" t="s">
        <v>171</v>
      </c>
      <c r="B12" s="310">
        <v>225336.0</v>
      </c>
      <c r="C12" s="310" t="s">
        <v>138</v>
      </c>
      <c r="D12" s="322">
        <v>127.0</v>
      </c>
      <c r="E12" s="182" t="str">
        <f>VLOOKUP(C12,'14-18 JULY'!C:C,1,0)</f>
        <v>#N/A</v>
      </c>
    </row>
    <row r="13">
      <c r="A13" s="310" t="s">
        <v>171</v>
      </c>
      <c r="B13" s="310">
        <v>225336.0</v>
      </c>
      <c r="C13" s="310" t="s">
        <v>1128</v>
      </c>
      <c r="D13" s="322">
        <v>44.0</v>
      </c>
      <c r="E13" s="182" t="str">
        <f>VLOOKUP(C13,'14-18 JULY'!C:C,1,0)</f>
        <v>#N/A</v>
      </c>
    </row>
    <row r="14">
      <c r="A14" s="310" t="s">
        <v>171</v>
      </c>
      <c r="B14" s="310">
        <v>225336.0</v>
      </c>
      <c r="C14" s="310" t="s">
        <v>209</v>
      </c>
      <c r="D14" s="322">
        <v>35.0</v>
      </c>
      <c r="E14" s="310" t="s">
        <v>746</v>
      </c>
    </row>
    <row r="15">
      <c r="A15" s="310" t="s">
        <v>171</v>
      </c>
      <c r="B15" s="310">
        <v>225336.0</v>
      </c>
      <c r="C15" s="310" t="s">
        <v>260</v>
      </c>
      <c r="D15" s="322">
        <v>33.0</v>
      </c>
      <c r="E15" s="310" t="s">
        <v>746</v>
      </c>
    </row>
    <row r="16">
      <c r="A16" s="310" t="s">
        <v>171</v>
      </c>
      <c r="B16" s="310">
        <v>234797.0</v>
      </c>
      <c r="C16" s="310" t="s">
        <v>1129</v>
      </c>
      <c r="D16" s="322">
        <v>36.0</v>
      </c>
      <c r="E16" s="182" t="str">
        <f>VLOOKUP(C16,'14-18 JULY'!C:C,1,0)</f>
        <v>#N/A</v>
      </c>
    </row>
    <row r="17">
      <c r="A17" s="310" t="s">
        <v>171</v>
      </c>
      <c r="B17" s="310">
        <v>234797.0</v>
      </c>
      <c r="C17" s="310" t="s">
        <v>1130</v>
      </c>
      <c r="D17" s="322">
        <v>29.0</v>
      </c>
      <c r="E17" s="182" t="str">
        <f>VLOOKUP(C17,'14-18 JULY'!C:C,1,0)</f>
        <v>#N/A</v>
      </c>
    </row>
    <row r="18">
      <c r="A18" s="310" t="s">
        <v>171</v>
      </c>
      <c r="B18" s="310">
        <v>243271.0</v>
      </c>
      <c r="C18" s="310" t="s">
        <v>1131</v>
      </c>
      <c r="D18" s="322">
        <v>91.0</v>
      </c>
      <c r="E18" s="182" t="str">
        <f>VLOOKUP(C18,'14-18 JULY'!C:C,1,0)</f>
        <v>#N/A</v>
      </c>
    </row>
    <row r="19">
      <c r="A19" s="310" t="s">
        <v>171</v>
      </c>
      <c r="B19" s="310">
        <v>219825.0</v>
      </c>
      <c r="C19" s="310" t="s">
        <v>559</v>
      </c>
      <c r="D19" s="322">
        <v>136.0</v>
      </c>
      <c r="E19" s="310" t="s">
        <v>746</v>
      </c>
    </row>
    <row r="20">
      <c r="A20" s="310" t="s">
        <v>171</v>
      </c>
      <c r="B20" s="310">
        <v>219825.0</v>
      </c>
      <c r="C20" s="310" t="s">
        <v>1132</v>
      </c>
      <c r="D20" s="322">
        <v>26.0</v>
      </c>
      <c r="E20" s="182" t="str">
        <f>VLOOKUP(C20,'14-18 JULY'!C:C,1,0)</f>
        <v>#N/A</v>
      </c>
    </row>
    <row r="21">
      <c r="A21" s="310" t="s">
        <v>171</v>
      </c>
      <c r="B21" s="310">
        <v>241097.0</v>
      </c>
      <c r="C21" s="310" t="s">
        <v>1133</v>
      </c>
      <c r="D21" s="322">
        <v>54.0</v>
      </c>
      <c r="E21" s="182" t="str">
        <f>VLOOKUP(C21,'14-18 JULY'!C:C,1,0)</f>
        <v>#N/A</v>
      </c>
    </row>
    <row r="22">
      <c r="A22" s="310" t="s">
        <v>171</v>
      </c>
      <c r="B22" s="310">
        <v>201272.0</v>
      </c>
      <c r="C22" s="310" t="s">
        <v>1134</v>
      </c>
      <c r="D22" s="322">
        <v>145.0</v>
      </c>
      <c r="E22" s="182" t="str">
        <f>VLOOKUP(C22,'14-18 JULY'!C:C,1,0)</f>
        <v>#N/A</v>
      </c>
    </row>
    <row r="23">
      <c r="A23" s="310" t="s">
        <v>171</v>
      </c>
      <c r="B23" s="310">
        <v>201272.0</v>
      </c>
      <c r="C23" s="310" t="s">
        <v>1135</v>
      </c>
      <c r="D23" s="322">
        <v>38.0</v>
      </c>
      <c r="E23" s="182" t="str">
        <f>VLOOKUP(C23,'14-18 JULY'!C:C,1,0)</f>
        <v>#N/A</v>
      </c>
    </row>
    <row r="24">
      <c r="A24" s="310" t="s">
        <v>171</v>
      </c>
      <c r="B24" s="310">
        <v>241112.0</v>
      </c>
      <c r="C24" s="310" t="s">
        <v>1136</v>
      </c>
      <c r="D24" s="322">
        <v>12.0</v>
      </c>
      <c r="E24" s="182" t="str">
        <f>VLOOKUP(C24,'14-18 JULY'!C:C,1,0)</f>
        <v>#N/A</v>
      </c>
    </row>
    <row r="25">
      <c r="A25" s="310" t="s">
        <v>171</v>
      </c>
      <c r="B25" s="310">
        <v>241112.0</v>
      </c>
      <c r="C25" s="310" t="s">
        <v>1137</v>
      </c>
      <c r="D25" s="322">
        <v>6.0</v>
      </c>
      <c r="E25" s="182" t="str">
        <f>VLOOKUP(C25,'14-18 JULY'!C:C,1,0)</f>
        <v>#N/A</v>
      </c>
    </row>
    <row r="26">
      <c r="A26" s="310" t="s">
        <v>171</v>
      </c>
      <c r="B26" s="310">
        <v>241112.0</v>
      </c>
      <c r="C26" s="310" t="s">
        <v>1138</v>
      </c>
      <c r="D26" s="322">
        <v>5.0</v>
      </c>
      <c r="E26" s="182" t="str">
        <f>VLOOKUP(C26,'14-18 JULY'!C:C,1,0)</f>
        <v>#N/A</v>
      </c>
    </row>
    <row r="27">
      <c r="A27" s="310" t="s">
        <v>171</v>
      </c>
      <c r="B27" s="310">
        <v>241112.0</v>
      </c>
      <c r="C27" s="310" t="s">
        <v>1139</v>
      </c>
      <c r="D27" s="322">
        <v>4.0</v>
      </c>
      <c r="E27" s="182" t="str">
        <f>VLOOKUP(C27,'14-18 JULY'!C:C,1,0)</f>
        <v>#N/A</v>
      </c>
    </row>
    <row r="28">
      <c r="A28" s="310" t="s">
        <v>171</v>
      </c>
      <c r="B28" s="310">
        <v>241112.0</v>
      </c>
      <c r="C28" s="310" t="s">
        <v>1140</v>
      </c>
      <c r="D28" s="322">
        <v>4.0</v>
      </c>
      <c r="E28" s="182" t="str">
        <f>VLOOKUP(C28,'14-18 JULY'!C:C,1,0)</f>
        <v>#N/A</v>
      </c>
    </row>
    <row r="29">
      <c r="A29" s="310" t="s">
        <v>171</v>
      </c>
      <c r="B29" s="310">
        <v>217873.0</v>
      </c>
      <c r="C29" s="310" t="s">
        <v>1141</v>
      </c>
      <c r="D29" s="322">
        <v>41.0</v>
      </c>
      <c r="E29" s="182" t="str">
        <f>VLOOKUP(C29,'14-18 JULY'!C:C,1,0)</f>
        <v>#N/A</v>
      </c>
    </row>
    <row r="30">
      <c r="A30" s="310" t="s">
        <v>171</v>
      </c>
      <c r="B30" s="310">
        <v>217873.0</v>
      </c>
      <c r="C30" s="310" t="s">
        <v>187</v>
      </c>
      <c r="D30" s="322">
        <v>39.0</v>
      </c>
      <c r="E30" s="182" t="str">
        <f>VLOOKUP(C30,'14-18 JULY'!C:C,1,0)</f>
        <v>#N/A</v>
      </c>
    </row>
    <row r="31">
      <c r="A31" s="310" t="s">
        <v>171</v>
      </c>
      <c r="B31" s="310">
        <v>217873.0</v>
      </c>
      <c r="C31" s="310" t="s">
        <v>135</v>
      </c>
      <c r="D31" s="322">
        <v>38.0</v>
      </c>
      <c r="E31" s="182" t="str">
        <f>VLOOKUP(C31,'14-18 JULY'!C:C,1,0)</f>
        <v>#N/A</v>
      </c>
    </row>
    <row r="32">
      <c r="A32" s="310" t="s">
        <v>171</v>
      </c>
      <c r="B32" s="310">
        <v>241115.0</v>
      </c>
      <c r="C32" s="310" t="s">
        <v>1142</v>
      </c>
      <c r="D32" s="322">
        <v>22.0</v>
      </c>
      <c r="E32" s="182" t="str">
        <f>VLOOKUP(C32,'14-18 JULY'!C:C,1,0)</f>
        <v>#N/A</v>
      </c>
    </row>
    <row r="33">
      <c r="A33" s="310" t="s">
        <v>171</v>
      </c>
      <c r="B33" s="310">
        <v>241115.0</v>
      </c>
      <c r="C33" s="310" t="s">
        <v>1143</v>
      </c>
      <c r="D33" s="322">
        <v>18.0</v>
      </c>
      <c r="E33" s="182" t="str">
        <f>VLOOKUP(C33,'14-18 JULY'!C:C,1,0)</f>
        <v>#N/A</v>
      </c>
    </row>
    <row r="34">
      <c r="A34" s="310" t="s">
        <v>171</v>
      </c>
      <c r="B34" s="310">
        <v>147022.0</v>
      </c>
      <c r="C34" s="310" t="s">
        <v>1144</v>
      </c>
      <c r="D34" s="322">
        <v>40.0</v>
      </c>
      <c r="E34" s="182" t="str">
        <f>VLOOKUP(C34,'14-18 JULY'!C:C,1,0)</f>
        <v>#N/A</v>
      </c>
    </row>
    <row r="35">
      <c r="A35" s="310" t="s">
        <v>171</v>
      </c>
      <c r="B35" s="310">
        <v>147022.0</v>
      </c>
      <c r="C35" s="310" t="s">
        <v>1145</v>
      </c>
      <c r="D35" s="322">
        <v>34.0</v>
      </c>
      <c r="E35" s="182" t="str">
        <f>VLOOKUP(C35,'14-18 JULY'!C:C,1,0)</f>
        <v>#N/A</v>
      </c>
    </row>
    <row r="36">
      <c r="A36" s="310" t="s">
        <v>171</v>
      </c>
      <c r="B36" s="310">
        <v>147022.0</v>
      </c>
      <c r="C36" s="310" t="s">
        <v>1146</v>
      </c>
      <c r="D36" s="322">
        <v>8.0</v>
      </c>
      <c r="E36" s="182" t="str">
        <f>VLOOKUP(C36,'14-18 JULY'!C:C,1,0)</f>
        <v>#N/A</v>
      </c>
    </row>
    <row r="37">
      <c r="A37" s="310" t="s">
        <v>171</v>
      </c>
      <c r="B37" s="310">
        <v>207551.0</v>
      </c>
      <c r="C37" s="310" t="s">
        <v>1147</v>
      </c>
      <c r="D37" s="322">
        <v>29.0</v>
      </c>
      <c r="E37" s="182" t="str">
        <f>VLOOKUP(C37,'14-18 JULY'!C:C,1,0)</f>
        <v>#N/A</v>
      </c>
    </row>
    <row r="38">
      <c r="A38" s="310" t="s">
        <v>171</v>
      </c>
      <c r="B38" s="310">
        <v>207551.0</v>
      </c>
      <c r="C38" s="310" t="s">
        <v>1148</v>
      </c>
      <c r="D38" s="322">
        <v>19.0</v>
      </c>
      <c r="E38" s="182" t="str">
        <f>VLOOKUP(C38,'14-18 JULY'!C:C,1,0)</f>
        <v>#N/A</v>
      </c>
    </row>
    <row r="39">
      <c r="A39" s="310" t="s">
        <v>171</v>
      </c>
      <c r="B39" s="310">
        <v>207551.0</v>
      </c>
      <c r="C39" s="310" t="s">
        <v>1149</v>
      </c>
      <c r="D39" s="322">
        <v>19.0</v>
      </c>
      <c r="E39" s="182" t="str">
        <f>VLOOKUP(C39,'14-18 JULY'!C:C,1,0)</f>
        <v>#N/A</v>
      </c>
    </row>
    <row r="40">
      <c r="A40" s="310" t="s">
        <v>171</v>
      </c>
      <c r="B40" s="310">
        <v>207551.0</v>
      </c>
      <c r="C40" s="310" t="s">
        <v>1150</v>
      </c>
      <c r="D40" s="322">
        <v>9.0</v>
      </c>
      <c r="E40" s="182" t="str">
        <f>VLOOKUP(C40,'14-18 JULY'!C:C,1,0)</f>
        <v>#N/A</v>
      </c>
    </row>
    <row r="41">
      <c r="A41" s="310" t="s">
        <v>171</v>
      </c>
      <c r="B41" s="310">
        <v>222135.0</v>
      </c>
      <c r="C41" s="310" t="s">
        <v>1151</v>
      </c>
      <c r="D41" s="322">
        <v>38.0</v>
      </c>
      <c r="E41" s="182" t="str">
        <f>VLOOKUP(C41,'14-18 JULY'!C:C,1,0)</f>
        <v>#N/A</v>
      </c>
    </row>
    <row r="42">
      <c r="A42" s="310" t="s">
        <v>171</v>
      </c>
      <c r="B42" s="310">
        <v>222135.0</v>
      </c>
      <c r="C42" s="310" t="s">
        <v>405</v>
      </c>
      <c r="D42" s="322">
        <v>16.0</v>
      </c>
      <c r="E42" s="182" t="str">
        <f>VLOOKUP(C42,'14-18 JULY'!C:C,1,0)</f>
        <v>#N/A</v>
      </c>
    </row>
    <row r="43">
      <c r="A43" s="310" t="s">
        <v>171</v>
      </c>
      <c r="B43" s="310">
        <v>222135.0</v>
      </c>
      <c r="C43" s="310" t="s">
        <v>1152</v>
      </c>
      <c r="D43" s="322">
        <v>14.0</v>
      </c>
      <c r="E43" s="182" t="str">
        <f>VLOOKUP(C43,'14-18 JULY'!C:C,1,0)</f>
        <v>#N/A</v>
      </c>
    </row>
    <row r="44">
      <c r="A44" s="310" t="s">
        <v>171</v>
      </c>
      <c r="B44" s="310">
        <v>211293.0</v>
      </c>
      <c r="C44" s="310" t="s">
        <v>192</v>
      </c>
      <c r="D44" s="322">
        <v>71.0</v>
      </c>
      <c r="E44" s="182" t="str">
        <f>VLOOKUP(C44,'14-18 JULY'!C:C,1,0)</f>
        <v>#N/A</v>
      </c>
    </row>
    <row r="45">
      <c r="A45" s="310" t="s">
        <v>171</v>
      </c>
      <c r="B45" s="310">
        <v>211293.0</v>
      </c>
      <c r="C45" s="310" t="s">
        <v>181</v>
      </c>
      <c r="D45" s="322">
        <v>22.0</v>
      </c>
      <c r="E45" s="182" t="str">
        <f>VLOOKUP(C45,'14-18 JULY'!C:C,1,0)</f>
        <v>#N/A</v>
      </c>
    </row>
    <row r="46">
      <c r="A46" s="310" t="s">
        <v>171</v>
      </c>
      <c r="B46" s="310">
        <v>211293.0</v>
      </c>
      <c r="C46" s="310" t="s">
        <v>1153</v>
      </c>
      <c r="D46" s="322">
        <v>18.0</v>
      </c>
      <c r="E46" s="182" t="str">
        <f>VLOOKUP(C46,'14-18 JULY'!C:C,1,0)</f>
        <v>#N/A</v>
      </c>
    </row>
    <row r="47">
      <c r="A47" s="310" t="s">
        <v>171</v>
      </c>
      <c r="B47" s="310">
        <v>211293.0</v>
      </c>
      <c r="C47" s="310" t="s">
        <v>1154</v>
      </c>
      <c r="D47" s="322">
        <v>15.0</v>
      </c>
      <c r="E47" s="182" t="str">
        <f>VLOOKUP(C47,'14-18 JULY'!C:C,1,0)</f>
        <v>#N/A</v>
      </c>
    </row>
    <row r="48">
      <c r="A48" s="310" t="s">
        <v>171</v>
      </c>
      <c r="B48" s="310">
        <v>211293.0</v>
      </c>
      <c r="C48" s="310" t="s">
        <v>1155</v>
      </c>
      <c r="D48" s="322">
        <v>9.0</v>
      </c>
      <c r="E48" s="182" t="str">
        <f>VLOOKUP(C48,'14-18 JULY'!C:C,1,0)</f>
        <v>#N/A</v>
      </c>
    </row>
    <row r="49">
      <c r="A49" s="310" t="s">
        <v>171</v>
      </c>
      <c r="B49" s="310">
        <v>234793.0</v>
      </c>
      <c r="C49" s="310" t="s">
        <v>1156</v>
      </c>
      <c r="D49" s="322">
        <v>8.0</v>
      </c>
      <c r="E49" s="182" t="str">
        <f>VLOOKUP(C49,'14-18 JULY'!C:C,1,0)</f>
        <v>#N/A</v>
      </c>
    </row>
    <row r="50">
      <c r="A50" s="310" t="s">
        <v>171</v>
      </c>
      <c r="B50" s="310">
        <v>234793.0</v>
      </c>
      <c r="C50" s="310" t="s">
        <v>1157</v>
      </c>
      <c r="D50" s="322">
        <v>7.0</v>
      </c>
      <c r="E50" s="182" t="str">
        <f>VLOOKUP(C50,'14-18 JULY'!C:C,1,0)</f>
        <v>#N/A</v>
      </c>
    </row>
    <row r="51">
      <c r="A51" s="310" t="s">
        <v>171</v>
      </c>
      <c r="B51" s="310">
        <v>234793.0</v>
      </c>
      <c r="C51" s="310" t="s">
        <v>1158</v>
      </c>
      <c r="D51" s="322">
        <v>6.0</v>
      </c>
      <c r="E51" s="182" t="str">
        <f>VLOOKUP(C51,'14-18 JULY'!C:C,1,0)</f>
        <v>#N/A</v>
      </c>
    </row>
    <row r="52">
      <c r="A52" s="310" t="s">
        <v>171</v>
      </c>
      <c r="B52" s="310">
        <v>218966.0</v>
      </c>
      <c r="C52" s="310" t="s">
        <v>1159</v>
      </c>
      <c r="D52" s="322">
        <v>36.0</v>
      </c>
      <c r="E52" s="310" t="s">
        <v>746</v>
      </c>
    </row>
    <row r="53">
      <c r="A53" s="310" t="s">
        <v>171</v>
      </c>
      <c r="B53" s="310">
        <v>218966.0</v>
      </c>
      <c r="C53" s="310" t="s">
        <v>440</v>
      </c>
      <c r="D53" s="322">
        <v>9.0</v>
      </c>
      <c r="E53" s="182" t="str">
        <f>VLOOKUP(C53,'14-18 JULY'!C:C,1,0)</f>
        <v>#N/A</v>
      </c>
    </row>
    <row r="54">
      <c r="A54" s="310" t="s">
        <v>171</v>
      </c>
      <c r="B54" s="310">
        <v>218966.0</v>
      </c>
      <c r="C54" s="310" t="s">
        <v>319</v>
      </c>
      <c r="D54" s="322">
        <v>8.0</v>
      </c>
      <c r="E54" s="182" t="str">
        <f>VLOOKUP(C54,'14-18 JULY'!C:C,1,0)</f>
        <v>#N/A</v>
      </c>
    </row>
    <row r="55">
      <c r="A55" s="310" t="s">
        <v>171</v>
      </c>
      <c r="B55" s="310">
        <v>227606.0</v>
      </c>
      <c r="C55" s="310" t="s">
        <v>1160</v>
      </c>
      <c r="D55" s="322">
        <v>287.0</v>
      </c>
      <c r="E55" s="182" t="str">
        <f>VLOOKUP(C55,'14-18 JULY'!C:C,1,0)</f>
        <v>#N/A</v>
      </c>
    </row>
    <row r="56">
      <c r="A56" s="310" t="s">
        <v>171</v>
      </c>
      <c r="B56" s="310">
        <v>227606.0</v>
      </c>
      <c r="C56" s="310" t="s">
        <v>1161</v>
      </c>
      <c r="D56" s="322">
        <v>28.0</v>
      </c>
      <c r="E56" s="182" t="str">
        <f>VLOOKUP(C56,'14-18 JULY'!C:C,1,0)</f>
        <v>#N/A</v>
      </c>
    </row>
    <row r="57">
      <c r="A57" s="310" t="s">
        <v>171</v>
      </c>
      <c r="B57" s="310">
        <v>227606.0</v>
      </c>
      <c r="C57" s="310" t="s">
        <v>1162</v>
      </c>
      <c r="D57" s="322">
        <v>10.0</v>
      </c>
      <c r="E57" s="182" t="str">
        <f>VLOOKUP(C57,'14-18 JULY'!C:C,1,0)</f>
        <v>#N/A</v>
      </c>
    </row>
    <row r="58">
      <c r="A58" s="310" t="s">
        <v>171</v>
      </c>
      <c r="B58" s="310">
        <v>218222.0</v>
      </c>
      <c r="C58" s="310" t="s">
        <v>1163</v>
      </c>
      <c r="D58" s="322">
        <v>10.0</v>
      </c>
      <c r="E58" s="182" t="str">
        <f>VLOOKUP(C58,'14-18 JULY'!C:C,1,0)</f>
        <v>#N/A</v>
      </c>
    </row>
    <row r="59">
      <c r="A59" s="310" t="s">
        <v>171</v>
      </c>
      <c r="B59" s="310">
        <v>218222.0</v>
      </c>
      <c r="C59" s="310" t="s">
        <v>1164</v>
      </c>
      <c r="D59" s="322">
        <v>4.0</v>
      </c>
      <c r="E59" s="182" t="str">
        <f>VLOOKUP(C59,'14-18 JULY'!C:C,1,0)</f>
        <v>#N/A</v>
      </c>
    </row>
    <row r="60">
      <c r="A60" s="310" t="s">
        <v>171</v>
      </c>
      <c r="B60" s="310">
        <v>220577.0</v>
      </c>
      <c r="C60" s="310" t="s">
        <v>570</v>
      </c>
      <c r="D60" s="322">
        <v>70.0</v>
      </c>
      <c r="E60" s="182" t="str">
        <f>VLOOKUP(C60,'14-18 JULY'!C:C,1,0)</f>
        <v>#N/A</v>
      </c>
    </row>
    <row r="61">
      <c r="A61" s="310" t="s">
        <v>171</v>
      </c>
      <c r="B61" s="310">
        <v>220577.0</v>
      </c>
      <c r="C61" s="310" t="s">
        <v>1165</v>
      </c>
      <c r="D61" s="322">
        <v>16.0</v>
      </c>
      <c r="E61" s="182" t="str">
        <f>VLOOKUP(C61,'14-18 JULY'!C:C,1,0)</f>
        <v>#N/A</v>
      </c>
    </row>
    <row r="62">
      <c r="A62" s="310" t="s">
        <v>171</v>
      </c>
      <c r="B62" s="310">
        <v>220577.0</v>
      </c>
      <c r="C62" s="310" t="s">
        <v>1166</v>
      </c>
      <c r="D62" s="322">
        <v>15.0</v>
      </c>
      <c r="E62" s="182" t="str">
        <f>VLOOKUP(C62,'14-18 JULY'!C:C,1,0)</f>
        <v>#N/A</v>
      </c>
    </row>
    <row r="63">
      <c r="A63" s="310" t="s">
        <v>171</v>
      </c>
      <c r="B63" s="310">
        <v>220577.0</v>
      </c>
      <c r="C63" s="310" t="s">
        <v>1167</v>
      </c>
      <c r="D63" s="322">
        <v>12.0</v>
      </c>
      <c r="E63" s="182" t="str">
        <f>VLOOKUP(C63,'14-18 JULY'!C:C,1,0)</f>
        <v>#N/A</v>
      </c>
    </row>
    <row r="64">
      <c r="A64" s="310" t="s">
        <v>171</v>
      </c>
      <c r="B64" s="310">
        <v>220577.0</v>
      </c>
      <c r="C64" s="310" t="s">
        <v>1168</v>
      </c>
      <c r="D64" s="322">
        <v>10.0</v>
      </c>
      <c r="E64" s="182" t="str">
        <f>VLOOKUP(C64,'14-18 JULY'!C:C,1,0)</f>
        <v>#N/A</v>
      </c>
    </row>
    <row r="65">
      <c r="A65" s="310" t="s">
        <v>171</v>
      </c>
      <c r="B65" s="310">
        <v>221174.0</v>
      </c>
      <c r="C65" s="310" t="s">
        <v>593</v>
      </c>
      <c r="D65" s="322">
        <v>98.0</v>
      </c>
      <c r="E65" s="182" t="str">
        <f>VLOOKUP(C65,'14-18 JULY'!C:C,1,0)</f>
        <v>#N/A</v>
      </c>
    </row>
    <row r="66">
      <c r="A66" s="310" t="s">
        <v>171</v>
      </c>
      <c r="B66" s="310">
        <v>221174.0</v>
      </c>
      <c r="C66" s="310" t="s">
        <v>1169</v>
      </c>
      <c r="D66" s="322">
        <v>51.0</v>
      </c>
      <c r="E66" s="182" t="str">
        <f>VLOOKUP(C66,'14-18 JULY'!C:C,1,0)</f>
        <v>#N/A</v>
      </c>
    </row>
    <row r="67">
      <c r="A67" s="310" t="s">
        <v>171</v>
      </c>
      <c r="B67" s="310">
        <v>221174.0</v>
      </c>
      <c r="C67" s="310" t="s">
        <v>1170</v>
      </c>
      <c r="D67" s="322">
        <v>31.0</v>
      </c>
      <c r="E67" s="182" t="str">
        <f>VLOOKUP(C67,'14-18 JULY'!C:C,1,0)</f>
        <v>#N/A</v>
      </c>
    </row>
    <row r="68">
      <c r="A68" s="310" t="s">
        <v>171</v>
      </c>
      <c r="B68" s="310">
        <v>221174.0</v>
      </c>
      <c r="C68" s="310" t="s">
        <v>1171</v>
      </c>
      <c r="D68" s="322">
        <v>9.0</v>
      </c>
      <c r="E68" s="182" t="str">
        <f>VLOOKUP(C68,'14-18 JULY'!C:C,1,0)</f>
        <v>#N/A</v>
      </c>
    </row>
    <row r="69">
      <c r="A69" s="310" t="s">
        <v>171</v>
      </c>
      <c r="B69" s="310">
        <v>221174.0</v>
      </c>
      <c r="C69" s="310" t="s">
        <v>1172</v>
      </c>
      <c r="D69" s="322">
        <v>6.0</v>
      </c>
      <c r="E69" s="182" t="str">
        <f>VLOOKUP(C69,'14-18 JULY'!C:C,1,0)</f>
        <v>#N/A</v>
      </c>
    </row>
    <row r="70">
      <c r="A70" s="310" t="s">
        <v>171</v>
      </c>
      <c r="B70" s="310">
        <v>137971.0</v>
      </c>
      <c r="C70" s="310" t="s">
        <v>1117</v>
      </c>
      <c r="D70" s="322">
        <v>41.0</v>
      </c>
      <c r="E70" s="182" t="str">
        <f>VLOOKUP(C70,'14-18 JULY'!C:C,1,0)</f>
        <v>#N/A</v>
      </c>
    </row>
    <row r="71">
      <c r="A71" s="310" t="s">
        <v>171</v>
      </c>
      <c r="B71" s="310">
        <v>137971.0</v>
      </c>
      <c r="C71" s="310" t="s">
        <v>1173</v>
      </c>
      <c r="D71" s="322">
        <v>22.0</v>
      </c>
      <c r="E71" s="182" t="str">
        <f>VLOOKUP(C71,'14-18 JULY'!C:C,1,0)</f>
        <v>#N/A</v>
      </c>
    </row>
    <row r="72">
      <c r="A72" s="310" t="s">
        <v>171</v>
      </c>
      <c r="B72" s="310">
        <v>137971.0</v>
      </c>
      <c r="C72" s="310" t="s">
        <v>1174</v>
      </c>
      <c r="D72" s="322">
        <v>22.0</v>
      </c>
      <c r="E72" s="182" t="str">
        <f>VLOOKUP(C72,'14-18 JULY'!C:C,1,0)</f>
        <v>#N/A</v>
      </c>
    </row>
    <row r="73">
      <c r="A73" s="310" t="s">
        <v>171</v>
      </c>
      <c r="B73" s="310">
        <v>137971.0</v>
      </c>
      <c r="C73" s="310" t="s">
        <v>1175</v>
      </c>
      <c r="D73" s="322">
        <v>16.0</v>
      </c>
      <c r="E73" s="182" t="str">
        <f>VLOOKUP(C73,'14-18 JULY'!C:C,1,0)</f>
        <v>#N/A</v>
      </c>
    </row>
    <row r="74">
      <c r="A74" s="310" t="s">
        <v>171</v>
      </c>
      <c r="B74" s="310">
        <v>137971.0</v>
      </c>
      <c r="C74" s="310" t="s">
        <v>1176</v>
      </c>
      <c r="D74" s="322">
        <v>13.0</v>
      </c>
      <c r="E74" s="182" t="str">
        <f>VLOOKUP(C74,'14-18 JULY'!C:C,1,0)</f>
        <v>#N/A</v>
      </c>
    </row>
    <row r="75">
      <c r="A75" s="310" t="s">
        <v>171</v>
      </c>
      <c r="B75" s="310">
        <v>207671.0</v>
      </c>
      <c r="C75" s="310" t="s">
        <v>1177</v>
      </c>
      <c r="D75" s="322">
        <v>120.0</v>
      </c>
      <c r="E75" s="182" t="str">
        <f>VLOOKUP(C75,'14-18 JULY'!C:C,1,0)</f>
        <v>#N/A</v>
      </c>
    </row>
    <row r="76">
      <c r="A76" s="310" t="s">
        <v>171</v>
      </c>
      <c r="B76" s="310">
        <v>207671.0</v>
      </c>
      <c r="C76" s="310" t="s">
        <v>1178</v>
      </c>
      <c r="D76" s="322">
        <v>115.0</v>
      </c>
      <c r="E76" s="310" t="s">
        <v>746</v>
      </c>
    </row>
    <row r="77">
      <c r="A77" s="310" t="s">
        <v>171</v>
      </c>
      <c r="B77" s="310">
        <v>207671.0</v>
      </c>
      <c r="C77" s="310" t="s">
        <v>1179</v>
      </c>
      <c r="D77" s="322">
        <v>66.0</v>
      </c>
      <c r="E77" s="182" t="str">
        <f>VLOOKUP(C77,'14-18 JULY'!C:C,1,0)</f>
        <v>#N/A</v>
      </c>
    </row>
    <row r="78">
      <c r="A78" s="310" t="s">
        <v>171</v>
      </c>
      <c r="B78" s="310">
        <v>207671.0</v>
      </c>
      <c r="C78" s="310" t="s">
        <v>1180</v>
      </c>
      <c r="D78" s="322">
        <v>54.0</v>
      </c>
      <c r="E78" s="182" t="str">
        <f>VLOOKUP(C78,'14-18 JULY'!C:C,1,0)</f>
        <v>#N/A</v>
      </c>
    </row>
    <row r="79">
      <c r="A79" s="310" t="s">
        <v>171</v>
      </c>
      <c r="B79" s="310">
        <v>207671.0</v>
      </c>
      <c r="C79" s="310" t="s">
        <v>1181</v>
      </c>
      <c r="D79" s="322">
        <v>44.0</v>
      </c>
      <c r="E79" s="182" t="str">
        <f>VLOOKUP(C79,'14-18 JULY'!C:C,1,0)</f>
        <v>#N/A</v>
      </c>
    </row>
    <row r="80">
      <c r="A80" s="310" t="s">
        <v>171</v>
      </c>
      <c r="B80" s="310">
        <v>134746.0</v>
      </c>
      <c r="C80" s="310" t="s">
        <v>569</v>
      </c>
      <c r="D80" s="322">
        <v>25.0</v>
      </c>
      <c r="E80" s="182" t="str">
        <f>VLOOKUP(C80,'14-18 JULY'!C:C,1,0)</f>
        <v>#N/A</v>
      </c>
    </row>
    <row r="81">
      <c r="A81" s="310" t="s">
        <v>171</v>
      </c>
      <c r="B81" s="310">
        <v>134746.0</v>
      </c>
      <c r="C81" s="310" t="s">
        <v>1182</v>
      </c>
      <c r="D81" s="322">
        <v>25.0</v>
      </c>
      <c r="E81" s="182" t="str">
        <f>VLOOKUP(C81,'14-18 JULY'!C:C,1,0)</f>
        <v>#N/A</v>
      </c>
    </row>
    <row r="82">
      <c r="A82" s="310" t="s">
        <v>171</v>
      </c>
      <c r="B82" s="310">
        <v>134746.0</v>
      </c>
      <c r="C82" s="310" t="s">
        <v>1183</v>
      </c>
      <c r="D82" s="322">
        <v>12.0</v>
      </c>
      <c r="E82" s="182" t="str">
        <f>VLOOKUP(C82,'14-18 JULY'!C:C,1,0)</f>
        <v>#N/A</v>
      </c>
    </row>
    <row r="83">
      <c r="A83" s="310" t="s">
        <v>171</v>
      </c>
      <c r="B83" s="310">
        <v>134746.0</v>
      </c>
      <c r="C83" s="310" t="s">
        <v>1184</v>
      </c>
      <c r="D83" s="322">
        <v>7.0</v>
      </c>
      <c r="E83" s="182" t="str">
        <f>VLOOKUP(C83,'14-18 JULY'!C:C,1,0)</f>
        <v>#N/A</v>
      </c>
    </row>
    <row r="84">
      <c r="A84" s="310" t="s">
        <v>171</v>
      </c>
      <c r="B84" s="310">
        <v>134746.0</v>
      </c>
      <c r="C84" s="310" t="s">
        <v>1185</v>
      </c>
      <c r="D84" s="322">
        <v>5.0</v>
      </c>
      <c r="E84" s="182" t="str">
        <f>VLOOKUP(C84,'14-18 JULY'!C:C,1,0)</f>
        <v>#N/A</v>
      </c>
    </row>
    <row r="85">
      <c r="A85" s="310" t="s">
        <v>156</v>
      </c>
      <c r="B85" s="310">
        <v>234796.0</v>
      </c>
      <c r="C85" s="310" t="s">
        <v>53</v>
      </c>
      <c r="D85" s="322">
        <v>193.0</v>
      </c>
      <c r="E85" s="310" t="s">
        <v>746</v>
      </c>
    </row>
    <row r="86">
      <c r="A86" s="310" t="s">
        <v>156</v>
      </c>
      <c r="B86" s="310">
        <v>234796.0</v>
      </c>
      <c r="C86" s="310" t="s">
        <v>1126</v>
      </c>
      <c r="D86" s="322">
        <v>106.0</v>
      </c>
      <c r="E86" s="310" t="s">
        <v>746</v>
      </c>
    </row>
    <row r="87">
      <c r="A87" s="310" t="s">
        <v>156</v>
      </c>
      <c r="B87" s="310">
        <v>234796.0</v>
      </c>
      <c r="C87" s="310" t="s">
        <v>47</v>
      </c>
      <c r="D87" s="322">
        <v>80.0</v>
      </c>
      <c r="E87" s="310" t="s">
        <v>746</v>
      </c>
    </row>
    <row r="88">
      <c r="A88" s="310" t="s">
        <v>156</v>
      </c>
      <c r="B88" s="310">
        <v>225336.0</v>
      </c>
      <c r="C88" s="310" t="s">
        <v>138</v>
      </c>
      <c r="D88" s="322">
        <v>127.0</v>
      </c>
      <c r="E88" s="182" t="str">
        <f>VLOOKUP(C88,'14-18 JULY'!C:C,1,0)</f>
        <v>#N/A</v>
      </c>
    </row>
    <row r="89">
      <c r="A89" s="310" t="s">
        <v>156</v>
      </c>
      <c r="B89" s="310">
        <v>225336.0</v>
      </c>
      <c r="C89" s="310" t="s">
        <v>1128</v>
      </c>
      <c r="D89" s="322">
        <v>44.0</v>
      </c>
      <c r="E89" s="182" t="str">
        <f>VLOOKUP(C89,'14-18 JULY'!C:C,1,0)</f>
        <v>#N/A</v>
      </c>
    </row>
    <row r="90">
      <c r="A90" s="310" t="s">
        <v>156</v>
      </c>
      <c r="B90" s="310">
        <v>225336.0</v>
      </c>
      <c r="C90" s="310" t="s">
        <v>209</v>
      </c>
      <c r="D90" s="322">
        <v>35.0</v>
      </c>
      <c r="E90" s="310" t="s">
        <v>746</v>
      </c>
    </row>
    <row r="91">
      <c r="A91" s="310" t="s">
        <v>156</v>
      </c>
      <c r="B91" s="310">
        <v>201272.0</v>
      </c>
      <c r="C91" s="310" t="s">
        <v>1134</v>
      </c>
      <c r="D91" s="322">
        <v>145.0</v>
      </c>
      <c r="E91" s="182" t="str">
        <f>VLOOKUP(C91,'14-18 JULY'!C:C,1,0)</f>
        <v>#N/A</v>
      </c>
    </row>
    <row r="92">
      <c r="A92" s="310" t="s">
        <v>156</v>
      </c>
      <c r="B92" s="310">
        <v>201272.0</v>
      </c>
      <c r="C92" s="310" t="s">
        <v>1135</v>
      </c>
      <c r="D92" s="322">
        <v>38.0</v>
      </c>
      <c r="E92" s="182" t="str">
        <f>VLOOKUP(C92,'14-18 JULY'!C:C,1,0)</f>
        <v>#N/A</v>
      </c>
    </row>
    <row r="93">
      <c r="A93" s="310" t="s">
        <v>156</v>
      </c>
      <c r="B93" s="310">
        <v>201272.0</v>
      </c>
      <c r="C93" s="310" t="s">
        <v>1186</v>
      </c>
      <c r="D93" s="322">
        <v>24.0</v>
      </c>
      <c r="E93" s="182" t="str">
        <f>VLOOKUP(C93,'14-18 JULY'!C:C,1,0)</f>
        <v>#N/A</v>
      </c>
    </row>
    <row r="94">
      <c r="A94" s="310" t="s">
        <v>156</v>
      </c>
      <c r="B94" s="310">
        <v>201272.0</v>
      </c>
      <c r="C94" s="310" t="s">
        <v>1187</v>
      </c>
      <c r="D94" s="322">
        <v>18.0</v>
      </c>
      <c r="E94" s="182" t="str">
        <f>VLOOKUP(C94,'14-18 JULY'!C:C,1,0)</f>
        <v>#N/A</v>
      </c>
    </row>
    <row r="95">
      <c r="A95" s="310" t="s">
        <v>156</v>
      </c>
      <c r="B95" s="310">
        <v>219952.0</v>
      </c>
      <c r="C95" s="310" t="s">
        <v>1188</v>
      </c>
      <c r="D95" s="322">
        <v>43.0</v>
      </c>
      <c r="E95" s="182" t="str">
        <f>VLOOKUP(C95,'14-18 JULY'!C:C,1,0)</f>
        <v>#N/A</v>
      </c>
    </row>
    <row r="96">
      <c r="A96" s="310" t="s">
        <v>156</v>
      </c>
      <c r="B96" s="310">
        <v>219952.0</v>
      </c>
      <c r="C96" s="310" t="s">
        <v>1189</v>
      </c>
      <c r="D96" s="322">
        <v>34.0</v>
      </c>
      <c r="E96" s="182" t="str">
        <f>VLOOKUP(C96,'14-18 JULY'!C:C,1,0)</f>
        <v>#N/A</v>
      </c>
    </row>
    <row r="97">
      <c r="A97" s="310" t="s">
        <v>156</v>
      </c>
      <c r="B97" s="310">
        <v>219952.0</v>
      </c>
      <c r="C97" s="310" t="s">
        <v>118</v>
      </c>
      <c r="D97" s="322">
        <v>19.0</v>
      </c>
      <c r="E97" s="182" t="str">
        <f>VLOOKUP(C97,'14-18 JULY'!C:C,1,0)</f>
        <v>#N/A</v>
      </c>
    </row>
    <row r="98">
      <c r="A98" s="310" t="s">
        <v>156</v>
      </c>
      <c r="B98" s="310">
        <v>146653.0</v>
      </c>
      <c r="C98" s="310" t="s">
        <v>296</v>
      </c>
      <c r="D98" s="322">
        <v>156.0</v>
      </c>
      <c r="E98" s="310" t="s">
        <v>746</v>
      </c>
    </row>
    <row r="99">
      <c r="A99" s="310" t="s">
        <v>156</v>
      </c>
      <c r="B99" s="310">
        <v>146653.0</v>
      </c>
      <c r="C99" s="310" t="s">
        <v>1190</v>
      </c>
      <c r="D99" s="322">
        <v>103.0</v>
      </c>
      <c r="E99" s="182" t="str">
        <f>VLOOKUP(C99,'14-18 JULY'!C:C,1,0)</f>
        <v>#N/A</v>
      </c>
    </row>
    <row r="100">
      <c r="A100" s="310" t="s">
        <v>156</v>
      </c>
      <c r="B100" s="310">
        <v>146653.0</v>
      </c>
      <c r="C100" s="310" t="s">
        <v>96</v>
      </c>
      <c r="D100" s="322">
        <v>32.0</v>
      </c>
      <c r="E100" s="182" t="str">
        <f>VLOOKUP(C100,'14-18 JULY'!C:C,1,0)</f>
        <v>#N/A</v>
      </c>
    </row>
    <row r="101">
      <c r="A101" s="310" t="s">
        <v>156</v>
      </c>
      <c r="B101" s="310">
        <v>146653.0</v>
      </c>
      <c r="C101" s="310" t="s">
        <v>1191</v>
      </c>
      <c r="D101" s="322">
        <v>17.0</v>
      </c>
      <c r="E101" s="182" t="str">
        <f>VLOOKUP(C101,'14-18 JULY'!C:C,1,0)</f>
        <v>#N/A</v>
      </c>
    </row>
    <row r="102">
      <c r="A102" s="310" t="s">
        <v>156</v>
      </c>
      <c r="B102" s="310">
        <v>235326.0</v>
      </c>
      <c r="C102" s="310" t="s">
        <v>1192</v>
      </c>
      <c r="D102" s="322">
        <v>80.0</v>
      </c>
      <c r="E102" s="182" t="str">
        <f>VLOOKUP(C102,'14-18 JULY'!C:C,1,0)</f>
        <v>#N/A</v>
      </c>
    </row>
    <row r="103">
      <c r="A103" s="310" t="s">
        <v>156</v>
      </c>
      <c r="B103" s="310">
        <v>235326.0</v>
      </c>
      <c r="C103" s="310" t="s">
        <v>1193</v>
      </c>
      <c r="D103" s="322">
        <v>44.0</v>
      </c>
      <c r="E103" s="182" t="str">
        <f>VLOOKUP(C103,'14-18 JULY'!C:C,1,0)</f>
        <v>#N/A</v>
      </c>
    </row>
    <row r="104">
      <c r="A104" s="310" t="s">
        <v>156</v>
      </c>
      <c r="B104" s="310">
        <v>149022.0</v>
      </c>
      <c r="C104" s="310" t="s">
        <v>1194</v>
      </c>
      <c r="D104" s="322">
        <v>178.0</v>
      </c>
      <c r="E104" s="310" t="s">
        <v>746</v>
      </c>
    </row>
    <row r="105">
      <c r="A105" s="310" t="s">
        <v>156</v>
      </c>
      <c r="B105" s="310">
        <v>149022.0</v>
      </c>
      <c r="C105" s="310" t="s">
        <v>1195</v>
      </c>
      <c r="D105" s="322">
        <v>68.0</v>
      </c>
      <c r="E105" s="182" t="str">
        <f>VLOOKUP(C105,'14-18 JULY'!C:C,1,0)</f>
        <v>#N/A</v>
      </c>
    </row>
    <row r="106">
      <c r="A106" s="310" t="s">
        <v>156</v>
      </c>
      <c r="B106" s="310">
        <v>146619.0</v>
      </c>
      <c r="C106" s="310" t="s">
        <v>37</v>
      </c>
      <c r="D106" s="322">
        <v>101.0</v>
      </c>
      <c r="E106" s="310" t="s">
        <v>746</v>
      </c>
    </row>
    <row r="107">
      <c r="A107" s="310" t="s">
        <v>156</v>
      </c>
      <c r="B107" s="310">
        <v>146619.0</v>
      </c>
      <c r="C107" s="310" t="s">
        <v>1196</v>
      </c>
      <c r="D107" s="322">
        <v>11.0</v>
      </c>
      <c r="E107" s="182" t="str">
        <f>VLOOKUP(C107,'14-18 JULY'!C:C,1,0)</f>
        <v>#N/A</v>
      </c>
    </row>
    <row r="108">
      <c r="A108" s="310" t="s">
        <v>156</v>
      </c>
      <c r="B108" s="310">
        <v>236913.0</v>
      </c>
      <c r="C108" s="310" t="s">
        <v>60</v>
      </c>
      <c r="D108" s="322">
        <v>110.0</v>
      </c>
      <c r="E108" s="310" t="s">
        <v>746</v>
      </c>
    </row>
    <row r="109">
      <c r="A109" s="310" t="s">
        <v>156</v>
      </c>
      <c r="B109" s="310">
        <v>218966.0</v>
      </c>
      <c r="C109" s="310" t="s">
        <v>1159</v>
      </c>
      <c r="D109" s="322">
        <v>36.0</v>
      </c>
      <c r="E109" s="310" t="s">
        <v>746</v>
      </c>
    </row>
    <row r="110">
      <c r="A110" s="310" t="s">
        <v>156</v>
      </c>
      <c r="B110" s="310">
        <v>241183.0</v>
      </c>
      <c r="C110" s="310" t="s">
        <v>630</v>
      </c>
      <c r="D110" s="322">
        <v>75.0</v>
      </c>
      <c r="E110" s="182" t="str">
        <f>VLOOKUP(C110,'14-18 JULY'!C:C,1,0)</f>
        <v>#N/A</v>
      </c>
    </row>
    <row r="111">
      <c r="A111" s="310" t="s">
        <v>156</v>
      </c>
      <c r="B111" s="310">
        <v>241183.0</v>
      </c>
      <c r="C111" s="310" t="s">
        <v>1197</v>
      </c>
      <c r="D111" s="322">
        <v>7.0</v>
      </c>
      <c r="E111" s="182" t="str">
        <f>VLOOKUP(C111,'14-18 JULY'!C:C,1,0)</f>
        <v>#N/A</v>
      </c>
    </row>
    <row r="112">
      <c r="A112" s="310" t="s">
        <v>156</v>
      </c>
      <c r="B112" s="310">
        <v>234797.0</v>
      </c>
      <c r="C112" s="310" t="s">
        <v>1129</v>
      </c>
      <c r="D112" s="322">
        <v>36.0</v>
      </c>
      <c r="E112" s="182" t="str">
        <f>VLOOKUP(C112,'14-18 JULY'!C:C,1,0)</f>
        <v>#N/A</v>
      </c>
    </row>
    <row r="113">
      <c r="A113" s="310" t="s">
        <v>156</v>
      </c>
      <c r="B113" s="310">
        <v>234797.0</v>
      </c>
      <c r="C113" s="310" t="s">
        <v>1130</v>
      </c>
      <c r="D113" s="322">
        <v>29.0</v>
      </c>
      <c r="E113" s="182" t="str">
        <f>VLOOKUP(C113,'14-18 JULY'!C:C,1,0)</f>
        <v>#N/A</v>
      </c>
    </row>
    <row r="114">
      <c r="A114" s="310" t="s">
        <v>156</v>
      </c>
      <c r="B114" s="310">
        <v>241210.0</v>
      </c>
      <c r="C114" s="310" t="s">
        <v>1198</v>
      </c>
      <c r="D114" s="322">
        <v>187.0</v>
      </c>
      <c r="E114" s="182" t="str">
        <f>VLOOKUP(C114,'14-18 JULY'!C:C,1,0)</f>
        <v>#N/A</v>
      </c>
    </row>
    <row r="115">
      <c r="A115" s="310" t="s">
        <v>156</v>
      </c>
      <c r="B115" s="310">
        <v>241210.0</v>
      </c>
      <c r="C115" s="310" t="s">
        <v>64</v>
      </c>
      <c r="D115" s="322">
        <v>105.0</v>
      </c>
      <c r="E115" s="310" t="s">
        <v>746</v>
      </c>
    </row>
    <row r="116">
      <c r="A116" s="310" t="s">
        <v>156</v>
      </c>
      <c r="B116" s="310">
        <v>241189.0</v>
      </c>
      <c r="C116" s="310" t="s">
        <v>1199</v>
      </c>
      <c r="D116" s="322">
        <v>18.0</v>
      </c>
      <c r="E116" s="182" t="str">
        <f>VLOOKUP(C116,'14-18 JULY'!C:C,1,0)</f>
        <v>#N/A</v>
      </c>
    </row>
    <row r="117">
      <c r="A117" s="310" t="s">
        <v>156</v>
      </c>
      <c r="B117" s="310">
        <v>241189.0</v>
      </c>
      <c r="C117" s="310" t="s">
        <v>1200</v>
      </c>
      <c r="D117" s="322">
        <v>13.0</v>
      </c>
      <c r="E117" s="182" t="str">
        <f>VLOOKUP(C117,'14-18 JULY'!C:C,1,0)</f>
        <v>#N/A</v>
      </c>
    </row>
    <row r="118">
      <c r="A118" s="310" t="s">
        <v>156</v>
      </c>
      <c r="B118" s="310">
        <v>217207.0</v>
      </c>
      <c r="C118" s="310" t="s">
        <v>1201</v>
      </c>
      <c r="D118" s="322">
        <v>24.0</v>
      </c>
      <c r="E118" s="182" t="str">
        <f>VLOOKUP(C118,'14-18 JULY'!C:C,1,0)</f>
        <v>#N/A</v>
      </c>
    </row>
    <row r="119">
      <c r="A119" s="310" t="s">
        <v>156</v>
      </c>
      <c r="B119" s="310">
        <v>217873.0</v>
      </c>
      <c r="C119" s="310" t="s">
        <v>1141</v>
      </c>
      <c r="D119" s="322">
        <v>41.0</v>
      </c>
      <c r="E119" s="182" t="str">
        <f>VLOOKUP(C119,'14-18 JULY'!C:C,1,0)</f>
        <v>#N/A</v>
      </c>
    </row>
    <row r="120">
      <c r="A120" s="310" t="s">
        <v>156</v>
      </c>
      <c r="B120" s="310">
        <v>217873.0</v>
      </c>
      <c r="C120" s="310" t="s">
        <v>187</v>
      </c>
      <c r="D120" s="322">
        <v>39.0</v>
      </c>
      <c r="E120" s="182" t="str">
        <f>VLOOKUP(C120,'14-18 JULY'!C:C,1,0)</f>
        <v>#N/A</v>
      </c>
    </row>
    <row r="121">
      <c r="A121" s="310" t="s">
        <v>156</v>
      </c>
      <c r="B121" s="310">
        <v>217873.0</v>
      </c>
      <c r="C121" s="310" t="s">
        <v>135</v>
      </c>
      <c r="D121" s="322">
        <v>38.0</v>
      </c>
      <c r="E121" s="182" t="str">
        <f>VLOOKUP(C121,'14-18 JULY'!C:C,1,0)</f>
        <v>#N/A</v>
      </c>
    </row>
    <row r="122">
      <c r="A122" s="310" t="s">
        <v>156</v>
      </c>
      <c r="B122" s="310">
        <v>207671.0</v>
      </c>
      <c r="C122" s="310" t="s">
        <v>1177</v>
      </c>
      <c r="D122" s="322">
        <v>120.0</v>
      </c>
      <c r="E122" s="182" t="str">
        <f>VLOOKUP(C122,'14-18 JULY'!C:C,1,0)</f>
        <v>#N/A</v>
      </c>
    </row>
    <row r="123">
      <c r="A123" s="310" t="s">
        <v>156</v>
      </c>
      <c r="B123" s="310">
        <v>207671.0</v>
      </c>
      <c r="C123" s="310" t="s">
        <v>1178</v>
      </c>
      <c r="D123" s="322">
        <v>115.0</v>
      </c>
      <c r="E123" s="310" t="s">
        <v>746</v>
      </c>
    </row>
    <row r="124">
      <c r="A124" s="310" t="s">
        <v>156</v>
      </c>
      <c r="B124" s="310">
        <v>207671.0</v>
      </c>
      <c r="C124" s="310" t="s">
        <v>1179</v>
      </c>
      <c r="D124" s="322">
        <v>66.0</v>
      </c>
      <c r="E124" s="182" t="str">
        <f>VLOOKUP(C124,'14-18 JULY'!C:C,1,0)</f>
        <v>#N/A</v>
      </c>
    </row>
    <row r="125">
      <c r="A125" s="310" t="s">
        <v>156</v>
      </c>
      <c r="B125" s="310">
        <v>207671.0</v>
      </c>
      <c r="C125" s="310" t="s">
        <v>1180</v>
      </c>
      <c r="D125" s="322">
        <v>54.0</v>
      </c>
      <c r="E125" s="182" t="str">
        <f>VLOOKUP(C125,'14-18 JULY'!C:C,1,0)</f>
        <v>#N/A</v>
      </c>
    </row>
    <row r="126">
      <c r="A126" s="310" t="s">
        <v>156</v>
      </c>
      <c r="B126" s="310">
        <v>207671.0</v>
      </c>
      <c r="C126" s="310" t="s">
        <v>1181</v>
      </c>
      <c r="D126" s="322">
        <v>44.0</v>
      </c>
      <c r="E126" s="182" t="str">
        <f>VLOOKUP(C126,'14-18 JULY'!C:C,1,0)</f>
        <v>#N/A</v>
      </c>
    </row>
    <row r="127">
      <c r="A127" s="310" t="s">
        <v>156</v>
      </c>
      <c r="B127" s="310">
        <v>204402.0</v>
      </c>
      <c r="C127" s="310" t="s">
        <v>1202</v>
      </c>
      <c r="D127" s="322">
        <v>73.0</v>
      </c>
      <c r="E127" s="182" t="str">
        <f>VLOOKUP(C127,'14-18 JULY'!C:C,1,0)</f>
        <v>#N/A</v>
      </c>
    </row>
    <row r="128">
      <c r="A128" s="310" t="s">
        <v>156</v>
      </c>
      <c r="B128" s="310">
        <v>204402.0</v>
      </c>
      <c r="C128" s="310" t="s">
        <v>1203</v>
      </c>
      <c r="D128" s="322">
        <v>26.0</v>
      </c>
      <c r="E128" s="182" t="str">
        <f>VLOOKUP(C128,'14-18 JULY'!C:C,1,0)</f>
        <v>#N/A</v>
      </c>
    </row>
    <row r="129">
      <c r="A129" s="310" t="s">
        <v>156</v>
      </c>
      <c r="B129" s="310">
        <v>204402.0</v>
      </c>
      <c r="C129" s="310" t="s">
        <v>1204</v>
      </c>
      <c r="D129" s="322">
        <v>5.0</v>
      </c>
      <c r="E129" s="182" t="str">
        <f>VLOOKUP(C129,'14-18 JULY'!C:C,1,0)</f>
        <v>#N/A</v>
      </c>
    </row>
    <row r="130">
      <c r="A130" s="310" t="s">
        <v>156</v>
      </c>
      <c r="B130" s="310">
        <v>241187.0</v>
      </c>
      <c r="C130" s="310" t="s">
        <v>1205</v>
      </c>
      <c r="D130" s="322">
        <v>55.0</v>
      </c>
      <c r="E130" s="182" t="str">
        <f>VLOOKUP(C130,'14-18 JULY'!C:C,1,0)</f>
        <v>#N/A</v>
      </c>
    </row>
    <row r="131">
      <c r="A131" s="310" t="s">
        <v>156</v>
      </c>
      <c r="B131" s="310">
        <v>241187.0</v>
      </c>
      <c r="C131" s="310" t="s">
        <v>1206</v>
      </c>
      <c r="D131" s="322">
        <v>19.0</v>
      </c>
      <c r="E131" s="182" t="str">
        <f>VLOOKUP(C131,'14-18 JULY'!C:C,1,0)</f>
        <v>#N/A</v>
      </c>
    </row>
    <row r="132">
      <c r="A132" s="310" t="s">
        <v>156</v>
      </c>
      <c r="B132" s="310">
        <v>241187.0</v>
      </c>
      <c r="C132" s="310" t="s">
        <v>1207</v>
      </c>
      <c r="D132" s="322">
        <v>18.0</v>
      </c>
      <c r="E132" s="310" t="s">
        <v>746</v>
      </c>
    </row>
    <row r="133">
      <c r="A133" s="310" t="s">
        <v>156</v>
      </c>
      <c r="B133" s="310">
        <v>241187.0</v>
      </c>
      <c r="C133" s="310" t="s">
        <v>1208</v>
      </c>
      <c r="D133" s="322">
        <v>14.0</v>
      </c>
      <c r="E133" s="182" t="str">
        <f>VLOOKUP(C133,'14-18 JULY'!C:C,1,0)</f>
        <v>#N/A</v>
      </c>
    </row>
    <row r="134">
      <c r="A134" s="310" t="s">
        <v>156</v>
      </c>
      <c r="B134" s="310">
        <v>234791.0</v>
      </c>
      <c r="C134" s="310" t="s">
        <v>1209</v>
      </c>
      <c r="D134" s="322">
        <v>42.0</v>
      </c>
      <c r="E134" s="182" t="str">
        <f>VLOOKUP(C134,'14-18 JULY'!C:C,1,0)</f>
        <v>#N/A</v>
      </c>
    </row>
    <row r="135">
      <c r="A135" s="310" t="s">
        <v>156</v>
      </c>
      <c r="B135" s="310">
        <v>234791.0</v>
      </c>
      <c r="C135" s="310" t="s">
        <v>1210</v>
      </c>
      <c r="D135" s="322">
        <v>28.0</v>
      </c>
      <c r="E135" s="182" t="str">
        <f>VLOOKUP(C135,'14-18 JULY'!C:C,1,0)</f>
        <v>#N/A</v>
      </c>
    </row>
    <row r="136">
      <c r="A136" s="310" t="s">
        <v>156</v>
      </c>
      <c r="B136" s="310">
        <v>234791.0</v>
      </c>
      <c r="C136" s="310" t="s">
        <v>1211</v>
      </c>
      <c r="D136" s="322">
        <v>23.0</v>
      </c>
      <c r="E136" s="182" t="str">
        <f>VLOOKUP(C136,'14-18 JULY'!C:C,1,0)</f>
        <v>#N/A</v>
      </c>
    </row>
    <row r="137">
      <c r="A137" s="310" t="s">
        <v>156</v>
      </c>
      <c r="B137" s="310">
        <v>220126.0</v>
      </c>
      <c r="C137" s="310" t="s">
        <v>21</v>
      </c>
      <c r="D137" s="322">
        <v>106.0</v>
      </c>
      <c r="E137" s="310" t="s">
        <v>746</v>
      </c>
    </row>
    <row r="138">
      <c r="A138" s="310" t="s">
        <v>156</v>
      </c>
      <c r="B138" s="310">
        <v>220126.0</v>
      </c>
      <c r="C138" s="310" t="s">
        <v>1127</v>
      </c>
      <c r="D138" s="322">
        <v>54.0</v>
      </c>
      <c r="E138" s="182" t="str">
        <f>VLOOKUP(C138,'14-18 JULY'!C:C,1,0)</f>
        <v>#N/A</v>
      </c>
    </row>
    <row r="139">
      <c r="A139" s="310" t="s">
        <v>156</v>
      </c>
      <c r="B139" s="310">
        <v>220126.0</v>
      </c>
      <c r="C139" s="310" t="s">
        <v>1212</v>
      </c>
      <c r="D139" s="322">
        <v>7.0</v>
      </c>
      <c r="E139" s="182" t="str">
        <f>VLOOKUP(C139,'14-18 JULY'!C:C,1,0)</f>
        <v>#N/A</v>
      </c>
    </row>
    <row r="140">
      <c r="A140" s="310" t="s">
        <v>156</v>
      </c>
      <c r="B140" s="310">
        <v>237931.0</v>
      </c>
      <c r="C140" s="310" t="s">
        <v>1213</v>
      </c>
      <c r="D140" s="322">
        <v>34.0</v>
      </c>
      <c r="E140" s="182" t="str">
        <f>VLOOKUP(C140,'14-18 JULY'!C:C,1,0)</f>
        <v>#N/A</v>
      </c>
    </row>
    <row r="141">
      <c r="A141" s="310" t="s">
        <v>156</v>
      </c>
      <c r="B141" s="310">
        <v>237931.0</v>
      </c>
      <c r="C141" s="310" t="s">
        <v>1214</v>
      </c>
      <c r="D141" s="322">
        <v>21.0</v>
      </c>
      <c r="E141" s="182" t="str">
        <f>VLOOKUP(C141,'14-18 JULY'!C:C,1,0)</f>
        <v>#N/A</v>
      </c>
    </row>
    <row r="142">
      <c r="A142" s="310" t="s">
        <v>156</v>
      </c>
      <c r="B142" s="310">
        <v>236911.0</v>
      </c>
      <c r="C142" s="310" t="s">
        <v>1215</v>
      </c>
      <c r="D142" s="322">
        <v>15.0</v>
      </c>
      <c r="E142" s="182" t="str">
        <f>VLOOKUP(C142,'14-18 JULY'!C:C,1,0)</f>
        <v>#N/A</v>
      </c>
    </row>
    <row r="143">
      <c r="A143" s="310" t="s">
        <v>156</v>
      </c>
      <c r="B143" s="310">
        <v>236911.0</v>
      </c>
      <c r="C143" s="310" t="s">
        <v>1216</v>
      </c>
      <c r="D143" s="322">
        <v>10.0</v>
      </c>
      <c r="E143" s="182" t="str">
        <f>VLOOKUP(C143,'14-18 JULY'!C:C,1,0)</f>
        <v>#N/A</v>
      </c>
    </row>
    <row r="144">
      <c r="A144" s="310" t="s">
        <v>156</v>
      </c>
      <c r="B144" s="310">
        <v>149021.0</v>
      </c>
      <c r="C144" s="310" t="s">
        <v>1217</v>
      </c>
      <c r="D144" s="322">
        <v>65.0</v>
      </c>
      <c r="E144" s="182" t="str">
        <f>VLOOKUP(C144,'14-18 JULY'!C:C,1,0)</f>
        <v>#N/A</v>
      </c>
    </row>
    <row r="145">
      <c r="A145" s="310" t="s">
        <v>156</v>
      </c>
      <c r="B145" s="310">
        <v>149021.0</v>
      </c>
      <c r="C145" s="310" t="s">
        <v>1218</v>
      </c>
      <c r="D145" s="322">
        <v>28.0</v>
      </c>
      <c r="E145" s="182" t="str">
        <f>VLOOKUP(C145,'14-18 JULY'!C:C,1,0)</f>
        <v>#N/A</v>
      </c>
    </row>
    <row r="146">
      <c r="A146" s="310" t="s">
        <v>156</v>
      </c>
      <c r="B146" s="310">
        <v>149021.0</v>
      </c>
      <c r="C146" s="310" t="s">
        <v>1219</v>
      </c>
      <c r="D146" s="322">
        <v>11.0</v>
      </c>
      <c r="E146" s="182" t="str">
        <f>VLOOKUP(C146,'14-18 JULY'!C:C,1,0)</f>
        <v>#N/A</v>
      </c>
    </row>
    <row r="147">
      <c r="A147" s="310" t="s">
        <v>156</v>
      </c>
      <c r="B147" s="310">
        <v>222009.0</v>
      </c>
      <c r="C147" s="310" t="s">
        <v>1220</v>
      </c>
      <c r="D147" s="322">
        <v>67.0</v>
      </c>
      <c r="E147" s="182" t="str">
        <f>VLOOKUP(C147,'14-18 JULY'!C:C,1,0)</f>
        <v>#N/A</v>
      </c>
    </row>
    <row r="148">
      <c r="A148" s="310" t="s">
        <v>156</v>
      </c>
      <c r="B148" s="310">
        <v>222009.0</v>
      </c>
      <c r="C148" s="310" t="s">
        <v>1221</v>
      </c>
      <c r="D148" s="322">
        <v>24.0</v>
      </c>
      <c r="E148" s="182" t="str">
        <f>VLOOKUP(C148,'14-18 JULY'!C:C,1,0)</f>
        <v>#N/A</v>
      </c>
    </row>
    <row r="149">
      <c r="A149" s="310" t="s">
        <v>156</v>
      </c>
      <c r="B149" s="310">
        <v>227450.0</v>
      </c>
      <c r="C149" s="310" t="s">
        <v>65</v>
      </c>
      <c r="D149" s="322">
        <v>40.0</v>
      </c>
      <c r="E149" s="310" t="s">
        <v>746</v>
      </c>
    </row>
    <row r="150">
      <c r="A150" s="310" t="s">
        <v>156</v>
      </c>
      <c r="B150" s="310">
        <v>227450.0</v>
      </c>
      <c r="C150" s="310" t="s">
        <v>1222</v>
      </c>
      <c r="D150" s="322">
        <v>4.0</v>
      </c>
      <c r="E150" s="182" t="str">
        <f>VLOOKUP(C150,'14-18 JULY'!C:C,1,0)</f>
        <v>#N/A</v>
      </c>
    </row>
    <row r="151">
      <c r="A151" s="310" t="s">
        <v>156</v>
      </c>
      <c r="B151" s="310">
        <v>236151.0</v>
      </c>
      <c r="C151" s="310" t="s">
        <v>1223</v>
      </c>
      <c r="D151" s="322">
        <v>24.0</v>
      </c>
      <c r="E151" s="182" t="str">
        <f>VLOOKUP(C151,'14-18 JULY'!C:C,1,0)</f>
        <v>#N/A</v>
      </c>
    </row>
    <row r="152">
      <c r="A152" s="310" t="s">
        <v>156</v>
      </c>
      <c r="B152" s="310">
        <v>236151.0</v>
      </c>
      <c r="C152" s="310" t="s">
        <v>1224</v>
      </c>
      <c r="D152" s="322">
        <v>15.0</v>
      </c>
      <c r="E152" s="182" t="str">
        <f>VLOOKUP(C152,'14-18 JULY'!C:C,1,0)</f>
        <v>#N/A</v>
      </c>
    </row>
    <row r="153">
      <c r="A153" s="310" t="s">
        <v>156</v>
      </c>
      <c r="B153" s="310">
        <v>236151.0</v>
      </c>
      <c r="C153" s="310" t="s">
        <v>1225</v>
      </c>
      <c r="D153" s="322">
        <v>12.0</v>
      </c>
      <c r="E153" s="182" t="str">
        <f>VLOOKUP(C153,'14-18 JULY'!C:C,1,0)</f>
        <v>#N/A</v>
      </c>
    </row>
    <row r="154">
      <c r="A154" s="310" t="s">
        <v>156</v>
      </c>
      <c r="B154" s="310">
        <v>233711.0</v>
      </c>
      <c r="C154" s="310" t="s">
        <v>1226</v>
      </c>
      <c r="D154" s="322">
        <v>71.0</v>
      </c>
      <c r="E154" s="182" t="str">
        <f>VLOOKUP(C154,'14-18 JULY'!C:C,1,0)</f>
        <v>#N/A</v>
      </c>
    </row>
    <row r="155">
      <c r="A155" s="310" t="s">
        <v>156</v>
      </c>
      <c r="B155" s="310">
        <v>234783.0</v>
      </c>
      <c r="C155" s="310" t="s">
        <v>1227</v>
      </c>
      <c r="D155" s="322">
        <v>18.0</v>
      </c>
      <c r="E155" s="182" t="str">
        <f>VLOOKUP(C155,'14-18 JULY'!C:C,1,0)</f>
        <v>#N/A</v>
      </c>
    </row>
    <row r="156">
      <c r="A156" s="310" t="s">
        <v>156</v>
      </c>
      <c r="B156" s="310">
        <v>234783.0</v>
      </c>
      <c r="C156" s="310" t="s">
        <v>1228</v>
      </c>
      <c r="D156" s="322">
        <v>10.0</v>
      </c>
      <c r="E156" s="182" t="str">
        <f>VLOOKUP(C156,'14-18 JULY'!C:C,1,0)</f>
        <v>#N/A</v>
      </c>
    </row>
  </sheetData>
  <autoFilter ref="$A$2:$E$156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88"/>
    <col customWidth="1" min="10" max="10" width="13.5"/>
    <col customWidth="1" min="11" max="11" width="14.5"/>
  </cols>
  <sheetData>
    <row r="1">
      <c r="A1" s="323" t="s">
        <v>1229</v>
      </c>
      <c r="I1" s="318"/>
      <c r="J1" s="318"/>
    </row>
    <row r="2">
      <c r="A2" s="318"/>
      <c r="B2" s="318"/>
      <c r="C2" s="318"/>
      <c r="D2" s="318"/>
      <c r="E2" s="318"/>
      <c r="F2" s="318"/>
      <c r="G2" s="318"/>
      <c r="H2" s="318"/>
      <c r="I2" s="318"/>
      <c r="J2" s="318"/>
    </row>
    <row r="3">
      <c r="A3" s="324" t="s">
        <v>1230</v>
      </c>
      <c r="I3" s="318"/>
      <c r="J3" s="318"/>
    </row>
    <row r="4">
      <c r="A4" s="325" t="s">
        <v>1231</v>
      </c>
      <c r="B4" s="326" t="s">
        <v>1232</v>
      </c>
      <c r="I4" s="318"/>
      <c r="J4" s="318"/>
    </row>
    <row r="5">
      <c r="A5" s="327" t="s">
        <v>1233</v>
      </c>
      <c r="B5" s="326" t="s">
        <v>1234</v>
      </c>
      <c r="I5" s="318"/>
      <c r="J5" s="318"/>
    </row>
    <row r="6">
      <c r="A6" s="328" t="s">
        <v>1235</v>
      </c>
      <c r="B6" s="326" t="s">
        <v>1236</v>
      </c>
      <c r="I6" s="318"/>
      <c r="J6" s="318"/>
    </row>
    <row r="7">
      <c r="A7" s="329" t="s">
        <v>1237</v>
      </c>
      <c r="B7" s="326" t="s">
        <v>1238</v>
      </c>
      <c r="I7" s="318"/>
      <c r="J7" s="318"/>
    </row>
    <row r="8">
      <c r="A8" s="318"/>
      <c r="B8" s="318"/>
      <c r="C8" s="318"/>
      <c r="D8" s="318"/>
      <c r="E8" s="318"/>
      <c r="F8" s="318"/>
      <c r="G8" s="318"/>
      <c r="H8" s="318"/>
      <c r="I8" s="318"/>
      <c r="J8" s="318"/>
    </row>
    <row r="9">
      <c r="A9" s="318"/>
      <c r="B9" s="318"/>
      <c r="C9" s="318"/>
      <c r="D9" s="318"/>
      <c r="E9" s="318"/>
      <c r="F9" s="318"/>
      <c r="G9" s="318"/>
      <c r="H9" s="318"/>
      <c r="I9" s="318"/>
      <c r="J9" s="318"/>
    </row>
    <row r="10">
      <c r="A10" s="318"/>
      <c r="B10" s="318"/>
      <c r="C10" s="318"/>
      <c r="D10" s="318"/>
      <c r="E10" s="318"/>
      <c r="F10" s="318"/>
      <c r="G10" s="318"/>
      <c r="H10" s="318"/>
      <c r="I10" s="318"/>
      <c r="J10" s="318"/>
    </row>
    <row r="11">
      <c r="A11" s="330" t="s">
        <v>1239</v>
      </c>
      <c r="C11" s="330" t="s">
        <v>1240</v>
      </c>
      <c r="E11" s="330" t="s">
        <v>1241</v>
      </c>
      <c r="G11" s="330" t="s">
        <v>1242</v>
      </c>
      <c r="I11" s="330" t="s">
        <v>1243</v>
      </c>
    </row>
    <row r="12" ht="88.5" customHeight="1">
      <c r="A12" s="330">
        <v>97.0</v>
      </c>
      <c r="C12" s="331">
        <v>12.0</v>
      </c>
      <c r="E12" s="332">
        <v>9.0</v>
      </c>
      <c r="G12" s="333">
        <v>22.0</v>
      </c>
      <c r="I12" s="334">
        <v>54.0</v>
      </c>
    </row>
    <row r="14">
      <c r="A14" s="330" t="s">
        <v>1244</v>
      </c>
      <c r="G14" s="335"/>
      <c r="H14" s="335"/>
      <c r="I14" s="318"/>
      <c r="J14" s="318"/>
    </row>
    <row r="15">
      <c r="A15" s="330" t="s">
        <v>1245</v>
      </c>
      <c r="B15" s="330" t="s">
        <v>1246</v>
      </c>
      <c r="C15" s="330" t="s">
        <v>1247</v>
      </c>
      <c r="D15" s="330" t="s">
        <v>1248</v>
      </c>
      <c r="E15" s="330" t="s">
        <v>1249</v>
      </c>
      <c r="F15" s="330" t="s">
        <v>1250</v>
      </c>
      <c r="G15" s="318"/>
      <c r="H15" s="318"/>
      <c r="I15" s="318"/>
      <c r="J15" s="318"/>
    </row>
    <row r="16">
      <c r="A16" s="336" t="s">
        <v>1251</v>
      </c>
      <c r="B16" s="337">
        <v>7.0</v>
      </c>
      <c r="C16" s="338">
        <v>5.0</v>
      </c>
      <c r="D16" s="339">
        <v>8.0</v>
      </c>
      <c r="E16" s="340">
        <v>25.0</v>
      </c>
      <c r="F16" s="341">
        <v>45.0</v>
      </c>
      <c r="G16" s="318"/>
      <c r="H16" s="318"/>
      <c r="I16" s="318"/>
      <c r="J16" s="318"/>
    </row>
    <row r="17">
      <c r="A17" s="336" t="s">
        <v>1252</v>
      </c>
      <c r="B17" s="337">
        <v>2.0</v>
      </c>
      <c r="C17" s="338">
        <v>3.0</v>
      </c>
      <c r="D17" s="339">
        <v>9.0</v>
      </c>
      <c r="E17" s="340">
        <v>15.0</v>
      </c>
      <c r="F17" s="341">
        <v>29.0</v>
      </c>
      <c r="G17" s="318"/>
      <c r="H17" s="318"/>
      <c r="I17" s="318"/>
      <c r="J17" s="318"/>
    </row>
    <row r="18">
      <c r="A18" s="336" t="s">
        <v>1253</v>
      </c>
      <c r="B18" s="337">
        <v>3.0</v>
      </c>
      <c r="C18" s="338">
        <v>1.0</v>
      </c>
      <c r="D18" s="339">
        <v>5.0</v>
      </c>
      <c r="E18" s="340">
        <v>14.0</v>
      </c>
      <c r="F18" s="341">
        <v>23.0</v>
      </c>
      <c r="G18" s="318"/>
      <c r="H18" s="318"/>
      <c r="I18" s="318"/>
      <c r="J18" s="318"/>
    </row>
    <row r="19">
      <c r="A19" s="324" t="s">
        <v>1254</v>
      </c>
      <c r="B19" s="324">
        <v>12.0</v>
      </c>
      <c r="C19" s="324">
        <v>9.0</v>
      </c>
      <c r="D19" s="324">
        <v>22.0</v>
      </c>
      <c r="E19" s="324">
        <v>54.0</v>
      </c>
      <c r="F19" s="324">
        <v>97.0</v>
      </c>
      <c r="G19" s="318"/>
      <c r="H19" s="318"/>
      <c r="I19" s="318"/>
      <c r="J19" s="318"/>
    </row>
    <row r="21">
      <c r="A21" s="342" t="s">
        <v>1255</v>
      </c>
    </row>
    <row r="22">
      <c r="A22" s="343" t="s">
        <v>848</v>
      </c>
      <c r="B22" s="343" t="s">
        <v>1245</v>
      </c>
      <c r="C22" s="343" t="s">
        <v>929</v>
      </c>
      <c r="D22" s="343" t="s">
        <v>1256</v>
      </c>
      <c r="E22" s="343" t="s">
        <v>1257</v>
      </c>
      <c r="F22" s="343" t="s">
        <v>1258</v>
      </c>
      <c r="G22" s="343" t="s">
        <v>1259</v>
      </c>
      <c r="H22" s="343" t="s">
        <v>851</v>
      </c>
      <c r="I22" s="343" t="s">
        <v>1260</v>
      </c>
      <c r="J22" s="343" t="s">
        <v>1261</v>
      </c>
      <c r="K22" s="343" t="s">
        <v>1262</v>
      </c>
    </row>
    <row r="23">
      <c r="A23" s="344" t="s">
        <v>1263</v>
      </c>
      <c r="B23" s="344" t="s">
        <v>1264</v>
      </c>
      <c r="C23" s="345"/>
      <c r="D23" s="345"/>
      <c r="E23" s="346">
        <v>0.8</v>
      </c>
      <c r="F23" s="346">
        <v>0.248</v>
      </c>
      <c r="G23" s="345">
        <f>+55.2%</f>
        <v>0.552</v>
      </c>
      <c r="H23" s="344">
        <v>4.0</v>
      </c>
      <c r="I23" s="344">
        <v>5.0</v>
      </c>
      <c r="J23" s="344">
        <v>234798.0</v>
      </c>
      <c r="K23" s="344" t="s">
        <v>1265</v>
      </c>
    </row>
    <row r="24">
      <c r="A24" s="347" t="s">
        <v>1266</v>
      </c>
      <c r="B24" s="347" t="s">
        <v>1267</v>
      </c>
      <c r="C24" s="347" t="s">
        <v>17</v>
      </c>
      <c r="D24" s="347">
        <v>0.113</v>
      </c>
      <c r="E24" s="348">
        <v>0.636</v>
      </c>
      <c r="F24" s="348">
        <v>0.182</v>
      </c>
      <c r="G24" s="349">
        <f>+45.4%</f>
        <v>0.454</v>
      </c>
      <c r="H24" s="347">
        <v>7.0</v>
      </c>
      <c r="I24" s="347">
        <v>11.0</v>
      </c>
      <c r="J24" s="347">
        <v>236095.0</v>
      </c>
      <c r="K24" s="347" t="s">
        <v>1268</v>
      </c>
    </row>
    <row r="25">
      <c r="A25" s="344" t="s">
        <v>1269</v>
      </c>
      <c r="B25" s="344" t="s">
        <v>1270</v>
      </c>
      <c r="C25" s="345"/>
      <c r="D25" s="345"/>
      <c r="E25" s="346">
        <v>0.556</v>
      </c>
      <c r="F25" s="346">
        <v>0.182</v>
      </c>
      <c r="G25" s="345">
        <f>+37.4%</f>
        <v>0.374</v>
      </c>
      <c r="H25" s="344">
        <v>5.0</v>
      </c>
      <c r="I25" s="344">
        <v>9.0</v>
      </c>
      <c r="J25" s="344">
        <v>236095.0</v>
      </c>
      <c r="K25" s="344" t="s">
        <v>1271</v>
      </c>
    </row>
    <row r="26">
      <c r="A26" s="347" t="s">
        <v>1272</v>
      </c>
      <c r="B26" s="347" t="s">
        <v>1270</v>
      </c>
      <c r="C26" s="347" t="s">
        <v>17</v>
      </c>
      <c r="D26" s="347">
        <v>24.0</v>
      </c>
      <c r="E26" s="348">
        <v>0.5</v>
      </c>
      <c r="F26" s="348">
        <v>0.441</v>
      </c>
      <c r="G26" s="349">
        <f>+5.9%</f>
        <v>0.059</v>
      </c>
      <c r="H26" s="347">
        <v>9.0</v>
      </c>
      <c r="I26" s="347">
        <v>18.0</v>
      </c>
      <c r="J26" s="347">
        <v>134949.0</v>
      </c>
      <c r="K26" s="347" t="s">
        <v>1273</v>
      </c>
    </row>
    <row r="27">
      <c r="A27" s="344" t="s">
        <v>1274</v>
      </c>
      <c r="B27" s="344" t="s">
        <v>1267</v>
      </c>
      <c r="C27" s="344" t="s">
        <v>17</v>
      </c>
      <c r="D27" s="344">
        <v>0.313</v>
      </c>
      <c r="E27" s="346">
        <v>0.344</v>
      </c>
      <c r="F27" s="346">
        <v>0.182</v>
      </c>
      <c r="G27" s="345">
        <f>+16.2%</f>
        <v>0.162</v>
      </c>
      <c r="H27" s="344">
        <v>11.0</v>
      </c>
      <c r="I27" s="344">
        <v>32.0</v>
      </c>
      <c r="J27" s="344">
        <v>236095.0</v>
      </c>
      <c r="K27" s="344" t="s">
        <v>1275</v>
      </c>
    </row>
    <row r="28">
      <c r="A28" s="347" t="s">
        <v>1276</v>
      </c>
      <c r="B28" s="347" t="s">
        <v>1267</v>
      </c>
      <c r="C28" s="347" t="s">
        <v>17</v>
      </c>
      <c r="D28" s="347">
        <v>0.258</v>
      </c>
      <c r="E28" s="348">
        <v>0.289</v>
      </c>
      <c r="F28" s="348">
        <v>0.214</v>
      </c>
      <c r="G28" s="349">
        <f>+7.5%</f>
        <v>0.075</v>
      </c>
      <c r="H28" s="347">
        <v>24.0</v>
      </c>
      <c r="I28" s="347">
        <v>83.0</v>
      </c>
      <c r="J28" s="347">
        <v>234792.0</v>
      </c>
      <c r="K28" s="347" t="s">
        <v>1277</v>
      </c>
    </row>
    <row r="29">
      <c r="A29" s="344" t="s">
        <v>935</v>
      </c>
      <c r="B29" s="344" t="s">
        <v>1267</v>
      </c>
      <c r="C29" s="344" t="s">
        <v>32</v>
      </c>
      <c r="D29" s="344">
        <v>0.178</v>
      </c>
      <c r="E29" s="346">
        <v>0.232</v>
      </c>
      <c r="F29" s="346">
        <v>0.182</v>
      </c>
      <c r="G29" s="345">
        <f>+5%</f>
        <v>0.05</v>
      </c>
      <c r="H29" s="344">
        <v>44.0</v>
      </c>
      <c r="I29" s="344">
        <v>190.0</v>
      </c>
      <c r="J29" s="344">
        <v>236095.0</v>
      </c>
      <c r="K29" s="344" t="s">
        <v>1278</v>
      </c>
    </row>
    <row r="30">
      <c r="A30" s="347" t="s">
        <v>1279</v>
      </c>
      <c r="B30" s="347" t="s">
        <v>1267</v>
      </c>
      <c r="C30" s="347" t="s">
        <v>17</v>
      </c>
      <c r="D30" s="347">
        <v>0.048</v>
      </c>
      <c r="E30" s="348">
        <v>0.222</v>
      </c>
      <c r="F30" s="348">
        <v>0.154</v>
      </c>
      <c r="G30" s="349">
        <f>+6.8%</f>
        <v>0.068</v>
      </c>
      <c r="H30" s="347">
        <v>32.0</v>
      </c>
      <c r="I30" s="347">
        <v>144.0</v>
      </c>
      <c r="J30" s="347">
        <v>134951.0</v>
      </c>
      <c r="K30" s="347" t="s">
        <v>1280</v>
      </c>
    </row>
    <row r="31">
      <c r="A31" s="344" t="s">
        <v>1281</v>
      </c>
      <c r="B31" s="344" t="s">
        <v>1267</v>
      </c>
      <c r="C31" s="344" t="s">
        <v>32</v>
      </c>
      <c r="D31" s="344">
        <v>0.098</v>
      </c>
      <c r="E31" s="346">
        <v>0.196</v>
      </c>
      <c r="F31" s="346">
        <v>0.105</v>
      </c>
      <c r="G31" s="345">
        <f>+9.1%</f>
        <v>0.091</v>
      </c>
      <c r="H31" s="344">
        <v>10.0</v>
      </c>
      <c r="I31" s="344">
        <v>51.0</v>
      </c>
      <c r="J31" s="344">
        <v>239839.0</v>
      </c>
      <c r="K31" s="344" t="s">
        <v>1282</v>
      </c>
    </row>
    <row r="32">
      <c r="A32" s="347" t="s">
        <v>1141</v>
      </c>
      <c r="B32" s="347" t="s">
        <v>1264</v>
      </c>
      <c r="C32" s="347" t="s">
        <v>32</v>
      </c>
      <c r="D32" s="347">
        <v>0.064</v>
      </c>
      <c r="E32" s="348">
        <v>0.196</v>
      </c>
      <c r="F32" s="348">
        <v>0.063</v>
      </c>
      <c r="G32" s="349">
        <f>+13.3%</f>
        <v>0.133</v>
      </c>
      <c r="H32" s="347">
        <v>10.0</v>
      </c>
      <c r="I32" s="347">
        <v>51.0</v>
      </c>
      <c r="J32" s="347">
        <v>217873.0</v>
      </c>
      <c r="K32" s="347" t="s">
        <v>1283</v>
      </c>
    </row>
    <row r="33">
      <c r="A33" s="344" t="s">
        <v>1284</v>
      </c>
      <c r="B33" s="344" t="s">
        <v>1267</v>
      </c>
      <c r="C33" s="344" t="s">
        <v>32</v>
      </c>
      <c r="D33" s="344">
        <v>0.136</v>
      </c>
      <c r="E33" s="346">
        <v>0.184</v>
      </c>
      <c r="F33" s="346">
        <v>0.12</v>
      </c>
      <c r="G33" s="345">
        <f>+6.4%</f>
        <v>0.064</v>
      </c>
      <c r="H33" s="344">
        <v>41.0</v>
      </c>
      <c r="I33" s="344">
        <v>223.0</v>
      </c>
      <c r="J33" s="344">
        <v>221282.0</v>
      </c>
      <c r="K33" s="344" t="s">
        <v>1285</v>
      </c>
    </row>
    <row r="34">
      <c r="A34" s="347" t="s">
        <v>1141</v>
      </c>
      <c r="B34" s="347" t="s">
        <v>1270</v>
      </c>
      <c r="C34" s="349"/>
      <c r="D34" s="349"/>
      <c r="E34" s="348">
        <v>0.154</v>
      </c>
      <c r="F34" s="348">
        <v>0.063</v>
      </c>
      <c r="G34" s="349">
        <f>+9.1%</f>
        <v>0.091</v>
      </c>
      <c r="H34" s="347">
        <v>6.0</v>
      </c>
      <c r="I34" s="347">
        <v>39.0</v>
      </c>
      <c r="J34" s="347">
        <v>217873.0</v>
      </c>
      <c r="K34" s="347" t="s">
        <v>1283</v>
      </c>
    </row>
    <row r="37">
      <c r="A37" s="350" t="s">
        <v>1286</v>
      </c>
    </row>
    <row r="38">
      <c r="A38" s="351" t="s">
        <v>848</v>
      </c>
      <c r="B38" s="351" t="s">
        <v>1245</v>
      </c>
      <c r="C38" s="351" t="s">
        <v>929</v>
      </c>
      <c r="D38" s="351" t="s">
        <v>1256</v>
      </c>
      <c r="E38" s="351" t="s">
        <v>1257</v>
      </c>
      <c r="F38" s="351" t="s">
        <v>1258</v>
      </c>
      <c r="G38" s="351" t="s">
        <v>1259</v>
      </c>
      <c r="H38" s="351" t="s">
        <v>851</v>
      </c>
      <c r="I38" s="351" t="s">
        <v>1260</v>
      </c>
      <c r="J38" s="351" t="s">
        <v>1261</v>
      </c>
      <c r="K38" s="351" t="s">
        <v>1262</v>
      </c>
    </row>
    <row r="39">
      <c r="A39" s="352" t="s">
        <v>31</v>
      </c>
      <c r="B39" s="352" t="s">
        <v>1270</v>
      </c>
      <c r="C39" s="353"/>
      <c r="D39" s="353"/>
      <c r="E39" s="354">
        <v>0.051</v>
      </c>
      <c r="F39" s="354">
        <v>0.152</v>
      </c>
      <c r="G39" s="354">
        <v>-0.101</v>
      </c>
      <c r="H39" s="352">
        <v>5.0</v>
      </c>
      <c r="I39" s="352">
        <v>98.0</v>
      </c>
      <c r="J39" s="352">
        <v>219829.0</v>
      </c>
      <c r="K39" s="352" t="s">
        <v>1287</v>
      </c>
    </row>
    <row r="40">
      <c r="A40" s="355" t="s">
        <v>1288</v>
      </c>
      <c r="B40" s="355" t="s">
        <v>1264</v>
      </c>
      <c r="C40" s="355" t="s">
        <v>32</v>
      </c>
      <c r="D40" s="355">
        <v>0.027</v>
      </c>
      <c r="E40" s="356">
        <v>0.055</v>
      </c>
      <c r="F40" s="356">
        <v>0.092</v>
      </c>
      <c r="G40" s="356">
        <v>-0.037</v>
      </c>
      <c r="H40" s="355">
        <v>6.0</v>
      </c>
      <c r="I40" s="355">
        <v>110.0</v>
      </c>
      <c r="J40" s="355">
        <v>215983.0</v>
      </c>
      <c r="K40" s="355" t="s">
        <v>1289</v>
      </c>
    </row>
    <row r="41">
      <c r="A41" s="352" t="s">
        <v>1176</v>
      </c>
      <c r="B41" s="352" t="s">
        <v>1270</v>
      </c>
      <c r="C41" s="352" t="s">
        <v>32</v>
      </c>
      <c r="D41" s="352">
        <v>2.5</v>
      </c>
      <c r="E41" s="354">
        <v>0.056</v>
      </c>
      <c r="F41" s="354">
        <v>0.07</v>
      </c>
      <c r="G41" s="354">
        <v>-0.014</v>
      </c>
      <c r="H41" s="352">
        <v>6.0</v>
      </c>
      <c r="I41" s="352">
        <v>108.0</v>
      </c>
      <c r="J41" s="352">
        <v>137971.0</v>
      </c>
      <c r="K41" s="352" t="s">
        <v>1290</v>
      </c>
    </row>
    <row r="42">
      <c r="A42" s="355" t="s">
        <v>1291</v>
      </c>
      <c r="B42" s="355" t="s">
        <v>1267</v>
      </c>
      <c r="C42" s="355" t="s">
        <v>32</v>
      </c>
      <c r="D42" s="355">
        <v>0.03</v>
      </c>
      <c r="E42" s="356">
        <v>0.057</v>
      </c>
      <c r="F42" s="356">
        <v>0.07</v>
      </c>
      <c r="G42" s="356">
        <v>-0.013</v>
      </c>
      <c r="H42" s="355">
        <v>7.0</v>
      </c>
      <c r="I42" s="355">
        <v>123.0</v>
      </c>
      <c r="J42" s="355">
        <v>137971.0</v>
      </c>
      <c r="K42" s="355" t="s">
        <v>1292</v>
      </c>
    </row>
    <row r="43">
      <c r="A43" s="352" t="s">
        <v>1293</v>
      </c>
      <c r="B43" s="352" t="s">
        <v>1267</v>
      </c>
      <c r="C43" s="352" t="s">
        <v>32</v>
      </c>
      <c r="D43" s="352">
        <v>0.024</v>
      </c>
      <c r="E43" s="354">
        <v>0.065</v>
      </c>
      <c r="F43" s="354">
        <v>0.154</v>
      </c>
      <c r="G43" s="354">
        <v>-0.089</v>
      </c>
      <c r="H43" s="352">
        <v>8.0</v>
      </c>
      <c r="I43" s="352">
        <v>123.0</v>
      </c>
      <c r="J43" s="352">
        <v>211307.0</v>
      </c>
      <c r="K43" s="352" t="s">
        <v>1294</v>
      </c>
    </row>
    <row r="44">
      <c r="A44" s="355" t="s">
        <v>1014</v>
      </c>
      <c r="B44" s="355" t="s">
        <v>1267</v>
      </c>
      <c r="C44" s="355" t="s">
        <v>32</v>
      </c>
      <c r="D44" s="355">
        <v>0.031</v>
      </c>
      <c r="E44" s="356">
        <v>0.066</v>
      </c>
      <c r="F44" s="356">
        <v>0.063</v>
      </c>
      <c r="G44" s="357">
        <f>+0.3%</f>
        <v>0.003</v>
      </c>
      <c r="H44" s="355">
        <v>12.0</v>
      </c>
      <c r="I44" s="355">
        <v>183.0</v>
      </c>
      <c r="J44" s="355">
        <v>223230.0</v>
      </c>
      <c r="K44" s="355" t="s">
        <v>1295</v>
      </c>
    </row>
    <row r="45">
      <c r="A45" s="352" t="s">
        <v>1296</v>
      </c>
      <c r="B45" s="352" t="s">
        <v>1270</v>
      </c>
      <c r="C45" s="352" t="s">
        <v>17</v>
      </c>
      <c r="D45" s="352">
        <v>7.2</v>
      </c>
      <c r="E45" s="354">
        <v>0.069</v>
      </c>
      <c r="F45" s="354">
        <v>0.154</v>
      </c>
      <c r="G45" s="354">
        <v>-0.085</v>
      </c>
      <c r="H45" s="352">
        <v>14.0</v>
      </c>
      <c r="I45" s="352">
        <v>202.0</v>
      </c>
      <c r="J45" s="352">
        <v>211307.0</v>
      </c>
      <c r="K45" s="352" t="s">
        <v>1297</v>
      </c>
    </row>
    <row r="46">
      <c r="A46" s="355" t="s">
        <v>1298</v>
      </c>
      <c r="B46" s="355" t="s">
        <v>1264</v>
      </c>
      <c r="C46" s="355" t="s">
        <v>32</v>
      </c>
      <c r="D46" s="355">
        <v>0.061</v>
      </c>
      <c r="E46" s="356">
        <v>0.07</v>
      </c>
      <c r="F46" s="356">
        <v>0.066</v>
      </c>
      <c r="G46" s="357">
        <f>+0.4%</f>
        <v>0.004</v>
      </c>
      <c r="H46" s="355">
        <v>5.0</v>
      </c>
      <c r="I46" s="355">
        <v>71.0</v>
      </c>
      <c r="J46" s="355">
        <v>148157.0</v>
      </c>
      <c r="K46" s="355" t="s">
        <v>1299</v>
      </c>
    </row>
    <row r="47">
      <c r="A47" s="352" t="s">
        <v>1298</v>
      </c>
      <c r="B47" s="352" t="s">
        <v>1270</v>
      </c>
      <c r="C47" s="352" t="s">
        <v>32</v>
      </c>
      <c r="D47" s="352">
        <v>3.6</v>
      </c>
      <c r="E47" s="354">
        <v>0.073</v>
      </c>
      <c r="F47" s="354">
        <v>0.066</v>
      </c>
      <c r="G47" s="353">
        <f>+0.7%</f>
        <v>0.007</v>
      </c>
      <c r="H47" s="352">
        <v>6.0</v>
      </c>
      <c r="I47" s="352">
        <v>82.0</v>
      </c>
      <c r="J47" s="352">
        <v>148157.0</v>
      </c>
      <c r="K47" s="352" t="s">
        <v>1299</v>
      </c>
    </row>
    <row r="48">
      <c r="A48" s="355" t="s">
        <v>1300</v>
      </c>
      <c r="B48" s="355" t="s">
        <v>1267</v>
      </c>
      <c r="C48" s="355" t="s">
        <v>32</v>
      </c>
      <c r="D48" s="355">
        <v>0.077</v>
      </c>
      <c r="E48" s="356">
        <v>0.094</v>
      </c>
      <c r="F48" s="356">
        <v>0.095</v>
      </c>
      <c r="G48" s="356">
        <v>-0.001</v>
      </c>
      <c r="H48" s="355">
        <v>11.0</v>
      </c>
      <c r="I48" s="355">
        <v>117.0</v>
      </c>
      <c r="J48" s="355">
        <v>211307.0</v>
      </c>
      <c r="K48" s="355" t="s">
        <v>1301</v>
      </c>
    </row>
    <row r="49">
      <c r="A49" s="352" t="s">
        <v>1296</v>
      </c>
      <c r="B49" s="352" t="s">
        <v>1264</v>
      </c>
      <c r="C49" s="352" t="s">
        <v>17</v>
      </c>
      <c r="D49" s="352">
        <v>0.095</v>
      </c>
      <c r="E49" s="354">
        <v>0.095</v>
      </c>
      <c r="F49" s="354">
        <v>0.154</v>
      </c>
      <c r="G49" s="354">
        <v>-0.059</v>
      </c>
      <c r="H49" s="352">
        <v>13.0</v>
      </c>
      <c r="I49" s="352">
        <v>137.0</v>
      </c>
      <c r="J49" s="352">
        <v>211307.0</v>
      </c>
      <c r="K49" s="352" t="s">
        <v>1297</v>
      </c>
    </row>
    <row r="50">
      <c r="A50" s="355" t="s">
        <v>1302</v>
      </c>
      <c r="B50" s="355" t="s">
        <v>1267</v>
      </c>
      <c r="C50" s="355" t="s">
        <v>32</v>
      </c>
      <c r="D50" s="355">
        <v>0.079</v>
      </c>
      <c r="E50" s="356">
        <v>0.1</v>
      </c>
      <c r="F50" s="356">
        <v>0.136</v>
      </c>
      <c r="G50" s="356">
        <v>-0.036</v>
      </c>
      <c r="H50" s="355">
        <v>10.0</v>
      </c>
      <c r="I50" s="355">
        <v>100.0</v>
      </c>
      <c r="J50" s="355">
        <v>234800.0</v>
      </c>
      <c r="K50" s="355" t="s">
        <v>1303</v>
      </c>
    </row>
    <row r="51">
      <c r="A51" s="352" t="s">
        <v>1304</v>
      </c>
      <c r="B51" s="352" t="s">
        <v>1264</v>
      </c>
      <c r="C51" s="353"/>
      <c r="D51" s="353"/>
      <c r="E51" s="354">
        <v>0.108</v>
      </c>
      <c r="F51" s="354">
        <v>0.125</v>
      </c>
      <c r="G51" s="354">
        <v>-0.017</v>
      </c>
      <c r="H51" s="352">
        <v>4.0</v>
      </c>
      <c r="I51" s="352">
        <v>37.0</v>
      </c>
      <c r="J51" s="352">
        <v>235307.0</v>
      </c>
      <c r="K51" s="352" t="s">
        <v>1305</v>
      </c>
    </row>
    <row r="52">
      <c r="A52" s="355" t="s">
        <v>1306</v>
      </c>
      <c r="B52" s="355" t="s">
        <v>1267</v>
      </c>
      <c r="C52" s="355" t="s">
        <v>1307</v>
      </c>
      <c r="D52" s="355" t="s">
        <v>1308</v>
      </c>
      <c r="E52" s="356">
        <v>0.156</v>
      </c>
      <c r="F52" s="356">
        <v>0.154</v>
      </c>
      <c r="G52" s="357">
        <f>+0.2%</f>
        <v>0.002</v>
      </c>
      <c r="H52" s="355">
        <v>7.0</v>
      </c>
      <c r="I52" s="355">
        <v>45.0</v>
      </c>
      <c r="J52" s="355">
        <v>134951.0</v>
      </c>
      <c r="K52" s="355" t="s">
        <v>1309</v>
      </c>
    </row>
    <row r="53">
      <c r="A53" s="352" t="s">
        <v>1310</v>
      </c>
      <c r="B53" s="352" t="s">
        <v>1264</v>
      </c>
      <c r="C53" s="352" t="s">
        <v>124</v>
      </c>
      <c r="D53" s="352">
        <v>0.1818</v>
      </c>
      <c r="E53" s="354">
        <v>0.16</v>
      </c>
      <c r="F53" s="354">
        <v>0.154</v>
      </c>
      <c r="G53" s="353">
        <f>+0.6%</f>
        <v>0.006</v>
      </c>
      <c r="H53" s="352">
        <v>4.0</v>
      </c>
      <c r="I53" s="352">
        <v>25.0</v>
      </c>
      <c r="J53" s="352">
        <v>134951.0</v>
      </c>
      <c r="K53" s="352" t="s">
        <v>1311</v>
      </c>
    </row>
    <row r="54">
      <c r="A54" s="355" t="s">
        <v>34</v>
      </c>
      <c r="B54" s="355" t="s">
        <v>1267</v>
      </c>
      <c r="C54" s="355" t="s">
        <v>32</v>
      </c>
      <c r="D54" s="355">
        <v>0.059</v>
      </c>
      <c r="E54" s="356">
        <v>0.173</v>
      </c>
      <c r="F54" s="356">
        <v>0.441</v>
      </c>
      <c r="G54" s="356">
        <v>-0.268</v>
      </c>
      <c r="H54" s="355">
        <v>24.0</v>
      </c>
      <c r="I54" s="355">
        <v>139.0</v>
      </c>
      <c r="J54" s="355">
        <v>134949.0</v>
      </c>
      <c r="K54" s="355" t="s">
        <v>1312</v>
      </c>
    </row>
    <row r="55">
      <c r="A55" s="352" t="s">
        <v>1313</v>
      </c>
      <c r="B55" s="352" t="s">
        <v>1270</v>
      </c>
      <c r="C55" s="352" t="s">
        <v>32</v>
      </c>
      <c r="D55" s="352">
        <v>8.5</v>
      </c>
      <c r="E55" s="354">
        <v>0.211</v>
      </c>
      <c r="F55" s="354">
        <v>0.441</v>
      </c>
      <c r="G55" s="354">
        <v>-0.23</v>
      </c>
      <c r="H55" s="352">
        <v>8.0</v>
      </c>
      <c r="I55" s="352">
        <v>38.0</v>
      </c>
      <c r="J55" s="352">
        <v>134949.0</v>
      </c>
      <c r="K55" s="352" t="s">
        <v>1314</v>
      </c>
    </row>
    <row r="56">
      <c r="A56" s="355" t="s">
        <v>1315</v>
      </c>
      <c r="B56" s="355" t="s">
        <v>1264</v>
      </c>
      <c r="C56" s="355" t="s">
        <v>32</v>
      </c>
      <c r="D56" s="357"/>
      <c r="E56" s="356">
        <v>0.25</v>
      </c>
      <c r="F56" s="356">
        <v>0.441</v>
      </c>
      <c r="G56" s="356">
        <v>-0.191</v>
      </c>
      <c r="H56" s="355">
        <v>4.0</v>
      </c>
      <c r="I56" s="355">
        <v>16.0</v>
      </c>
      <c r="J56" s="355">
        <v>134949.0</v>
      </c>
      <c r="K56" s="355" t="s">
        <v>1316</v>
      </c>
    </row>
    <row r="57">
      <c r="A57" s="352" t="s">
        <v>36</v>
      </c>
      <c r="B57" s="352" t="s">
        <v>1267</v>
      </c>
      <c r="C57" s="352" t="s">
        <v>1317</v>
      </c>
      <c r="D57" s="352" t="s">
        <v>1318</v>
      </c>
      <c r="E57" s="354">
        <v>0.268</v>
      </c>
      <c r="F57" s="354">
        <v>0.441</v>
      </c>
      <c r="G57" s="354">
        <v>-0.173</v>
      </c>
      <c r="H57" s="352">
        <v>41.0</v>
      </c>
      <c r="I57" s="352">
        <v>153.0</v>
      </c>
      <c r="J57" s="352">
        <v>134949.0</v>
      </c>
      <c r="K57" s="352" t="s">
        <v>1319</v>
      </c>
    </row>
    <row r="58">
      <c r="A58" s="355" t="s">
        <v>34</v>
      </c>
      <c r="B58" s="355" t="s">
        <v>1264</v>
      </c>
      <c r="C58" s="355" t="s">
        <v>32</v>
      </c>
      <c r="D58" s="355">
        <v>0.069</v>
      </c>
      <c r="E58" s="356">
        <v>0.3</v>
      </c>
      <c r="F58" s="356">
        <v>0.441</v>
      </c>
      <c r="G58" s="356">
        <v>-0.141</v>
      </c>
      <c r="H58" s="355">
        <v>6.0</v>
      </c>
      <c r="I58" s="355">
        <v>20.0</v>
      </c>
      <c r="J58" s="355">
        <v>134949.0</v>
      </c>
      <c r="K58" s="355" t="s">
        <v>1312</v>
      </c>
    </row>
    <row r="59">
      <c r="A59" s="352" t="s">
        <v>1320</v>
      </c>
      <c r="B59" s="352" t="s">
        <v>1264</v>
      </c>
      <c r="C59" s="352" t="s">
        <v>17</v>
      </c>
      <c r="D59" s="352">
        <v>0.103</v>
      </c>
      <c r="E59" s="354">
        <v>0.35</v>
      </c>
      <c r="F59" s="354">
        <v>0.441</v>
      </c>
      <c r="G59" s="354">
        <v>-0.091</v>
      </c>
      <c r="H59" s="352">
        <v>7.0</v>
      </c>
      <c r="I59" s="352">
        <v>20.0</v>
      </c>
      <c r="J59" s="352">
        <v>134949.0</v>
      </c>
      <c r="K59" s="352" t="s">
        <v>1321</v>
      </c>
    </row>
    <row r="60">
      <c r="A60" s="355" t="s">
        <v>1272</v>
      </c>
      <c r="B60" s="355" t="s">
        <v>1264</v>
      </c>
      <c r="C60" s="355" t="s">
        <v>17</v>
      </c>
      <c r="D60" s="355">
        <v>0.121</v>
      </c>
      <c r="E60" s="356">
        <v>0.423</v>
      </c>
      <c r="F60" s="356">
        <v>0.441</v>
      </c>
      <c r="G60" s="356">
        <v>-0.018</v>
      </c>
      <c r="H60" s="355">
        <v>11.0</v>
      </c>
      <c r="I60" s="355">
        <v>26.0</v>
      </c>
      <c r="J60" s="355">
        <v>134949.0</v>
      </c>
      <c r="K60" s="355" t="s">
        <v>1273</v>
      </c>
    </row>
    <row r="61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</row>
    <row r="62">
      <c r="A62" s="358" t="s">
        <v>1322</v>
      </c>
    </row>
    <row r="63">
      <c r="A63" s="359" t="s">
        <v>848</v>
      </c>
      <c r="B63" s="359" t="s">
        <v>1245</v>
      </c>
      <c r="C63" s="359" t="s">
        <v>929</v>
      </c>
      <c r="D63" s="359" t="s">
        <v>1256</v>
      </c>
      <c r="E63" s="359" t="s">
        <v>1257</v>
      </c>
      <c r="F63" s="359" t="s">
        <v>1258</v>
      </c>
      <c r="G63" s="359" t="s">
        <v>1259</v>
      </c>
      <c r="H63" s="359" t="s">
        <v>851</v>
      </c>
      <c r="I63" s="359" t="s">
        <v>1260</v>
      </c>
      <c r="J63" s="359" t="s">
        <v>1261</v>
      </c>
      <c r="K63" s="359" t="s">
        <v>1262</v>
      </c>
      <c r="L63" s="360"/>
      <c r="M63" s="360"/>
      <c r="N63" s="360"/>
      <c r="O63" s="360"/>
      <c r="P63" s="360"/>
      <c r="Q63" s="360"/>
      <c r="R63" s="360"/>
      <c r="S63" s="360"/>
      <c r="T63" s="360"/>
      <c r="U63" s="360"/>
      <c r="V63" s="360"/>
      <c r="W63" s="360"/>
    </row>
    <row r="64">
      <c r="A64" s="361" t="s">
        <v>1266</v>
      </c>
      <c r="B64" s="362" t="s">
        <v>1267</v>
      </c>
      <c r="C64" s="362" t="s">
        <v>17</v>
      </c>
      <c r="D64" s="362">
        <v>0.113</v>
      </c>
      <c r="E64" s="363">
        <v>0.21</v>
      </c>
      <c r="F64" s="363">
        <v>0.182</v>
      </c>
      <c r="G64" s="364">
        <f>+2.8%</f>
        <v>0.028</v>
      </c>
      <c r="H64" s="362">
        <v>26.0</v>
      </c>
      <c r="I64" s="362">
        <v>124.0</v>
      </c>
      <c r="J64" s="362">
        <v>236095.0</v>
      </c>
      <c r="K64" s="361" t="s">
        <v>1268</v>
      </c>
    </row>
    <row r="65">
      <c r="A65" s="361" t="s">
        <v>1279</v>
      </c>
      <c r="B65" s="362" t="s">
        <v>1264</v>
      </c>
      <c r="C65" s="362" t="s">
        <v>32</v>
      </c>
      <c r="D65" s="362">
        <v>0.058</v>
      </c>
      <c r="E65" s="363">
        <v>0.2</v>
      </c>
      <c r="F65" s="363">
        <v>0.154</v>
      </c>
      <c r="G65" s="364">
        <f>+4.6%</f>
        <v>0.046</v>
      </c>
      <c r="H65" s="362">
        <v>7.0</v>
      </c>
      <c r="I65" s="362">
        <v>35.0</v>
      </c>
      <c r="J65" s="362">
        <v>134951.0</v>
      </c>
      <c r="K65" s="361" t="s">
        <v>1280</v>
      </c>
    </row>
    <row r="66">
      <c r="A66" s="361" t="s">
        <v>91</v>
      </c>
      <c r="B66" s="362" t="s">
        <v>1267</v>
      </c>
      <c r="C66" s="362" t="s">
        <v>32</v>
      </c>
      <c r="D66" s="362">
        <v>0.057</v>
      </c>
      <c r="E66" s="363">
        <v>0.127</v>
      </c>
      <c r="F66" s="363">
        <v>0.105</v>
      </c>
      <c r="G66" s="364">
        <f>+2.2%</f>
        <v>0.022</v>
      </c>
      <c r="H66" s="362">
        <v>9.0</v>
      </c>
      <c r="I66" s="362">
        <v>71.0</v>
      </c>
      <c r="J66" s="362">
        <v>239839.0</v>
      </c>
      <c r="K66" s="361" t="s">
        <v>1323</v>
      </c>
    </row>
    <row r="67">
      <c r="A67" s="361" t="s">
        <v>91</v>
      </c>
      <c r="B67" s="362" t="s">
        <v>1264</v>
      </c>
      <c r="C67" s="364"/>
      <c r="D67" s="364"/>
      <c r="E67" s="363">
        <v>0.125</v>
      </c>
      <c r="F67" s="363">
        <v>0.105</v>
      </c>
      <c r="G67" s="364">
        <f>+2%</f>
        <v>0.02</v>
      </c>
      <c r="H67" s="362">
        <v>4.0</v>
      </c>
      <c r="I67" s="362">
        <v>32.0</v>
      </c>
      <c r="J67" s="362">
        <v>239839.0</v>
      </c>
      <c r="K67" s="361" t="s">
        <v>1323</v>
      </c>
    </row>
    <row r="68">
      <c r="A68" s="361" t="s">
        <v>1324</v>
      </c>
      <c r="B68" s="362" t="s">
        <v>1267</v>
      </c>
      <c r="C68" s="362" t="s">
        <v>32</v>
      </c>
      <c r="D68" s="362">
        <v>0.095</v>
      </c>
      <c r="E68" s="363">
        <v>0.113</v>
      </c>
      <c r="F68" s="363">
        <v>0.066</v>
      </c>
      <c r="G68" s="364">
        <f>+4.7%</f>
        <v>0.047</v>
      </c>
      <c r="H68" s="362">
        <v>37.0</v>
      </c>
      <c r="I68" s="362">
        <v>328.0</v>
      </c>
      <c r="J68" s="362">
        <v>148157.0</v>
      </c>
      <c r="K68" s="361" t="s">
        <v>1325</v>
      </c>
    </row>
    <row r="69">
      <c r="A69" s="361" t="s">
        <v>599</v>
      </c>
      <c r="B69" s="362" t="s">
        <v>1264</v>
      </c>
      <c r="C69" s="362" t="s">
        <v>32</v>
      </c>
      <c r="D69" s="362">
        <v>0.037</v>
      </c>
      <c r="E69" s="363">
        <v>0.108</v>
      </c>
      <c r="F69" s="363">
        <v>0.063</v>
      </c>
      <c r="G69" s="364">
        <f>+4.5%</f>
        <v>0.045</v>
      </c>
      <c r="H69" s="362">
        <v>7.0</v>
      </c>
      <c r="I69" s="362">
        <v>65.0</v>
      </c>
      <c r="J69" s="362">
        <v>223230.0</v>
      </c>
      <c r="K69" s="361" t="s">
        <v>877</v>
      </c>
    </row>
    <row r="70">
      <c r="A70" s="361" t="s">
        <v>1326</v>
      </c>
      <c r="B70" s="362" t="s">
        <v>1267</v>
      </c>
      <c r="C70" s="362" t="s">
        <v>32</v>
      </c>
      <c r="D70" s="362">
        <v>0.071</v>
      </c>
      <c r="E70" s="363">
        <v>0.105</v>
      </c>
      <c r="F70" s="363">
        <v>0.07</v>
      </c>
      <c r="G70" s="364">
        <f>+3.5%</f>
        <v>0.035</v>
      </c>
      <c r="H70" s="362">
        <v>13.0</v>
      </c>
      <c r="I70" s="362">
        <v>124.0</v>
      </c>
      <c r="J70" s="362">
        <v>223232.0</v>
      </c>
      <c r="K70" s="361" t="s">
        <v>1327</v>
      </c>
    </row>
    <row r="71">
      <c r="A71" s="361" t="s">
        <v>599</v>
      </c>
      <c r="B71" s="362" t="s">
        <v>1270</v>
      </c>
      <c r="C71" s="364"/>
      <c r="D71" s="364"/>
      <c r="E71" s="363">
        <v>0.097</v>
      </c>
      <c r="F71" s="363">
        <v>0.063</v>
      </c>
      <c r="G71" s="364">
        <f>+3.4%</f>
        <v>0.034</v>
      </c>
      <c r="H71" s="362">
        <v>6.0</v>
      </c>
      <c r="I71" s="362">
        <v>62.0</v>
      </c>
      <c r="J71" s="362">
        <v>223230.0</v>
      </c>
      <c r="K71" s="361" t="s">
        <v>877</v>
      </c>
    </row>
    <row r="72">
      <c r="A72" s="361" t="s">
        <v>1328</v>
      </c>
      <c r="B72" s="362" t="s">
        <v>1267</v>
      </c>
      <c r="C72" s="362" t="s">
        <v>32</v>
      </c>
      <c r="D72" s="362">
        <v>0.056</v>
      </c>
      <c r="E72" s="363">
        <v>0.071</v>
      </c>
      <c r="F72" s="363">
        <v>0.059</v>
      </c>
      <c r="G72" s="364">
        <f>+1.2%</f>
        <v>0.012</v>
      </c>
      <c r="H72" s="362">
        <v>10.0</v>
      </c>
      <c r="I72" s="362">
        <v>140.0</v>
      </c>
      <c r="J72" s="362">
        <v>211293.0</v>
      </c>
      <c r="K72" s="361" t="s">
        <v>1329</v>
      </c>
    </row>
    <row r="73">
      <c r="A73" s="318"/>
      <c r="B73" s="318"/>
      <c r="C73" s="318"/>
      <c r="D73" s="318"/>
      <c r="E73" s="318"/>
      <c r="F73" s="318"/>
      <c r="G73" s="318"/>
      <c r="H73" s="318"/>
      <c r="I73" s="318"/>
      <c r="J73" s="318"/>
      <c r="K73" s="318"/>
    </row>
    <row r="74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</row>
    <row r="75">
      <c r="A75" s="365" t="s">
        <v>1330</v>
      </c>
    </row>
    <row r="76">
      <c r="A76" s="366" t="s">
        <v>848</v>
      </c>
      <c r="B76" s="366" t="s">
        <v>1245</v>
      </c>
      <c r="C76" s="366" t="s">
        <v>929</v>
      </c>
      <c r="D76" s="366" t="s">
        <v>1256</v>
      </c>
      <c r="E76" s="366" t="s">
        <v>1257</v>
      </c>
      <c r="F76" s="366" t="s">
        <v>1258</v>
      </c>
      <c r="G76" s="366" t="s">
        <v>1259</v>
      </c>
      <c r="H76" s="366" t="s">
        <v>851</v>
      </c>
      <c r="I76" s="366" t="s">
        <v>1260</v>
      </c>
      <c r="J76" s="366" t="s">
        <v>1261</v>
      </c>
      <c r="K76" s="366" t="s">
        <v>1262</v>
      </c>
    </row>
    <row r="77">
      <c r="A77" s="367" t="s">
        <v>82</v>
      </c>
      <c r="B77" s="367" t="s">
        <v>1264</v>
      </c>
      <c r="C77" s="367" t="s">
        <v>17</v>
      </c>
      <c r="D77" s="367">
        <v>0.813</v>
      </c>
      <c r="E77" s="368">
        <v>0.929</v>
      </c>
      <c r="F77" s="367" t="s">
        <v>1331</v>
      </c>
      <c r="G77" s="367" t="s">
        <v>1332</v>
      </c>
      <c r="H77" s="367">
        <v>13.0</v>
      </c>
      <c r="I77" s="367">
        <v>14.0</v>
      </c>
      <c r="J77" s="367">
        <v>227571.0</v>
      </c>
      <c r="K77" s="367" t="s">
        <v>1333</v>
      </c>
    </row>
    <row r="78">
      <c r="A78" s="369" t="s">
        <v>82</v>
      </c>
      <c r="B78" s="369" t="s">
        <v>1270</v>
      </c>
      <c r="C78" s="369" t="s">
        <v>17</v>
      </c>
      <c r="D78" s="369">
        <v>71.1</v>
      </c>
      <c r="E78" s="370">
        <v>0.792</v>
      </c>
      <c r="F78" s="369" t="s">
        <v>1331</v>
      </c>
      <c r="G78" s="369" t="s">
        <v>1332</v>
      </c>
      <c r="H78" s="369">
        <v>19.0</v>
      </c>
      <c r="I78" s="369">
        <v>24.0</v>
      </c>
      <c r="J78" s="369">
        <v>227571.0</v>
      </c>
      <c r="K78" s="369" t="s">
        <v>1333</v>
      </c>
    </row>
    <row r="79">
      <c r="A79" s="367" t="s">
        <v>1334</v>
      </c>
      <c r="B79" s="367" t="s">
        <v>1264</v>
      </c>
      <c r="C79" s="367" t="s">
        <v>17</v>
      </c>
      <c r="D79" s="367">
        <v>0.714</v>
      </c>
      <c r="E79" s="368">
        <v>0.778</v>
      </c>
      <c r="F79" s="367" t="s">
        <v>1331</v>
      </c>
      <c r="G79" s="367" t="s">
        <v>1332</v>
      </c>
      <c r="H79" s="367">
        <v>7.0</v>
      </c>
      <c r="I79" s="367">
        <v>9.0</v>
      </c>
      <c r="J79" s="367">
        <v>217204.0</v>
      </c>
      <c r="K79" s="367" t="s">
        <v>1335</v>
      </c>
    </row>
    <row r="80">
      <c r="A80" s="369" t="s">
        <v>116</v>
      </c>
      <c r="B80" s="369" t="s">
        <v>1270</v>
      </c>
      <c r="C80" s="371"/>
      <c r="D80" s="371"/>
      <c r="E80" s="370">
        <v>0.714</v>
      </c>
      <c r="F80" s="369" t="s">
        <v>1331</v>
      </c>
      <c r="G80" s="369" t="s">
        <v>1332</v>
      </c>
      <c r="H80" s="369">
        <v>5.0</v>
      </c>
      <c r="I80" s="369">
        <v>7.0</v>
      </c>
      <c r="J80" s="369">
        <v>237932.0</v>
      </c>
      <c r="K80" s="369" t="s">
        <v>1336</v>
      </c>
    </row>
    <row r="81">
      <c r="A81" s="367" t="s">
        <v>260</v>
      </c>
      <c r="B81" s="367" t="s">
        <v>1270</v>
      </c>
      <c r="C81" s="367" t="s">
        <v>17</v>
      </c>
      <c r="D81" s="367">
        <v>52.6</v>
      </c>
      <c r="E81" s="368">
        <v>0.692</v>
      </c>
      <c r="F81" s="367" t="s">
        <v>1331</v>
      </c>
      <c r="G81" s="367" t="s">
        <v>1332</v>
      </c>
      <c r="H81" s="367">
        <v>9.0</v>
      </c>
      <c r="I81" s="367">
        <v>13.0</v>
      </c>
      <c r="J81" s="367">
        <v>225336.0</v>
      </c>
      <c r="K81" s="367" t="s">
        <v>1337</v>
      </c>
    </row>
    <row r="82">
      <c r="A82" s="369" t="s">
        <v>1338</v>
      </c>
      <c r="B82" s="369" t="s">
        <v>1264</v>
      </c>
      <c r="C82" s="369" t="s">
        <v>32</v>
      </c>
      <c r="D82" s="369">
        <v>0.042</v>
      </c>
      <c r="E82" s="370">
        <v>0.6</v>
      </c>
      <c r="F82" s="369" t="s">
        <v>1331</v>
      </c>
      <c r="G82" s="369" t="s">
        <v>1332</v>
      </c>
      <c r="H82" s="369">
        <v>6.0</v>
      </c>
      <c r="I82" s="369">
        <v>10.0</v>
      </c>
      <c r="J82" s="369">
        <v>237933.0</v>
      </c>
      <c r="K82" s="369" t="s">
        <v>1339</v>
      </c>
    </row>
    <row r="83">
      <c r="A83" s="367" t="s">
        <v>1340</v>
      </c>
      <c r="B83" s="367" t="s">
        <v>1267</v>
      </c>
      <c r="C83" s="367" t="s">
        <v>32</v>
      </c>
      <c r="D83" s="367">
        <v>0.33</v>
      </c>
      <c r="E83" s="368">
        <v>0.544</v>
      </c>
      <c r="F83" s="367" t="s">
        <v>1331</v>
      </c>
      <c r="G83" s="367" t="s">
        <v>1332</v>
      </c>
      <c r="H83" s="367">
        <v>99.0</v>
      </c>
      <c r="I83" s="367">
        <v>182.0</v>
      </c>
      <c r="J83" s="367">
        <v>218967.0</v>
      </c>
      <c r="K83" s="367" t="s">
        <v>1341</v>
      </c>
    </row>
    <row r="84">
      <c r="A84" s="369" t="s">
        <v>182</v>
      </c>
      <c r="B84" s="369" t="s">
        <v>1264</v>
      </c>
      <c r="C84" s="369" t="s">
        <v>17</v>
      </c>
      <c r="D84" s="369">
        <v>0.489</v>
      </c>
      <c r="E84" s="370">
        <v>0.514</v>
      </c>
      <c r="F84" s="369" t="s">
        <v>1331</v>
      </c>
      <c r="G84" s="369" t="s">
        <v>1332</v>
      </c>
      <c r="H84" s="369">
        <v>19.0</v>
      </c>
      <c r="I84" s="369">
        <v>37.0</v>
      </c>
      <c r="J84" s="369">
        <v>225336.0</v>
      </c>
      <c r="K84" s="369" t="s">
        <v>1342</v>
      </c>
    </row>
    <row r="85">
      <c r="A85" s="367" t="s">
        <v>1338</v>
      </c>
      <c r="B85" s="367" t="s">
        <v>1270</v>
      </c>
      <c r="C85" s="367" t="s">
        <v>17</v>
      </c>
      <c r="D85" s="367">
        <v>20.1</v>
      </c>
      <c r="E85" s="368">
        <v>0.467</v>
      </c>
      <c r="F85" s="367" t="s">
        <v>1331</v>
      </c>
      <c r="G85" s="367" t="s">
        <v>1332</v>
      </c>
      <c r="H85" s="367">
        <v>7.0</v>
      </c>
      <c r="I85" s="367">
        <v>15.0</v>
      </c>
      <c r="J85" s="367">
        <v>237933.0</v>
      </c>
      <c r="K85" s="367" t="s">
        <v>1339</v>
      </c>
    </row>
    <row r="86">
      <c r="A86" s="369" t="s">
        <v>1343</v>
      </c>
      <c r="B86" s="369" t="s">
        <v>1267</v>
      </c>
      <c r="C86" s="369" t="s">
        <v>17</v>
      </c>
      <c r="D86" s="369">
        <v>0.323</v>
      </c>
      <c r="E86" s="370">
        <v>0.419</v>
      </c>
      <c r="F86" s="369" t="s">
        <v>1331</v>
      </c>
      <c r="G86" s="369" t="s">
        <v>1332</v>
      </c>
      <c r="H86" s="369">
        <v>13.0</v>
      </c>
      <c r="I86" s="369">
        <v>31.0</v>
      </c>
      <c r="J86" s="369">
        <v>241108.0</v>
      </c>
      <c r="K86" s="369" t="s">
        <v>1344</v>
      </c>
    </row>
    <row r="87">
      <c r="A87" s="367" t="s">
        <v>182</v>
      </c>
      <c r="B87" s="367" t="s">
        <v>1267</v>
      </c>
      <c r="C87" s="367" t="s">
        <v>17</v>
      </c>
      <c r="D87" s="367">
        <v>0.277</v>
      </c>
      <c r="E87" s="368">
        <v>0.372</v>
      </c>
      <c r="F87" s="367" t="s">
        <v>1331</v>
      </c>
      <c r="G87" s="367" t="s">
        <v>1332</v>
      </c>
      <c r="H87" s="367">
        <v>16.0</v>
      </c>
      <c r="I87" s="367">
        <v>43.0</v>
      </c>
      <c r="J87" s="367">
        <v>225336.0</v>
      </c>
      <c r="K87" s="367" t="s">
        <v>1342</v>
      </c>
    </row>
    <row r="88">
      <c r="A88" s="369" t="s">
        <v>1345</v>
      </c>
      <c r="B88" s="369" t="s">
        <v>1264</v>
      </c>
      <c r="C88" s="369" t="s">
        <v>32</v>
      </c>
      <c r="D88" s="369">
        <v>0.156</v>
      </c>
      <c r="E88" s="370">
        <v>0.353</v>
      </c>
      <c r="F88" s="369" t="s">
        <v>1331</v>
      </c>
      <c r="G88" s="369" t="s">
        <v>1332</v>
      </c>
      <c r="H88" s="369">
        <v>6.0</v>
      </c>
      <c r="I88" s="369">
        <v>17.0</v>
      </c>
      <c r="J88" s="369">
        <v>241091.0</v>
      </c>
      <c r="K88" s="369" t="s">
        <v>1346</v>
      </c>
    </row>
    <row r="89">
      <c r="A89" s="367" t="s">
        <v>257</v>
      </c>
      <c r="B89" s="367" t="s">
        <v>1267</v>
      </c>
      <c r="C89" s="367" t="s">
        <v>17</v>
      </c>
      <c r="D89" s="367">
        <v>0.306</v>
      </c>
      <c r="E89" s="368">
        <v>0.333</v>
      </c>
      <c r="F89" s="367" t="s">
        <v>1331</v>
      </c>
      <c r="G89" s="367" t="s">
        <v>1332</v>
      </c>
      <c r="H89" s="367">
        <v>15.0</v>
      </c>
      <c r="I89" s="367">
        <v>45.0</v>
      </c>
      <c r="J89" s="367">
        <v>225336.0</v>
      </c>
      <c r="K89" s="367" t="s">
        <v>1347</v>
      </c>
    </row>
    <row r="90">
      <c r="A90" s="369" t="s">
        <v>138</v>
      </c>
      <c r="B90" s="369" t="s">
        <v>1267</v>
      </c>
      <c r="C90" s="369" t="s">
        <v>17</v>
      </c>
      <c r="D90" s="369">
        <v>0.306</v>
      </c>
      <c r="E90" s="370">
        <v>0.3</v>
      </c>
      <c r="F90" s="369" t="s">
        <v>1331</v>
      </c>
      <c r="G90" s="369" t="s">
        <v>1332</v>
      </c>
      <c r="H90" s="369">
        <v>9.0</v>
      </c>
      <c r="I90" s="369">
        <v>30.0</v>
      </c>
      <c r="J90" s="369">
        <v>225336.0</v>
      </c>
      <c r="K90" s="369" t="s">
        <v>1348</v>
      </c>
    </row>
    <row r="91">
      <c r="A91" s="367" t="s">
        <v>743</v>
      </c>
      <c r="B91" s="367" t="s">
        <v>1270</v>
      </c>
      <c r="C91" s="372"/>
      <c r="D91" s="372"/>
      <c r="E91" s="368">
        <v>0.231</v>
      </c>
      <c r="F91" s="367" t="s">
        <v>1331</v>
      </c>
      <c r="G91" s="367" t="s">
        <v>1332</v>
      </c>
      <c r="H91" s="367">
        <v>6.0</v>
      </c>
      <c r="I91" s="367">
        <v>26.0</v>
      </c>
      <c r="J91" s="367">
        <v>245975.0</v>
      </c>
      <c r="K91" s="367" t="s">
        <v>1349</v>
      </c>
    </row>
    <row r="92">
      <c r="A92" s="369" t="s">
        <v>1350</v>
      </c>
      <c r="B92" s="369" t="s">
        <v>1267</v>
      </c>
      <c r="C92" s="369" t="s">
        <v>32</v>
      </c>
      <c r="D92" s="369">
        <v>0.148</v>
      </c>
      <c r="E92" s="370">
        <v>0.224</v>
      </c>
      <c r="F92" s="369" t="s">
        <v>1331</v>
      </c>
      <c r="G92" s="369" t="s">
        <v>1332</v>
      </c>
      <c r="H92" s="369">
        <v>19.0</v>
      </c>
      <c r="I92" s="369">
        <v>85.0</v>
      </c>
      <c r="J92" s="369">
        <v>151377.0</v>
      </c>
      <c r="K92" s="369" t="s">
        <v>1351</v>
      </c>
    </row>
    <row r="93">
      <c r="A93" s="367" t="s">
        <v>1345</v>
      </c>
      <c r="B93" s="367" t="s">
        <v>1270</v>
      </c>
      <c r="C93" s="367" t="s">
        <v>32</v>
      </c>
      <c r="D93" s="367">
        <v>12.7</v>
      </c>
      <c r="E93" s="368">
        <v>0.217</v>
      </c>
      <c r="F93" s="367" t="s">
        <v>1331</v>
      </c>
      <c r="G93" s="367" t="s">
        <v>1332</v>
      </c>
      <c r="H93" s="367">
        <v>10.0</v>
      </c>
      <c r="I93" s="367">
        <v>46.0</v>
      </c>
      <c r="J93" s="367">
        <v>241091.0</v>
      </c>
      <c r="K93" s="367" t="s">
        <v>1346</v>
      </c>
    </row>
    <row r="94">
      <c r="A94" s="369" t="s">
        <v>1352</v>
      </c>
      <c r="B94" s="369" t="s">
        <v>1267</v>
      </c>
      <c r="C94" s="369" t="s">
        <v>17</v>
      </c>
      <c r="D94" s="369">
        <v>0.122</v>
      </c>
      <c r="E94" s="370">
        <v>0.195</v>
      </c>
      <c r="F94" s="369" t="s">
        <v>1331</v>
      </c>
      <c r="G94" s="369" t="s">
        <v>1332</v>
      </c>
      <c r="H94" s="369">
        <v>8.0</v>
      </c>
      <c r="I94" s="369">
        <v>41.0</v>
      </c>
      <c r="J94" s="369">
        <v>241124.0</v>
      </c>
      <c r="K94" s="369" t="s">
        <v>1353</v>
      </c>
    </row>
    <row r="95">
      <c r="A95" s="367" t="s">
        <v>1354</v>
      </c>
      <c r="B95" s="367" t="s">
        <v>1264</v>
      </c>
      <c r="C95" s="367" t="s">
        <v>17</v>
      </c>
      <c r="D95" s="367">
        <v>0.019</v>
      </c>
      <c r="E95" s="368">
        <v>0.189</v>
      </c>
      <c r="F95" s="367" t="s">
        <v>1331</v>
      </c>
      <c r="G95" s="367" t="s">
        <v>1332</v>
      </c>
      <c r="H95" s="367">
        <v>7.0</v>
      </c>
      <c r="I95" s="367">
        <v>37.0</v>
      </c>
      <c r="J95" s="367">
        <v>143018.0</v>
      </c>
      <c r="K95" s="367" t="s">
        <v>1355</v>
      </c>
    </row>
    <row r="96">
      <c r="A96" s="369" t="s">
        <v>1356</v>
      </c>
      <c r="B96" s="369" t="s">
        <v>1264</v>
      </c>
      <c r="C96" s="369" t="s">
        <v>32</v>
      </c>
      <c r="D96" s="369">
        <v>0.121</v>
      </c>
      <c r="E96" s="370">
        <v>0.174</v>
      </c>
      <c r="F96" s="369" t="s">
        <v>1331</v>
      </c>
      <c r="G96" s="369" t="s">
        <v>1332</v>
      </c>
      <c r="H96" s="369">
        <v>4.0</v>
      </c>
      <c r="I96" s="369">
        <v>23.0</v>
      </c>
      <c r="J96" s="369">
        <v>148906.0</v>
      </c>
      <c r="K96" s="369" t="s">
        <v>1357</v>
      </c>
    </row>
    <row r="97">
      <c r="A97" s="367" t="s">
        <v>1358</v>
      </c>
      <c r="B97" s="367" t="s">
        <v>1267</v>
      </c>
      <c r="C97" s="367" t="s">
        <v>32</v>
      </c>
      <c r="D97" s="367">
        <v>0.085</v>
      </c>
      <c r="E97" s="368">
        <v>0.156</v>
      </c>
      <c r="F97" s="367" t="s">
        <v>1331</v>
      </c>
      <c r="G97" s="367" t="s">
        <v>1332</v>
      </c>
      <c r="H97" s="367">
        <v>7.0</v>
      </c>
      <c r="I97" s="367">
        <v>45.0</v>
      </c>
      <c r="J97" s="367">
        <v>236743.0</v>
      </c>
      <c r="K97" s="367" t="s">
        <v>1359</v>
      </c>
    </row>
    <row r="98">
      <c r="A98" s="369" t="s">
        <v>1360</v>
      </c>
      <c r="B98" s="369" t="s">
        <v>1267</v>
      </c>
      <c r="C98" s="369" t="s">
        <v>32</v>
      </c>
      <c r="D98" s="369">
        <v>0.11</v>
      </c>
      <c r="E98" s="370">
        <v>0.154</v>
      </c>
      <c r="F98" s="369" t="s">
        <v>1331</v>
      </c>
      <c r="G98" s="369" t="s">
        <v>1332</v>
      </c>
      <c r="H98" s="369">
        <v>42.0</v>
      </c>
      <c r="I98" s="369">
        <v>273.0</v>
      </c>
      <c r="J98" s="369">
        <v>228743.0</v>
      </c>
      <c r="K98" s="369" t="s">
        <v>1361</v>
      </c>
    </row>
    <row r="99">
      <c r="A99" s="367" t="s">
        <v>1362</v>
      </c>
      <c r="B99" s="367" t="s">
        <v>1270</v>
      </c>
      <c r="C99" s="367" t="s">
        <v>17</v>
      </c>
      <c r="D99" s="367">
        <v>16.0</v>
      </c>
      <c r="E99" s="368">
        <v>0.146</v>
      </c>
      <c r="F99" s="367" t="s">
        <v>1331</v>
      </c>
      <c r="G99" s="367" t="s">
        <v>1332</v>
      </c>
      <c r="H99" s="367">
        <v>7.0</v>
      </c>
      <c r="I99" s="367">
        <v>48.0</v>
      </c>
      <c r="J99" s="367">
        <v>241854.0</v>
      </c>
      <c r="K99" s="367" t="s">
        <v>1363</v>
      </c>
    </row>
    <row r="100">
      <c r="A100" s="369" t="s">
        <v>1364</v>
      </c>
      <c r="B100" s="369" t="s">
        <v>1267</v>
      </c>
      <c r="C100" s="369" t="s">
        <v>17</v>
      </c>
      <c r="D100" s="369">
        <v>0.13</v>
      </c>
      <c r="E100" s="370">
        <v>0.145</v>
      </c>
      <c r="F100" s="369" t="s">
        <v>1331</v>
      </c>
      <c r="G100" s="369" t="s">
        <v>1332</v>
      </c>
      <c r="H100" s="369">
        <v>8.0</v>
      </c>
      <c r="I100" s="369">
        <v>55.0</v>
      </c>
      <c r="J100" s="369">
        <v>238648.0</v>
      </c>
      <c r="K100" s="369" t="s">
        <v>1365</v>
      </c>
    </row>
    <row r="101">
      <c r="A101" s="367" t="s">
        <v>1366</v>
      </c>
      <c r="B101" s="367" t="s">
        <v>1267</v>
      </c>
      <c r="C101" s="367" t="s">
        <v>32</v>
      </c>
      <c r="D101" s="367">
        <v>0.082</v>
      </c>
      <c r="E101" s="368">
        <v>0.144</v>
      </c>
      <c r="F101" s="367" t="s">
        <v>1331</v>
      </c>
      <c r="G101" s="367" t="s">
        <v>1332</v>
      </c>
      <c r="H101" s="367">
        <v>16.0</v>
      </c>
      <c r="I101" s="367">
        <v>111.0</v>
      </c>
      <c r="J101" s="367">
        <v>241959.0</v>
      </c>
      <c r="K101" s="367" t="s">
        <v>1367</v>
      </c>
    </row>
    <row r="102">
      <c r="A102" s="369" t="s">
        <v>1368</v>
      </c>
      <c r="B102" s="369" t="s">
        <v>1270</v>
      </c>
      <c r="C102" s="371"/>
      <c r="D102" s="371"/>
      <c r="E102" s="370">
        <v>0.139</v>
      </c>
      <c r="F102" s="369" t="s">
        <v>1331</v>
      </c>
      <c r="G102" s="369" t="s">
        <v>1332</v>
      </c>
      <c r="H102" s="369">
        <v>5.0</v>
      </c>
      <c r="I102" s="369">
        <v>36.0</v>
      </c>
      <c r="J102" s="369">
        <v>145512.0</v>
      </c>
      <c r="K102" s="369" t="s">
        <v>1369</v>
      </c>
    </row>
    <row r="103">
      <c r="A103" s="367" t="s">
        <v>1370</v>
      </c>
      <c r="B103" s="367" t="s">
        <v>1267</v>
      </c>
      <c r="C103" s="367" t="s">
        <v>32</v>
      </c>
      <c r="D103" s="367">
        <v>0.041</v>
      </c>
      <c r="E103" s="368">
        <v>0.136</v>
      </c>
      <c r="F103" s="367" t="s">
        <v>1331</v>
      </c>
      <c r="G103" s="367" t="s">
        <v>1332</v>
      </c>
      <c r="H103" s="367">
        <v>9.0</v>
      </c>
      <c r="I103" s="367">
        <v>66.0</v>
      </c>
      <c r="J103" s="367">
        <v>222900.0</v>
      </c>
      <c r="K103" s="367" t="s">
        <v>1371</v>
      </c>
    </row>
    <row r="104">
      <c r="A104" s="369" t="s">
        <v>1372</v>
      </c>
      <c r="B104" s="369" t="s">
        <v>1264</v>
      </c>
      <c r="C104" s="369" t="s">
        <v>17</v>
      </c>
      <c r="D104" s="369">
        <v>0.099</v>
      </c>
      <c r="E104" s="370">
        <v>0.134</v>
      </c>
      <c r="F104" s="369" t="s">
        <v>1331</v>
      </c>
      <c r="G104" s="369" t="s">
        <v>1332</v>
      </c>
      <c r="H104" s="369">
        <v>11.0</v>
      </c>
      <c r="I104" s="369">
        <v>82.0</v>
      </c>
      <c r="J104" s="369">
        <v>217207.0</v>
      </c>
      <c r="K104" s="369" t="s">
        <v>1373</v>
      </c>
    </row>
    <row r="105">
      <c r="A105" s="367" t="s">
        <v>1374</v>
      </c>
      <c r="B105" s="367" t="s">
        <v>1270</v>
      </c>
      <c r="C105" s="367" t="s">
        <v>32</v>
      </c>
      <c r="D105" s="367">
        <v>7.1</v>
      </c>
      <c r="E105" s="368">
        <v>0.122</v>
      </c>
      <c r="F105" s="367" t="s">
        <v>1331</v>
      </c>
      <c r="G105" s="367" t="s">
        <v>1332</v>
      </c>
      <c r="H105" s="367">
        <v>9.0</v>
      </c>
      <c r="I105" s="367">
        <v>74.0</v>
      </c>
      <c r="J105" s="367">
        <v>224849.0</v>
      </c>
      <c r="K105" s="367" t="s">
        <v>1375</v>
      </c>
    </row>
    <row r="106">
      <c r="A106" s="369" t="s">
        <v>1376</v>
      </c>
      <c r="B106" s="369" t="s">
        <v>1270</v>
      </c>
      <c r="C106" s="371"/>
      <c r="D106" s="371"/>
      <c r="E106" s="370">
        <v>0.122</v>
      </c>
      <c r="F106" s="369" t="s">
        <v>1331</v>
      </c>
      <c r="G106" s="369" t="s">
        <v>1332</v>
      </c>
      <c r="H106" s="369">
        <v>5.0</v>
      </c>
      <c r="I106" s="369">
        <v>41.0</v>
      </c>
      <c r="J106" s="369">
        <v>238833.0</v>
      </c>
      <c r="K106" s="369" t="s">
        <v>1377</v>
      </c>
    </row>
    <row r="107">
      <c r="A107" s="367" t="s">
        <v>1378</v>
      </c>
      <c r="B107" s="367" t="s">
        <v>1264</v>
      </c>
      <c r="C107" s="372"/>
      <c r="D107" s="372"/>
      <c r="E107" s="368">
        <v>0.118</v>
      </c>
      <c r="F107" s="367" t="s">
        <v>1331</v>
      </c>
      <c r="G107" s="367" t="s">
        <v>1332</v>
      </c>
      <c r="H107" s="367">
        <v>5.0</v>
      </c>
      <c r="I107" s="367">
        <v>34.0</v>
      </c>
      <c r="J107" s="367">
        <v>238583.0</v>
      </c>
      <c r="K107" s="367" t="s">
        <v>1379</v>
      </c>
    </row>
    <row r="108">
      <c r="A108" s="369" t="s">
        <v>1380</v>
      </c>
      <c r="B108" s="369" t="s">
        <v>1264</v>
      </c>
      <c r="C108" s="369" t="s">
        <v>32</v>
      </c>
      <c r="D108" s="369">
        <v>0.06</v>
      </c>
      <c r="E108" s="370">
        <v>0.114</v>
      </c>
      <c r="F108" s="369" t="s">
        <v>1331</v>
      </c>
      <c r="G108" s="369" t="s">
        <v>1332</v>
      </c>
      <c r="H108" s="369">
        <v>5.0</v>
      </c>
      <c r="I108" s="369">
        <v>44.0</v>
      </c>
      <c r="J108" s="369">
        <v>241120.0</v>
      </c>
      <c r="K108" s="369" t="s">
        <v>1381</v>
      </c>
    </row>
    <row r="109">
      <c r="A109" s="367" t="s">
        <v>1382</v>
      </c>
      <c r="B109" s="367" t="s">
        <v>1267</v>
      </c>
      <c r="C109" s="367" t="s">
        <v>32</v>
      </c>
      <c r="D109" s="367">
        <v>0.038</v>
      </c>
      <c r="E109" s="368">
        <v>0.103</v>
      </c>
      <c r="F109" s="367" t="s">
        <v>1331</v>
      </c>
      <c r="G109" s="367" t="s">
        <v>1332</v>
      </c>
      <c r="H109" s="367">
        <v>8.0</v>
      </c>
      <c r="I109" s="367">
        <v>78.0</v>
      </c>
      <c r="J109" s="367">
        <v>234794.0</v>
      </c>
      <c r="K109" s="367" t="s">
        <v>1383</v>
      </c>
    </row>
    <row r="110">
      <c r="A110" s="369" t="s">
        <v>1384</v>
      </c>
      <c r="B110" s="369" t="s">
        <v>1264</v>
      </c>
      <c r="C110" s="369" t="s">
        <v>17</v>
      </c>
      <c r="D110" s="369">
        <v>0.086</v>
      </c>
      <c r="E110" s="370">
        <v>0.099</v>
      </c>
      <c r="F110" s="369" t="s">
        <v>1331</v>
      </c>
      <c r="G110" s="369" t="s">
        <v>1332</v>
      </c>
      <c r="H110" s="369">
        <v>10.0</v>
      </c>
      <c r="I110" s="369">
        <v>101.0</v>
      </c>
      <c r="J110" s="369">
        <v>241463.0</v>
      </c>
      <c r="K110" s="369" t="s">
        <v>1385</v>
      </c>
    </row>
    <row r="111">
      <c r="A111" s="367" t="s">
        <v>1380</v>
      </c>
      <c r="B111" s="367" t="s">
        <v>1270</v>
      </c>
      <c r="C111" s="372"/>
      <c r="D111" s="372"/>
      <c r="E111" s="368">
        <v>0.093</v>
      </c>
      <c r="F111" s="367" t="s">
        <v>1331</v>
      </c>
      <c r="G111" s="367" t="s">
        <v>1332</v>
      </c>
      <c r="H111" s="367">
        <v>5.0</v>
      </c>
      <c r="I111" s="367">
        <v>54.0</v>
      </c>
      <c r="J111" s="367">
        <v>241120.0</v>
      </c>
      <c r="K111" s="367" t="s">
        <v>1381</v>
      </c>
    </row>
    <row r="112">
      <c r="A112" s="369" t="s">
        <v>1386</v>
      </c>
      <c r="B112" s="369" t="s">
        <v>1264</v>
      </c>
      <c r="C112" s="369" t="s">
        <v>32</v>
      </c>
      <c r="D112" s="369">
        <v>0.059</v>
      </c>
      <c r="E112" s="370">
        <v>0.089</v>
      </c>
      <c r="F112" s="369" t="s">
        <v>1331</v>
      </c>
      <c r="G112" s="369" t="s">
        <v>1332</v>
      </c>
      <c r="H112" s="369">
        <v>33.0</v>
      </c>
      <c r="I112" s="369">
        <v>370.0</v>
      </c>
      <c r="J112" s="369">
        <v>228743.0</v>
      </c>
      <c r="K112" s="369" t="s">
        <v>1387</v>
      </c>
    </row>
    <row r="113">
      <c r="A113" s="367" t="s">
        <v>1386</v>
      </c>
      <c r="B113" s="367" t="s">
        <v>1267</v>
      </c>
      <c r="C113" s="367" t="s">
        <v>32</v>
      </c>
      <c r="D113" s="367">
        <v>0.069</v>
      </c>
      <c r="E113" s="368">
        <v>0.086</v>
      </c>
      <c r="F113" s="367" t="s">
        <v>1331</v>
      </c>
      <c r="G113" s="367" t="s">
        <v>1332</v>
      </c>
      <c r="H113" s="367">
        <v>34.0</v>
      </c>
      <c r="I113" s="367">
        <v>396.0</v>
      </c>
      <c r="J113" s="367">
        <v>228743.0</v>
      </c>
      <c r="K113" s="367" t="s">
        <v>1387</v>
      </c>
    </row>
    <row r="114">
      <c r="A114" s="369" t="s">
        <v>1386</v>
      </c>
      <c r="B114" s="369" t="s">
        <v>1270</v>
      </c>
      <c r="C114" s="369" t="s">
        <v>32</v>
      </c>
      <c r="D114" s="369">
        <v>3.4</v>
      </c>
      <c r="E114" s="370">
        <v>0.085</v>
      </c>
      <c r="F114" s="369" t="s">
        <v>1331</v>
      </c>
      <c r="G114" s="369" t="s">
        <v>1332</v>
      </c>
      <c r="H114" s="369">
        <v>7.0</v>
      </c>
      <c r="I114" s="369">
        <v>82.0</v>
      </c>
      <c r="J114" s="369">
        <v>228743.0</v>
      </c>
      <c r="K114" s="369" t="s">
        <v>1387</v>
      </c>
    </row>
    <row r="115">
      <c r="A115" s="367" t="s">
        <v>1388</v>
      </c>
      <c r="B115" s="367" t="s">
        <v>1270</v>
      </c>
      <c r="C115" s="372"/>
      <c r="D115" s="372"/>
      <c r="E115" s="368">
        <v>0.083</v>
      </c>
      <c r="F115" s="367" t="s">
        <v>1331</v>
      </c>
      <c r="G115" s="367" t="s">
        <v>1332</v>
      </c>
      <c r="H115" s="367">
        <v>5.0</v>
      </c>
      <c r="I115" s="367">
        <v>60.0</v>
      </c>
      <c r="J115" s="367">
        <v>222900.0</v>
      </c>
      <c r="K115" s="367" t="s">
        <v>1389</v>
      </c>
    </row>
    <row r="116">
      <c r="A116" s="369" t="s">
        <v>1390</v>
      </c>
      <c r="B116" s="369" t="s">
        <v>1267</v>
      </c>
      <c r="C116" s="369" t="s">
        <v>32</v>
      </c>
      <c r="D116" s="369">
        <v>0.027</v>
      </c>
      <c r="E116" s="370">
        <v>0.08</v>
      </c>
      <c r="F116" s="369" t="s">
        <v>1331</v>
      </c>
      <c r="G116" s="369" t="s">
        <v>1332</v>
      </c>
      <c r="H116" s="369">
        <v>7.0</v>
      </c>
      <c r="I116" s="369">
        <v>88.0</v>
      </c>
      <c r="J116" s="369">
        <v>213182.0</v>
      </c>
      <c r="K116" s="369" t="s">
        <v>1391</v>
      </c>
    </row>
    <row r="117">
      <c r="A117" s="367" t="s">
        <v>1392</v>
      </c>
      <c r="B117" s="367" t="s">
        <v>1267</v>
      </c>
      <c r="C117" s="367" t="s">
        <v>32</v>
      </c>
      <c r="D117" s="367">
        <v>0.048</v>
      </c>
      <c r="E117" s="368">
        <v>0.079</v>
      </c>
      <c r="F117" s="367" t="s">
        <v>1331</v>
      </c>
      <c r="G117" s="367" t="s">
        <v>1332</v>
      </c>
      <c r="H117" s="367">
        <v>10.0</v>
      </c>
      <c r="I117" s="367">
        <v>127.0</v>
      </c>
      <c r="J117" s="367">
        <v>228743.0</v>
      </c>
      <c r="K117" s="367" t="s">
        <v>1393</v>
      </c>
    </row>
    <row r="118">
      <c r="A118" s="369" t="s">
        <v>1394</v>
      </c>
      <c r="B118" s="369" t="s">
        <v>1267</v>
      </c>
      <c r="C118" s="369" t="s">
        <v>32</v>
      </c>
      <c r="D118" s="369">
        <v>0.076</v>
      </c>
      <c r="E118" s="370">
        <v>0.078</v>
      </c>
      <c r="F118" s="369" t="s">
        <v>1331</v>
      </c>
      <c r="G118" s="369" t="s">
        <v>1332</v>
      </c>
      <c r="H118" s="369">
        <v>7.0</v>
      </c>
      <c r="I118" s="369">
        <v>90.0</v>
      </c>
      <c r="J118" s="369">
        <v>137709.0</v>
      </c>
      <c r="K118" s="369" t="s">
        <v>1395</v>
      </c>
    </row>
    <row r="119">
      <c r="A119" s="367" t="s">
        <v>1396</v>
      </c>
      <c r="B119" s="367" t="s">
        <v>1264</v>
      </c>
      <c r="C119" s="367" t="s">
        <v>32</v>
      </c>
      <c r="D119" s="367">
        <v>0.019</v>
      </c>
      <c r="E119" s="368">
        <v>0.078</v>
      </c>
      <c r="F119" s="367" t="s">
        <v>1331</v>
      </c>
      <c r="G119" s="367" t="s">
        <v>1332</v>
      </c>
      <c r="H119" s="367">
        <v>4.0</v>
      </c>
      <c r="I119" s="367">
        <v>51.0</v>
      </c>
      <c r="J119" s="367">
        <v>224353.0</v>
      </c>
      <c r="K119" s="367" t="s">
        <v>1397</v>
      </c>
    </row>
    <row r="120">
      <c r="A120" s="369" t="s">
        <v>1398</v>
      </c>
      <c r="B120" s="369" t="s">
        <v>1267</v>
      </c>
      <c r="C120" s="369" t="s">
        <v>32</v>
      </c>
      <c r="D120" s="369">
        <v>0.053</v>
      </c>
      <c r="E120" s="370">
        <v>0.075</v>
      </c>
      <c r="F120" s="369" t="s">
        <v>1331</v>
      </c>
      <c r="G120" s="369" t="s">
        <v>1332</v>
      </c>
      <c r="H120" s="369">
        <v>32.0</v>
      </c>
      <c r="I120" s="369">
        <v>425.0</v>
      </c>
      <c r="J120" s="369">
        <v>219823.0</v>
      </c>
      <c r="K120" s="369" t="s">
        <v>1399</v>
      </c>
    </row>
    <row r="121">
      <c r="A121" s="367" t="s">
        <v>1400</v>
      </c>
      <c r="B121" s="367" t="s">
        <v>1267</v>
      </c>
      <c r="C121" s="367" t="s">
        <v>32</v>
      </c>
      <c r="D121" s="367">
        <v>0.043</v>
      </c>
      <c r="E121" s="368">
        <v>0.075</v>
      </c>
      <c r="F121" s="367" t="s">
        <v>1331</v>
      </c>
      <c r="G121" s="367" t="s">
        <v>1332</v>
      </c>
      <c r="H121" s="367">
        <v>7.0</v>
      </c>
      <c r="I121" s="367">
        <v>93.0</v>
      </c>
      <c r="J121" s="367">
        <v>236135.0</v>
      </c>
      <c r="K121" s="367" t="s">
        <v>1401</v>
      </c>
    </row>
    <row r="122">
      <c r="A122" s="369" t="s">
        <v>1402</v>
      </c>
      <c r="B122" s="369" t="s">
        <v>1267</v>
      </c>
      <c r="C122" s="369" t="s">
        <v>32</v>
      </c>
      <c r="D122" s="369">
        <v>0.066</v>
      </c>
      <c r="E122" s="370">
        <v>0.074</v>
      </c>
      <c r="F122" s="369" t="s">
        <v>1331</v>
      </c>
      <c r="G122" s="369" t="s">
        <v>1332</v>
      </c>
      <c r="H122" s="369">
        <v>10.0</v>
      </c>
      <c r="I122" s="369">
        <v>135.0</v>
      </c>
      <c r="J122" s="369">
        <v>241936.0</v>
      </c>
      <c r="K122" s="369" t="s">
        <v>1403</v>
      </c>
    </row>
    <row r="123">
      <c r="A123" s="367" t="s">
        <v>1374</v>
      </c>
      <c r="B123" s="367" t="s">
        <v>1264</v>
      </c>
      <c r="C123" s="367" t="s">
        <v>32</v>
      </c>
      <c r="D123" s="367">
        <v>0.039</v>
      </c>
      <c r="E123" s="368">
        <v>0.07</v>
      </c>
      <c r="F123" s="367" t="s">
        <v>1331</v>
      </c>
      <c r="G123" s="367" t="s">
        <v>1332</v>
      </c>
      <c r="H123" s="367">
        <v>4.0</v>
      </c>
      <c r="I123" s="367">
        <v>57.0</v>
      </c>
      <c r="J123" s="367">
        <v>224849.0</v>
      </c>
      <c r="K123" s="367" t="s">
        <v>1375</v>
      </c>
    </row>
    <row r="124">
      <c r="A124" s="369" t="s">
        <v>1404</v>
      </c>
      <c r="B124" s="369" t="s">
        <v>1267</v>
      </c>
      <c r="C124" s="369" t="s">
        <v>17</v>
      </c>
      <c r="D124" s="369">
        <v>0.041</v>
      </c>
      <c r="E124" s="370">
        <v>0.067</v>
      </c>
      <c r="F124" s="369" t="s">
        <v>1331</v>
      </c>
      <c r="G124" s="369" t="s">
        <v>1332</v>
      </c>
      <c r="H124" s="369">
        <v>12.0</v>
      </c>
      <c r="I124" s="369">
        <v>179.0</v>
      </c>
      <c r="J124" s="369">
        <v>242272.0</v>
      </c>
      <c r="K124" s="369" t="s">
        <v>1405</v>
      </c>
    </row>
    <row r="125">
      <c r="A125" s="367" t="s">
        <v>325</v>
      </c>
      <c r="B125" s="367" t="s">
        <v>1267</v>
      </c>
      <c r="C125" s="367" t="s">
        <v>32</v>
      </c>
      <c r="D125" s="367">
        <v>0.048</v>
      </c>
      <c r="E125" s="368">
        <v>0.066</v>
      </c>
      <c r="F125" s="367" t="s">
        <v>1331</v>
      </c>
      <c r="G125" s="367" t="s">
        <v>1332</v>
      </c>
      <c r="H125" s="367">
        <v>10.0</v>
      </c>
      <c r="I125" s="367">
        <v>151.0</v>
      </c>
      <c r="J125" s="367">
        <v>236141.0</v>
      </c>
      <c r="K125" s="367" t="s">
        <v>1406</v>
      </c>
    </row>
    <row r="126">
      <c r="A126" s="369" t="s">
        <v>1407</v>
      </c>
      <c r="B126" s="369" t="s">
        <v>1267</v>
      </c>
      <c r="C126" s="369" t="s">
        <v>32</v>
      </c>
      <c r="D126" s="369">
        <v>0.026</v>
      </c>
      <c r="E126" s="370">
        <v>0.06</v>
      </c>
      <c r="F126" s="369" t="s">
        <v>1331</v>
      </c>
      <c r="G126" s="369" t="s">
        <v>1332</v>
      </c>
      <c r="H126" s="369">
        <v>16.0</v>
      </c>
      <c r="I126" s="369">
        <v>266.0</v>
      </c>
      <c r="J126" s="369">
        <v>219823.0</v>
      </c>
      <c r="K126" s="369" t="s">
        <v>1408</v>
      </c>
    </row>
    <row r="127">
      <c r="A127" s="367" t="s">
        <v>1409</v>
      </c>
      <c r="B127" s="367" t="s">
        <v>1270</v>
      </c>
      <c r="C127" s="372"/>
      <c r="D127" s="372"/>
      <c r="E127" s="368">
        <v>0.06</v>
      </c>
      <c r="F127" s="367" t="s">
        <v>1331</v>
      </c>
      <c r="G127" s="367" t="s">
        <v>1332</v>
      </c>
      <c r="H127" s="367">
        <v>6.0</v>
      </c>
      <c r="I127" s="367">
        <v>100.0</v>
      </c>
      <c r="J127" s="367">
        <v>234804.0</v>
      </c>
      <c r="K127" s="367" t="s">
        <v>1410</v>
      </c>
    </row>
    <row r="128">
      <c r="A128" s="369" t="s">
        <v>325</v>
      </c>
      <c r="B128" s="369" t="s">
        <v>1264</v>
      </c>
      <c r="C128" s="371"/>
      <c r="D128" s="371"/>
      <c r="E128" s="370">
        <v>0.057</v>
      </c>
      <c r="F128" s="369" t="s">
        <v>1331</v>
      </c>
      <c r="G128" s="369" t="s">
        <v>1332</v>
      </c>
      <c r="H128" s="369">
        <v>4.0</v>
      </c>
      <c r="I128" s="369">
        <v>70.0</v>
      </c>
      <c r="J128" s="369">
        <v>236141.0</v>
      </c>
      <c r="K128" s="369" t="s">
        <v>1406</v>
      </c>
    </row>
    <row r="129">
      <c r="A129" s="367" t="s">
        <v>1411</v>
      </c>
      <c r="B129" s="367" t="s">
        <v>1267</v>
      </c>
      <c r="C129" s="367" t="s">
        <v>17</v>
      </c>
      <c r="D129" s="367">
        <v>0.007</v>
      </c>
      <c r="E129" s="368">
        <v>0.052</v>
      </c>
      <c r="F129" s="367" t="s">
        <v>1331</v>
      </c>
      <c r="G129" s="367" t="s">
        <v>1332</v>
      </c>
      <c r="H129" s="367">
        <v>7.0</v>
      </c>
      <c r="I129" s="367">
        <v>134.0</v>
      </c>
      <c r="J129" s="367">
        <v>238655.0</v>
      </c>
      <c r="K129" s="367" t="s">
        <v>1365</v>
      </c>
    </row>
    <row r="130">
      <c r="A130" s="369" t="s">
        <v>1412</v>
      </c>
      <c r="B130" s="369" t="s">
        <v>1267</v>
      </c>
      <c r="C130" s="369" t="s">
        <v>17</v>
      </c>
      <c r="D130" s="369">
        <v>0.011</v>
      </c>
      <c r="E130" s="370">
        <v>0.051</v>
      </c>
      <c r="F130" s="369" t="s">
        <v>1331</v>
      </c>
      <c r="G130" s="369" t="s">
        <v>1332</v>
      </c>
      <c r="H130" s="369">
        <v>8.0</v>
      </c>
      <c r="I130" s="369">
        <v>158.0</v>
      </c>
      <c r="J130" s="369">
        <v>220237.0</v>
      </c>
      <c r="K130" s="369" t="s">
        <v>1413</v>
      </c>
    </row>
  </sheetData>
  <mergeCells count="21">
    <mergeCell ref="C11:D11"/>
    <mergeCell ref="E11:F11"/>
    <mergeCell ref="I11:J11"/>
    <mergeCell ref="A1:H1"/>
    <mergeCell ref="A3:H3"/>
    <mergeCell ref="B4:H4"/>
    <mergeCell ref="B5:H5"/>
    <mergeCell ref="B6:H6"/>
    <mergeCell ref="B7:H7"/>
    <mergeCell ref="G11:H11"/>
    <mergeCell ref="A21:K21"/>
    <mergeCell ref="A37:K37"/>
    <mergeCell ref="A62:K62"/>
    <mergeCell ref="A75:K75"/>
    <mergeCell ref="A11:B11"/>
    <mergeCell ref="A12:B12"/>
    <mergeCell ref="C12:D12"/>
    <mergeCell ref="E12:F12"/>
    <mergeCell ref="G12:H12"/>
    <mergeCell ref="I12:J12"/>
    <mergeCell ref="A14:F14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63"/>
    <col customWidth="1" min="3" max="3" width="22.75"/>
  </cols>
  <sheetData>
    <row r="1">
      <c r="A1" s="373" t="s">
        <v>1414</v>
      </c>
      <c r="B1" s="374" t="s">
        <v>1415</v>
      </c>
      <c r="C1" s="375" t="s">
        <v>848</v>
      </c>
      <c r="D1" s="376" t="s">
        <v>850</v>
      </c>
      <c r="E1" s="375" t="s">
        <v>851</v>
      </c>
      <c r="F1" s="375" t="s">
        <v>852</v>
      </c>
      <c r="G1" s="375" t="s">
        <v>3</v>
      </c>
      <c r="H1" s="375" t="s">
        <v>4</v>
      </c>
      <c r="I1" s="377" t="s">
        <v>6</v>
      </c>
      <c r="J1" s="378" t="s">
        <v>7</v>
      </c>
      <c r="K1" s="378" t="s">
        <v>8</v>
      </c>
      <c r="L1" s="378" t="s">
        <v>9</v>
      </c>
      <c r="M1" s="378" t="s">
        <v>10</v>
      </c>
      <c r="N1" s="309" t="s">
        <v>11</v>
      </c>
      <c r="O1" s="308" t="s">
        <v>12</v>
      </c>
      <c r="P1" s="309" t="s">
        <v>13</v>
      </c>
      <c r="Q1" s="309" t="s">
        <v>14</v>
      </c>
      <c r="R1" s="375" t="s">
        <v>16</v>
      </c>
      <c r="S1" s="379" t="s">
        <v>1416</v>
      </c>
      <c r="T1" s="380"/>
      <c r="U1" s="380"/>
    </row>
    <row r="2">
      <c r="A2" s="381">
        <v>134949.0</v>
      </c>
      <c r="B2" s="382" t="s">
        <v>1273</v>
      </c>
      <c r="C2" s="382" t="s">
        <v>1272</v>
      </c>
      <c r="D2" s="383">
        <v>34.0</v>
      </c>
      <c r="E2" s="383">
        <v>15.0</v>
      </c>
      <c r="F2" s="384">
        <v>0.441</v>
      </c>
      <c r="G2" s="385" t="s">
        <v>32</v>
      </c>
      <c r="H2" s="385">
        <v>9.6</v>
      </c>
      <c r="I2" s="386"/>
      <c r="J2" s="386"/>
      <c r="K2" s="386"/>
      <c r="L2" s="386"/>
      <c r="M2" s="386"/>
      <c r="N2" s="386"/>
      <c r="O2" s="386"/>
      <c r="P2" s="386"/>
      <c r="Q2" s="386"/>
      <c r="R2" s="387" t="s">
        <v>1417</v>
      </c>
      <c r="S2" s="388" t="s">
        <v>855</v>
      </c>
    </row>
    <row r="3">
      <c r="A3" s="389">
        <v>134951.0</v>
      </c>
      <c r="B3" s="390" t="s">
        <v>1418</v>
      </c>
      <c r="C3" s="390" t="s">
        <v>1419</v>
      </c>
      <c r="D3" s="391">
        <v>65.0</v>
      </c>
      <c r="E3" s="391">
        <v>10.0</v>
      </c>
      <c r="F3" s="392">
        <v>0.154</v>
      </c>
      <c r="G3" s="393" t="s">
        <v>32</v>
      </c>
      <c r="H3" s="393">
        <v>3.7</v>
      </c>
      <c r="I3" s="394"/>
      <c r="J3" s="394"/>
      <c r="K3" s="394"/>
      <c r="L3" s="394"/>
      <c r="M3" s="394"/>
      <c r="N3" s="394"/>
      <c r="O3" s="394"/>
      <c r="P3" s="394"/>
      <c r="Q3" s="394"/>
      <c r="R3" s="395" t="s">
        <v>1417</v>
      </c>
      <c r="S3" s="396" t="s">
        <v>855</v>
      </c>
    </row>
    <row r="4">
      <c r="A4" s="381">
        <v>219834.0</v>
      </c>
      <c r="B4" s="382" t="s">
        <v>1420</v>
      </c>
      <c r="C4" s="382" t="s">
        <v>1421</v>
      </c>
      <c r="D4" s="383">
        <v>45.0</v>
      </c>
      <c r="E4" s="383">
        <v>9.0</v>
      </c>
      <c r="F4" s="384">
        <v>0.2</v>
      </c>
      <c r="G4" s="385" t="s">
        <v>32</v>
      </c>
      <c r="H4" s="385">
        <v>6.0</v>
      </c>
      <c r="I4" s="397">
        <v>53.76</v>
      </c>
      <c r="J4" s="397">
        <v>39.85</v>
      </c>
      <c r="K4" s="397">
        <v>159.2</v>
      </c>
      <c r="L4" s="397">
        <v>159.21</v>
      </c>
      <c r="M4" s="386"/>
      <c r="N4" s="397">
        <v>53.7</v>
      </c>
      <c r="O4" s="397">
        <v>39.8</v>
      </c>
      <c r="P4" s="397">
        <v>159.2</v>
      </c>
      <c r="Q4" s="397">
        <v>159.21</v>
      </c>
      <c r="R4" s="387" t="s">
        <v>1417</v>
      </c>
      <c r="S4" s="388" t="s">
        <v>855</v>
      </c>
    </row>
    <row r="5">
      <c r="A5" s="398">
        <v>240555.0</v>
      </c>
      <c r="B5" s="399" t="s">
        <v>1422</v>
      </c>
      <c r="C5" s="399" t="s">
        <v>1423</v>
      </c>
      <c r="D5" s="400">
        <v>33.0</v>
      </c>
      <c r="E5" s="400">
        <v>9.0</v>
      </c>
      <c r="F5" s="401">
        <v>0.273</v>
      </c>
      <c r="G5" s="393" t="s">
        <v>32</v>
      </c>
      <c r="H5" s="393">
        <v>25.9</v>
      </c>
      <c r="I5" s="402">
        <v>49.62</v>
      </c>
      <c r="J5" s="402">
        <v>40.99</v>
      </c>
      <c r="K5" s="402">
        <v>147.67</v>
      </c>
      <c r="L5" s="402">
        <v>147.81</v>
      </c>
      <c r="M5" s="394"/>
      <c r="N5" s="402">
        <v>49.42</v>
      </c>
      <c r="O5" s="402">
        <v>40.95</v>
      </c>
      <c r="P5" s="402">
        <v>147.67</v>
      </c>
      <c r="Q5" s="402">
        <v>147.81</v>
      </c>
      <c r="R5" s="395" t="s">
        <v>1417</v>
      </c>
      <c r="S5" s="403" t="s">
        <v>855</v>
      </c>
    </row>
    <row r="6">
      <c r="A6" s="389">
        <v>207991.0</v>
      </c>
      <c r="B6" s="390" t="s">
        <v>1424</v>
      </c>
      <c r="C6" s="390" t="s">
        <v>1425</v>
      </c>
      <c r="D6" s="391">
        <v>68.0</v>
      </c>
      <c r="E6" s="391">
        <v>7.0</v>
      </c>
      <c r="F6" s="392">
        <v>0.103</v>
      </c>
      <c r="G6" s="385" t="s">
        <v>17</v>
      </c>
      <c r="H6" s="385">
        <v>5.6</v>
      </c>
      <c r="I6" s="397">
        <v>52.44</v>
      </c>
      <c r="J6" s="397">
        <v>38.19</v>
      </c>
      <c r="K6" s="397">
        <v>154.66</v>
      </c>
      <c r="L6" s="397">
        <v>154.44</v>
      </c>
      <c r="M6" s="386"/>
      <c r="N6" s="397">
        <v>52.5</v>
      </c>
      <c r="O6" s="397">
        <v>38.25</v>
      </c>
      <c r="P6" s="397">
        <v>154.66</v>
      </c>
      <c r="Q6" s="397">
        <v>154.44</v>
      </c>
      <c r="R6" s="387" t="s">
        <v>1417</v>
      </c>
      <c r="S6" s="396" t="s">
        <v>855</v>
      </c>
    </row>
    <row r="7">
      <c r="A7" s="389">
        <v>207991.0</v>
      </c>
      <c r="B7" s="390" t="s">
        <v>1426</v>
      </c>
      <c r="C7" s="390" t="s">
        <v>1427</v>
      </c>
      <c r="D7" s="391">
        <v>62.0</v>
      </c>
      <c r="E7" s="391">
        <v>7.0</v>
      </c>
      <c r="F7" s="392">
        <v>0.113</v>
      </c>
      <c r="G7" s="393" t="s">
        <v>32</v>
      </c>
      <c r="H7" s="393">
        <v>8.5</v>
      </c>
      <c r="I7" s="402">
        <v>53.38</v>
      </c>
      <c r="J7" s="402">
        <v>39.23</v>
      </c>
      <c r="K7" s="402">
        <v>158.07</v>
      </c>
      <c r="L7" s="402">
        <v>157.86</v>
      </c>
      <c r="M7" s="394"/>
      <c r="N7" s="402">
        <v>53.44</v>
      </c>
      <c r="O7" s="402">
        <v>39.29</v>
      </c>
      <c r="P7" s="402">
        <v>158.07</v>
      </c>
      <c r="Q7" s="402">
        <v>157.86</v>
      </c>
      <c r="R7" s="395" t="s">
        <v>1417</v>
      </c>
      <c r="S7" s="396" t="s">
        <v>855</v>
      </c>
    </row>
    <row r="8">
      <c r="A8" s="389">
        <v>215983.0</v>
      </c>
      <c r="B8" s="390" t="s">
        <v>1428</v>
      </c>
      <c r="C8" s="390" t="s">
        <v>1429</v>
      </c>
      <c r="D8" s="391">
        <v>76.0</v>
      </c>
      <c r="E8" s="391">
        <v>7.0</v>
      </c>
      <c r="F8" s="392">
        <v>0.092</v>
      </c>
      <c r="G8" s="385" t="s">
        <v>124</v>
      </c>
      <c r="H8" s="385">
        <v>6.82</v>
      </c>
      <c r="I8" s="397">
        <v>51.02</v>
      </c>
      <c r="J8" s="397">
        <v>39.9</v>
      </c>
      <c r="K8" s="397">
        <v>153.29</v>
      </c>
      <c r="L8" s="397">
        <v>153.23</v>
      </c>
      <c r="M8" s="386"/>
      <c r="N8" s="397">
        <v>51.05</v>
      </c>
      <c r="O8" s="397">
        <v>39.98</v>
      </c>
      <c r="P8" s="397">
        <v>153.29</v>
      </c>
      <c r="Q8" s="397">
        <v>153.23</v>
      </c>
      <c r="R8" s="387" t="s">
        <v>1417</v>
      </c>
      <c r="S8" s="396" t="s">
        <v>855</v>
      </c>
    </row>
    <row r="9">
      <c r="A9" s="389">
        <v>241123.0</v>
      </c>
      <c r="B9" s="390" t="s">
        <v>1430</v>
      </c>
      <c r="C9" s="390" t="s">
        <v>1431</v>
      </c>
      <c r="D9" s="391">
        <v>21.0</v>
      </c>
      <c r="E9" s="391">
        <v>7.0</v>
      </c>
      <c r="F9" s="392">
        <v>0.333</v>
      </c>
      <c r="G9" s="393" t="s">
        <v>32</v>
      </c>
      <c r="H9" s="393">
        <v>20.0</v>
      </c>
      <c r="I9" s="402">
        <v>53.44</v>
      </c>
      <c r="J9" s="402">
        <v>50.68</v>
      </c>
      <c r="K9" s="402">
        <v>165.15</v>
      </c>
      <c r="L9" s="402">
        <v>166.64</v>
      </c>
      <c r="M9" s="394"/>
      <c r="N9" s="402">
        <v>54.22</v>
      </c>
      <c r="O9" s="402">
        <v>50.1</v>
      </c>
      <c r="P9" s="402">
        <v>165.15</v>
      </c>
      <c r="Q9" s="402">
        <v>166.64</v>
      </c>
      <c r="R9" s="395" t="s">
        <v>1417</v>
      </c>
      <c r="S9" s="396" t="s">
        <v>855</v>
      </c>
    </row>
    <row r="10">
      <c r="A10" s="404">
        <v>201272.0</v>
      </c>
      <c r="B10" s="390" t="s">
        <v>1432</v>
      </c>
      <c r="C10" s="390" t="s">
        <v>1186</v>
      </c>
      <c r="D10" s="391">
        <v>58.0</v>
      </c>
      <c r="E10" s="391">
        <v>6.0</v>
      </c>
      <c r="F10" s="392">
        <v>0.103</v>
      </c>
      <c r="G10" s="385" t="s">
        <v>32</v>
      </c>
      <c r="H10" s="385">
        <v>11.5</v>
      </c>
      <c r="I10" s="397">
        <v>57.69</v>
      </c>
      <c r="J10" s="397">
        <v>46.62</v>
      </c>
      <c r="K10" s="397">
        <v>173.92</v>
      </c>
      <c r="L10" s="397">
        <v>173.73</v>
      </c>
      <c r="M10" s="386"/>
      <c r="N10" s="397">
        <v>57.61</v>
      </c>
      <c r="O10" s="397">
        <v>46.04</v>
      </c>
      <c r="P10" s="397">
        <v>173.92</v>
      </c>
      <c r="Q10" s="397">
        <v>173.73</v>
      </c>
      <c r="R10" s="387" t="s">
        <v>1417</v>
      </c>
      <c r="S10" s="396" t="s">
        <v>855</v>
      </c>
    </row>
    <row r="11">
      <c r="A11" s="405">
        <v>211307.0</v>
      </c>
      <c r="B11" s="406" t="s">
        <v>1294</v>
      </c>
      <c r="C11" s="406" t="s">
        <v>1293</v>
      </c>
      <c r="D11" s="407">
        <v>39.0</v>
      </c>
      <c r="E11" s="407">
        <v>6.0</v>
      </c>
      <c r="F11" s="408">
        <v>0.154</v>
      </c>
      <c r="G11" s="393" t="s">
        <v>32</v>
      </c>
      <c r="H11" s="393">
        <v>11.8</v>
      </c>
      <c r="I11" s="402">
        <v>53.45</v>
      </c>
      <c r="J11" s="402">
        <v>37.95</v>
      </c>
      <c r="K11" s="402">
        <v>147.68</v>
      </c>
      <c r="L11" s="402">
        <v>147.68</v>
      </c>
      <c r="M11" s="394"/>
      <c r="N11" s="402">
        <v>53.4</v>
      </c>
      <c r="O11" s="402">
        <v>37.9</v>
      </c>
      <c r="P11" s="402">
        <v>147.68</v>
      </c>
      <c r="Q11" s="402">
        <v>147.68</v>
      </c>
      <c r="R11" s="395" t="s">
        <v>1417</v>
      </c>
      <c r="S11" s="409" t="s">
        <v>855</v>
      </c>
    </row>
    <row r="12">
      <c r="A12" s="381">
        <v>219834.0</v>
      </c>
      <c r="B12" s="382" t="s">
        <v>1433</v>
      </c>
      <c r="C12" s="382" t="s">
        <v>1434</v>
      </c>
      <c r="D12" s="383">
        <v>64.0</v>
      </c>
      <c r="E12" s="383">
        <v>6.0</v>
      </c>
      <c r="F12" s="384">
        <v>0.094</v>
      </c>
      <c r="G12" s="385" t="s">
        <v>32</v>
      </c>
      <c r="H12" s="385">
        <v>6.0</v>
      </c>
      <c r="I12" s="397">
        <v>53.72</v>
      </c>
      <c r="J12" s="397">
        <v>39.51</v>
      </c>
      <c r="K12" s="397">
        <v>159.4</v>
      </c>
      <c r="L12" s="397">
        <v>159.37</v>
      </c>
      <c r="M12" s="386"/>
      <c r="N12" s="397">
        <v>53.66</v>
      </c>
      <c r="O12" s="397">
        <v>39.46</v>
      </c>
      <c r="P12" s="397">
        <v>159.4</v>
      </c>
      <c r="Q12" s="397">
        <v>159.37</v>
      </c>
      <c r="R12" s="387" t="s">
        <v>1417</v>
      </c>
      <c r="S12" s="388" t="s">
        <v>855</v>
      </c>
    </row>
    <row r="13">
      <c r="A13" s="389">
        <v>223230.0</v>
      </c>
      <c r="B13" s="390" t="s">
        <v>1295</v>
      </c>
      <c r="C13" s="390" t="s">
        <v>1014</v>
      </c>
      <c r="D13" s="391">
        <v>95.0</v>
      </c>
      <c r="E13" s="391">
        <v>6.0</v>
      </c>
      <c r="F13" s="392">
        <v>0.063</v>
      </c>
      <c r="G13" s="393" t="s">
        <v>32</v>
      </c>
      <c r="H13" s="393">
        <v>4.1</v>
      </c>
      <c r="I13" s="402">
        <v>48.15</v>
      </c>
      <c r="J13" s="402">
        <v>42.04</v>
      </c>
      <c r="K13" s="402">
        <v>145.02</v>
      </c>
      <c r="L13" s="402">
        <v>144.82</v>
      </c>
      <c r="M13" s="394"/>
      <c r="N13" s="402">
        <v>48.08</v>
      </c>
      <c r="O13" s="402">
        <v>41.96</v>
      </c>
      <c r="P13" s="402">
        <v>145.02</v>
      </c>
      <c r="Q13" s="402">
        <v>144.82</v>
      </c>
      <c r="R13" s="395" t="s">
        <v>1417</v>
      </c>
      <c r="S13" s="396" t="s">
        <v>855</v>
      </c>
    </row>
    <row r="14">
      <c r="A14" s="389">
        <v>234765.0</v>
      </c>
      <c r="B14" s="390" t="s">
        <v>1435</v>
      </c>
      <c r="C14" s="390" t="s">
        <v>1436</v>
      </c>
      <c r="D14" s="391">
        <v>13.0</v>
      </c>
      <c r="E14" s="391">
        <v>6.0</v>
      </c>
      <c r="F14" s="392">
        <v>0.462</v>
      </c>
      <c r="G14" s="385" t="s">
        <v>17</v>
      </c>
      <c r="H14" s="385">
        <v>39.1</v>
      </c>
      <c r="I14" s="397">
        <v>54.86</v>
      </c>
      <c r="J14" s="397">
        <v>38.66</v>
      </c>
      <c r="K14" s="397">
        <v>160.24</v>
      </c>
      <c r="L14" s="397">
        <v>159.8</v>
      </c>
      <c r="M14" s="386"/>
      <c r="N14" s="397">
        <v>55.07</v>
      </c>
      <c r="O14" s="397">
        <v>38.93</v>
      </c>
      <c r="P14" s="397">
        <v>160.24</v>
      </c>
      <c r="Q14" s="397">
        <v>159.8</v>
      </c>
      <c r="R14" s="387" t="s">
        <v>1417</v>
      </c>
      <c r="S14" s="396" t="s">
        <v>855</v>
      </c>
    </row>
    <row r="15">
      <c r="A15" s="389">
        <v>238829.0</v>
      </c>
      <c r="B15" s="390" t="s">
        <v>1437</v>
      </c>
      <c r="C15" s="390" t="s">
        <v>1438</v>
      </c>
      <c r="D15" s="391">
        <v>88.0</v>
      </c>
      <c r="E15" s="391">
        <v>6.0</v>
      </c>
      <c r="F15" s="392">
        <v>0.068</v>
      </c>
      <c r="G15" s="393" t="s">
        <v>392</v>
      </c>
      <c r="H15" s="393">
        <v>8.33</v>
      </c>
      <c r="I15" s="394"/>
      <c r="J15" s="394"/>
      <c r="K15" s="394"/>
      <c r="L15" s="394"/>
      <c r="M15" s="394"/>
      <c r="N15" s="394"/>
      <c r="O15" s="394"/>
      <c r="P15" s="394"/>
      <c r="Q15" s="394"/>
      <c r="R15" s="395" t="s">
        <v>1417</v>
      </c>
      <c r="S15" s="396" t="s">
        <v>861</v>
      </c>
    </row>
    <row r="16">
      <c r="A16" s="389">
        <v>238846.0</v>
      </c>
      <c r="B16" s="390" t="s">
        <v>1439</v>
      </c>
      <c r="C16" s="390" t="s">
        <v>1440</v>
      </c>
      <c r="D16" s="391">
        <v>74.0</v>
      </c>
      <c r="E16" s="391">
        <v>6.0</v>
      </c>
      <c r="F16" s="392">
        <v>0.081</v>
      </c>
      <c r="G16" s="385" t="s">
        <v>32</v>
      </c>
      <c r="H16" s="385">
        <v>3.3</v>
      </c>
      <c r="I16" s="397">
        <v>51.47</v>
      </c>
      <c r="J16" s="397">
        <v>40.4</v>
      </c>
      <c r="K16" s="397">
        <v>152.38</v>
      </c>
      <c r="L16" s="397">
        <v>152.41</v>
      </c>
      <c r="M16" s="386"/>
      <c r="N16" s="397">
        <v>51.42</v>
      </c>
      <c r="O16" s="397">
        <v>40.36</v>
      </c>
      <c r="P16" s="397">
        <v>152.38</v>
      </c>
      <c r="Q16" s="397">
        <v>152.41</v>
      </c>
      <c r="R16" s="387" t="s">
        <v>1417</v>
      </c>
      <c r="S16" s="396" t="s">
        <v>855</v>
      </c>
    </row>
    <row r="17">
      <c r="A17" s="389">
        <v>134949.0</v>
      </c>
      <c r="B17" s="390" t="s">
        <v>1441</v>
      </c>
      <c r="C17" s="390" t="s">
        <v>1442</v>
      </c>
      <c r="D17" s="391">
        <v>7.0</v>
      </c>
      <c r="E17" s="391">
        <v>5.0</v>
      </c>
      <c r="F17" s="392">
        <v>0.714</v>
      </c>
      <c r="G17" s="393" t="s">
        <v>1443</v>
      </c>
      <c r="H17" s="393" t="s">
        <v>1444</v>
      </c>
      <c r="I17" s="402">
        <v>56.32</v>
      </c>
      <c r="J17" s="402">
        <v>45.46</v>
      </c>
      <c r="K17" s="402">
        <v>170.05</v>
      </c>
      <c r="L17" s="402">
        <v>170.05</v>
      </c>
      <c r="M17" s="394"/>
      <c r="N17" s="402">
        <v>56.26</v>
      </c>
      <c r="O17" s="402">
        <v>45.4</v>
      </c>
      <c r="P17" s="402">
        <v>170.05</v>
      </c>
      <c r="Q17" s="402">
        <v>170.05</v>
      </c>
      <c r="R17" s="395" t="s">
        <v>1417</v>
      </c>
      <c r="S17" s="396" t="s">
        <v>855</v>
      </c>
    </row>
    <row r="18">
      <c r="A18" s="389">
        <v>146617.0</v>
      </c>
      <c r="B18" s="390" t="s">
        <v>1445</v>
      </c>
      <c r="C18" s="390" t="s">
        <v>1446</v>
      </c>
      <c r="D18" s="391">
        <v>83.0</v>
      </c>
      <c r="E18" s="391">
        <v>5.0</v>
      </c>
      <c r="F18" s="392">
        <v>0.06</v>
      </c>
      <c r="G18" s="385" t="s">
        <v>32</v>
      </c>
      <c r="H18" s="385">
        <v>2.6</v>
      </c>
      <c r="I18" s="397">
        <v>52.13</v>
      </c>
      <c r="J18" s="397">
        <v>43.57</v>
      </c>
      <c r="K18" s="397">
        <v>154.73</v>
      </c>
      <c r="L18" s="397">
        <v>154.73</v>
      </c>
      <c r="M18" s="386"/>
      <c r="N18" s="397">
        <v>52.11</v>
      </c>
      <c r="O18" s="397">
        <v>43.42</v>
      </c>
      <c r="P18" s="397">
        <v>154.73</v>
      </c>
      <c r="Q18" s="397">
        <v>154.73</v>
      </c>
      <c r="R18" s="387" t="s">
        <v>1417</v>
      </c>
      <c r="S18" s="396" t="s">
        <v>855</v>
      </c>
    </row>
    <row r="19">
      <c r="A19" s="389">
        <v>224842.0</v>
      </c>
      <c r="B19" s="390" t="s">
        <v>1447</v>
      </c>
      <c r="C19" s="390" t="s">
        <v>1448</v>
      </c>
      <c r="D19" s="391">
        <v>61.0</v>
      </c>
      <c r="E19" s="391">
        <v>5.0</v>
      </c>
      <c r="F19" s="392">
        <v>0.082</v>
      </c>
      <c r="G19" s="393" t="s">
        <v>32</v>
      </c>
      <c r="H19" s="393">
        <v>5.4</v>
      </c>
      <c r="I19" s="402">
        <v>49.81</v>
      </c>
      <c r="J19" s="402">
        <v>46.19</v>
      </c>
      <c r="K19" s="402">
        <v>154.4</v>
      </c>
      <c r="L19" s="402">
        <v>154.45</v>
      </c>
      <c r="M19" s="394"/>
      <c r="N19" s="402">
        <v>49.75</v>
      </c>
      <c r="O19" s="402">
        <v>46.13</v>
      </c>
      <c r="P19" s="402">
        <v>154.4</v>
      </c>
      <c r="Q19" s="402">
        <v>154.45</v>
      </c>
      <c r="R19" s="395" t="s">
        <v>1417</v>
      </c>
      <c r="S19" s="396" t="s">
        <v>855</v>
      </c>
    </row>
    <row r="20">
      <c r="A20" s="389">
        <v>234785.0</v>
      </c>
      <c r="B20" s="390" t="s">
        <v>1449</v>
      </c>
      <c r="C20" s="390" t="s">
        <v>1450</v>
      </c>
      <c r="D20" s="391">
        <v>46.0</v>
      </c>
      <c r="E20" s="391">
        <v>5.0</v>
      </c>
      <c r="F20" s="392">
        <v>0.109</v>
      </c>
      <c r="G20" s="385" t="s">
        <v>17</v>
      </c>
      <c r="H20" s="385">
        <v>3.6</v>
      </c>
      <c r="I20" s="397">
        <v>52.12</v>
      </c>
      <c r="J20" s="397">
        <v>40.48</v>
      </c>
      <c r="K20" s="397">
        <v>153.22</v>
      </c>
      <c r="L20" s="397">
        <v>153.55</v>
      </c>
      <c r="M20" s="386"/>
      <c r="N20" s="397">
        <v>52.32</v>
      </c>
      <c r="O20" s="397">
        <v>40.68</v>
      </c>
      <c r="P20" s="397">
        <v>153.22</v>
      </c>
      <c r="Q20" s="397">
        <v>153.55</v>
      </c>
      <c r="R20" s="387" t="s">
        <v>1417</v>
      </c>
      <c r="S20" s="396" t="s">
        <v>855</v>
      </c>
    </row>
    <row r="21">
      <c r="A21" s="398">
        <v>240781.0</v>
      </c>
      <c r="B21" s="399" t="s">
        <v>1451</v>
      </c>
      <c r="C21" s="399" t="s">
        <v>1452</v>
      </c>
      <c r="D21" s="400">
        <v>93.0</v>
      </c>
      <c r="E21" s="400">
        <v>5.0</v>
      </c>
      <c r="F21" s="401">
        <v>0.054</v>
      </c>
      <c r="G21" s="393" t="s">
        <v>32</v>
      </c>
      <c r="H21" s="393">
        <v>4.7</v>
      </c>
      <c r="I21" s="402">
        <v>55.43</v>
      </c>
      <c r="J21" s="402">
        <v>35.48</v>
      </c>
      <c r="K21" s="402">
        <v>158.52</v>
      </c>
      <c r="L21" s="402">
        <v>158.49</v>
      </c>
      <c r="M21" s="394"/>
      <c r="N21" s="402">
        <v>55.37</v>
      </c>
      <c r="O21" s="402">
        <v>35.4</v>
      </c>
      <c r="P21" s="402">
        <v>158.52</v>
      </c>
      <c r="Q21" s="402">
        <v>158.49</v>
      </c>
      <c r="R21" s="395" t="s">
        <v>1417</v>
      </c>
      <c r="S21" s="403" t="s">
        <v>855</v>
      </c>
    </row>
    <row r="22">
      <c r="A22" s="398">
        <v>242246.0</v>
      </c>
      <c r="B22" s="399" t="s">
        <v>1453</v>
      </c>
      <c r="C22" s="399" t="s">
        <v>1454</v>
      </c>
      <c r="D22" s="400">
        <v>91.0</v>
      </c>
      <c r="E22" s="400">
        <v>5.0</v>
      </c>
      <c r="F22" s="401">
        <v>0.055</v>
      </c>
      <c r="G22" s="385" t="s">
        <v>32</v>
      </c>
      <c r="H22" s="385">
        <v>3.7</v>
      </c>
      <c r="I22" s="397">
        <v>49.81</v>
      </c>
      <c r="J22" s="397">
        <v>44.54</v>
      </c>
      <c r="K22" s="397">
        <v>150.26</v>
      </c>
      <c r="L22" s="397">
        <v>150.25</v>
      </c>
      <c r="M22" s="386"/>
      <c r="N22" s="397">
        <v>49.67</v>
      </c>
      <c r="O22" s="397">
        <v>44.44</v>
      </c>
      <c r="P22" s="397">
        <v>150.26</v>
      </c>
      <c r="Q22" s="397">
        <v>150.25</v>
      </c>
      <c r="R22" s="387" t="s">
        <v>1417</v>
      </c>
      <c r="S22" s="403" t="s">
        <v>855</v>
      </c>
    </row>
    <row r="23">
      <c r="A23" s="389">
        <v>217873.0</v>
      </c>
      <c r="B23" s="390" t="s">
        <v>1455</v>
      </c>
      <c r="C23" s="390" t="s">
        <v>187</v>
      </c>
      <c r="D23" s="391">
        <v>63.0</v>
      </c>
      <c r="E23" s="391">
        <v>4.0</v>
      </c>
      <c r="F23" s="392">
        <v>0.063</v>
      </c>
      <c r="G23" s="393" t="s">
        <v>32</v>
      </c>
      <c r="H23" s="393">
        <v>3.4</v>
      </c>
      <c r="I23" s="402">
        <v>52.96</v>
      </c>
      <c r="J23" s="402">
        <v>40.42</v>
      </c>
      <c r="K23" s="402">
        <v>150.94</v>
      </c>
      <c r="L23" s="402">
        <v>150.94</v>
      </c>
      <c r="M23" s="394"/>
      <c r="N23" s="402">
        <v>52.93</v>
      </c>
      <c r="O23" s="402">
        <v>40.29</v>
      </c>
      <c r="P23" s="402">
        <v>150.94</v>
      </c>
      <c r="Q23" s="402">
        <v>150.94</v>
      </c>
      <c r="R23" s="395" t="s">
        <v>1417</v>
      </c>
      <c r="S23" s="396" t="s">
        <v>855</v>
      </c>
    </row>
    <row r="24">
      <c r="A24" s="389">
        <v>218062.0</v>
      </c>
      <c r="B24" s="390" t="s">
        <v>1456</v>
      </c>
      <c r="C24" s="390" t="s">
        <v>1457</v>
      </c>
      <c r="D24" s="391">
        <v>65.0</v>
      </c>
      <c r="E24" s="391">
        <v>4.0</v>
      </c>
      <c r="F24" s="392">
        <v>0.062</v>
      </c>
      <c r="G24" s="385" t="s">
        <v>392</v>
      </c>
      <c r="H24" s="385">
        <v>2.86</v>
      </c>
      <c r="I24" s="386"/>
      <c r="J24" s="386"/>
      <c r="K24" s="386"/>
      <c r="L24" s="386"/>
      <c r="M24" s="386"/>
      <c r="N24" s="386"/>
      <c r="O24" s="386"/>
      <c r="P24" s="386"/>
      <c r="Q24" s="386"/>
      <c r="R24" s="387" t="s">
        <v>1417</v>
      </c>
      <c r="S24" s="396" t="s">
        <v>861</v>
      </c>
    </row>
    <row r="25">
      <c r="A25" s="381">
        <v>234765.0</v>
      </c>
      <c r="B25" s="382" t="s">
        <v>1458</v>
      </c>
      <c r="C25" s="382" t="s">
        <v>1459</v>
      </c>
      <c r="D25" s="383">
        <v>12.0</v>
      </c>
      <c r="E25" s="383">
        <v>4.0</v>
      </c>
      <c r="F25" s="384">
        <v>0.333</v>
      </c>
      <c r="G25" s="393" t="s">
        <v>32</v>
      </c>
      <c r="H25" s="393">
        <v>9.5</v>
      </c>
      <c r="I25" s="402">
        <v>55.59</v>
      </c>
      <c r="J25" s="402">
        <v>39.9</v>
      </c>
      <c r="K25" s="402">
        <v>162.21</v>
      </c>
      <c r="L25" s="402">
        <v>162.21</v>
      </c>
      <c r="M25" s="394"/>
      <c r="N25" s="402">
        <v>55.55</v>
      </c>
      <c r="O25" s="402">
        <v>39.85</v>
      </c>
      <c r="P25" s="402">
        <v>162.21</v>
      </c>
      <c r="Q25" s="402">
        <v>162.21</v>
      </c>
      <c r="R25" s="395" t="s">
        <v>1417</v>
      </c>
      <c r="S25" s="388" t="s">
        <v>855</v>
      </c>
    </row>
    <row r="26">
      <c r="A26" s="405">
        <v>236095.0</v>
      </c>
      <c r="B26" s="406" t="s">
        <v>1460</v>
      </c>
      <c r="C26" s="406" t="s">
        <v>1461</v>
      </c>
      <c r="D26" s="407">
        <v>22.0</v>
      </c>
      <c r="E26" s="407">
        <v>4.0</v>
      </c>
      <c r="F26" s="408">
        <v>0.182</v>
      </c>
      <c r="G26" s="385" t="s">
        <v>32</v>
      </c>
      <c r="H26" s="385">
        <v>11.0</v>
      </c>
      <c r="I26" s="397">
        <v>50.5</v>
      </c>
      <c r="J26" s="397">
        <v>42.91</v>
      </c>
      <c r="K26" s="397">
        <v>152.32</v>
      </c>
      <c r="L26" s="397">
        <v>152.47</v>
      </c>
      <c r="M26" s="386"/>
      <c r="N26" s="397">
        <v>50.35</v>
      </c>
      <c r="O26" s="397">
        <v>42.87</v>
      </c>
      <c r="P26" s="397">
        <v>152.32</v>
      </c>
      <c r="Q26" s="397">
        <v>152.47</v>
      </c>
      <c r="R26" s="387" t="s">
        <v>1417</v>
      </c>
      <c r="S26" s="409" t="s">
        <v>855</v>
      </c>
    </row>
    <row r="27">
      <c r="A27" s="381">
        <v>238662.0</v>
      </c>
      <c r="B27" s="382" t="s">
        <v>1462</v>
      </c>
      <c r="C27" s="382" t="s">
        <v>1463</v>
      </c>
      <c r="D27" s="383">
        <v>44.0</v>
      </c>
      <c r="E27" s="383">
        <v>4.0</v>
      </c>
      <c r="F27" s="384">
        <v>0.091</v>
      </c>
      <c r="G27" s="393" t="s">
        <v>32</v>
      </c>
      <c r="H27" s="393">
        <v>4.4</v>
      </c>
      <c r="I27" s="402">
        <v>51.08</v>
      </c>
      <c r="J27" s="402">
        <v>32.38</v>
      </c>
      <c r="K27" s="402">
        <v>139.31</v>
      </c>
      <c r="L27" s="402">
        <v>139.27</v>
      </c>
      <c r="M27" s="394"/>
      <c r="N27" s="402">
        <v>51.02</v>
      </c>
      <c r="O27" s="402">
        <v>32.33</v>
      </c>
      <c r="P27" s="402">
        <v>139.31</v>
      </c>
      <c r="Q27" s="402">
        <v>139.27</v>
      </c>
      <c r="R27" s="395" t="s">
        <v>1417</v>
      </c>
      <c r="S27" s="388" t="s">
        <v>855</v>
      </c>
    </row>
    <row r="28">
      <c r="A28" s="389">
        <v>238841.0</v>
      </c>
      <c r="B28" s="390" t="s">
        <v>1464</v>
      </c>
      <c r="C28" s="390" t="s">
        <v>1465</v>
      </c>
      <c r="D28" s="391">
        <v>64.0</v>
      </c>
      <c r="E28" s="391">
        <v>4.0</v>
      </c>
      <c r="F28" s="392">
        <v>0.063</v>
      </c>
      <c r="G28" s="385" t="s">
        <v>124</v>
      </c>
      <c r="H28" s="385">
        <v>5.3</v>
      </c>
      <c r="I28" s="386"/>
      <c r="J28" s="386"/>
      <c r="K28" s="386"/>
      <c r="L28" s="386"/>
      <c r="M28" s="386"/>
      <c r="N28" s="386"/>
      <c r="O28" s="386"/>
      <c r="P28" s="386"/>
      <c r="Q28" s="386"/>
      <c r="R28" s="387" t="s">
        <v>1417</v>
      </c>
      <c r="S28" s="396" t="s">
        <v>943</v>
      </c>
    </row>
    <row r="29">
      <c r="A29" s="398">
        <v>239839.0</v>
      </c>
      <c r="B29" s="399" t="s">
        <v>1323</v>
      </c>
      <c r="C29" s="399" t="s">
        <v>91</v>
      </c>
      <c r="D29" s="400">
        <v>38.0</v>
      </c>
      <c r="E29" s="400">
        <v>4.0</v>
      </c>
      <c r="F29" s="401">
        <v>0.105</v>
      </c>
      <c r="G29" s="393" t="s">
        <v>17</v>
      </c>
      <c r="H29" s="393">
        <v>4.8</v>
      </c>
      <c r="I29" s="402">
        <v>53.3</v>
      </c>
      <c r="J29" s="402">
        <v>35.59</v>
      </c>
      <c r="K29" s="402">
        <v>152.74</v>
      </c>
      <c r="L29" s="402">
        <v>152.66</v>
      </c>
      <c r="M29" s="394"/>
      <c r="N29" s="402">
        <v>53.35</v>
      </c>
      <c r="O29" s="402">
        <v>35.69</v>
      </c>
      <c r="P29" s="402">
        <v>152.74</v>
      </c>
      <c r="Q29" s="402">
        <v>152.66</v>
      </c>
      <c r="R29" s="395" t="s">
        <v>1417</v>
      </c>
      <c r="S29" s="403" t="s">
        <v>855</v>
      </c>
    </row>
    <row r="30">
      <c r="A30" s="381">
        <v>241064.0</v>
      </c>
      <c r="B30" s="382" t="s">
        <v>1466</v>
      </c>
      <c r="C30" s="382" t="s">
        <v>1467</v>
      </c>
      <c r="D30" s="383">
        <v>4.0</v>
      </c>
      <c r="E30" s="383">
        <v>4.0</v>
      </c>
      <c r="F30" s="384">
        <v>1.0</v>
      </c>
      <c r="G30" s="385" t="s">
        <v>17</v>
      </c>
      <c r="H30" s="385">
        <v>100.0</v>
      </c>
      <c r="I30" s="397">
        <v>53.34</v>
      </c>
      <c r="J30" s="397">
        <v>46.29</v>
      </c>
      <c r="K30" s="397">
        <v>162.07</v>
      </c>
      <c r="L30" s="397">
        <v>162.41</v>
      </c>
      <c r="M30" s="386"/>
      <c r="N30" s="397">
        <v>53.4</v>
      </c>
      <c r="O30" s="397">
        <v>46.4</v>
      </c>
      <c r="P30" s="397">
        <v>162.07</v>
      </c>
      <c r="Q30" s="397">
        <v>162.41</v>
      </c>
      <c r="R30" s="387" t="s">
        <v>1417</v>
      </c>
      <c r="S30" s="388" t="s">
        <v>855</v>
      </c>
    </row>
    <row r="31">
      <c r="A31" s="389">
        <v>241069.0</v>
      </c>
      <c r="B31" s="390" t="s">
        <v>1468</v>
      </c>
      <c r="C31" s="390" t="s">
        <v>1469</v>
      </c>
      <c r="D31" s="391">
        <v>16.0</v>
      </c>
      <c r="E31" s="391">
        <v>4.0</v>
      </c>
      <c r="F31" s="392">
        <v>0.25</v>
      </c>
      <c r="G31" s="393" t="s">
        <v>32</v>
      </c>
      <c r="H31" s="393">
        <v>10.7</v>
      </c>
      <c r="I31" s="402">
        <v>58.92</v>
      </c>
      <c r="J31" s="402">
        <v>51.59</v>
      </c>
      <c r="K31" s="402">
        <v>176.95</v>
      </c>
      <c r="L31" s="402">
        <v>177.0</v>
      </c>
      <c r="M31" s="394"/>
      <c r="N31" s="402">
        <v>58.52</v>
      </c>
      <c r="O31" s="402">
        <v>51.55</v>
      </c>
      <c r="P31" s="402">
        <v>176.95</v>
      </c>
      <c r="Q31" s="402">
        <v>177.0</v>
      </c>
      <c r="R31" s="395" t="s">
        <v>1417</v>
      </c>
      <c r="S31" s="396" t="s">
        <v>855</v>
      </c>
    </row>
    <row r="32">
      <c r="A32" s="389">
        <v>204540.0</v>
      </c>
      <c r="B32" s="390" t="s">
        <v>1470</v>
      </c>
      <c r="C32" s="390" t="s">
        <v>1471</v>
      </c>
      <c r="D32" s="391">
        <v>27.0</v>
      </c>
      <c r="E32" s="391">
        <v>3.0</v>
      </c>
      <c r="F32" s="392">
        <v>0.111</v>
      </c>
      <c r="G32" s="385" t="s">
        <v>1443</v>
      </c>
      <c r="H32" s="385" t="s">
        <v>1472</v>
      </c>
      <c r="I32" s="397">
        <v>55.74</v>
      </c>
      <c r="J32" s="397">
        <v>46.73</v>
      </c>
      <c r="K32" s="397">
        <v>170.57</v>
      </c>
      <c r="L32" s="397">
        <v>170.8</v>
      </c>
      <c r="M32" s="386"/>
      <c r="N32" s="397">
        <v>55.7</v>
      </c>
      <c r="O32" s="397">
        <v>46.69</v>
      </c>
      <c r="P32" s="397">
        <v>170.57</v>
      </c>
      <c r="Q32" s="397">
        <v>170.8</v>
      </c>
      <c r="R32" s="387" t="s">
        <v>1417</v>
      </c>
      <c r="S32" s="396" t="s">
        <v>855</v>
      </c>
    </row>
    <row r="33">
      <c r="A33" s="405">
        <v>221282.0</v>
      </c>
      <c r="B33" s="406" t="s">
        <v>1473</v>
      </c>
      <c r="C33" s="406" t="s">
        <v>1474</v>
      </c>
      <c r="D33" s="407">
        <v>25.0</v>
      </c>
      <c r="E33" s="407">
        <v>3.0</v>
      </c>
      <c r="F33" s="408">
        <v>0.12</v>
      </c>
      <c r="G33" s="393" t="s">
        <v>32</v>
      </c>
      <c r="H33" s="393">
        <v>4.7</v>
      </c>
      <c r="I33" s="402">
        <v>54.38</v>
      </c>
      <c r="J33" s="402">
        <v>41.85</v>
      </c>
      <c r="K33" s="402">
        <v>160.78</v>
      </c>
      <c r="L33" s="402">
        <v>160.63</v>
      </c>
      <c r="M33" s="394"/>
      <c r="N33" s="402">
        <v>54.28</v>
      </c>
      <c r="O33" s="402">
        <v>41.7</v>
      </c>
      <c r="P33" s="402">
        <v>160.78</v>
      </c>
      <c r="Q33" s="402">
        <v>160.63</v>
      </c>
      <c r="R33" s="395" t="s">
        <v>1417</v>
      </c>
      <c r="S33" s="409" t="s">
        <v>855</v>
      </c>
    </row>
    <row r="34">
      <c r="A34" s="389">
        <v>222442.0</v>
      </c>
      <c r="B34" s="390" t="s">
        <v>1475</v>
      </c>
      <c r="C34" s="390" t="s">
        <v>1476</v>
      </c>
      <c r="D34" s="391">
        <v>12.0</v>
      </c>
      <c r="E34" s="391">
        <v>3.0</v>
      </c>
      <c r="F34" s="392">
        <v>0.25</v>
      </c>
      <c r="G34" s="385" t="s">
        <v>17</v>
      </c>
      <c r="H34" s="385">
        <v>26.3</v>
      </c>
      <c r="I34" s="397">
        <v>54.64</v>
      </c>
      <c r="J34" s="397">
        <v>33.43</v>
      </c>
      <c r="K34" s="397">
        <v>147.75</v>
      </c>
      <c r="L34" s="397">
        <v>147.75</v>
      </c>
      <c r="M34" s="386"/>
      <c r="N34" s="397">
        <v>54.7</v>
      </c>
      <c r="O34" s="397">
        <v>33.49</v>
      </c>
      <c r="P34" s="397">
        <v>147.75</v>
      </c>
      <c r="Q34" s="397">
        <v>147.75</v>
      </c>
      <c r="R34" s="387" t="s">
        <v>1417</v>
      </c>
      <c r="S34" s="396" t="s">
        <v>855</v>
      </c>
    </row>
    <row r="35">
      <c r="A35" s="389">
        <v>223232.0</v>
      </c>
      <c r="B35" s="390" t="s">
        <v>1327</v>
      </c>
      <c r="C35" s="390" t="s">
        <v>1326</v>
      </c>
      <c r="D35" s="391">
        <v>43.0</v>
      </c>
      <c r="E35" s="391">
        <v>3.0</v>
      </c>
      <c r="F35" s="392">
        <v>0.07</v>
      </c>
      <c r="G35" s="393" t="s">
        <v>32</v>
      </c>
      <c r="H35" s="393">
        <v>5.5</v>
      </c>
      <c r="I35" s="402">
        <v>50.06</v>
      </c>
      <c r="J35" s="402">
        <v>44.27</v>
      </c>
      <c r="K35" s="402">
        <v>151.79</v>
      </c>
      <c r="L35" s="402">
        <v>151.85</v>
      </c>
      <c r="M35" s="394"/>
      <c r="N35" s="402">
        <v>50.04</v>
      </c>
      <c r="O35" s="402">
        <v>44.18</v>
      </c>
      <c r="P35" s="402">
        <v>151.79</v>
      </c>
      <c r="Q35" s="402">
        <v>151.85</v>
      </c>
      <c r="R35" s="395" t="s">
        <v>1417</v>
      </c>
      <c r="S35" s="396" t="s">
        <v>855</v>
      </c>
    </row>
    <row r="36">
      <c r="A36" s="389">
        <v>228870.0</v>
      </c>
      <c r="B36" s="390" t="s">
        <v>1477</v>
      </c>
      <c r="C36" s="390" t="s">
        <v>1478</v>
      </c>
      <c r="D36" s="391">
        <v>32.0</v>
      </c>
      <c r="E36" s="391">
        <v>3.0</v>
      </c>
      <c r="F36" s="392">
        <v>0.094</v>
      </c>
      <c r="G36" s="385" t="s">
        <v>32</v>
      </c>
      <c r="H36" s="385">
        <v>11.5</v>
      </c>
      <c r="I36" s="397">
        <v>51.88</v>
      </c>
      <c r="J36" s="397">
        <v>39.78</v>
      </c>
      <c r="K36" s="397">
        <v>146.08</v>
      </c>
      <c r="L36" s="397">
        <v>145.92</v>
      </c>
      <c r="M36" s="386"/>
      <c r="N36" s="397">
        <v>51.8</v>
      </c>
      <c r="O36" s="397">
        <v>39.7</v>
      </c>
      <c r="P36" s="397">
        <v>146.08</v>
      </c>
      <c r="Q36" s="397">
        <v>145.92</v>
      </c>
      <c r="R36" s="387" t="s">
        <v>1417</v>
      </c>
      <c r="S36" s="396" t="s">
        <v>855</v>
      </c>
    </row>
    <row r="37">
      <c r="A37" s="398">
        <v>234800.0</v>
      </c>
      <c r="B37" s="399" t="s">
        <v>1479</v>
      </c>
      <c r="C37" s="399" t="s">
        <v>1480</v>
      </c>
      <c r="D37" s="400">
        <v>22.0</v>
      </c>
      <c r="E37" s="400">
        <v>3.0</v>
      </c>
      <c r="F37" s="401">
        <v>0.136</v>
      </c>
      <c r="G37" s="393" t="s">
        <v>32</v>
      </c>
      <c r="H37" s="393">
        <v>12.2</v>
      </c>
      <c r="I37" s="402">
        <v>48.41</v>
      </c>
      <c r="J37" s="402">
        <v>41.59</v>
      </c>
      <c r="K37" s="402">
        <v>146.04</v>
      </c>
      <c r="L37" s="402">
        <v>145.73</v>
      </c>
      <c r="M37" s="394"/>
      <c r="N37" s="402">
        <v>48.15</v>
      </c>
      <c r="O37" s="402">
        <v>41.56</v>
      </c>
      <c r="P37" s="402">
        <v>146.04</v>
      </c>
      <c r="Q37" s="402">
        <v>145.73</v>
      </c>
      <c r="R37" s="395" t="s">
        <v>1417</v>
      </c>
      <c r="S37" s="403" t="s">
        <v>855</v>
      </c>
    </row>
    <row r="38">
      <c r="A38" s="381">
        <v>235307.0</v>
      </c>
      <c r="B38" s="382" t="s">
        <v>1481</v>
      </c>
      <c r="C38" s="382" t="s">
        <v>1482</v>
      </c>
      <c r="D38" s="383">
        <v>24.0</v>
      </c>
      <c r="E38" s="383">
        <v>3.0</v>
      </c>
      <c r="F38" s="384">
        <v>0.125</v>
      </c>
      <c r="G38" s="385" t="s">
        <v>124</v>
      </c>
      <c r="H38" s="385">
        <v>12.2</v>
      </c>
      <c r="I38" s="386"/>
      <c r="J38" s="386"/>
      <c r="K38" s="386"/>
      <c r="L38" s="386"/>
      <c r="M38" s="386"/>
      <c r="N38" s="386"/>
      <c r="O38" s="386"/>
      <c r="P38" s="386"/>
      <c r="Q38" s="386"/>
      <c r="R38" s="387" t="s">
        <v>1417</v>
      </c>
      <c r="S38" s="388" t="s">
        <v>855</v>
      </c>
    </row>
    <row r="39">
      <c r="A39" s="389">
        <v>241054.0</v>
      </c>
      <c r="B39" s="390" t="s">
        <v>1483</v>
      </c>
      <c r="C39" s="390" t="s">
        <v>1484</v>
      </c>
      <c r="D39" s="391">
        <v>10.0</v>
      </c>
      <c r="E39" s="391">
        <v>3.0</v>
      </c>
      <c r="F39" s="392">
        <v>0.3</v>
      </c>
      <c r="G39" s="393" t="s">
        <v>32</v>
      </c>
      <c r="H39" s="393">
        <v>23.11</v>
      </c>
      <c r="I39" s="402">
        <v>51.6</v>
      </c>
      <c r="J39" s="402">
        <v>42.98</v>
      </c>
      <c r="K39" s="402">
        <v>153.51</v>
      </c>
      <c r="L39" s="402">
        <v>153.75</v>
      </c>
      <c r="M39" s="394"/>
      <c r="N39" s="402">
        <v>51.46</v>
      </c>
      <c r="O39" s="402">
        <v>42.8</v>
      </c>
      <c r="P39" s="402">
        <v>153.51</v>
      </c>
      <c r="Q39" s="402">
        <v>153.75</v>
      </c>
      <c r="R39" s="395" t="s">
        <v>1417</v>
      </c>
      <c r="S39" s="396" t="s">
        <v>855</v>
      </c>
    </row>
    <row r="40">
      <c r="A40" s="389">
        <v>241112.0</v>
      </c>
      <c r="B40" s="390" t="s">
        <v>1485</v>
      </c>
      <c r="C40" s="390" t="s">
        <v>1486</v>
      </c>
      <c r="D40" s="391">
        <v>24.0</v>
      </c>
      <c r="E40" s="391">
        <v>3.0</v>
      </c>
      <c r="F40" s="392">
        <v>0.125</v>
      </c>
      <c r="G40" s="385" t="s">
        <v>124</v>
      </c>
      <c r="H40" s="385">
        <v>11.11</v>
      </c>
      <c r="I40" s="386"/>
      <c r="J40" s="386"/>
      <c r="K40" s="386"/>
      <c r="L40" s="386"/>
      <c r="M40" s="386"/>
      <c r="N40" s="386"/>
      <c r="O40" s="386"/>
      <c r="P40" s="386"/>
      <c r="Q40" s="386"/>
      <c r="R40" s="387" t="s">
        <v>1417</v>
      </c>
      <c r="S40" s="396" t="s">
        <v>855</v>
      </c>
    </row>
    <row r="41">
      <c r="A41" s="389">
        <v>241189.0</v>
      </c>
      <c r="B41" s="390" t="s">
        <v>1487</v>
      </c>
      <c r="C41" s="390" t="s">
        <v>1488</v>
      </c>
      <c r="D41" s="391">
        <v>20.0</v>
      </c>
      <c r="E41" s="391">
        <v>3.0</v>
      </c>
      <c r="F41" s="392">
        <v>0.15</v>
      </c>
      <c r="G41" s="393" t="s">
        <v>17</v>
      </c>
      <c r="H41" s="393">
        <v>14.3</v>
      </c>
      <c r="I41" s="402">
        <v>49.9</v>
      </c>
      <c r="J41" s="402">
        <v>39.17</v>
      </c>
      <c r="K41" s="402">
        <v>147.9</v>
      </c>
      <c r="L41" s="402">
        <v>147.9</v>
      </c>
      <c r="M41" s="394"/>
      <c r="N41" s="402">
        <v>49.94</v>
      </c>
      <c r="O41" s="402">
        <v>39.22</v>
      </c>
      <c r="P41" s="402">
        <v>147.9</v>
      </c>
      <c r="Q41" s="402">
        <v>147.9</v>
      </c>
      <c r="R41" s="395" t="s">
        <v>1417</v>
      </c>
      <c r="S41" s="396" t="s">
        <v>855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3.75"/>
    <col customWidth="1" min="20" max="20" width="16.63"/>
  </cols>
  <sheetData>
    <row r="1">
      <c r="A1" s="189" t="s">
        <v>1414</v>
      </c>
      <c r="B1" s="176" t="s">
        <v>1415</v>
      </c>
      <c r="C1" s="290" t="s">
        <v>848</v>
      </c>
      <c r="D1" s="290" t="s">
        <v>849</v>
      </c>
      <c r="E1" s="290" t="s">
        <v>850</v>
      </c>
      <c r="F1" s="290" t="s">
        <v>851</v>
      </c>
      <c r="G1" s="290" t="s">
        <v>852</v>
      </c>
      <c r="H1" s="290" t="s">
        <v>3</v>
      </c>
      <c r="I1" s="290" t="s">
        <v>4</v>
      </c>
      <c r="J1" s="308" t="s">
        <v>6</v>
      </c>
      <c r="K1" s="309" t="s">
        <v>7</v>
      </c>
      <c r="L1" s="309" t="s">
        <v>8</v>
      </c>
      <c r="M1" s="309" t="s">
        <v>9</v>
      </c>
      <c r="N1" s="309" t="s">
        <v>10</v>
      </c>
      <c r="O1" s="309" t="s">
        <v>11</v>
      </c>
      <c r="P1" s="308" t="s">
        <v>12</v>
      </c>
      <c r="Q1" s="309" t="s">
        <v>13</v>
      </c>
      <c r="R1" s="309" t="s">
        <v>14</v>
      </c>
      <c r="S1" s="410" t="s">
        <v>16</v>
      </c>
      <c r="T1" s="308" t="s">
        <v>15</v>
      </c>
      <c r="U1" s="291" t="s">
        <v>853</v>
      </c>
    </row>
    <row r="2">
      <c r="A2" s="411">
        <v>134949.0</v>
      </c>
      <c r="B2" s="253" t="s">
        <v>1319</v>
      </c>
      <c r="C2" s="253" t="s">
        <v>36</v>
      </c>
      <c r="D2" s="412">
        <v>28.0</v>
      </c>
      <c r="E2" s="412">
        <v>21.0</v>
      </c>
      <c r="F2" s="412">
        <v>7.0</v>
      </c>
      <c r="G2" s="413">
        <v>0.333</v>
      </c>
      <c r="H2" s="414"/>
      <c r="I2" s="414"/>
      <c r="J2" s="141">
        <v>55.94</v>
      </c>
      <c r="K2" s="141">
        <v>45.62</v>
      </c>
      <c r="L2" s="141">
        <v>169.42</v>
      </c>
      <c r="M2" s="141">
        <v>169.42</v>
      </c>
      <c r="N2" s="253" t="s">
        <v>19</v>
      </c>
      <c r="O2" s="141">
        <v>56.29</v>
      </c>
      <c r="P2" s="141">
        <v>45.89</v>
      </c>
      <c r="Q2" s="141">
        <v>170.56</v>
      </c>
      <c r="R2" s="141">
        <v>170.56</v>
      </c>
      <c r="S2" s="253" t="s">
        <v>20</v>
      </c>
      <c r="T2" s="293"/>
      <c r="U2" s="415" t="s">
        <v>943</v>
      </c>
    </row>
    <row r="3">
      <c r="A3" s="416">
        <v>241189.0</v>
      </c>
      <c r="B3" s="256" t="s">
        <v>1487</v>
      </c>
      <c r="C3" s="256" t="s">
        <v>1488</v>
      </c>
      <c r="D3" s="417">
        <v>23.0</v>
      </c>
      <c r="E3" s="417">
        <v>21.0</v>
      </c>
      <c r="F3" s="417">
        <v>7.0</v>
      </c>
      <c r="G3" s="418">
        <v>0.333</v>
      </c>
      <c r="H3" s="417" t="s">
        <v>17</v>
      </c>
      <c r="I3" s="419"/>
      <c r="J3" s="417">
        <v>49.94</v>
      </c>
      <c r="K3" s="417">
        <v>39.22</v>
      </c>
      <c r="L3" s="417">
        <v>147.9</v>
      </c>
      <c r="M3" s="417">
        <v>147.9</v>
      </c>
      <c r="N3" s="253" t="s">
        <v>1489</v>
      </c>
      <c r="O3" s="417">
        <v>50.3</v>
      </c>
      <c r="P3" s="417">
        <v>39.94</v>
      </c>
      <c r="Q3" s="417">
        <v>149.67</v>
      </c>
      <c r="R3" s="417">
        <v>149.7</v>
      </c>
      <c r="S3" s="253" t="s">
        <v>20</v>
      </c>
      <c r="T3" s="296"/>
      <c r="U3" s="420" t="s">
        <v>855</v>
      </c>
    </row>
    <row r="4">
      <c r="A4" s="411">
        <v>134951.0</v>
      </c>
      <c r="B4" s="253" t="s">
        <v>1309</v>
      </c>
      <c r="C4" s="253" t="s">
        <v>1306</v>
      </c>
      <c r="D4" s="412">
        <v>16.0</v>
      </c>
      <c r="E4" s="412">
        <v>16.0</v>
      </c>
      <c r="F4" s="412">
        <v>6.0</v>
      </c>
      <c r="G4" s="413">
        <v>0.375</v>
      </c>
      <c r="H4" s="414"/>
      <c r="I4" s="414"/>
      <c r="J4" s="414"/>
      <c r="K4" s="414"/>
      <c r="L4" s="414"/>
      <c r="M4" s="414"/>
      <c r="N4" s="253" t="s">
        <v>1229</v>
      </c>
      <c r="O4" s="414"/>
      <c r="P4" s="414"/>
      <c r="Q4" s="414"/>
      <c r="R4" s="414"/>
      <c r="S4" s="293"/>
      <c r="T4" s="293"/>
      <c r="U4" s="415" t="s">
        <v>855</v>
      </c>
    </row>
    <row r="5">
      <c r="A5" s="416">
        <v>223230.0</v>
      </c>
      <c r="B5" s="256" t="s">
        <v>1490</v>
      </c>
      <c r="C5" s="256" t="s">
        <v>1016</v>
      </c>
      <c r="D5" s="417">
        <v>37.0</v>
      </c>
      <c r="E5" s="417">
        <v>37.0</v>
      </c>
      <c r="F5" s="417">
        <v>6.0</v>
      </c>
      <c r="G5" s="418">
        <v>0.162</v>
      </c>
      <c r="H5" s="417" t="s">
        <v>32</v>
      </c>
      <c r="I5" s="419"/>
      <c r="J5" s="417">
        <v>48.09</v>
      </c>
      <c r="K5" s="417">
        <v>42.06</v>
      </c>
      <c r="L5" s="417">
        <v>145.3</v>
      </c>
      <c r="M5" s="417">
        <v>144.95</v>
      </c>
      <c r="N5" s="253" t="s">
        <v>1489</v>
      </c>
      <c r="O5" s="417">
        <v>47.95</v>
      </c>
      <c r="P5" s="417">
        <v>41.81</v>
      </c>
      <c r="Q5" s="417">
        <v>144.67</v>
      </c>
      <c r="R5" s="417">
        <v>144.32</v>
      </c>
      <c r="S5" s="253" t="s">
        <v>20</v>
      </c>
      <c r="T5" s="296"/>
      <c r="U5" s="420" t="s">
        <v>855</v>
      </c>
    </row>
    <row r="6">
      <c r="A6" s="411">
        <v>241117.0</v>
      </c>
      <c r="B6" s="253" t="s">
        <v>1491</v>
      </c>
      <c r="C6" s="253" t="s">
        <v>1492</v>
      </c>
      <c r="D6" s="412">
        <v>58.0</v>
      </c>
      <c r="E6" s="412">
        <v>56.0</v>
      </c>
      <c r="F6" s="412">
        <v>6.0</v>
      </c>
      <c r="G6" s="413">
        <v>0.107</v>
      </c>
      <c r="H6" s="417" t="s">
        <v>32</v>
      </c>
      <c r="I6" s="414"/>
      <c r="J6" s="412">
        <v>54.63</v>
      </c>
      <c r="K6" s="412">
        <v>35.78</v>
      </c>
      <c r="L6" s="412">
        <v>153.94</v>
      </c>
      <c r="M6" s="412">
        <v>154.63</v>
      </c>
      <c r="N6" s="253" t="s">
        <v>1489</v>
      </c>
      <c r="O6" s="412">
        <v>54.53</v>
      </c>
      <c r="P6" s="412">
        <v>35.68</v>
      </c>
      <c r="Q6" s="412">
        <v>153.48</v>
      </c>
      <c r="R6" s="412">
        <v>154.13</v>
      </c>
      <c r="S6" s="253" t="s">
        <v>20</v>
      </c>
      <c r="T6" s="293"/>
      <c r="U6" s="415" t="s">
        <v>855</v>
      </c>
    </row>
    <row r="7">
      <c r="A7" s="416">
        <v>148906.0</v>
      </c>
      <c r="B7" s="256" t="s">
        <v>1493</v>
      </c>
      <c r="C7" s="256" t="s">
        <v>1494</v>
      </c>
      <c r="D7" s="417">
        <v>20.0</v>
      </c>
      <c r="E7" s="417">
        <v>19.0</v>
      </c>
      <c r="F7" s="417">
        <v>5.0</v>
      </c>
      <c r="G7" s="418">
        <v>0.263</v>
      </c>
      <c r="H7" s="417" t="s">
        <v>32</v>
      </c>
      <c r="I7" s="419"/>
      <c r="J7" s="417">
        <v>49.62</v>
      </c>
      <c r="K7" s="417">
        <v>39.36</v>
      </c>
      <c r="L7" s="417">
        <v>147.47</v>
      </c>
      <c r="M7" s="417">
        <v>147.47</v>
      </c>
      <c r="N7" s="253" t="s">
        <v>1489</v>
      </c>
      <c r="O7" s="417">
        <v>49.2</v>
      </c>
      <c r="P7" s="417">
        <v>39.2</v>
      </c>
      <c r="Q7" s="417">
        <v>146.56</v>
      </c>
      <c r="R7" s="417">
        <v>146.89</v>
      </c>
      <c r="S7" s="253" t="s">
        <v>20</v>
      </c>
      <c r="T7" s="296"/>
      <c r="U7" s="420" t="s">
        <v>855</v>
      </c>
    </row>
    <row r="8">
      <c r="A8" s="411">
        <v>227533.0</v>
      </c>
      <c r="B8" s="253" t="s">
        <v>1495</v>
      </c>
      <c r="C8" s="253" t="s">
        <v>1496</v>
      </c>
      <c r="D8" s="412">
        <v>95.0</v>
      </c>
      <c r="E8" s="412">
        <v>93.0</v>
      </c>
      <c r="F8" s="412">
        <v>5.0</v>
      </c>
      <c r="G8" s="413">
        <v>0.054</v>
      </c>
      <c r="H8" s="412" t="s">
        <v>32</v>
      </c>
      <c r="I8" s="414"/>
      <c r="J8" s="412">
        <v>51.32</v>
      </c>
      <c r="K8" s="412">
        <v>43.3</v>
      </c>
      <c r="L8" s="412">
        <v>154.74</v>
      </c>
      <c r="M8" s="412">
        <v>154.7</v>
      </c>
      <c r="N8" s="253" t="s">
        <v>1489</v>
      </c>
      <c r="O8" s="412">
        <v>51.22</v>
      </c>
      <c r="P8" s="412">
        <v>43.1</v>
      </c>
      <c r="Q8" s="412">
        <v>154.25</v>
      </c>
      <c r="R8" s="412">
        <v>154.26</v>
      </c>
      <c r="S8" s="253" t="s">
        <v>20</v>
      </c>
      <c r="T8" s="293"/>
      <c r="U8" s="415" t="s">
        <v>855</v>
      </c>
    </row>
    <row r="9">
      <c r="A9" s="416">
        <v>239839.0</v>
      </c>
      <c r="B9" s="256" t="s">
        <v>1323</v>
      </c>
      <c r="C9" s="256" t="s">
        <v>91</v>
      </c>
      <c r="D9" s="417">
        <v>37.0</v>
      </c>
      <c r="E9" s="417">
        <v>30.0</v>
      </c>
      <c r="F9" s="417">
        <v>5.0</v>
      </c>
      <c r="G9" s="418">
        <v>0.167</v>
      </c>
      <c r="H9" s="417" t="s">
        <v>17</v>
      </c>
      <c r="I9" s="419"/>
      <c r="J9" s="417">
        <v>53.21</v>
      </c>
      <c r="K9" s="417">
        <v>35.6</v>
      </c>
      <c r="L9" s="417">
        <v>152.44</v>
      </c>
      <c r="M9" s="417">
        <v>152.42</v>
      </c>
      <c r="N9" s="253" t="s">
        <v>1489</v>
      </c>
      <c r="O9" s="417">
        <v>53.51</v>
      </c>
      <c r="P9" s="417">
        <v>35.79</v>
      </c>
      <c r="Q9" s="417">
        <v>153.28</v>
      </c>
      <c r="R9" s="417">
        <v>153.26</v>
      </c>
      <c r="S9" s="253" t="s">
        <v>20</v>
      </c>
      <c r="T9" s="296"/>
      <c r="U9" s="420" t="s">
        <v>855</v>
      </c>
    </row>
    <row r="10">
      <c r="A10" s="411">
        <v>241121.0</v>
      </c>
      <c r="B10" s="253" t="s">
        <v>1497</v>
      </c>
      <c r="C10" s="253" t="s">
        <v>1498</v>
      </c>
      <c r="D10" s="412">
        <v>21.0</v>
      </c>
      <c r="E10" s="412">
        <v>20.0</v>
      </c>
      <c r="F10" s="412">
        <v>5.0</v>
      </c>
      <c r="G10" s="413">
        <v>0.25</v>
      </c>
      <c r="H10" s="412" t="s">
        <v>32</v>
      </c>
      <c r="I10" s="414"/>
      <c r="J10" s="412">
        <v>53.91</v>
      </c>
      <c r="K10" s="412">
        <v>50.11</v>
      </c>
      <c r="L10" s="412">
        <v>165.67</v>
      </c>
      <c r="M10" s="412">
        <v>166.21</v>
      </c>
      <c r="N10" s="253" t="s">
        <v>1489</v>
      </c>
      <c r="O10" s="412">
        <v>53.5</v>
      </c>
      <c r="P10" s="412">
        <v>49.95</v>
      </c>
      <c r="Q10" s="412">
        <v>164.7</v>
      </c>
      <c r="R10" s="412">
        <v>164.95</v>
      </c>
      <c r="S10" s="253" t="s">
        <v>20</v>
      </c>
      <c r="T10" s="293"/>
      <c r="U10" s="415" t="s">
        <v>855</v>
      </c>
    </row>
    <row r="11">
      <c r="A11" s="416">
        <v>134949.0</v>
      </c>
      <c r="B11" s="256" t="s">
        <v>1312</v>
      </c>
      <c r="C11" s="256" t="s">
        <v>34</v>
      </c>
      <c r="D11" s="417">
        <v>29.0</v>
      </c>
      <c r="E11" s="417">
        <v>23.0</v>
      </c>
      <c r="F11" s="417">
        <v>4.0</v>
      </c>
      <c r="G11" s="418">
        <v>0.174</v>
      </c>
      <c r="H11" s="417" t="s">
        <v>17</v>
      </c>
      <c r="I11" s="419"/>
      <c r="J11" s="141">
        <v>56.15</v>
      </c>
      <c r="K11" s="141">
        <v>45.43</v>
      </c>
      <c r="L11" s="141">
        <v>169.6</v>
      </c>
      <c r="M11" s="141">
        <v>169.6</v>
      </c>
      <c r="N11" s="253" t="s">
        <v>19</v>
      </c>
      <c r="O11" s="141">
        <v>56.59</v>
      </c>
      <c r="P11" s="141">
        <v>45.5</v>
      </c>
      <c r="Q11" s="141">
        <v>170.54</v>
      </c>
      <c r="R11" s="141">
        <v>170.54</v>
      </c>
      <c r="S11" s="253" t="s">
        <v>20</v>
      </c>
      <c r="T11" s="296"/>
      <c r="U11" s="420" t="s">
        <v>943</v>
      </c>
    </row>
    <row r="12">
      <c r="A12" s="411">
        <v>143018.0</v>
      </c>
      <c r="B12" s="253" t="s">
        <v>1355</v>
      </c>
      <c r="C12" s="253" t="s">
        <v>1354</v>
      </c>
      <c r="D12" s="412">
        <v>33.0</v>
      </c>
      <c r="E12" s="412">
        <v>31.0</v>
      </c>
      <c r="F12" s="412">
        <v>4.0</v>
      </c>
      <c r="G12" s="413">
        <v>0.129</v>
      </c>
      <c r="H12" s="412" t="s">
        <v>22</v>
      </c>
      <c r="I12" s="414"/>
      <c r="J12" s="412">
        <v>49.82</v>
      </c>
      <c r="K12" s="412">
        <v>32.39</v>
      </c>
      <c r="L12" s="412">
        <v>137.62</v>
      </c>
      <c r="M12" s="412">
        <v>137.62</v>
      </c>
      <c r="N12" s="253" t="s">
        <v>1489</v>
      </c>
      <c r="O12" s="414"/>
      <c r="P12" s="414"/>
      <c r="Q12" s="414"/>
      <c r="R12" s="414"/>
      <c r="S12" s="293"/>
      <c r="T12" s="293"/>
      <c r="U12" s="415" t="s">
        <v>943</v>
      </c>
    </row>
    <row r="13">
      <c r="A13" s="416">
        <v>146619.0</v>
      </c>
      <c r="B13" s="256" t="s">
        <v>1499</v>
      </c>
      <c r="C13" s="256" t="s">
        <v>37</v>
      </c>
      <c r="D13" s="417">
        <v>25.0</v>
      </c>
      <c r="E13" s="417">
        <v>25.0</v>
      </c>
      <c r="F13" s="417">
        <v>4.0</v>
      </c>
      <c r="G13" s="418">
        <v>0.16</v>
      </c>
      <c r="H13" s="417" t="s">
        <v>17</v>
      </c>
      <c r="I13" s="419"/>
      <c r="J13" s="417">
        <v>49.07</v>
      </c>
      <c r="K13" s="417">
        <v>43.77</v>
      </c>
      <c r="L13" s="417">
        <v>151.3</v>
      </c>
      <c r="M13" s="417">
        <v>151.3</v>
      </c>
      <c r="N13" s="253" t="s">
        <v>1489</v>
      </c>
      <c r="O13" s="256">
        <v>49.3</v>
      </c>
      <c r="P13" s="417">
        <v>43.97</v>
      </c>
      <c r="Q13" s="417">
        <v>152.0</v>
      </c>
      <c r="R13" s="417">
        <v>147.27</v>
      </c>
      <c r="S13" s="253" t="s">
        <v>20</v>
      </c>
      <c r="T13" s="296"/>
      <c r="U13" s="420" t="s">
        <v>855</v>
      </c>
    </row>
    <row r="14">
      <c r="A14" s="411">
        <v>213182.0</v>
      </c>
      <c r="B14" s="253" t="s">
        <v>1500</v>
      </c>
      <c r="C14" s="253" t="s">
        <v>1501</v>
      </c>
      <c r="D14" s="412">
        <v>26.0</v>
      </c>
      <c r="E14" s="412">
        <v>25.0</v>
      </c>
      <c r="F14" s="412">
        <v>4.0</v>
      </c>
      <c r="G14" s="413">
        <v>0.16</v>
      </c>
      <c r="H14" s="412" t="s">
        <v>32</v>
      </c>
      <c r="I14" s="414"/>
      <c r="J14" s="412">
        <v>54.98</v>
      </c>
      <c r="K14" s="412">
        <v>39.69</v>
      </c>
      <c r="L14" s="412">
        <v>160.88</v>
      </c>
      <c r="M14" s="412">
        <v>161.33</v>
      </c>
      <c r="N14" s="253" t="s">
        <v>1489</v>
      </c>
      <c r="O14" s="412">
        <v>54.8</v>
      </c>
      <c r="P14" s="412">
        <v>39.5</v>
      </c>
      <c r="Q14" s="412">
        <v>160.04</v>
      </c>
      <c r="R14" s="412">
        <v>159.94</v>
      </c>
      <c r="S14" s="253" t="s">
        <v>20</v>
      </c>
      <c r="T14" s="293"/>
      <c r="U14" s="415" t="s">
        <v>855</v>
      </c>
    </row>
    <row r="15">
      <c r="A15" s="416">
        <v>220126.0</v>
      </c>
      <c r="B15" s="256" t="s">
        <v>1502</v>
      </c>
      <c r="C15" s="256" t="s">
        <v>1127</v>
      </c>
      <c r="D15" s="417">
        <v>42.0</v>
      </c>
      <c r="E15" s="417">
        <v>39.0</v>
      </c>
      <c r="F15" s="417">
        <v>4.0</v>
      </c>
      <c r="G15" s="418">
        <v>0.103</v>
      </c>
      <c r="H15" s="417" t="s">
        <v>32</v>
      </c>
      <c r="I15" s="419"/>
      <c r="J15" s="417">
        <v>53.11</v>
      </c>
      <c r="K15" s="417">
        <v>31.89</v>
      </c>
      <c r="L15" s="417">
        <v>147.66</v>
      </c>
      <c r="M15" s="417">
        <v>147.52</v>
      </c>
      <c r="N15" s="253" t="s">
        <v>1489</v>
      </c>
      <c r="O15" s="417">
        <v>52.89</v>
      </c>
      <c r="P15" s="417">
        <v>31.71</v>
      </c>
      <c r="Q15" s="417">
        <v>146.56</v>
      </c>
      <c r="R15" s="417">
        <v>146.71</v>
      </c>
      <c r="S15" s="253" t="s">
        <v>20</v>
      </c>
      <c r="T15" s="296"/>
      <c r="U15" s="420" t="s">
        <v>855</v>
      </c>
    </row>
    <row r="16">
      <c r="A16" s="411">
        <v>225336.0</v>
      </c>
      <c r="B16" s="253" t="s">
        <v>1342</v>
      </c>
      <c r="C16" s="253" t="s">
        <v>182</v>
      </c>
      <c r="D16" s="412">
        <v>16.0</v>
      </c>
      <c r="E16" s="412">
        <v>13.0</v>
      </c>
      <c r="F16" s="412">
        <v>4.0</v>
      </c>
      <c r="G16" s="413">
        <v>0.308</v>
      </c>
      <c r="H16" s="412" t="s">
        <v>17</v>
      </c>
      <c r="I16" s="414"/>
      <c r="J16" s="412">
        <v>47.76</v>
      </c>
      <c r="K16" s="412">
        <v>41.5</v>
      </c>
      <c r="L16" s="412">
        <v>144.83</v>
      </c>
      <c r="M16" s="412">
        <v>144.92</v>
      </c>
      <c r="N16" s="253" t="s">
        <v>1489</v>
      </c>
      <c r="O16" s="412">
        <v>48.1</v>
      </c>
      <c r="P16" s="412">
        <v>41.81</v>
      </c>
      <c r="Q16" s="412">
        <v>145.87</v>
      </c>
      <c r="R16" s="412">
        <v>145.73</v>
      </c>
      <c r="S16" s="253" t="s">
        <v>20</v>
      </c>
      <c r="T16" s="293"/>
      <c r="U16" s="415" t="s">
        <v>855</v>
      </c>
    </row>
    <row r="17">
      <c r="A17" s="416">
        <v>236135.0</v>
      </c>
      <c r="B17" s="256" t="s">
        <v>1503</v>
      </c>
      <c r="C17" s="256" t="s">
        <v>1504</v>
      </c>
      <c r="D17" s="417">
        <v>41.0</v>
      </c>
      <c r="E17" s="417">
        <v>42.0</v>
      </c>
      <c r="F17" s="417">
        <v>4.0</v>
      </c>
      <c r="G17" s="418">
        <v>0.095</v>
      </c>
      <c r="H17" s="417" t="s">
        <v>32</v>
      </c>
      <c r="I17" s="419"/>
      <c r="J17" s="417">
        <v>50.1</v>
      </c>
      <c r="K17" s="417">
        <v>38.81</v>
      </c>
      <c r="L17" s="417">
        <v>148.89</v>
      </c>
      <c r="M17" s="417">
        <v>148.54</v>
      </c>
      <c r="N17" s="253" t="s">
        <v>1489</v>
      </c>
      <c r="O17" s="417">
        <v>49.8</v>
      </c>
      <c r="P17" s="417">
        <v>38.6</v>
      </c>
      <c r="Q17" s="417">
        <v>148.05</v>
      </c>
      <c r="R17" s="417">
        <v>148.08</v>
      </c>
      <c r="S17" s="253" t="s">
        <v>20</v>
      </c>
      <c r="T17" s="296"/>
      <c r="U17" s="420" t="s">
        <v>855</v>
      </c>
    </row>
    <row r="18">
      <c r="A18" s="411">
        <v>236146.0</v>
      </c>
      <c r="B18" s="253" t="s">
        <v>1505</v>
      </c>
      <c r="C18" s="253" t="s">
        <v>1506</v>
      </c>
      <c r="D18" s="412">
        <v>22.0</v>
      </c>
      <c r="E18" s="412">
        <v>23.0</v>
      </c>
      <c r="F18" s="412">
        <v>4.0</v>
      </c>
      <c r="G18" s="413">
        <v>0.174</v>
      </c>
      <c r="H18" s="412" t="s">
        <v>32</v>
      </c>
      <c r="I18" s="414"/>
      <c r="J18" s="412">
        <v>53.38</v>
      </c>
      <c r="K18" s="412">
        <v>40.27</v>
      </c>
      <c r="L18" s="412">
        <v>155.8</v>
      </c>
      <c r="M18" s="412">
        <v>155.8</v>
      </c>
      <c r="N18" s="253" t="s">
        <v>1489</v>
      </c>
      <c r="O18" s="412">
        <v>53.11</v>
      </c>
      <c r="P18" s="412">
        <v>40.1</v>
      </c>
      <c r="Q18" s="412">
        <v>154.87</v>
      </c>
      <c r="R18" s="412">
        <v>154.82</v>
      </c>
      <c r="S18" s="253" t="s">
        <v>20</v>
      </c>
      <c r="T18" s="293"/>
      <c r="U18" s="415" t="s">
        <v>855</v>
      </c>
    </row>
    <row r="19">
      <c r="A19" s="416">
        <v>237931.0</v>
      </c>
      <c r="B19" s="256" t="s">
        <v>1507</v>
      </c>
      <c r="C19" s="256" t="s">
        <v>1508</v>
      </c>
      <c r="D19" s="417">
        <v>29.0</v>
      </c>
      <c r="E19" s="417">
        <v>27.0</v>
      </c>
      <c r="F19" s="417">
        <v>4.0</v>
      </c>
      <c r="G19" s="418">
        <v>0.148</v>
      </c>
      <c r="H19" s="417" t="s">
        <v>392</v>
      </c>
      <c r="I19" s="419"/>
      <c r="J19" s="419"/>
      <c r="K19" s="419"/>
      <c r="L19" s="419"/>
      <c r="M19" s="419"/>
      <c r="N19" s="253" t="s">
        <v>1229</v>
      </c>
      <c r="O19" s="419"/>
      <c r="P19" s="419"/>
      <c r="Q19" s="419"/>
      <c r="R19" s="419"/>
      <c r="S19" s="293"/>
      <c r="T19" s="296"/>
      <c r="U19" s="420" t="s">
        <v>943</v>
      </c>
    </row>
    <row r="20">
      <c r="A20" s="411">
        <v>238583.0</v>
      </c>
      <c r="B20" s="253" t="s">
        <v>1509</v>
      </c>
      <c r="C20" s="253" t="s">
        <v>1510</v>
      </c>
      <c r="D20" s="412">
        <v>56.0</v>
      </c>
      <c r="E20" s="412">
        <v>54.0</v>
      </c>
      <c r="F20" s="412">
        <v>4.0</v>
      </c>
      <c r="G20" s="413">
        <v>0.074</v>
      </c>
      <c r="H20" s="412" t="s">
        <v>32</v>
      </c>
      <c r="I20" s="414"/>
      <c r="J20" s="412">
        <v>51.44</v>
      </c>
      <c r="K20" s="412">
        <v>37.02</v>
      </c>
      <c r="L20" s="412">
        <v>149.4</v>
      </c>
      <c r="M20" s="412">
        <v>149.61</v>
      </c>
      <c r="N20" s="253" t="s">
        <v>1489</v>
      </c>
      <c r="O20" s="253">
        <v>51.25</v>
      </c>
      <c r="P20" s="412">
        <v>36.8</v>
      </c>
      <c r="Q20" s="412">
        <v>148.58</v>
      </c>
      <c r="R20" s="412">
        <v>148.78</v>
      </c>
      <c r="S20" s="253" t="s">
        <v>20</v>
      </c>
      <c r="T20" s="293"/>
      <c r="U20" s="415" t="s">
        <v>855</v>
      </c>
    </row>
    <row r="21">
      <c r="A21" s="416">
        <v>238584.0</v>
      </c>
      <c r="B21" s="256" t="s">
        <v>1511</v>
      </c>
      <c r="C21" s="256" t="s">
        <v>1512</v>
      </c>
      <c r="D21" s="417">
        <v>42.0</v>
      </c>
      <c r="E21" s="417">
        <v>39.0</v>
      </c>
      <c r="F21" s="417">
        <v>4.0</v>
      </c>
      <c r="G21" s="418">
        <v>0.103</v>
      </c>
      <c r="H21" s="417" t="s">
        <v>32</v>
      </c>
      <c r="I21" s="419"/>
      <c r="J21" s="417">
        <v>51.41</v>
      </c>
      <c r="K21" s="417">
        <v>37.04</v>
      </c>
      <c r="L21" s="417">
        <v>149.55</v>
      </c>
      <c r="M21" s="417">
        <v>149.78</v>
      </c>
      <c r="N21" s="253" t="s">
        <v>1489</v>
      </c>
      <c r="O21" s="417">
        <v>51.2</v>
      </c>
      <c r="P21" s="417">
        <v>36.75</v>
      </c>
      <c r="Q21" s="417">
        <v>148.58</v>
      </c>
      <c r="R21" s="417">
        <v>148.66</v>
      </c>
      <c r="S21" s="253" t="s">
        <v>20</v>
      </c>
      <c r="T21" s="296"/>
      <c r="U21" s="420" t="s">
        <v>855</v>
      </c>
    </row>
    <row r="22">
      <c r="A22" s="411">
        <v>241115.0</v>
      </c>
      <c r="B22" s="253" t="s">
        <v>1513</v>
      </c>
      <c r="C22" s="253" t="s">
        <v>1514</v>
      </c>
      <c r="D22" s="412">
        <v>31.0</v>
      </c>
      <c r="E22" s="412">
        <v>32.0</v>
      </c>
      <c r="F22" s="412">
        <v>4.0</v>
      </c>
      <c r="G22" s="413">
        <v>0.125</v>
      </c>
      <c r="H22" s="412" t="s">
        <v>32</v>
      </c>
      <c r="I22" s="414"/>
      <c r="J22" s="412">
        <v>55.64</v>
      </c>
      <c r="K22" s="412">
        <v>34.93</v>
      </c>
      <c r="L22" s="412">
        <v>150.59</v>
      </c>
      <c r="M22" s="412">
        <v>150.16</v>
      </c>
      <c r="N22" s="253" t="s">
        <v>1489</v>
      </c>
      <c r="O22" s="412">
        <v>55.31</v>
      </c>
      <c r="P22" s="412">
        <v>34.8</v>
      </c>
      <c r="Q22" s="412">
        <v>149.76</v>
      </c>
      <c r="R22" s="412">
        <v>149.68</v>
      </c>
      <c r="S22" s="253" t="s">
        <v>20</v>
      </c>
      <c r="T22" s="293"/>
      <c r="U22" s="415" t="s">
        <v>855</v>
      </c>
    </row>
    <row r="23">
      <c r="A23" s="416">
        <v>241117.0</v>
      </c>
      <c r="B23" s="256" t="s">
        <v>1515</v>
      </c>
      <c r="C23" s="256" t="s">
        <v>1516</v>
      </c>
      <c r="D23" s="417">
        <v>33.0</v>
      </c>
      <c r="E23" s="417">
        <v>34.0</v>
      </c>
      <c r="F23" s="417">
        <v>4.0</v>
      </c>
      <c r="G23" s="418">
        <v>0.118</v>
      </c>
      <c r="H23" s="417" t="s">
        <v>32</v>
      </c>
      <c r="I23" s="419"/>
      <c r="J23" s="417">
        <v>54.63</v>
      </c>
      <c r="K23" s="417">
        <v>35.97</v>
      </c>
      <c r="L23" s="417">
        <v>153.83</v>
      </c>
      <c r="M23" s="417">
        <v>154.19</v>
      </c>
      <c r="N23" s="253" t="s">
        <v>1489</v>
      </c>
      <c r="O23" s="417">
        <v>54.5</v>
      </c>
      <c r="P23" s="417">
        <v>35.75</v>
      </c>
      <c r="Q23" s="417">
        <v>153.07</v>
      </c>
      <c r="R23" s="417">
        <v>153.48</v>
      </c>
      <c r="S23" s="253" t="s">
        <v>20</v>
      </c>
      <c r="T23" s="296"/>
      <c r="U23" s="420" t="s">
        <v>855</v>
      </c>
    </row>
    <row r="24">
      <c r="A24" s="411">
        <v>241285.0</v>
      </c>
      <c r="B24" s="253" t="s">
        <v>1517</v>
      </c>
      <c r="C24" s="253" t="s">
        <v>1518</v>
      </c>
      <c r="D24" s="412">
        <v>29.0</v>
      </c>
      <c r="E24" s="412">
        <v>26.0</v>
      </c>
      <c r="F24" s="412">
        <v>4.0</v>
      </c>
      <c r="G24" s="413">
        <v>0.154</v>
      </c>
      <c r="H24" s="412" t="s">
        <v>22</v>
      </c>
      <c r="I24" s="414"/>
      <c r="J24" s="414"/>
      <c r="K24" s="414"/>
      <c r="L24" s="414"/>
      <c r="M24" s="414"/>
      <c r="N24" s="253" t="s">
        <v>1229</v>
      </c>
      <c r="O24" s="414"/>
      <c r="P24" s="414"/>
      <c r="Q24" s="414"/>
      <c r="R24" s="414"/>
      <c r="S24" s="293"/>
      <c r="T24" s="293"/>
      <c r="U24" s="415" t="s">
        <v>943</v>
      </c>
    </row>
  </sheetData>
  <dataValidations>
    <dataValidation type="list" allowBlank="1" showErrorMessage="1" sqref="N2:N24">
      <formula1>"MANUALLY,TRACING"</formula1>
    </dataValidation>
    <dataValidation type="list" allowBlank="1" showErrorMessage="1" sqref="S2:S24">
      <formula1>"ANJALI,SIMRAN,AMIRUN,DHAVAL,DEEPANSHU"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1.88"/>
  </cols>
  <sheetData>
    <row r="1">
      <c r="A1" s="310"/>
      <c r="B1" s="421" t="s">
        <v>1414</v>
      </c>
      <c r="C1" s="422" t="s">
        <v>1415</v>
      </c>
      <c r="D1" s="422" t="s">
        <v>903</v>
      </c>
      <c r="E1" s="422" t="s">
        <v>849</v>
      </c>
      <c r="F1" s="422" t="s">
        <v>850</v>
      </c>
      <c r="G1" s="422" t="s">
        <v>851</v>
      </c>
      <c r="H1" s="422" t="s">
        <v>852</v>
      </c>
      <c r="I1" s="410" t="s">
        <v>3</v>
      </c>
      <c r="J1" s="410" t="s">
        <v>4</v>
      </c>
      <c r="K1" s="308" t="s">
        <v>6</v>
      </c>
      <c r="L1" s="309" t="s">
        <v>7</v>
      </c>
      <c r="M1" s="309" t="s">
        <v>8</v>
      </c>
      <c r="N1" s="309" t="s">
        <v>9</v>
      </c>
      <c r="O1" s="309" t="s">
        <v>10</v>
      </c>
      <c r="P1" s="309" t="s">
        <v>11</v>
      </c>
      <c r="Q1" s="308" t="s">
        <v>12</v>
      </c>
      <c r="R1" s="309" t="s">
        <v>13</v>
      </c>
      <c r="S1" s="309" t="s">
        <v>14</v>
      </c>
      <c r="T1" s="410" t="s">
        <v>16</v>
      </c>
      <c r="U1" s="308" t="s">
        <v>15</v>
      </c>
      <c r="V1" s="423" t="s">
        <v>1416</v>
      </c>
    </row>
    <row r="2">
      <c r="A2" s="424"/>
      <c r="B2" s="190">
        <v>227571.0</v>
      </c>
      <c r="C2" s="178" t="s">
        <v>1333</v>
      </c>
      <c r="D2" s="178" t="s">
        <v>82</v>
      </c>
      <c r="E2" s="179">
        <v>28.0</v>
      </c>
      <c r="F2" s="179">
        <v>24.0</v>
      </c>
      <c r="G2" s="179">
        <v>19.0</v>
      </c>
      <c r="H2" s="180">
        <v>0.792</v>
      </c>
      <c r="I2" s="178" t="s">
        <v>17</v>
      </c>
      <c r="J2" s="178">
        <v>71.1</v>
      </c>
      <c r="K2" s="178">
        <v>50.2</v>
      </c>
      <c r="L2" s="178">
        <v>41.8</v>
      </c>
      <c r="M2" s="178">
        <v>152.73</v>
      </c>
      <c r="N2" s="178">
        <v>151.37</v>
      </c>
      <c r="O2" s="178" t="s">
        <v>1489</v>
      </c>
      <c r="P2" s="178">
        <v>50.3</v>
      </c>
      <c r="Q2" s="178">
        <v>41.96</v>
      </c>
      <c r="R2" s="178">
        <v>153.16</v>
      </c>
      <c r="S2" s="178">
        <v>151.95</v>
      </c>
      <c r="T2" s="178" t="s">
        <v>23</v>
      </c>
      <c r="U2" s="192"/>
      <c r="V2" s="193" t="s">
        <v>855</v>
      </c>
    </row>
    <row r="3">
      <c r="A3" s="424">
        <v>46198.739506990736</v>
      </c>
      <c r="B3" s="194">
        <v>211307.0</v>
      </c>
      <c r="C3" s="183" t="s">
        <v>1297</v>
      </c>
      <c r="D3" s="183" t="s">
        <v>1296</v>
      </c>
      <c r="E3" s="184">
        <v>213.0</v>
      </c>
      <c r="F3" s="184">
        <v>202.0</v>
      </c>
      <c r="G3" s="184">
        <v>14.0</v>
      </c>
      <c r="H3" s="185">
        <v>0.069</v>
      </c>
      <c r="I3" s="183" t="s">
        <v>17</v>
      </c>
      <c r="J3" s="183">
        <v>7.2</v>
      </c>
      <c r="K3" s="183">
        <v>52.57</v>
      </c>
      <c r="L3" s="183">
        <v>37.68</v>
      </c>
      <c r="M3" s="183">
        <v>145.43</v>
      </c>
      <c r="N3" s="183">
        <v>145.37</v>
      </c>
      <c r="O3" s="183" t="s">
        <v>1489</v>
      </c>
      <c r="P3" s="183">
        <v>52.66</v>
      </c>
      <c r="Q3" s="183">
        <v>37.77</v>
      </c>
      <c r="R3" s="183">
        <v>145.72</v>
      </c>
      <c r="S3" s="183">
        <v>145.59</v>
      </c>
      <c r="T3" s="183" t="s">
        <v>23</v>
      </c>
      <c r="U3" s="196"/>
      <c r="V3" s="197" t="s">
        <v>855</v>
      </c>
    </row>
    <row r="4">
      <c r="A4" s="424">
        <v>46198.743117453705</v>
      </c>
      <c r="B4" s="190">
        <v>241091.0</v>
      </c>
      <c r="C4" s="178" t="s">
        <v>1346</v>
      </c>
      <c r="D4" s="178" t="s">
        <v>1345</v>
      </c>
      <c r="E4" s="179">
        <v>54.0</v>
      </c>
      <c r="F4" s="179">
        <v>46.0</v>
      </c>
      <c r="G4" s="179">
        <v>10.0</v>
      </c>
      <c r="H4" s="180">
        <v>0.217</v>
      </c>
      <c r="I4" s="178" t="s">
        <v>32</v>
      </c>
      <c r="J4" s="178">
        <v>12.7</v>
      </c>
      <c r="K4" s="178">
        <v>53.6</v>
      </c>
      <c r="L4" s="178">
        <v>43.16</v>
      </c>
      <c r="M4" s="178">
        <v>159.87</v>
      </c>
      <c r="N4" s="178">
        <v>160.29</v>
      </c>
      <c r="O4" s="178" t="s">
        <v>1489</v>
      </c>
      <c r="P4" s="178">
        <v>53.49</v>
      </c>
      <c r="Q4" s="178">
        <v>43.05</v>
      </c>
      <c r="R4" s="178">
        <v>159.5</v>
      </c>
      <c r="S4" s="178">
        <v>159.9</v>
      </c>
      <c r="T4" s="178" t="s">
        <v>23</v>
      </c>
      <c r="U4" s="192"/>
      <c r="V4" s="193" t="s">
        <v>855</v>
      </c>
    </row>
    <row r="5">
      <c r="B5" s="194">
        <v>134949.0</v>
      </c>
      <c r="C5" s="183" t="s">
        <v>1273</v>
      </c>
      <c r="D5" s="183" t="s">
        <v>1272</v>
      </c>
      <c r="E5" s="184">
        <v>18.0</v>
      </c>
      <c r="F5" s="184">
        <v>18.0</v>
      </c>
      <c r="G5" s="184">
        <v>9.0</v>
      </c>
      <c r="H5" s="185">
        <v>0.5</v>
      </c>
      <c r="I5" s="183" t="s">
        <v>17</v>
      </c>
      <c r="J5" s="183">
        <v>24.0</v>
      </c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7" t="s">
        <v>1519</v>
      </c>
    </row>
    <row r="6">
      <c r="A6" s="424">
        <v>46198.875070497685</v>
      </c>
      <c r="B6" s="190">
        <v>224849.0</v>
      </c>
      <c r="C6" s="178" t="s">
        <v>1375</v>
      </c>
      <c r="D6" s="178" t="s">
        <v>1374</v>
      </c>
      <c r="E6" s="179">
        <v>83.0</v>
      </c>
      <c r="F6" s="179">
        <v>74.0</v>
      </c>
      <c r="G6" s="179">
        <v>9.0</v>
      </c>
      <c r="H6" s="180">
        <v>0.122</v>
      </c>
      <c r="I6" s="178" t="s">
        <v>32</v>
      </c>
      <c r="J6" s="178">
        <v>7.1</v>
      </c>
      <c r="K6" s="178">
        <v>54.0</v>
      </c>
      <c r="L6" s="178">
        <v>42.2</v>
      </c>
      <c r="M6" s="178">
        <v>160.83</v>
      </c>
      <c r="N6" s="178">
        <v>160.56</v>
      </c>
      <c r="O6" s="178" t="s">
        <v>1489</v>
      </c>
      <c r="P6" s="178">
        <v>54.15</v>
      </c>
      <c r="Q6" s="178">
        <v>42.3</v>
      </c>
      <c r="R6" s="178">
        <v>161.23</v>
      </c>
      <c r="S6" s="178">
        <v>160.85</v>
      </c>
      <c r="T6" s="178" t="s">
        <v>1520</v>
      </c>
      <c r="U6" s="192"/>
      <c r="V6" s="193" t="s">
        <v>855</v>
      </c>
    </row>
    <row r="7">
      <c r="A7" s="424">
        <v>46198.87630314815</v>
      </c>
      <c r="B7" s="194">
        <v>225336.0</v>
      </c>
      <c r="C7" s="183" t="s">
        <v>1337</v>
      </c>
      <c r="D7" s="183" t="s">
        <v>260</v>
      </c>
      <c r="E7" s="184">
        <v>13.0</v>
      </c>
      <c r="F7" s="184">
        <v>13.0</v>
      </c>
      <c r="G7" s="184">
        <v>9.0</v>
      </c>
      <c r="H7" s="185">
        <v>0.692</v>
      </c>
      <c r="I7" s="183" t="s">
        <v>17</v>
      </c>
      <c r="J7" s="183">
        <v>52.6</v>
      </c>
      <c r="K7" s="183">
        <v>47.5</v>
      </c>
      <c r="L7" s="183">
        <v>41.16</v>
      </c>
      <c r="M7" s="183">
        <v>143.78</v>
      </c>
      <c r="N7" s="183">
        <v>144.11</v>
      </c>
      <c r="O7" s="183" t="s">
        <v>1489</v>
      </c>
      <c r="P7" s="183">
        <v>47.6</v>
      </c>
      <c r="Q7" s="183">
        <v>41.24</v>
      </c>
      <c r="R7" s="183">
        <v>143.99</v>
      </c>
      <c r="S7" s="183">
        <v>144.44</v>
      </c>
      <c r="T7" s="183" t="s">
        <v>1520</v>
      </c>
      <c r="U7" s="196"/>
      <c r="V7" s="197" t="s">
        <v>855</v>
      </c>
    </row>
    <row r="8">
      <c r="B8" s="190">
        <v>134949.0</v>
      </c>
      <c r="C8" s="178" t="s">
        <v>1314</v>
      </c>
      <c r="D8" s="178" t="s">
        <v>1313</v>
      </c>
      <c r="E8" s="179">
        <v>41.0</v>
      </c>
      <c r="F8" s="179">
        <v>38.0</v>
      </c>
      <c r="G8" s="179">
        <v>8.0</v>
      </c>
      <c r="H8" s="180">
        <v>0.211</v>
      </c>
      <c r="I8" s="178" t="s">
        <v>32</v>
      </c>
      <c r="J8" s="178">
        <v>8.5</v>
      </c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3" t="s">
        <v>1519</v>
      </c>
      <c r="W8" s="310" t="s">
        <v>1229</v>
      </c>
    </row>
    <row r="9">
      <c r="A9" s="424">
        <v>46198.87877635416</v>
      </c>
      <c r="B9" s="194">
        <v>228743.0</v>
      </c>
      <c r="C9" s="183" t="s">
        <v>1387</v>
      </c>
      <c r="D9" s="183" t="s">
        <v>1386</v>
      </c>
      <c r="E9" s="184">
        <v>103.0</v>
      </c>
      <c r="F9" s="184">
        <v>82.0</v>
      </c>
      <c r="G9" s="184">
        <v>7.0</v>
      </c>
      <c r="H9" s="185">
        <v>0.085</v>
      </c>
      <c r="I9" s="183" t="s">
        <v>32</v>
      </c>
      <c r="J9" s="183">
        <v>3.4</v>
      </c>
      <c r="K9" s="183">
        <v>52.45</v>
      </c>
      <c r="L9" s="183">
        <v>43.6</v>
      </c>
      <c r="M9" s="183">
        <v>161.87</v>
      </c>
      <c r="N9" s="183">
        <v>161.76</v>
      </c>
      <c r="O9" s="183" t="s">
        <v>1489</v>
      </c>
      <c r="P9" s="183">
        <v>52.39</v>
      </c>
      <c r="Q9" s="183">
        <v>43.5</v>
      </c>
      <c r="R9" s="183">
        <v>161.62</v>
      </c>
      <c r="S9" s="183">
        <v>161.5</v>
      </c>
      <c r="T9" s="183" t="s">
        <v>1520</v>
      </c>
      <c r="U9" s="196"/>
      <c r="V9" s="197" t="s">
        <v>855</v>
      </c>
    </row>
    <row r="10">
      <c r="A10" s="424">
        <v>46198.88021050926</v>
      </c>
      <c r="B10" s="190">
        <v>237933.0</v>
      </c>
      <c r="C10" s="178" t="s">
        <v>1339</v>
      </c>
      <c r="D10" s="178" t="s">
        <v>1338</v>
      </c>
      <c r="E10" s="179">
        <v>27.0</v>
      </c>
      <c r="F10" s="179">
        <v>15.0</v>
      </c>
      <c r="G10" s="179">
        <v>7.0</v>
      </c>
      <c r="H10" s="180">
        <v>0.467</v>
      </c>
      <c r="I10" s="178" t="s">
        <v>17</v>
      </c>
      <c r="J10" s="178">
        <v>20.1</v>
      </c>
      <c r="K10" s="178">
        <v>52.29</v>
      </c>
      <c r="L10" s="178">
        <v>35.46</v>
      </c>
      <c r="M10" s="178">
        <v>147.88</v>
      </c>
      <c r="N10" s="178">
        <v>147.89</v>
      </c>
      <c r="O10" s="178" t="s">
        <v>1489</v>
      </c>
      <c r="P10" s="178">
        <v>52.41</v>
      </c>
      <c r="Q10" s="178">
        <v>35.6</v>
      </c>
      <c r="R10" s="178">
        <v>148.32</v>
      </c>
      <c r="S10" s="178">
        <v>148.35</v>
      </c>
      <c r="T10" s="178" t="s">
        <v>1520</v>
      </c>
      <c r="U10" s="192"/>
      <c r="V10" s="193" t="s">
        <v>943</v>
      </c>
    </row>
    <row r="11">
      <c r="A11" s="424">
        <v>46198.883236423615</v>
      </c>
      <c r="B11" s="194">
        <v>241854.0</v>
      </c>
      <c r="C11" s="183" t="s">
        <v>1363</v>
      </c>
      <c r="D11" s="183" t="s">
        <v>1362</v>
      </c>
      <c r="E11" s="184">
        <v>54.0</v>
      </c>
      <c r="F11" s="184">
        <v>48.0</v>
      </c>
      <c r="G11" s="184">
        <v>7.0</v>
      </c>
      <c r="H11" s="185">
        <v>0.146</v>
      </c>
      <c r="I11" s="183" t="s">
        <v>17</v>
      </c>
      <c r="J11" s="183">
        <v>16.0</v>
      </c>
      <c r="K11" s="183">
        <v>50.54</v>
      </c>
      <c r="L11" s="183">
        <v>39.78</v>
      </c>
      <c r="M11" s="183">
        <v>152.21</v>
      </c>
      <c r="N11" s="183">
        <v>152.21</v>
      </c>
      <c r="O11" s="183" t="s">
        <v>1489</v>
      </c>
      <c r="P11" s="183">
        <v>50.65</v>
      </c>
      <c r="Q11" s="183">
        <v>39.9</v>
      </c>
      <c r="R11" s="183">
        <v>152.48</v>
      </c>
      <c r="S11" s="183">
        <v>152.48</v>
      </c>
      <c r="T11" s="183" t="s">
        <v>1520</v>
      </c>
      <c r="U11" s="196"/>
      <c r="V11" s="197" t="s">
        <v>855</v>
      </c>
    </row>
    <row r="12">
      <c r="A12" s="424">
        <v>46198.885580381946</v>
      </c>
      <c r="B12" s="190">
        <v>137971.0</v>
      </c>
      <c r="C12" s="178" t="s">
        <v>1290</v>
      </c>
      <c r="D12" s="178" t="s">
        <v>1176</v>
      </c>
      <c r="E12" s="179">
        <v>109.0</v>
      </c>
      <c r="F12" s="179">
        <v>108.0</v>
      </c>
      <c r="G12" s="179">
        <v>6.0</v>
      </c>
      <c r="H12" s="180">
        <v>0.056</v>
      </c>
      <c r="I12" s="178" t="s">
        <v>32</v>
      </c>
      <c r="J12" s="178">
        <v>2.5</v>
      </c>
      <c r="K12" s="178">
        <v>52.6</v>
      </c>
      <c r="L12" s="178">
        <v>43.72</v>
      </c>
      <c r="M12" s="178">
        <v>157.42</v>
      </c>
      <c r="N12" s="178">
        <v>157.54</v>
      </c>
      <c r="O12" s="178" t="s">
        <v>1489</v>
      </c>
      <c r="P12" s="178">
        <v>52.54</v>
      </c>
      <c r="Q12" s="178">
        <v>43.66</v>
      </c>
      <c r="R12" s="178">
        <v>157.23</v>
      </c>
      <c r="S12" s="178">
        <v>157.2</v>
      </c>
      <c r="T12" s="178" t="s">
        <v>1520</v>
      </c>
      <c r="U12" s="192"/>
      <c r="V12" s="193" t="s">
        <v>855</v>
      </c>
    </row>
    <row r="13">
      <c r="A13" s="424">
        <v>46198.88705697916</v>
      </c>
      <c r="B13" s="194">
        <v>148157.0</v>
      </c>
      <c r="C13" s="183" t="s">
        <v>1299</v>
      </c>
      <c r="D13" s="183" t="s">
        <v>1298</v>
      </c>
      <c r="E13" s="184">
        <v>88.0</v>
      </c>
      <c r="F13" s="184">
        <v>82.0</v>
      </c>
      <c r="G13" s="184">
        <v>6.0</v>
      </c>
      <c r="H13" s="185">
        <v>0.073</v>
      </c>
      <c r="I13" s="183" t="s">
        <v>32</v>
      </c>
      <c r="J13" s="183">
        <v>3.6</v>
      </c>
      <c r="K13" s="183">
        <v>50.5</v>
      </c>
      <c r="L13" s="183">
        <v>45.05</v>
      </c>
      <c r="M13" s="183">
        <v>152.19</v>
      </c>
      <c r="N13" s="183">
        <v>152.11</v>
      </c>
      <c r="O13" s="183" t="s">
        <v>1489</v>
      </c>
      <c r="P13" s="183">
        <v>50.45</v>
      </c>
      <c r="Q13" s="183">
        <v>44.99</v>
      </c>
      <c r="R13" s="183">
        <v>152.04</v>
      </c>
      <c r="S13" s="183">
        <v>151.89</v>
      </c>
      <c r="T13" s="183" t="s">
        <v>1520</v>
      </c>
      <c r="U13" s="196"/>
      <c r="V13" s="197" t="s">
        <v>855</v>
      </c>
    </row>
    <row r="14">
      <c r="A14" s="424">
        <v>46200.89451424769</v>
      </c>
      <c r="B14" s="190">
        <v>217873.0</v>
      </c>
      <c r="C14" s="178" t="s">
        <v>1283</v>
      </c>
      <c r="D14" s="178" t="s">
        <v>1141</v>
      </c>
      <c r="E14" s="179">
        <v>42.0</v>
      </c>
      <c r="F14" s="179">
        <v>39.0</v>
      </c>
      <c r="G14" s="179">
        <v>6.0</v>
      </c>
      <c r="H14" s="180">
        <v>0.154</v>
      </c>
      <c r="I14" s="178" t="s">
        <v>32</v>
      </c>
      <c r="J14" s="178">
        <v>7.5</v>
      </c>
      <c r="K14" s="178">
        <v>50.2</v>
      </c>
      <c r="L14" s="178">
        <v>40.4</v>
      </c>
      <c r="M14" s="178">
        <v>150.9</v>
      </c>
      <c r="N14" s="178">
        <v>151.1</v>
      </c>
      <c r="O14" s="178" t="s">
        <v>1489</v>
      </c>
      <c r="P14" s="178">
        <v>53.05</v>
      </c>
      <c r="Q14" s="178">
        <v>40.2</v>
      </c>
      <c r="R14" s="178">
        <v>150.87</v>
      </c>
      <c r="S14" s="178">
        <v>150.55</v>
      </c>
      <c r="T14" s="178" t="s">
        <v>20</v>
      </c>
      <c r="U14" s="192"/>
      <c r="V14" s="193" t="s">
        <v>855</v>
      </c>
    </row>
    <row r="15">
      <c r="A15" s="424">
        <v>46200.8948262037</v>
      </c>
      <c r="B15" s="194">
        <v>223230.0</v>
      </c>
      <c r="C15" s="183" t="s">
        <v>877</v>
      </c>
      <c r="D15" s="183" t="s">
        <v>599</v>
      </c>
      <c r="E15" s="184">
        <v>66.0</v>
      </c>
      <c r="F15" s="184">
        <v>62.0</v>
      </c>
      <c r="G15" s="184">
        <v>6.0</v>
      </c>
      <c r="H15" s="185">
        <v>0.097</v>
      </c>
      <c r="I15" s="183" t="s">
        <v>32</v>
      </c>
      <c r="J15" s="183">
        <v>2.7</v>
      </c>
      <c r="K15" s="183">
        <v>48.2</v>
      </c>
      <c r="L15" s="183">
        <v>41.9</v>
      </c>
      <c r="M15" s="183">
        <v>145.1</v>
      </c>
      <c r="N15" s="183">
        <v>144.98</v>
      </c>
      <c r="O15" s="183" t="s">
        <v>1489</v>
      </c>
      <c r="P15" s="183">
        <v>48.1</v>
      </c>
      <c r="Q15" s="183">
        <v>41.7</v>
      </c>
      <c r="R15" s="183">
        <v>144.82</v>
      </c>
      <c r="S15" s="183">
        <v>144.89</v>
      </c>
      <c r="T15" s="183" t="s">
        <v>20</v>
      </c>
      <c r="U15" s="196"/>
      <c r="V15" s="197" t="s">
        <v>855</v>
      </c>
    </row>
    <row r="16">
      <c r="A16" s="424">
        <v>46200.89617921296</v>
      </c>
      <c r="B16" s="194">
        <v>245975.0</v>
      </c>
      <c r="C16" s="183" t="s">
        <v>1349</v>
      </c>
      <c r="D16" s="183" t="s">
        <v>743</v>
      </c>
      <c r="E16" s="184">
        <v>27.0</v>
      </c>
      <c r="F16" s="184">
        <v>26.0</v>
      </c>
      <c r="G16" s="184">
        <v>6.0</v>
      </c>
      <c r="H16" s="185">
        <v>0.231</v>
      </c>
      <c r="I16" s="183" t="s">
        <v>17</v>
      </c>
      <c r="J16" s="183">
        <v>18.8</v>
      </c>
      <c r="K16" s="183">
        <v>53.3</v>
      </c>
      <c r="L16" s="183">
        <v>46.89</v>
      </c>
      <c r="M16" s="183">
        <v>164.26</v>
      </c>
      <c r="N16" s="183">
        <v>164.72</v>
      </c>
      <c r="O16" s="183" t="s">
        <v>1489</v>
      </c>
      <c r="P16" s="183">
        <v>53.5</v>
      </c>
      <c r="Q16" s="183">
        <v>47.11</v>
      </c>
      <c r="R16" s="183">
        <v>164.81</v>
      </c>
      <c r="S16" s="183">
        <v>165.26</v>
      </c>
      <c r="T16" s="183" t="s">
        <v>20</v>
      </c>
      <c r="U16" s="196"/>
      <c r="V16" s="197" t="s">
        <v>855</v>
      </c>
    </row>
    <row r="17">
      <c r="A17" s="424">
        <v>46200.89700777778</v>
      </c>
      <c r="B17" s="190">
        <v>145512.0</v>
      </c>
      <c r="C17" s="178" t="s">
        <v>1369</v>
      </c>
      <c r="D17" s="178" t="s">
        <v>1368</v>
      </c>
      <c r="E17" s="179">
        <v>38.0</v>
      </c>
      <c r="F17" s="179">
        <v>36.0</v>
      </c>
      <c r="G17" s="179">
        <v>5.0</v>
      </c>
      <c r="H17" s="180">
        <v>0.139</v>
      </c>
      <c r="I17" s="178" t="s">
        <v>32</v>
      </c>
      <c r="J17" s="178">
        <v>3.9</v>
      </c>
      <c r="K17" s="178">
        <v>55.07</v>
      </c>
      <c r="L17" s="178">
        <v>40.84</v>
      </c>
      <c r="M17" s="178">
        <v>164.08</v>
      </c>
      <c r="N17" s="178">
        <v>163.92</v>
      </c>
      <c r="O17" s="183" t="s">
        <v>1489</v>
      </c>
      <c r="P17" s="178">
        <v>54.93</v>
      </c>
      <c r="Q17" s="178">
        <v>40.7</v>
      </c>
      <c r="R17" s="178">
        <v>163.22</v>
      </c>
      <c r="S17" s="178">
        <v>163.19</v>
      </c>
      <c r="T17" s="183" t="s">
        <v>20</v>
      </c>
      <c r="U17" s="192"/>
      <c r="V17" s="193" t="s">
        <v>855</v>
      </c>
    </row>
    <row r="18">
      <c r="A18" s="424">
        <v>46200.89803700232</v>
      </c>
      <c r="B18" s="194">
        <v>236095.0</v>
      </c>
      <c r="C18" s="183" t="s">
        <v>1271</v>
      </c>
      <c r="D18" s="183" t="s">
        <v>1269</v>
      </c>
      <c r="E18" s="184">
        <v>9.0</v>
      </c>
      <c r="F18" s="184">
        <v>9.0</v>
      </c>
      <c r="G18" s="184">
        <v>5.0</v>
      </c>
      <c r="H18" s="185">
        <v>0.556</v>
      </c>
      <c r="I18" s="183" t="s">
        <v>17</v>
      </c>
      <c r="J18" s="183">
        <v>41.7</v>
      </c>
      <c r="K18" s="183">
        <v>49.82</v>
      </c>
      <c r="L18" s="183">
        <v>41.91</v>
      </c>
      <c r="M18" s="183">
        <v>149.27</v>
      </c>
      <c r="N18" s="183">
        <v>149.17</v>
      </c>
      <c r="O18" s="183" t="s">
        <v>1489</v>
      </c>
      <c r="P18" s="183">
        <v>50.2</v>
      </c>
      <c r="Q18" s="183">
        <v>42.11</v>
      </c>
      <c r="R18" s="183">
        <v>150.23</v>
      </c>
      <c r="S18" s="183">
        <v>150.23</v>
      </c>
      <c r="T18" s="183" t="s">
        <v>20</v>
      </c>
      <c r="U18" s="196"/>
      <c r="V18" s="197" t="s">
        <v>855</v>
      </c>
    </row>
    <row r="19">
      <c r="A19" s="424">
        <v>46200.89901100694</v>
      </c>
      <c r="B19" s="190">
        <v>237932.0</v>
      </c>
      <c r="C19" s="178" t="s">
        <v>1336</v>
      </c>
      <c r="D19" s="178" t="s">
        <v>116</v>
      </c>
      <c r="E19" s="179">
        <v>8.0</v>
      </c>
      <c r="F19" s="179">
        <v>7.0</v>
      </c>
      <c r="G19" s="179">
        <v>5.0</v>
      </c>
      <c r="H19" s="180">
        <v>0.714</v>
      </c>
      <c r="I19" s="178" t="s">
        <v>17</v>
      </c>
      <c r="J19" s="178">
        <v>50.0</v>
      </c>
      <c r="K19" s="178">
        <v>46.81</v>
      </c>
      <c r="L19" s="178">
        <v>42.94</v>
      </c>
      <c r="M19" s="178">
        <v>144.85</v>
      </c>
      <c r="N19" s="178">
        <v>144.85</v>
      </c>
      <c r="O19" s="183" t="s">
        <v>1489</v>
      </c>
      <c r="P19" s="178">
        <v>47.09</v>
      </c>
      <c r="Q19" s="178">
        <v>43.2</v>
      </c>
      <c r="R19" s="178">
        <v>145.77</v>
      </c>
      <c r="S19" s="178">
        <v>146.14</v>
      </c>
      <c r="T19" s="183" t="s">
        <v>20</v>
      </c>
      <c r="U19" s="192"/>
      <c r="V19" s="193" t="s">
        <v>855</v>
      </c>
    </row>
    <row r="20">
      <c r="A20" s="424">
        <v>46200.89994844908</v>
      </c>
      <c r="B20" s="194">
        <v>238833.0</v>
      </c>
      <c r="C20" s="183" t="s">
        <v>1377</v>
      </c>
      <c r="D20" s="183" t="s">
        <v>1376</v>
      </c>
      <c r="E20" s="184">
        <v>42.0</v>
      </c>
      <c r="F20" s="184">
        <v>41.0</v>
      </c>
      <c r="G20" s="184">
        <v>5.0</v>
      </c>
      <c r="H20" s="185">
        <v>0.122</v>
      </c>
      <c r="I20" s="183" t="s">
        <v>17</v>
      </c>
      <c r="J20" s="183">
        <v>9.1</v>
      </c>
      <c r="K20" s="183">
        <v>49.34</v>
      </c>
      <c r="L20" s="183">
        <v>42.08</v>
      </c>
      <c r="M20" s="183">
        <v>149.64</v>
      </c>
      <c r="N20" s="183">
        <v>149.52</v>
      </c>
      <c r="O20" s="183" t="s">
        <v>1489</v>
      </c>
      <c r="P20" s="183">
        <v>49.63</v>
      </c>
      <c r="Q20" s="183">
        <v>42.3</v>
      </c>
      <c r="R20" s="183">
        <v>150.51</v>
      </c>
      <c r="S20" s="183">
        <v>150.27</v>
      </c>
      <c r="T20" s="183" t="s">
        <v>20</v>
      </c>
      <c r="U20" s="196"/>
      <c r="V20" s="197" t="s">
        <v>855</v>
      </c>
    </row>
    <row r="21">
      <c r="A21" s="424">
        <v>46200.90587181713</v>
      </c>
      <c r="B21" s="190">
        <v>241120.0</v>
      </c>
      <c r="C21" s="178" t="s">
        <v>1381</v>
      </c>
      <c r="D21" s="178" t="s">
        <v>1380</v>
      </c>
      <c r="E21" s="179">
        <v>58.0</v>
      </c>
      <c r="F21" s="179">
        <v>54.0</v>
      </c>
      <c r="G21" s="179">
        <v>5.0</v>
      </c>
      <c r="H21" s="180">
        <v>0.093</v>
      </c>
      <c r="I21" s="178" t="s">
        <v>32</v>
      </c>
      <c r="J21" s="178">
        <v>7.5</v>
      </c>
      <c r="K21" s="178">
        <v>54.1</v>
      </c>
      <c r="L21" s="178">
        <v>39.2</v>
      </c>
      <c r="M21" s="178">
        <v>163.89</v>
      </c>
      <c r="N21" s="178">
        <v>163.65</v>
      </c>
      <c r="O21" s="183" t="s">
        <v>1489</v>
      </c>
      <c r="P21" s="178">
        <v>55.89</v>
      </c>
      <c r="Q21" s="178">
        <v>38.95</v>
      </c>
      <c r="R21" s="178">
        <v>163.33</v>
      </c>
      <c r="S21" s="178">
        <v>163.09</v>
      </c>
      <c r="T21" s="178" t="s">
        <v>20</v>
      </c>
      <c r="U21" s="192"/>
      <c r="V21" s="193" t="s">
        <v>855</v>
      </c>
    </row>
  </sheetData>
  <dataValidations>
    <dataValidation type="list" allowBlank="1" showErrorMessage="1" sqref="O2:O21">
      <formula1>"MANUALLY,TRACING"</formula1>
    </dataValidation>
    <dataValidation type="list" allowBlank="1" showErrorMessage="1" sqref="T2:T21">
      <formula1>"SIMRAN,AMIRUN,ANJALI,DHAVAL"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7.38"/>
    <col customWidth="1" min="3" max="3" width="21.88"/>
  </cols>
  <sheetData>
    <row r="1">
      <c r="A1" s="373" t="s">
        <v>1414</v>
      </c>
      <c r="B1" s="374" t="s">
        <v>1415</v>
      </c>
      <c r="C1" s="375" t="s">
        <v>848</v>
      </c>
      <c r="D1" s="376" t="s">
        <v>849</v>
      </c>
      <c r="E1" s="376" t="s">
        <v>850</v>
      </c>
      <c r="F1" s="375" t="s">
        <v>851</v>
      </c>
      <c r="G1" s="375" t="s">
        <v>852</v>
      </c>
      <c r="H1" s="375" t="s">
        <v>3</v>
      </c>
      <c r="I1" s="375" t="s">
        <v>4</v>
      </c>
      <c r="J1" s="377" t="s">
        <v>6</v>
      </c>
      <c r="K1" s="378" t="s">
        <v>7</v>
      </c>
      <c r="L1" s="378" t="s">
        <v>8</v>
      </c>
      <c r="M1" s="378" t="s">
        <v>9</v>
      </c>
      <c r="N1" s="378" t="s">
        <v>10</v>
      </c>
      <c r="O1" s="309" t="s">
        <v>11</v>
      </c>
      <c r="P1" s="308" t="s">
        <v>12</v>
      </c>
      <c r="Q1" s="309" t="s">
        <v>13</v>
      </c>
      <c r="R1" s="309" t="s">
        <v>14</v>
      </c>
      <c r="S1" s="375" t="s">
        <v>16</v>
      </c>
      <c r="T1" s="377" t="s">
        <v>15</v>
      </c>
      <c r="U1" s="380" t="s">
        <v>853</v>
      </c>
    </row>
    <row r="2">
      <c r="A2" s="425">
        <v>218967.0</v>
      </c>
      <c r="B2" s="426" t="s">
        <v>1341</v>
      </c>
      <c r="C2" s="426" t="s">
        <v>1340</v>
      </c>
      <c r="D2" s="427">
        <v>185.0</v>
      </c>
      <c r="E2" s="427">
        <v>182.0</v>
      </c>
      <c r="F2" s="426">
        <v>99.0</v>
      </c>
      <c r="G2" s="428">
        <v>0.544</v>
      </c>
      <c r="H2" s="385" t="s">
        <v>32</v>
      </c>
      <c r="I2" s="428">
        <v>0.33</v>
      </c>
      <c r="J2" s="429">
        <v>51.66</v>
      </c>
      <c r="K2" s="429">
        <v>38.88</v>
      </c>
      <c r="L2" s="429">
        <v>144.14</v>
      </c>
      <c r="M2" s="429">
        <v>144.16</v>
      </c>
      <c r="N2" s="386"/>
      <c r="O2" s="429">
        <v>51.63</v>
      </c>
      <c r="P2" s="429">
        <v>38.84</v>
      </c>
      <c r="Q2" s="429">
        <v>144.04</v>
      </c>
      <c r="R2" s="429">
        <v>144.08</v>
      </c>
      <c r="S2" s="429" t="s">
        <v>1520</v>
      </c>
      <c r="T2" s="386"/>
      <c r="U2" s="430" t="s">
        <v>855</v>
      </c>
    </row>
    <row r="3">
      <c r="A3" s="431">
        <v>236095.0</v>
      </c>
      <c r="B3" s="163" t="s">
        <v>1278</v>
      </c>
      <c r="C3" s="163" t="s">
        <v>935</v>
      </c>
      <c r="D3" s="432">
        <v>183.0</v>
      </c>
      <c r="E3" s="432">
        <v>190.0</v>
      </c>
      <c r="F3" s="163">
        <v>44.0</v>
      </c>
      <c r="G3" s="433">
        <v>0.232</v>
      </c>
      <c r="H3" s="393" t="s">
        <v>32</v>
      </c>
      <c r="I3" s="433">
        <v>0.178</v>
      </c>
      <c r="J3" s="429">
        <v>49.55</v>
      </c>
      <c r="K3" s="429">
        <v>42.16</v>
      </c>
      <c r="L3" s="429">
        <v>149.58</v>
      </c>
      <c r="M3" s="429">
        <v>149.63</v>
      </c>
      <c r="N3" s="394"/>
      <c r="O3" s="429">
        <v>50.5</v>
      </c>
      <c r="P3" s="429">
        <v>43.48</v>
      </c>
      <c r="Q3" s="429">
        <v>152.95</v>
      </c>
      <c r="R3" s="429">
        <v>152.69</v>
      </c>
      <c r="S3" s="429" t="s">
        <v>1520</v>
      </c>
      <c r="T3" s="394"/>
      <c r="U3" s="434" t="s">
        <v>855</v>
      </c>
    </row>
    <row r="4">
      <c r="A4" s="425">
        <v>228743.0</v>
      </c>
      <c r="B4" s="426" t="s">
        <v>1361</v>
      </c>
      <c r="C4" s="426" t="s">
        <v>1360</v>
      </c>
      <c r="D4" s="427">
        <v>276.0</v>
      </c>
      <c r="E4" s="427">
        <v>273.0</v>
      </c>
      <c r="F4" s="426">
        <v>42.0</v>
      </c>
      <c r="G4" s="428">
        <v>0.154</v>
      </c>
      <c r="H4" s="385" t="s">
        <v>32</v>
      </c>
      <c r="I4" s="428">
        <v>0.11</v>
      </c>
      <c r="J4" s="429">
        <v>52.42</v>
      </c>
      <c r="K4" s="429">
        <v>43.81</v>
      </c>
      <c r="L4" s="429">
        <v>162.05</v>
      </c>
      <c r="M4" s="429">
        <v>162.39</v>
      </c>
      <c r="N4" s="386"/>
      <c r="O4" s="429">
        <v>52.39</v>
      </c>
      <c r="P4" s="429">
        <v>43.75</v>
      </c>
      <c r="Q4" s="429">
        <v>161.74</v>
      </c>
      <c r="R4" s="429">
        <v>161.74</v>
      </c>
      <c r="S4" s="429" t="s">
        <v>1520</v>
      </c>
      <c r="T4" s="386"/>
      <c r="U4" s="430" t="s">
        <v>855</v>
      </c>
    </row>
    <row r="5">
      <c r="A5" s="431">
        <v>134949.0</v>
      </c>
      <c r="B5" s="163" t="s">
        <v>1319</v>
      </c>
      <c r="C5" s="163" t="s">
        <v>36</v>
      </c>
      <c r="D5" s="432">
        <v>156.0</v>
      </c>
      <c r="E5" s="432">
        <v>153.0</v>
      </c>
      <c r="F5" s="163">
        <v>41.0</v>
      </c>
      <c r="G5" s="433">
        <v>0.268</v>
      </c>
      <c r="H5" s="393" t="s">
        <v>1317</v>
      </c>
      <c r="I5" s="163" t="s">
        <v>1318</v>
      </c>
      <c r="J5" s="394"/>
      <c r="K5" s="394"/>
      <c r="L5" s="394"/>
      <c r="M5" s="394"/>
      <c r="N5" s="394"/>
      <c r="O5" s="394"/>
      <c r="P5" s="394"/>
      <c r="Q5" s="394"/>
      <c r="R5" s="394"/>
      <c r="S5" s="429" t="s">
        <v>1520</v>
      </c>
      <c r="T5" s="394"/>
      <c r="U5" s="434" t="s">
        <v>855</v>
      </c>
    </row>
    <row r="6">
      <c r="A6" s="425">
        <v>221282.0</v>
      </c>
      <c r="B6" s="426" t="s">
        <v>1285</v>
      </c>
      <c r="C6" s="426" t="s">
        <v>1284</v>
      </c>
      <c r="D6" s="427">
        <v>226.0</v>
      </c>
      <c r="E6" s="427">
        <v>223.0</v>
      </c>
      <c r="F6" s="426">
        <v>41.0</v>
      </c>
      <c r="G6" s="428">
        <v>0.184</v>
      </c>
      <c r="H6" s="385" t="s">
        <v>32</v>
      </c>
      <c r="I6" s="428">
        <v>0.136</v>
      </c>
      <c r="J6" s="429">
        <v>54.45</v>
      </c>
      <c r="K6" s="429">
        <v>41.5</v>
      </c>
      <c r="L6" s="429">
        <v>161.35</v>
      </c>
      <c r="M6" s="429">
        <v>161.35</v>
      </c>
      <c r="N6" s="386"/>
      <c r="O6" s="429">
        <v>54.29</v>
      </c>
      <c r="P6" s="429">
        <v>41.77</v>
      </c>
      <c r="Q6" s="429">
        <v>161.48</v>
      </c>
      <c r="R6" s="429">
        <v>161.52</v>
      </c>
      <c r="S6" s="429" t="s">
        <v>1520</v>
      </c>
      <c r="T6" s="386"/>
      <c r="U6" s="430" t="s">
        <v>855</v>
      </c>
    </row>
    <row r="7">
      <c r="A7" s="431">
        <v>148157.0</v>
      </c>
      <c r="B7" s="163" t="s">
        <v>1325</v>
      </c>
      <c r="C7" s="163" t="s">
        <v>1324</v>
      </c>
      <c r="D7" s="432">
        <v>335.0</v>
      </c>
      <c r="E7" s="432">
        <v>328.0</v>
      </c>
      <c r="F7" s="163">
        <v>37.0</v>
      </c>
      <c r="G7" s="433">
        <v>0.113</v>
      </c>
      <c r="H7" s="393" t="s">
        <v>32</v>
      </c>
      <c r="I7" s="433">
        <v>0.095</v>
      </c>
      <c r="J7" s="429">
        <v>50.91</v>
      </c>
      <c r="K7" s="429">
        <v>45.47</v>
      </c>
      <c r="L7" s="429">
        <v>153.87</v>
      </c>
      <c r="M7" s="429">
        <v>152.99</v>
      </c>
      <c r="N7" s="394"/>
      <c r="O7" s="429">
        <v>50.88</v>
      </c>
      <c r="P7" s="429">
        <v>45.4</v>
      </c>
      <c r="Q7" s="429">
        <v>153.76</v>
      </c>
      <c r="R7" s="429">
        <v>152.94</v>
      </c>
      <c r="S7" s="429" t="s">
        <v>1520</v>
      </c>
      <c r="T7" s="394"/>
      <c r="U7" s="434" t="s">
        <v>855</v>
      </c>
    </row>
    <row r="8">
      <c r="A8" s="425">
        <v>228743.0</v>
      </c>
      <c r="B8" s="426" t="s">
        <v>1387</v>
      </c>
      <c r="C8" s="426" t="s">
        <v>1386</v>
      </c>
      <c r="D8" s="427">
        <v>397.0</v>
      </c>
      <c r="E8" s="427">
        <v>396.0</v>
      </c>
      <c r="F8" s="426">
        <v>34.0</v>
      </c>
      <c r="G8" s="428">
        <v>0.086</v>
      </c>
      <c r="H8" s="385" t="s">
        <v>32</v>
      </c>
      <c r="I8" s="428">
        <v>0.069</v>
      </c>
      <c r="J8" s="429">
        <v>52.49</v>
      </c>
      <c r="K8" s="429">
        <v>43.64</v>
      </c>
      <c r="L8" s="429">
        <v>161.98</v>
      </c>
      <c r="M8" s="429">
        <v>161.89</v>
      </c>
      <c r="N8" s="386"/>
      <c r="O8" s="429">
        <v>52.45</v>
      </c>
      <c r="P8" s="429">
        <v>43.6</v>
      </c>
      <c r="Q8" s="429">
        <v>161.87</v>
      </c>
      <c r="R8" s="429">
        <v>161.76</v>
      </c>
      <c r="S8" s="429" t="s">
        <v>1520</v>
      </c>
      <c r="T8" s="386"/>
      <c r="U8" s="430" t="s">
        <v>855</v>
      </c>
    </row>
    <row r="9">
      <c r="A9" s="431">
        <v>134951.0</v>
      </c>
      <c r="B9" s="163" t="s">
        <v>1280</v>
      </c>
      <c r="C9" s="163" t="s">
        <v>1279</v>
      </c>
      <c r="D9" s="432">
        <v>146.0</v>
      </c>
      <c r="E9" s="432">
        <v>144.0</v>
      </c>
      <c r="F9" s="163">
        <v>32.0</v>
      </c>
      <c r="G9" s="433">
        <v>0.222</v>
      </c>
      <c r="H9" s="393" t="s">
        <v>17</v>
      </c>
      <c r="I9" s="433">
        <v>0.048</v>
      </c>
      <c r="J9" s="394"/>
      <c r="K9" s="394"/>
      <c r="L9" s="394"/>
      <c r="M9" s="394"/>
      <c r="N9" s="394"/>
      <c r="O9" s="394"/>
      <c r="P9" s="394"/>
      <c r="Q9" s="394"/>
      <c r="R9" s="394"/>
      <c r="S9" s="429" t="s">
        <v>1520</v>
      </c>
      <c r="T9" s="394"/>
      <c r="U9" s="434" t="s">
        <v>855</v>
      </c>
    </row>
    <row r="10">
      <c r="A10" s="425">
        <v>219823.0</v>
      </c>
      <c r="B10" s="426" t="s">
        <v>1399</v>
      </c>
      <c r="C10" s="426" t="s">
        <v>1398</v>
      </c>
      <c r="D10" s="427">
        <v>427.0</v>
      </c>
      <c r="E10" s="427">
        <v>425.0</v>
      </c>
      <c r="F10" s="426">
        <v>32.0</v>
      </c>
      <c r="G10" s="428">
        <v>0.075</v>
      </c>
      <c r="H10" s="385" t="s">
        <v>32</v>
      </c>
      <c r="I10" s="428">
        <v>0.053</v>
      </c>
      <c r="J10" s="429">
        <v>53.53</v>
      </c>
      <c r="K10" s="429">
        <v>41.2</v>
      </c>
      <c r="L10" s="429">
        <v>158.12</v>
      </c>
      <c r="M10" s="429">
        <v>158.77</v>
      </c>
      <c r="N10" s="386"/>
      <c r="O10" s="429">
        <v>53.49</v>
      </c>
      <c r="P10" s="429">
        <v>41.16</v>
      </c>
      <c r="Q10" s="429">
        <v>157.86</v>
      </c>
      <c r="R10" s="429">
        <v>158.53</v>
      </c>
      <c r="S10" s="429" t="s">
        <v>1520</v>
      </c>
      <c r="T10" s="386"/>
      <c r="U10" s="430" t="s">
        <v>855</v>
      </c>
    </row>
    <row r="11">
      <c r="A11" s="431">
        <v>236095.0</v>
      </c>
      <c r="B11" s="163" t="s">
        <v>1268</v>
      </c>
      <c r="C11" s="163" t="s">
        <v>1266</v>
      </c>
      <c r="D11" s="432">
        <v>127.0</v>
      </c>
      <c r="E11" s="432">
        <v>124.0</v>
      </c>
      <c r="F11" s="163">
        <v>26.0</v>
      </c>
      <c r="G11" s="433">
        <v>0.21</v>
      </c>
      <c r="H11" s="393" t="s">
        <v>17</v>
      </c>
      <c r="I11" s="433">
        <v>0.113</v>
      </c>
      <c r="J11" s="429">
        <v>50.67</v>
      </c>
      <c r="K11" s="429">
        <v>42.95</v>
      </c>
      <c r="L11" s="429">
        <v>152.55</v>
      </c>
      <c r="M11" s="429">
        <v>152.55</v>
      </c>
      <c r="N11" s="394"/>
      <c r="O11" s="429">
        <v>49.47</v>
      </c>
      <c r="P11" s="429">
        <v>42.02</v>
      </c>
      <c r="Q11" s="429">
        <v>149.19</v>
      </c>
      <c r="R11" s="429">
        <v>149.17</v>
      </c>
      <c r="S11" s="429" t="s">
        <v>1520</v>
      </c>
      <c r="T11" s="394"/>
      <c r="U11" s="434" t="s">
        <v>855</v>
      </c>
    </row>
    <row r="12">
      <c r="A12" s="425">
        <v>134949.0</v>
      </c>
      <c r="B12" s="426" t="s">
        <v>1312</v>
      </c>
      <c r="C12" s="426" t="s">
        <v>34</v>
      </c>
      <c r="D12" s="427">
        <v>147.0</v>
      </c>
      <c r="E12" s="427">
        <v>139.0</v>
      </c>
      <c r="F12" s="426">
        <v>24.0</v>
      </c>
      <c r="G12" s="428">
        <v>0.173</v>
      </c>
      <c r="H12" s="385" t="s">
        <v>32</v>
      </c>
      <c r="I12" s="428">
        <v>0.059</v>
      </c>
      <c r="J12" s="386"/>
      <c r="K12" s="386"/>
      <c r="L12" s="386"/>
      <c r="M12" s="386"/>
      <c r="N12" s="386"/>
      <c r="O12" s="386"/>
      <c r="P12" s="386"/>
      <c r="Q12" s="386"/>
      <c r="R12" s="386"/>
      <c r="S12" s="429" t="s">
        <v>1520</v>
      </c>
      <c r="T12" s="386"/>
      <c r="U12" s="430" t="s">
        <v>855</v>
      </c>
    </row>
    <row r="13">
      <c r="A13" s="431">
        <v>234792.0</v>
      </c>
      <c r="B13" s="163" t="s">
        <v>1277</v>
      </c>
      <c r="C13" s="163" t="s">
        <v>1276</v>
      </c>
      <c r="D13" s="432">
        <v>82.0</v>
      </c>
      <c r="E13" s="432">
        <v>83.0</v>
      </c>
      <c r="F13" s="163">
        <v>24.0</v>
      </c>
      <c r="G13" s="433">
        <v>0.289</v>
      </c>
      <c r="H13" s="393" t="s">
        <v>17</v>
      </c>
      <c r="I13" s="433">
        <v>0.258</v>
      </c>
      <c r="J13" s="429">
        <v>47.15</v>
      </c>
      <c r="K13" s="429">
        <v>41.79</v>
      </c>
      <c r="L13" s="429">
        <v>144.78</v>
      </c>
      <c r="M13" s="429">
        <v>144.78</v>
      </c>
      <c r="N13" s="394"/>
      <c r="O13" s="429">
        <v>47.19</v>
      </c>
      <c r="P13" s="429">
        <v>41.85</v>
      </c>
      <c r="Q13" s="429">
        <v>144.95</v>
      </c>
      <c r="R13" s="429">
        <v>144.95</v>
      </c>
      <c r="S13" s="393" t="s">
        <v>23</v>
      </c>
      <c r="T13" s="394"/>
      <c r="U13" s="434" t="s">
        <v>855</v>
      </c>
    </row>
    <row r="14">
      <c r="A14" s="425">
        <v>151377.0</v>
      </c>
      <c r="B14" s="426" t="s">
        <v>1351</v>
      </c>
      <c r="C14" s="426" t="s">
        <v>1350</v>
      </c>
      <c r="D14" s="427">
        <v>87.0</v>
      </c>
      <c r="E14" s="427">
        <v>85.0</v>
      </c>
      <c r="F14" s="426">
        <v>19.0</v>
      </c>
      <c r="G14" s="428">
        <v>0.224</v>
      </c>
      <c r="H14" s="385" t="s">
        <v>32</v>
      </c>
      <c r="I14" s="428">
        <v>0.148</v>
      </c>
      <c r="J14" s="429">
        <v>56.02</v>
      </c>
      <c r="K14" s="429">
        <v>45.41</v>
      </c>
      <c r="L14" s="429">
        <v>164.42</v>
      </c>
      <c r="M14" s="429">
        <v>165.09</v>
      </c>
      <c r="N14" s="386"/>
      <c r="O14" s="429">
        <v>56.0</v>
      </c>
      <c r="P14" s="429">
        <v>45.35</v>
      </c>
      <c r="Q14" s="429">
        <v>164.12</v>
      </c>
      <c r="R14" s="429">
        <v>164.48</v>
      </c>
      <c r="S14" s="393" t="s">
        <v>23</v>
      </c>
      <c r="T14" s="386"/>
      <c r="U14" s="430" t="s">
        <v>855</v>
      </c>
    </row>
    <row r="15">
      <c r="A15" s="431">
        <v>219823.0</v>
      </c>
      <c r="B15" s="163" t="s">
        <v>1408</v>
      </c>
      <c r="C15" s="163" t="s">
        <v>1407</v>
      </c>
      <c r="D15" s="432">
        <v>268.0</v>
      </c>
      <c r="E15" s="432">
        <v>266.0</v>
      </c>
      <c r="F15" s="163">
        <v>16.0</v>
      </c>
      <c r="G15" s="433">
        <v>0.06</v>
      </c>
      <c r="H15" s="393" t="s">
        <v>32</v>
      </c>
      <c r="I15" s="433">
        <v>0.026</v>
      </c>
      <c r="J15" s="429">
        <v>53.58</v>
      </c>
      <c r="K15" s="429">
        <v>41.41</v>
      </c>
      <c r="L15" s="429">
        <v>157.98</v>
      </c>
      <c r="M15" s="429">
        <v>158.65</v>
      </c>
      <c r="N15" s="394"/>
      <c r="O15" s="429">
        <v>53.4</v>
      </c>
      <c r="P15" s="429">
        <v>41.3</v>
      </c>
      <c r="Q15" s="429">
        <v>157.5</v>
      </c>
      <c r="R15" s="429">
        <v>158.22</v>
      </c>
      <c r="S15" s="393" t="s">
        <v>23</v>
      </c>
      <c r="T15" s="394"/>
      <c r="U15" s="434" t="s">
        <v>855</v>
      </c>
    </row>
    <row r="16">
      <c r="A16" s="425">
        <v>225336.0</v>
      </c>
      <c r="B16" s="426" t="s">
        <v>1342</v>
      </c>
      <c r="C16" s="426" t="s">
        <v>182</v>
      </c>
      <c r="D16" s="427">
        <v>43.0</v>
      </c>
      <c r="E16" s="427">
        <v>43.0</v>
      </c>
      <c r="F16" s="426">
        <v>16.0</v>
      </c>
      <c r="G16" s="428">
        <v>0.372</v>
      </c>
      <c r="H16" s="385" t="s">
        <v>17</v>
      </c>
      <c r="I16" s="428">
        <v>0.277</v>
      </c>
      <c r="J16" s="429">
        <v>47.59</v>
      </c>
      <c r="K16" s="429">
        <v>41.31</v>
      </c>
      <c r="L16" s="429">
        <v>144.32</v>
      </c>
      <c r="M16" s="429">
        <v>144.48</v>
      </c>
      <c r="N16" s="386"/>
      <c r="O16" s="429">
        <v>47.76</v>
      </c>
      <c r="P16" s="429">
        <v>41.5</v>
      </c>
      <c r="Q16" s="429">
        <v>144.83</v>
      </c>
      <c r="R16" s="429">
        <v>144.92</v>
      </c>
      <c r="S16" s="393" t="s">
        <v>23</v>
      </c>
      <c r="T16" s="386"/>
      <c r="U16" s="430" t="s">
        <v>855</v>
      </c>
    </row>
    <row r="17">
      <c r="A17" s="431">
        <v>241959.0</v>
      </c>
      <c r="B17" s="163" t="s">
        <v>1367</v>
      </c>
      <c r="C17" s="163" t="s">
        <v>1366</v>
      </c>
      <c r="D17" s="432">
        <v>112.0</v>
      </c>
      <c r="E17" s="432">
        <v>111.0</v>
      </c>
      <c r="F17" s="163">
        <v>16.0</v>
      </c>
      <c r="G17" s="433">
        <v>0.144</v>
      </c>
      <c r="H17" s="393" t="s">
        <v>32</v>
      </c>
      <c r="I17" s="433">
        <v>0.082</v>
      </c>
      <c r="J17" s="429">
        <v>57.1</v>
      </c>
      <c r="K17" s="429">
        <v>44.27</v>
      </c>
      <c r="L17" s="429">
        <v>168.08</v>
      </c>
      <c r="M17" s="429">
        <v>167.94</v>
      </c>
      <c r="N17" s="394"/>
      <c r="O17" s="429">
        <v>57.0</v>
      </c>
      <c r="P17" s="429">
        <v>44.01</v>
      </c>
      <c r="Q17" s="429">
        <v>167.18</v>
      </c>
      <c r="R17" s="429">
        <v>167.18</v>
      </c>
      <c r="S17" s="393" t="s">
        <v>23</v>
      </c>
      <c r="T17" s="394"/>
      <c r="U17" s="434" t="s">
        <v>855</v>
      </c>
    </row>
    <row r="18">
      <c r="A18" s="425">
        <v>225336.0</v>
      </c>
      <c r="B18" s="426" t="s">
        <v>1347</v>
      </c>
      <c r="C18" s="426" t="s">
        <v>257</v>
      </c>
      <c r="D18" s="427">
        <v>50.0</v>
      </c>
      <c r="E18" s="427">
        <v>45.0</v>
      </c>
      <c r="F18" s="426">
        <v>15.0</v>
      </c>
      <c r="G18" s="428">
        <v>0.333</v>
      </c>
      <c r="H18" s="385" t="s">
        <v>17</v>
      </c>
      <c r="I18" s="428">
        <v>0.306</v>
      </c>
      <c r="J18" s="429">
        <v>47.57</v>
      </c>
      <c r="K18" s="429">
        <v>41.32</v>
      </c>
      <c r="L18" s="429">
        <v>144.12</v>
      </c>
      <c r="M18" s="429">
        <v>144.57</v>
      </c>
      <c r="N18" s="386"/>
      <c r="O18" s="429">
        <v>47.7</v>
      </c>
      <c r="P18" s="429">
        <v>41.42</v>
      </c>
      <c r="Q18" s="429">
        <v>144.46</v>
      </c>
      <c r="R18" s="429">
        <v>144.86</v>
      </c>
      <c r="S18" s="393" t="s">
        <v>23</v>
      </c>
      <c r="T18" s="386"/>
      <c r="U18" s="430" t="s">
        <v>855</v>
      </c>
    </row>
    <row r="19">
      <c r="A19" s="431">
        <v>223232.0</v>
      </c>
      <c r="B19" s="163" t="s">
        <v>1327</v>
      </c>
      <c r="C19" s="163" t="s">
        <v>1326</v>
      </c>
      <c r="D19" s="432">
        <v>124.0</v>
      </c>
      <c r="E19" s="432">
        <v>124.0</v>
      </c>
      <c r="F19" s="163">
        <v>13.0</v>
      </c>
      <c r="G19" s="433">
        <v>0.105</v>
      </c>
      <c r="H19" s="393" t="s">
        <v>32</v>
      </c>
      <c r="I19" s="433">
        <v>0.071</v>
      </c>
      <c r="J19" s="429">
        <v>50.04</v>
      </c>
      <c r="K19" s="429">
        <v>44.18</v>
      </c>
      <c r="L19" s="429">
        <v>151.7</v>
      </c>
      <c r="M19" s="429">
        <v>151.58</v>
      </c>
      <c r="N19" s="394"/>
      <c r="O19" s="429">
        <v>50.04</v>
      </c>
      <c r="P19" s="429">
        <v>44.09</v>
      </c>
      <c r="Q19" s="429">
        <v>151.56</v>
      </c>
      <c r="R19" s="429">
        <v>151.44</v>
      </c>
      <c r="S19" s="393" t="s">
        <v>23</v>
      </c>
      <c r="T19" s="394"/>
      <c r="U19" s="434" t="s">
        <v>855</v>
      </c>
    </row>
    <row r="20">
      <c r="A20" s="425">
        <v>241108.0</v>
      </c>
      <c r="B20" s="426" t="s">
        <v>1344</v>
      </c>
      <c r="C20" s="426" t="s">
        <v>1343</v>
      </c>
      <c r="D20" s="427">
        <v>35.0</v>
      </c>
      <c r="E20" s="427">
        <v>31.0</v>
      </c>
      <c r="F20" s="426">
        <v>13.0</v>
      </c>
      <c r="G20" s="428">
        <v>0.419</v>
      </c>
      <c r="H20" s="385" t="s">
        <v>17</v>
      </c>
      <c r="I20" s="428">
        <v>0.323</v>
      </c>
      <c r="J20" s="429">
        <v>55.21</v>
      </c>
      <c r="K20" s="429">
        <v>41.66</v>
      </c>
      <c r="L20" s="429">
        <v>154.82</v>
      </c>
      <c r="M20" s="429">
        <v>155.24</v>
      </c>
      <c r="N20" s="386"/>
      <c r="O20" s="429">
        <v>55.35</v>
      </c>
      <c r="P20" s="429">
        <v>41.75</v>
      </c>
      <c r="Q20" s="429">
        <v>155.24</v>
      </c>
      <c r="R20" s="429">
        <v>155.6</v>
      </c>
      <c r="S20" s="393" t="s">
        <v>23</v>
      </c>
      <c r="T20" s="386"/>
      <c r="U20" s="430" t="s">
        <v>855</v>
      </c>
    </row>
    <row r="21">
      <c r="A21" s="431">
        <v>223230.0</v>
      </c>
      <c r="B21" s="163" t="s">
        <v>1295</v>
      </c>
      <c r="C21" s="163" t="s">
        <v>1014</v>
      </c>
      <c r="D21" s="432">
        <v>187.0</v>
      </c>
      <c r="E21" s="432">
        <v>183.0</v>
      </c>
      <c r="F21" s="163">
        <v>12.0</v>
      </c>
      <c r="G21" s="433">
        <v>0.066</v>
      </c>
      <c r="H21" s="393" t="s">
        <v>32</v>
      </c>
      <c r="I21" s="433">
        <v>0.031</v>
      </c>
      <c r="J21" s="429">
        <v>48.09</v>
      </c>
      <c r="K21" s="429">
        <v>41.96</v>
      </c>
      <c r="L21" s="429">
        <v>145.02</v>
      </c>
      <c r="M21" s="429">
        <v>144.82</v>
      </c>
      <c r="N21" s="394"/>
      <c r="O21" s="429">
        <v>48.09</v>
      </c>
      <c r="P21" s="429">
        <v>41.96</v>
      </c>
      <c r="Q21" s="429">
        <v>145.02</v>
      </c>
      <c r="R21" s="429">
        <v>144.82</v>
      </c>
      <c r="S21" s="393" t="s">
        <v>23</v>
      </c>
      <c r="T21" s="394"/>
      <c r="U21" s="434" t="s">
        <v>855</v>
      </c>
    </row>
    <row r="22">
      <c r="A22" s="425">
        <v>242272.0</v>
      </c>
      <c r="B22" s="426" t="s">
        <v>1405</v>
      </c>
      <c r="C22" s="426" t="s">
        <v>1404</v>
      </c>
      <c r="D22" s="427">
        <v>188.0</v>
      </c>
      <c r="E22" s="427">
        <v>179.0</v>
      </c>
      <c r="F22" s="426">
        <v>12.0</v>
      </c>
      <c r="G22" s="428">
        <v>0.067</v>
      </c>
      <c r="H22" s="385" t="s">
        <v>17</v>
      </c>
      <c r="I22" s="428">
        <v>0.041</v>
      </c>
      <c r="J22" s="429">
        <v>51.68</v>
      </c>
      <c r="K22" s="429">
        <v>45.07</v>
      </c>
      <c r="L22" s="429">
        <v>156.98</v>
      </c>
      <c r="M22" s="429">
        <v>156.86</v>
      </c>
      <c r="N22" s="386"/>
      <c r="O22" s="429">
        <v>51.76</v>
      </c>
      <c r="P22" s="429">
        <v>45.15</v>
      </c>
      <c r="Q22" s="429">
        <v>157.29</v>
      </c>
      <c r="R22" s="429">
        <v>157.15</v>
      </c>
      <c r="S22" s="393" t="s">
        <v>23</v>
      </c>
      <c r="T22" s="386"/>
      <c r="U22" s="430" t="s">
        <v>855</v>
      </c>
    </row>
    <row r="23">
      <c r="A23" s="431">
        <v>211307.0</v>
      </c>
      <c r="B23" s="163" t="s">
        <v>1301</v>
      </c>
      <c r="C23" s="163" t="s">
        <v>1300</v>
      </c>
      <c r="D23" s="432">
        <v>123.0</v>
      </c>
      <c r="E23" s="432">
        <v>117.0</v>
      </c>
      <c r="F23" s="163">
        <v>11.0</v>
      </c>
      <c r="G23" s="433">
        <v>0.094</v>
      </c>
      <c r="H23" s="393" t="s">
        <v>32</v>
      </c>
      <c r="I23" s="433">
        <v>0.077</v>
      </c>
      <c r="J23" s="429">
        <v>53.48</v>
      </c>
      <c r="K23" s="429">
        <v>38.23</v>
      </c>
      <c r="L23" s="429">
        <v>148.05</v>
      </c>
      <c r="M23" s="429">
        <v>148.05</v>
      </c>
      <c r="N23" s="394"/>
      <c r="O23" s="429">
        <v>53.28</v>
      </c>
      <c r="P23" s="429">
        <v>38.03</v>
      </c>
      <c r="Q23" s="429">
        <v>147.41</v>
      </c>
      <c r="R23" s="429">
        <v>147.15</v>
      </c>
      <c r="S23" s="393" t="s">
        <v>23</v>
      </c>
      <c r="T23" s="394"/>
      <c r="U23" s="434" t="s">
        <v>855</v>
      </c>
    </row>
    <row r="24">
      <c r="A24" s="425">
        <v>236095.0</v>
      </c>
      <c r="B24" s="426" t="s">
        <v>1275</v>
      </c>
      <c r="C24" s="426" t="s">
        <v>1274</v>
      </c>
      <c r="D24" s="427">
        <v>31.0</v>
      </c>
      <c r="E24" s="427">
        <v>32.0</v>
      </c>
      <c r="F24" s="426">
        <v>11.0</v>
      </c>
      <c r="G24" s="428">
        <v>0.344</v>
      </c>
      <c r="H24" s="385" t="s">
        <v>17</v>
      </c>
      <c r="I24" s="428">
        <v>0.313</v>
      </c>
      <c r="J24" s="429">
        <v>49.46</v>
      </c>
      <c r="K24" s="429">
        <v>42.18</v>
      </c>
      <c r="L24" s="429">
        <v>149.36</v>
      </c>
      <c r="M24" s="429">
        <v>149.5</v>
      </c>
      <c r="N24" s="386"/>
      <c r="O24" s="429">
        <v>49.6</v>
      </c>
      <c r="P24" s="429">
        <v>42.3</v>
      </c>
      <c r="Q24" s="429">
        <v>149.78</v>
      </c>
      <c r="R24" s="429">
        <v>149.81</v>
      </c>
      <c r="S24" s="393" t="s">
        <v>23</v>
      </c>
      <c r="T24" s="386"/>
      <c r="U24" s="430" t="s">
        <v>855</v>
      </c>
    </row>
    <row r="25">
      <c r="A25" s="431">
        <v>211293.0</v>
      </c>
      <c r="B25" s="163" t="s">
        <v>1329</v>
      </c>
      <c r="C25" s="163" t="s">
        <v>1328</v>
      </c>
      <c r="D25" s="432">
        <v>142.0</v>
      </c>
      <c r="E25" s="432">
        <v>140.0</v>
      </c>
      <c r="F25" s="163">
        <v>10.0</v>
      </c>
      <c r="G25" s="433">
        <v>0.071</v>
      </c>
      <c r="H25" s="393" t="s">
        <v>32</v>
      </c>
      <c r="I25" s="433">
        <v>0.056</v>
      </c>
      <c r="J25" s="429">
        <v>56.4</v>
      </c>
      <c r="K25" s="429">
        <v>43.24</v>
      </c>
      <c r="L25" s="429">
        <v>165.66</v>
      </c>
      <c r="M25" s="429">
        <v>165.58</v>
      </c>
      <c r="N25" s="394"/>
      <c r="O25" s="429">
        <v>56.32</v>
      </c>
      <c r="P25" s="429">
        <v>43.2</v>
      </c>
      <c r="Q25" s="429">
        <v>165.2</v>
      </c>
      <c r="R25" s="429">
        <v>165.22</v>
      </c>
      <c r="S25" s="393" t="s">
        <v>23</v>
      </c>
      <c r="T25" s="394"/>
      <c r="U25" s="434" t="s">
        <v>855</v>
      </c>
    </row>
    <row r="26">
      <c r="A26" s="425">
        <v>228743.0</v>
      </c>
      <c r="B26" s="435" t="s">
        <v>1393</v>
      </c>
      <c r="C26" s="435" t="s">
        <v>1392</v>
      </c>
      <c r="D26" s="427">
        <v>125.0</v>
      </c>
      <c r="E26" s="427">
        <v>127.0</v>
      </c>
      <c r="F26" s="426">
        <v>10.0</v>
      </c>
      <c r="G26" s="428">
        <v>0.079</v>
      </c>
      <c r="H26" s="385" t="s">
        <v>32</v>
      </c>
      <c r="I26" s="428">
        <v>0.048</v>
      </c>
      <c r="J26" s="429">
        <v>52.33</v>
      </c>
      <c r="K26" s="429">
        <v>43.47</v>
      </c>
      <c r="L26" s="429">
        <v>161.52</v>
      </c>
      <c r="M26" s="429">
        <v>161.58</v>
      </c>
      <c r="N26" s="386"/>
      <c r="O26" s="429">
        <v>52.33</v>
      </c>
      <c r="P26" s="429">
        <v>43.47</v>
      </c>
      <c r="Q26" s="429">
        <v>161.52</v>
      </c>
      <c r="R26" s="429">
        <v>161.58</v>
      </c>
      <c r="S26" s="393" t="s">
        <v>23</v>
      </c>
      <c r="T26" s="386"/>
      <c r="U26" s="430" t="s">
        <v>855</v>
      </c>
    </row>
    <row r="27">
      <c r="A27" s="431">
        <v>234800.0</v>
      </c>
      <c r="B27" s="163" t="s">
        <v>1303</v>
      </c>
      <c r="C27" s="163" t="s">
        <v>1302</v>
      </c>
      <c r="D27" s="432">
        <v>100.0</v>
      </c>
      <c r="E27" s="432">
        <v>100.0</v>
      </c>
      <c r="F27" s="163">
        <v>10.0</v>
      </c>
      <c r="G27" s="433">
        <v>0.1</v>
      </c>
      <c r="H27" s="393" t="s">
        <v>32</v>
      </c>
      <c r="I27" s="433">
        <v>0.079</v>
      </c>
      <c r="J27" s="429">
        <v>47.3</v>
      </c>
      <c r="K27" s="429">
        <v>41.22</v>
      </c>
      <c r="L27" s="429">
        <v>144.03</v>
      </c>
      <c r="M27" s="429">
        <v>143.98</v>
      </c>
      <c r="N27" s="394"/>
      <c r="O27" s="429">
        <v>47.2</v>
      </c>
      <c r="P27" s="429">
        <v>41.02</v>
      </c>
      <c r="Q27" s="429">
        <v>143.59</v>
      </c>
      <c r="R27" s="429">
        <v>143.46</v>
      </c>
      <c r="S27" s="393" t="s">
        <v>23</v>
      </c>
      <c r="T27" s="394"/>
      <c r="U27" s="434" t="s">
        <v>855</v>
      </c>
    </row>
    <row r="28">
      <c r="A28" s="425">
        <v>236141.0</v>
      </c>
      <c r="B28" s="426" t="s">
        <v>1406</v>
      </c>
      <c r="C28" s="426" t="s">
        <v>325</v>
      </c>
      <c r="D28" s="427">
        <v>157.0</v>
      </c>
      <c r="E28" s="427">
        <v>151.0</v>
      </c>
      <c r="F28" s="426">
        <v>10.0</v>
      </c>
      <c r="G28" s="428">
        <v>0.066</v>
      </c>
      <c r="H28" s="385" t="s">
        <v>32</v>
      </c>
      <c r="I28" s="428">
        <v>0.048</v>
      </c>
      <c r="J28" s="429">
        <v>53.88</v>
      </c>
      <c r="K28" s="429">
        <v>42.03</v>
      </c>
      <c r="L28" s="429">
        <v>159.08</v>
      </c>
      <c r="M28" s="429">
        <v>159.0</v>
      </c>
      <c r="N28" s="386"/>
      <c r="O28" s="429">
        <v>53.78</v>
      </c>
      <c r="P28" s="429">
        <v>41.8</v>
      </c>
      <c r="Q28" s="429">
        <v>158.41</v>
      </c>
      <c r="R28" s="429">
        <v>158.41</v>
      </c>
      <c r="S28" s="393" t="s">
        <v>23</v>
      </c>
      <c r="T28" s="386"/>
      <c r="U28" s="430" t="s">
        <v>855</v>
      </c>
    </row>
    <row r="29">
      <c r="A29" s="431">
        <v>239839.0</v>
      </c>
      <c r="B29" s="163" t="s">
        <v>1282</v>
      </c>
      <c r="C29" s="163" t="s">
        <v>1281</v>
      </c>
      <c r="D29" s="432">
        <v>53.0</v>
      </c>
      <c r="E29" s="432">
        <v>51.0</v>
      </c>
      <c r="F29" s="163">
        <v>10.0</v>
      </c>
      <c r="G29" s="433">
        <v>0.196</v>
      </c>
      <c r="H29" s="393" t="s">
        <v>32</v>
      </c>
      <c r="I29" s="433">
        <v>0.098</v>
      </c>
      <c r="J29" s="429">
        <v>53.53</v>
      </c>
      <c r="K29" s="429">
        <v>35.75</v>
      </c>
      <c r="L29" s="429">
        <v>153.4</v>
      </c>
      <c r="M29" s="429">
        <v>153.4</v>
      </c>
      <c r="N29" s="394"/>
      <c r="O29" s="429">
        <v>53.44</v>
      </c>
      <c r="P29" s="429">
        <v>35.65</v>
      </c>
      <c r="Q29" s="429">
        <v>153.01</v>
      </c>
      <c r="R29" s="429">
        <v>152.88</v>
      </c>
      <c r="S29" s="393" t="s">
        <v>23</v>
      </c>
      <c r="T29" s="394"/>
      <c r="U29" s="434" t="s">
        <v>855</v>
      </c>
    </row>
    <row r="30">
      <c r="A30" s="425">
        <v>241936.0</v>
      </c>
      <c r="B30" s="426" t="s">
        <v>1403</v>
      </c>
      <c r="C30" s="426" t="s">
        <v>1402</v>
      </c>
      <c r="D30" s="427">
        <v>136.0</v>
      </c>
      <c r="E30" s="427">
        <v>135.0</v>
      </c>
      <c r="F30" s="426">
        <v>10.0</v>
      </c>
      <c r="G30" s="428">
        <v>0.074</v>
      </c>
      <c r="H30" s="385" t="s">
        <v>32</v>
      </c>
      <c r="I30" s="428">
        <v>0.066</v>
      </c>
      <c r="J30" s="429">
        <v>51.99</v>
      </c>
      <c r="K30" s="429">
        <v>38.98</v>
      </c>
      <c r="L30" s="429">
        <v>152.4</v>
      </c>
      <c r="M30" s="429">
        <v>152.81</v>
      </c>
      <c r="N30" s="386"/>
      <c r="O30" s="429">
        <v>51.87</v>
      </c>
      <c r="P30" s="429">
        <v>38.88</v>
      </c>
      <c r="Q30" s="429">
        <v>151.91</v>
      </c>
      <c r="R30" s="429">
        <v>152.35</v>
      </c>
      <c r="S30" s="393" t="s">
        <v>23</v>
      </c>
      <c r="T30" s="386"/>
      <c r="U30" s="430" t="s">
        <v>855</v>
      </c>
    </row>
    <row r="31">
      <c r="A31" s="431">
        <v>222900.0</v>
      </c>
      <c r="B31" s="163" t="s">
        <v>1371</v>
      </c>
      <c r="C31" s="163" t="s">
        <v>1370</v>
      </c>
      <c r="D31" s="432">
        <v>62.0</v>
      </c>
      <c r="E31" s="432">
        <v>66.0</v>
      </c>
      <c r="F31" s="163">
        <v>9.0</v>
      </c>
      <c r="G31" s="433">
        <v>0.136</v>
      </c>
      <c r="H31" s="393" t="s">
        <v>32</v>
      </c>
      <c r="I31" s="433">
        <v>0.041</v>
      </c>
      <c r="J31" s="429">
        <v>54.88</v>
      </c>
      <c r="K31" s="429">
        <v>42.2</v>
      </c>
      <c r="L31" s="429">
        <v>164.13</v>
      </c>
      <c r="M31" s="429">
        <v>164.13</v>
      </c>
      <c r="N31" s="394"/>
      <c r="O31" s="429">
        <v>54.79</v>
      </c>
      <c r="P31" s="429">
        <v>42.06</v>
      </c>
      <c r="Q31" s="429">
        <v>163.74</v>
      </c>
      <c r="R31" s="429">
        <v>163.79</v>
      </c>
      <c r="S31" s="393" t="s">
        <v>23</v>
      </c>
      <c r="T31" s="394"/>
      <c r="U31" s="434" t="s">
        <v>855</v>
      </c>
    </row>
    <row r="32">
      <c r="A32" s="425">
        <v>225336.0</v>
      </c>
      <c r="B32" s="426" t="s">
        <v>1348</v>
      </c>
      <c r="C32" s="426" t="s">
        <v>138</v>
      </c>
      <c r="D32" s="427">
        <v>33.0</v>
      </c>
      <c r="E32" s="427">
        <v>30.0</v>
      </c>
      <c r="F32" s="426">
        <v>9.0</v>
      </c>
      <c r="G32" s="428">
        <v>0.3</v>
      </c>
      <c r="H32" s="385" t="s">
        <v>17</v>
      </c>
      <c r="I32" s="428">
        <v>0.306</v>
      </c>
      <c r="J32" s="429">
        <v>47.24</v>
      </c>
      <c r="K32" s="429">
        <v>41.49</v>
      </c>
      <c r="L32" s="429">
        <v>144.14</v>
      </c>
      <c r="M32" s="429">
        <v>144.27</v>
      </c>
      <c r="N32" s="386"/>
      <c r="O32" s="429">
        <v>47.39</v>
      </c>
      <c r="P32" s="429">
        <v>41.61</v>
      </c>
      <c r="Q32" s="429">
        <v>144.52</v>
      </c>
      <c r="R32" s="429">
        <v>144.57</v>
      </c>
      <c r="S32" s="393" t="s">
        <v>23</v>
      </c>
      <c r="T32" s="386"/>
      <c r="U32" s="430" t="s">
        <v>855</v>
      </c>
    </row>
    <row r="33">
      <c r="A33" s="431">
        <v>239839.0</v>
      </c>
      <c r="B33" s="163" t="s">
        <v>1323</v>
      </c>
      <c r="C33" s="163" t="s">
        <v>91</v>
      </c>
      <c r="D33" s="432">
        <v>75.0</v>
      </c>
      <c r="E33" s="432">
        <v>71.0</v>
      </c>
      <c r="F33" s="163">
        <v>9.0</v>
      </c>
      <c r="G33" s="433">
        <v>0.127</v>
      </c>
      <c r="H33" s="393" t="s">
        <v>32</v>
      </c>
      <c r="I33" s="433">
        <v>0.057</v>
      </c>
      <c r="J33" s="429">
        <v>53.34</v>
      </c>
      <c r="K33" s="429">
        <v>35.69</v>
      </c>
      <c r="L33" s="429">
        <v>152.82</v>
      </c>
      <c r="M33" s="429">
        <v>152.83</v>
      </c>
      <c r="N33" s="394"/>
      <c r="O33" s="429">
        <v>53.21</v>
      </c>
      <c r="P33" s="429">
        <v>35.6</v>
      </c>
      <c r="Q33" s="429">
        <v>152.44</v>
      </c>
      <c r="R33" s="429">
        <v>152.42</v>
      </c>
      <c r="S33" s="393" t="s">
        <v>23</v>
      </c>
      <c r="T33" s="394"/>
      <c r="U33" s="434" t="s">
        <v>855</v>
      </c>
    </row>
    <row r="34">
      <c r="A34" s="425">
        <v>211307.0</v>
      </c>
      <c r="B34" s="426" t="s">
        <v>1294</v>
      </c>
      <c r="C34" s="426" t="s">
        <v>1293</v>
      </c>
      <c r="D34" s="427">
        <v>123.0</v>
      </c>
      <c r="E34" s="427">
        <v>123.0</v>
      </c>
      <c r="F34" s="426">
        <v>8.0</v>
      </c>
      <c r="G34" s="428">
        <v>0.065</v>
      </c>
      <c r="H34" s="385" t="s">
        <v>32</v>
      </c>
      <c r="I34" s="428">
        <v>0.024</v>
      </c>
      <c r="J34" s="429">
        <v>53.4</v>
      </c>
      <c r="K34" s="429">
        <v>37.9</v>
      </c>
      <c r="L34" s="429">
        <v>147.53</v>
      </c>
      <c r="M34" s="429">
        <v>147.53</v>
      </c>
      <c r="N34" s="386"/>
      <c r="O34" s="429">
        <v>53.32</v>
      </c>
      <c r="P34" s="429">
        <v>37.83</v>
      </c>
      <c r="Q34" s="429">
        <v>147.28</v>
      </c>
      <c r="R34" s="429">
        <v>147.29</v>
      </c>
      <c r="S34" s="393" t="s">
        <v>23</v>
      </c>
      <c r="T34" s="386"/>
      <c r="U34" s="430" t="s">
        <v>855</v>
      </c>
    </row>
    <row r="35">
      <c r="A35" s="431">
        <v>220237.0</v>
      </c>
      <c r="B35" s="163" t="s">
        <v>1413</v>
      </c>
      <c r="C35" s="163" t="s">
        <v>1412</v>
      </c>
      <c r="D35" s="432">
        <v>161.0</v>
      </c>
      <c r="E35" s="432">
        <v>158.0</v>
      </c>
      <c r="F35" s="163">
        <v>8.0</v>
      </c>
      <c r="G35" s="433">
        <v>0.051</v>
      </c>
      <c r="H35" s="393" t="s">
        <v>17</v>
      </c>
      <c r="I35" s="433">
        <v>0.011</v>
      </c>
      <c r="J35" s="429">
        <v>51.61</v>
      </c>
      <c r="K35" s="429">
        <v>47.26</v>
      </c>
      <c r="L35" s="429">
        <v>163.16</v>
      </c>
      <c r="M35" s="429">
        <v>163.35</v>
      </c>
      <c r="N35" s="394"/>
      <c r="O35" s="429">
        <v>51.7</v>
      </c>
      <c r="P35" s="429">
        <v>47.34</v>
      </c>
      <c r="Q35" s="429">
        <v>163.42</v>
      </c>
      <c r="R35" s="429">
        <v>163.64</v>
      </c>
      <c r="S35" s="393" t="s">
        <v>23</v>
      </c>
      <c r="T35" s="394"/>
      <c r="U35" s="434" t="s">
        <v>855</v>
      </c>
    </row>
    <row r="36">
      <c r="A36" s="425">
        <v>234794.0</v>
      </c>
      <c r="B36" s="426" t="s">
        <v>1383</v>
      </c>
      <c r="C36" s="426" t="s">
        <v>1382</v>
      </c>
      <c r="D36" s="427">
        <v>78.0</v>
      </c>
      <c r="E36" s="427">
        <v>78.0</v>
      </c>
      <c r="F36" s="426">
        <v>8.0</v>
      </c>
      <c r="G36" s="428">
        <v>0.103</v>
      </c>
      <c r="H36" s="385" t="s">
        <v>32</v>
      </c>
      <c r="I36" s="428">
        <v>0.038</v>
      </c>
      <c r="J36" s="429">
        <v>51.86</v>
      </c>
      <c r="K36" s="429">
        <v>43.52</v>
      </c>
      <c r="L36" s="429">
        <v>154.51</v>
      </c>
      <c r="M36" s="429">
        <v>154.61</v>
      </c>
      <c r="N36" s="386"/>
      <c r="O36" s="429">
        <v>51.77</v>
      </c>
      <c r="P36" s="429">
        <v>43.48</v>
      </c>
      <c r="Q36" s="429">
        <v>154.24</v>
      </c>
      <c r="R36" s="429">
        <v>154.38</v>
      </c>
      <c r="S36" s="393" t="s">
        <v>23</v>
      </c>
      <c r="T36" s="386"/>
      <c r="U36" s="430" t="s">
        <v>855</v>
      </c>
    </row>
    <row r="37">
      <c r="A37" s="431">
        <v>238648.0</v>
      </c>
      <c r="B37" s="163" t="s">
        <v>1365</v>
      </c>
      <c r="C37" s="163" t="s">
        <v>1364</v>
      </c>
      <c r="D37" s="432">
        <v>55.0</v>
      </c>
      <c r="E37" s="432">
        <v>55.0</v>
      </c>
      <c r="F37" s="163">
        <v>8.0</v>
      </c>
      <c r="G37" s="433">
        <v>0.145</v>
      </c>
      <c r="H37" s="393" t="s">
        <v>17</v>
      </c>
      <c r="I37" s="433">
        <v>0.13</v>
      </c>
      <c r="J37" s="429">
        <v>49.95</v>
      </c>
      <c r="K37" s="429">
        <v>29.12</v>
      </c>
      <c r="L37" s="429">
        <v>128.0</v>
      </c>
      <c r="M37" s="429">
        <v>127.21</v>
      </c>
      <c r="N37" s="394"/>
      <c r="O37" s="429">
        <v>50.1</v>
      </c>
      <c r="P37" s="429">
        <v>29.23</v>
      </c>
      <c r="Q37" s="429">
        <v>128.41</v>
      </c>
      <c r="R37" s="429">
        <v>127.54</v>
      </c>
      <c r="S37" s="393" t="s">
        <v>23</v>
      </c>
      <c r="T37" s="394"/>
      <c r="U37" s="434" t="s">
        <v>855</v>
      </c>
    </row>
    <row r="38">
      <c r="A38" s="425">
        <v>241124.0</v>
      </c>
      <c r="B38" s="426" t="s">
        <v>1353</v>
      </c>
      <c r="C38" s="426" t="s">
        <v>1352</v>
      </c>
      <c r="D38" s="427">
        <v>41.0</v>
      </c>
      <c r="E38" s="427">
        <v>41.0</v>
      </c>
      <c r="F38" s="426">
        <v>8.0</v>
      </c>
      <c r="G38" s="428">
        <v>0.195</v>
      </c>
      <c r="H38" s="385" t="s">
        <v>17</v>
      </c>
      <c r="I38" s="428">
        <v>0.122</v>
      </c>
      <c r="J38" s="429">
        <v>53.57</v>
      </c>
      <c r="K38" s="429">
        <v>47.8</v>
      </c>
      <c r="L38" s="429">
        <v>161.3</v>
      </c>
      <c r="M38" s="429">
        <v>161.3</v>
      </c>
      <c r="N38" s="386"/>
      <c r="O38" s="429">
        <v>53.66</v>
      </c>
      <c r="P38" s="429">
        <v>47.9</v>
      </c>
      <c r="Q38" s="429">
        <v>161.61</v>
      </c>
      <c r="R38" s="429">
        <v>161.68</v>
      </c>
      <c r="S38" s="393" t="s">
        <v>23</v>
      </c>
      <c r="T38" s="386"/>
      <c r="U38" s="430" t="s">
        <v>855</v>
      </c>
    </row>
    <row r="39">
      <c r="A39" s="431">
        <v>134951.0</v>
      </c>
      <c r="B39" s="163" t="s">
        <v>1309</v>
      </c>
      <c r="C39" s="163" t="s">
        <v>1306</v>
      </c>
      <c r="D39" s="432">
        <v>45.0</v>
      </c>
      <c r="E39" s="432">
        <v>45.0</v>
      </c>
      <c r="F39" s="163">
        <v>7.0</v>
      </c>
      <c r="G39" s="433">
        <v>0.156</v>
      </c>
      <c r="H39" s="393" t="s">
        <v>1307</v>
      </c>
      <c r="I39" s="163" t="s">
        <v>1308</v>
      </c>
      <c r="J39" s="436"/>
      <c r="K39" s="436"/>
      <c r="L39" s="436"/>
      <c r="M39" s="436"/>
      <c r="N39" s="394"/>
      <c r="O39" s="436"/>
      <c r="P39" s="436"/>
      <c r="Q39" s="436"/>
      <c r="R39" s="436"/>
      <c r="S39" s="393" t="s">
        <v>23</v>
      </c>
      <c r="T39" s="163" t="s">
        <v>1521</v>
      </c>
      <c r="U39" s="434" t="s">
        <v>855</v>
      </c>
    </row>
    <row r="40">
      <c r="A40" s="425">
        <v>137709.0</v>
      </c>
      <c r="B40" s="426" t="s">
        <v>1395</v>
      </c>
      <c r="C40" s="426" t="s">
        <v>1394</v>
      </c>
      <c r="D40" s="427">
        <v>96.0</v>
      </c>
      <c r="E40" s="427">
        <v>90.0</v>
      </c>
      <c r="F40" s="426">
        <v>7.0</v>
      </c>
      <c r="G40" s="428">
        <v>0.078</v>
      </c>
      <c r="H40" s="385" t="s">
        <v>32</v>
      </c>
      <c r="I40" s="428">
        <v>0.076</v>
      </c>
      <c r="J40" s="429">
        <v>50.86</v>
      </c>
      <c r="K40" s="429">
        <v>43.7</v>
      </c>
      <c r="L40" s="429">
        <v>153.62</v>
      </c>
      <c r="M40" s="429">
        <v>153.86</v>
      </c>
      <c r="N40" s="386"/>
      <c r="O40" s="429">
        <v>50.79</v>
      </c>
      <c r="P40" s="429">
        <v>43.66</v>
      </c>
      <c r="Q40" s="429">
        <v>153.34</v>
      </c>
      <c r="R40" s="429">
        <v>153.52</v>
      </c>
      <c r="S40" s="393" t="s">
        <v>23</v>
      </c>
      <c r="T40" s="386"/>
      <c r="U40" s="430" t="s">
        <v>855</v>
      </c>
    </row>
    <row r="41">
      <c r="A41" s="431">
        <v>137971.0</v>
      </c>
      <c r="B41" s="163" t="s">
        <v>1292</v>
      </c>
      <c r="C41" s="163" t="s">
        <v>1291</v>
      </c>
      <c r="D41" s="432">
        <v>121.0</v>
      </c>
      <c r="E41" s="432">
        <v>123.0</v>
      </c>
      <c r="F41" s="163">
        <v>7.0</v>
      </c>
      <c r="G41" s="433">
        <v>0.057</v>
      </c>
      <c r="H41" s="393" t="s">
        <v>32</v>
      </c>
      <c r="I41" s="433">
        <v>0.03</v>
      </c>
      <c r="J41" s="429">
        <v>52.54</v>
      </c>
      <c r="K41" s="429">
        <v>43.71</v>
      </c>
      <c r="L41" s="429">
        <v>157.33</v>
      </c>
      <c r="M41" s="429">
        <v>157.21</v>
      </c>
      <c r="N41" s="394"/>
      <c r="O41" s="429">
        <v>52.45</v>
      </c>
      <c r="P41" s="429">
        <v>43.65</v>
      </c>
      <c r="Q41" s="429">
        <v>156.86</v>
      </c>
      <c r="R41" s="429">
        <v>156.84</v>
      </c>
      <c r="S41" s="393" t="s">
        <v>23</v>
      </c>
      <c r="T41" s="394"/>
      <c r="U41" s="434" t="s">
        <v>855</v>
      </c>
    </row>
    <row r="42">
      <c r="A42" s="425">
        <v>213182.0</v>
      </c>
      <c r="B42" s="426" t="s">
        <v>1391</v>
      </c>
      <c r="C42" s="426" t="s">
        <v>1390</v>
      </c>
      <c r="D42" s="427">
        <v>87.0</v>
      </c>
      <c r="E42" s="427">
        <v>88.0</v>
      </c>
      <c r="F42" s="426">
        <v>7.0</v>
      </c>
      <c r="G42" s="428">
        <v>0.08</v>
      </c>
      <c r="H42" s="385" t="s">
        <v>32</v>
      </c>
      <c r="I42" s="428">
        <v>0.027</v>
      </c>
      <c r="J42" s="429">
        <v>54.92</v>
      </c>
      <c r="K42" s="429">
        <v>39.47</v>
      </c>
      <c r="L42" s="429">
        <v>160.65</v>
      </c>
      <c r="M42" s="429">
        <v>160.71</v>
      </c>
      <c r="N42" s="386"/>
      <c r="O42" s="429">
        <v>54.82</v>
      </c>
      <c r="P42" s="429">
        <v>39.39</v>
      </c>
      <c r="Q42" s="429">
        <v>160.13</v>
      </c>
      <c r="R42" s="429">
        <v>160.16</v>
      </c>
      <c r="S42" s="393" t="s">
        <v>23</v>
      </c>
      <c r="T42" s="386"/>
      <c r="U42" s="430" t="s">
        <v>855</v>
      </c>
    </row>
    <row r="43">
      <c r="A43" s="431">
        <v>236095.0</v>
      </c>
      <c r="B43" s="163" t="s">
        <v>1268</v>
      </c>
      <c r="C43" s="163" t="s">
        <v>1266</v>
      </c>
      <c r="D43" s="432">
        <v>6.0</v>
      </c>
      <c r="E43" s="432">
        <v>11.0</v>
      </c>
      <c r="F43" s="163">
        <v>7.0</v>
      </c>
      <c r="G43" s="433">
        <v>0.636</v>
      </c>
      <c r="H43" s="393" t="s">
        <v>17</v>
      </c>
      <c r="I43" s="433">
        <v>0.113</v>
      </c>
      <c r="J43" s="436"/>
      <c r="K43" s="436"/>
      <c r="L43" s="436"/>
      <c r="M43" s="436"/>
      <c r="N43" s="394"/>
      <c r="O43" s="436"/>
      <c r="P43" s="436"/>
      <c r="Q43" s="436"/>
      <c r="R43" s="436"/>
      <c r="S43" s="393" t="s">
        <v>23</v>
      </c>
      <c r="T43" s="429" t="s">
        <v>1522</v>
      </c>
      <c r="U43" s="434" t="s">
        <v>855</v>
      </c>
    </row>
    <row r="44">
      <c r="A44" s="425">
        <v>236135.0</v>
      </c>
      <c r="B44" s="426" t="s">
        <v>1401</v>
      </c>
      <c r="C44" s="426" t="s">
        <v>1400</v>
      </c>
      <c r="D44" s="427">
        <v>96.0</v>
      </c>
      <c r="E44" s="427">
        <v>93.0</v>
      </c>
      <c r="F44" s="426">
        <v>7.0</v>
      </c>
      <c r="G44" s="428">
        <v>0.075</v>
      </c>
      <c r="H44" s="385" t="s">
        <v>32</v>
      </c>
      <c r="I44" s="428">
        <v>0.043</v>
      </c>
      <c r="J44" s="429">
        <v>49.84</v>
      </c>
      <c r="K44" s="429">
        <v>39.17</v>
      </c>
      <c r="L44" s="429">
        <v>149.35</v>
      </c>
      <c r="M44" s="429">
        <v>149.55</v>
      </c>
      <c r="N44" s="386"/>
      <c r="O44" s="429">
        <v>49.74</v>
      </c>
      <c r="P44" s="429">
        <v>39.09</v>
      </c>
      <c r="Q44" s="429">
        <v>148.87</v>
      </c>
      <c r="R44" s="429">
        <v>148.76</v>
      </c>
      <c r="S44" s="393" t="s">
        <v>23</v>
      </c>
      <c r="T44" s="386"/>
      <c r="U44" s="430" t="s">
        <v>855</v>
      </c>
    </row>
    <row r="45">
      <c r="A45" s="431">
        <v>236743.0</v>
      </c>
      <c r="B45" s="163" t="s">
        <v>1359</v>
      </c>
      <c r="C45" s="163" t="s">
        <v>1358</v>
      </c>
      <c r="D45" s="432">
        <v>45.0</v>
      </c>
      <c r="E45" s="432">
        <v>45.0</v>
      </c>
      <c r="F45" s="163">
        <v>7.0</v>
      </c>
      <c r="G45" s="433">
        <v>0.156</v>
      </c>
      <c r="H45" s="393" t="s">
        <v>32</v>
      </c>
      <c r="I45" s="433">
        <v>0.085</v>
      </c>
      <c r="J45" s="429">
        <v>58.34</v>
      </c>
      <c r="K45" s="429">
        <v>44.54</v>
      </c>
      <c r="L45" s="429">
        <v>170.26</v>
      </c>
      <c r="M45" s="429">
        <v>170.77</v>
      </c>
      <c r="N45" s="394"/>
      <c r="O45" s="429">
        <v>58.23</v>
      </c>
      <c r="P45" s="429">
        <v>44.42</v>
      </c>
      <c r="Q45" s="429">
        <v>169.9</v>
      </c>
      <c r="R45" s="429">
        <v>170.37</v>
      </c>
      <c r="S45" s="393" t="s">
        <v>23</v>
      </c>
      <c r="T45" s="394"/>
      <c r="U45" s="434" t="s">
        <v>855</v>
      </c>
    </row>
    <row r="46">
      <c r="A46" s="425">
        <v>238655.0</v>
      </c>
      <c r="B46" s="426" t="s">
        <v>1365</v>
      </c>
      <c r="C46" s="426" t="s">
        <v>1411</v>
      </c>
      <c r="D46" s="427">
        <v>139.0</v>
      </c>
      <c r="E46" s="427">
        <v>134.0</v>
      </c>
      <c r="F46" s="426">
        <v>7.0</v>
      </c>
      <c r="G46" s="428">
        <v>0.052</v>
      </c>
      <c r="H46" s="385" t="s">
        <v>17</v>
      </c>
      <c r="I46" s="428">
        <v>0.007</v>
      </c>
      <c r="J46" s="429">
        <v>51.24</v>
      </c>
      <c r="K46" s="429">
        <v>36.66</v>
      </c>
      <c r="L46" s="429">
        <v>148.81</v>
      </c>
      <c r="M46" s="429">
        <v>149.17</v>
      </c>
      <c r="N46" s="386"/>
      <c r="O46" s="429">
        <v>51.33</v>
      </c>
      <c r="P46" s="429">
        <v>36.76</v>
      </c>
      <c r="Q46" s="429">
        <v>148.57</v>
      </c>
      <c r="R46" s="429">
        <v>148.95</v>
      </c>
      <c r="S46" s="393" t="s">
        <v>23</v>
      </c>
      <c r="T46" s="386"/>
      <c r="U46" s="430" t="s">
        <v>855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9.5"/>
    <col customWidth="1" min="3" max="3" width="15.75"/>
    <col customWidth="1" min="4" max="4" width="23.38"/>
    <col customWidth="1" min="5" max="5" width="9.38"/>
    <col customWidth="1" min="6" max="6" width="12.5"/>
  </cols>
  <sheetData>
    <row r="1">
      <c r="A1" s="437" t="s">
        <v>1523</v>
      </c>
      <c r="B1" s="438" t="s">
        <v>1414</v>
      </c>
      <c r="C1" s="198" t="s">
        <v>1415</v>
      </c>
      <c r="D1" s="198" t="s">
        <v>2</v>
      </c>
      <c r="E1" s="198" t="s">
        <v>849</v>
      </c>
      <c r="F1" s="198" t="s">
        <v>850</v>
      </c>
      <c r="G1" s="198" t="s">
        <v>851</v>
      </c>
      <c r="H1" s="198" t="s">
        <v>852</v>
      </c>
      <c r="I1" s="410" t="s">
        <v>3</v>
      </c>
      <c r="J1" s="439" t="s">
        <v>4</v>
      </c>
      <c r="K1" s="308" t="s">
        <v>6</v>
      </c>
      <c r="L1" s="309" t="s">
        <v>7</v>
      </c>
      <c r="M1" s="309" t="s">
        <v>8</v>
      </c>
      <c r="N1" s="309" t="s">
        <v>9</v>
      </c>
      <c r="O1" s="309" t="s">
        <v>10</v>
      </c>
      <c r="P1" s="309" t="s">
        <v>11</v>
      </c>
      <c r="Q1" s="308" t="s">
        <v>12</v>
      </c>
      <c r="R1" s="309" t="s">
        <v>13</v>
      </c>
      <c r="S1" s="309" t="s">
        <v>14</v>
      </c>
      <c r="T1" s="410" t="s">
        <v>16</v>
      </c>
      <c r="U1" s="308" t="s">
        <v>15</v>
      </c>
      <c r="V1" s="440" t="s">
        <v>853</v>
      </c>
    </row>
    <row r="2">
      <c r="A2" s="441">
        <v>46195.8653853125</v>
      </c>
      <c r="B2" s="190">
        <v>228743.0</v>
      </c>
      <c r="C2" s="442" t="s">
        <v>1387</v>
      </c>
      <c r="D2" s="442" t="s">
        <v>1386</v>
      </c>
      <c r="E2" s="179">
        <v>409.0</v>
      </c>
      <c r="F2" s="179">
        <v>370.0</v>
      </c>
      <c r="G2" s="179">
        <v>33.0</v>
      </c>
      <c r="H2" s="180">
        <v>0.089</v>
      </c>
      <c r="I2" s="443" t="s">
        <v>32</v>
      </c>
      <c r="J2" s="444">
        <v>0.059</v>
      </c>
      <c r="K2" s="178"/>
      <c r="L2" s="192"/>
      <c r="M2" s="192"/>
      <c r="N2" s="192"/>
      <c r="O2" s="178" t="s">
        <v>107</v>
      </c>
      <c r="P2" s="192"/>
      <c r="Q2" s="192"/>
      <c r="R2" s="192"/>
      <c r="S2" s="192"/>
      <c r="T2" s="192"/>
      <c r="U2" s="178" t="s">
        <v>746</v>
      </c>
      <c r="V2" s="445" t="s">
        <v>855</v>
      </c>
    </row>
    <row r="3">
      <c r="A3" s="446"/>
      <c r="B3" s="194">
        <v>225336.0</v>
      </c>
      <c r="C3" s="150" t="s">
        <v>1342</v>
      </c>
      <c r="D3" s="150" t="s">
        <v>182</v>
      </c>
      <c r="E3" s="184">
        <v>41.0</v>
      </c>
      <c r="F3" s="184">
        <v>37.0</v>
      </c>
      <c r="G3" s="184">
        <v>19.0</v>
      </c>
      <c r="H3" s="185">
        <v>0.514</v>
      </c>
      <c r="I3" s="152" t="s">
        <v>17</v>
      </c>
      <c r="J3" s="447">
        <v>0.489</v>
      </c>
      <c r="K3" s="196"/>
      <c r="L3" s="196"/>
      <c r="M3" s="196"/>
      <c r="N3" s="196"/>
      <c r="O3" s="183" t="s">
        <v>107</v>
      </c>
      <c r="P3" s="196"/>
      <c r="Q3" s="196"/>
      <c r="R3" s="196"/>
      <c r="S3" s="196"/>
      <c r="T3" s="196"/>
      <c r="U3" s="178" t="s">
        <v>746</v>
      </c>
      <c r="V3" s="448" t="s">
        <v>855</v>
      </c>
    </row>
    <row r="4">
      <c r="A4" s="441">
        <v>46195.911658425925</v>
      </c>
      <c r="B4" s="190">
        <v>211307.0</v>
      </c>
      <c r="C4" s="442" t="s">
        <v>1297</v>
      </c>
      <c r="D4" s="442" t="s">
        <v>1296</v>
      </c>
      <c r="E4" s="179">
        <v>148.0</v>
      </c>
      <c r="F4" s="179">
        <v>137.0</v>
      </c>
      <c r="G4" s="179">
        <v>13.0</v>
      </c>
      <c r="H4" s="180">
        <v>0.095</v>
      </c>
      <c r="I4" s="443" t="s">
        <v>17</v>
      </c>
      <c r="J4" s="444">
        <v>0.095</v>
      </c>
      <c r="K4" s="443">
        <v>52.36</v>
      </c>
      <c r="L4" s="443">
        <v>37.48</v>
      </c>
      <c r="M4" s="443">
        <v>144.79</v>
      </c>
      <c r="N4" s="443">
        <v>144.49</v>
      </c>
      <c r="O4" s="178" t="s">
        <v>107</v>
      </c>
      <c r="P4" s="443">
        <v>52.57</v>
      </c>
      <c r="Q4" s="443">
        <v>37.68</v>
      </c>
      <c r="R4" s="443">
        <v>145.43</v>
      </c>
      <c r="S4" s="443">
        <v>145.37</v>
      </c>
      <c r="T4" s="178" t="s">
        <v>20</v>
      </c>
      <c r="U4" s="178" t="s">
        <v>746</v>
      </c>
      <c r="V4" s="445" t="s">
        <v>855</v>
      </c>
    </row>
    <row r="5">
      <c r="A5" s="449">
        <v>46195.91330284722</v>
      </c>
      <c r="B5" s="194">
        <v>227571.0</v>
      </c>
      <c r="C5" s="150" t="s">
        <v>1333</v>
      </c>
      <c r="D5" s="150" t="s">
        <v>82</v>
      </c>
      <c r="E5" s="184">
        <v>14.0</v>
      </c>
      <c r="F5" s="184">
        <v>14.0</v>
      </c>
      <c r="G5" s="184">
        <v>13.0</v>
      </c>
      <c r="H5" s="185">
        <v>0.929</v>
      </c>
      <c r="I5" s="152" t="s">
        <v>17</v>
      </c>
      <c r="J5" s="447">
        <v>0.813</v>
      </c>
      <c r="K5" s="152">
        <v>49.0</v>
      </c>
      <c r="L5" s="152">
        <v>41.54</v>
      </c>
      <c r="M5" s="152">
        <v>150.36</v>
      </c>
      <c r="N5" s="152">
        <v>150.36</v>
      </c>
      <c r="O5" s="178" t="s">
        <v>107</v>
      </c>
      <c r="P5" s="152">
        <v>50.2</v>
      </c>
      <c r="Q5" s="152">
        <v>50.2</v>
      </c>
      <c r="R5" s="152">
        <v>152.73</v>
      </c>
      <c r="S5" s="152">
        <v>152.37</v>
      </c>
      <c r="T5" s="183" t="s">
        <v>20</v>
      </c>
      <c r="U5" s="178" t="s">
        <v>746</v>
      </c>
      <c r="V5" s="448" t="s">
        <v>855</v>
      </c>
    </row>
    <row r="6">
      <c r="A6" s="441">
        <v>46195.91456280093</v>
      </c>
      <c r="B6" s="190">
        <v>134949.0</v>
      </c>
      <c r="C6" s="442" t="s">
        <v>1273</v>
      </c>
      <c r="D6" s="442" t="s">
        <v>1272</v>
      </c>
      <c r="E6" s="179">
        <v>27.0</v>
      </c>
      <c r="F6" s="179">
        <v>26.0</v>
      </c>
      <c r="G6" s="179">
        <v>11.0</v>
      </c>
      <c r="H6" s="180">
        <v>0.423</v>
      </c>
      <c r="I6" s="443" t="s">
        <v>17</v>
      </c>
      <c r="J6" s="444">
        <v>0.121</v>
      </c>
      <c r="K6" s="443">
        <v>56.08</v>
      </c>
      <c r="L6" s="443">
        <v>45.05</v>
      </c>
      <c r="M6" s="443">
        <v>168.97</v>
      </c>
      <c r="N6" s="443">
        <v>168.97</v>
      </c>
      <c r="O6" s="178" t="s">
        <v>107</v>
      </c>
      <c r="P6" s="443">
        <v>56.3</v>
      </c>
      <c r="Q6" s="443">
        <v>45.46</v>
      </c>
      <c r="R6" s="443">
        <v>170.01</v>
      </c>
      <c r="S6" s="443">
        <v>169.76</v>
      </c>
      <c r="T6" s="178" t="s">
        <v>20</v>
      </c>
      <c r="U6" s="178" t="s">
        <v>746</v>
      </c>
      <c r="V6" s="448" t="s">
        <v>943</v>
      </c>
    </row>
    <row r="7">
      <c r="A7" s="449">
        <v>46195.91787884259</v>
      </c>
      <c r="B7" s="194">
        <v>217207.0</v>
      </c>
      <c r="C7" s="150" t="s">
        <v>1373</v>
      </c>
      <c r="D7" s="150" t="s">
        <v>1372</v>
      </c>
      <c r="E7" s="184">
        <v>83.0</v>
      </c>
      <c r="F7" s="184">
        <v>82.0</v>
      </c>
      <c r="G7" s="184">
        <v>11.0</v>
      </c>
      <c r="H7" s="185">
        <v>0.134</v>
      </c>
      <c r="I7" s="152" t="s">
        <v>17</v>
      </c>
      <c r="J7" s="447">
        <v>0.099</v>
      </c>
      <c r="K7" s="152">
        <v>48.95</v>
      </c>
      <c r="L7" s="152">
        <v>42.2</v>
      </c>
      <c r="M7" s="152">
        <v>148.97</v>
      </c>
      <c r="N7" s="152">
        <v>148.94</v>
      </c>
      <c r="O7" s="178" t="s">
        <v>107</v>
      </c>
      <c r="P7" s="152">
        <v>49.2</v>
      </c>
      <c r="Q7" s="152">
        <v>42.4</v>
      </c>
      <c r="R7" s="152">
        <v>149.71</v>
      </c>
      <c r="S7" s="152">
        <v>149.71</v>
      </c>
      <c r="T7" s="183" t="s">
        <v>20</v>
      </c>
      <c r="U7" s="178" t="s">
        <v>746</v>
      </c>
      <c r="V7" s="448" t="s">
        <v>855</v>
      </c>
    </row>
    <row r="8">
      <c r="A8" s="441">
        <v>46196.885731875</v>
      </c>
      <c r="B8" s="190">
        <v>217873.0</v>
      </c>
      <c r="C8" s="442" t="s">
        <v>1283</v>
      </c>
      <c r="D8" s="442" t="s">
        <v>1141</v>
      </c>
      <c r="E8" s="179">
        <v>55.0</v>
      </c>
      <c r="F8" s="179">
        <v>51.0</v>
      </c>
      <c r="G8" s="179">
        <v>10.0</v>
      </c>
      <c r="H8" s="180">
        <v>0.196</v>
      </c>
      <c r="I8" s="443" t="s">
        <v>32</v>
      </c>
      <c r="J8" s="444">
        <v>0.064</v>
      </c>
      <c r="K8" s="141">
        <v>53.2</v>
      </c>
      <c r="L8" s="141">
        <v>40.39</v>
      </c>
      <c r="M8" s="141">
        <v>151.57</v>
      </c>
      <c r="N8" s="141">
        <v>151.55</v>
      </c>
      <c r="O8" s="443" t="s">
        <v>107</v>
      </c>
      <c r="P8" s="443">
        <v>53.05</v>
      </c>
      <c r="Q8" s="443">
        <v>40.2</v>
      </c>
      <c r="R8" s="443">
        <v>150.87</v>
      </c>
      <c r="S8" s="443">
        <v>150.55</v>
      </c>
      <c r="T8" s="178" t="s">
        <v>20</v>
      </c>
      <c r="U8" s="178" t="s">
        <v>746</v>
      </c>
      <c r="V8" s="445" t="s">
        <v>855</v>
      </c>
    </row>
    <row r="9">
      <c r="A9" s="449">
        <v>46196.887329467594</v>
      </c>
      <c r="B9" s="194">
        <v>241463.0</v>
      </c>
      <c r="C9" s="150" t="s">
        <v>1385</v>
      </c>
      <c r="D9" s="150" t="s">
        <v>1384</v>
      </c>
      <c r="E9" s="184">
        <v>106.0</v>
      </c>
      <c r="F9" s="184">
        <v>101.0</v>
      </c>
      <c r="G9" s="184">
        <v>10.0</v>
      </c>
      <c r="H9" s="185">
        <v>0.099</v>
      </c>
      <c r="I9" s="152" t="s">
        <v>17</v>
      </c>
      <c r="J9" s="447">
        <v>0.086</v>
      </c>
      <c r="K9" s="152">
        <v>47.73</v>
      </c>
      <c r="L9" s="152">
        <v>42.6</v>
      </c>
      <c r="M9" s="152">
        <v>146.37</v>
      </c>
      <c r="N9" s="152">
        <v>146.47</v>
      </c>
      <c r="O9" s="443" t="s">
        <v>107</v>
      </c>
      <c r="P9" s="152">
        <v>48.1</v>
      </c>
      <c r="Q9" s="152">
        <v>42.79</v>
      </c>
      <c r="R9" s="152">
        <v>147.21</v>
      </c>
      <c r="S9" s="152">
        <v>146.95</v>
      </c>
      <c r="T9" s="183" t="s">
        <v>20</v>
      </c>
      <c r="U9" s="178" t="s">
        <v>746</v>
      </c>
      <c r="V9" s="448" t="s">
        <v>855</v>
      </c>
    </row>
    <row r="10">
      <c r="A10" s="441">
        <v>46196.8918759375</v>
      </c>
      <c r="B10" s="190">
        <v>134949.0</v>
      </c>
      <c r="C10" s="442" t="s">
        <v>1321</v>
      </c>
      <c r="D10" s="442" t="s">
        <v>1320</v>
      </c>
      <c r="E10" s="179">
        <v>22.0</v>
      </c>
      <c r="F10" s="179">
        <v>20.0</v>
      </c>
      <c r="G10" s="179">
        <v>7.0</v>
      </c>
      <c r="H10" s="180">
        <v>0.35</v>
      </c>
      <c r="I10" s="443" t="s">
        <v>17</v>
      </c>
      <c r="J10" s="444">
        <v>0.103</v>
      </c>
      <c r="K10" s="443">
        <v>56.11</v>
      </c>
      <c r="L10" s="443">
        <v>45.3</v>
      </c>
      <c r="M10" s="443">
        <v>169.42</v>
      </c>
      <c r="N10" s="443">
        <v>169.42</v>
      </c>
      <c r="O10" s="443" t="s">
        <v>107</v>
      </c>
      <c r="P10" s="443">
        <v>56.6</v>
      </c>
      <c r="Q10" s="443">
        <v>45.69</v>
      </c>
      <c r="R10" s="443">
        <v>170.97</v>
      </c>
      <c r="S10" s="443">
        <v>170.97</v>
      </c>
      <c r="T10" s="183" t="s">
        <v>20</v>
      </c>
      <c r="U10" s="178" t="s">
        <v>746</v>
      </c>
      <c r="V10" s="445" t="s">
        <v>855</v>
      </c>
    </row>
    <row r="11">
      <c r="A11" s="449">
        <v>46196.894455138885</v>
      </c>
      <c r="B11" s="194">
        <v>134951.0</v>
      </c>
      <c r="C11" s="150" t="s">
        <v>1280</v>
      </c>
      <c r="D11" s="150" t="s">
        <v>1279</v>
      </c>
      <c r="E11" s="184">
        <v>40.0</v>
      </c>
      <c r="F11" s="184">
        <v>35.0</v>
      </c>
      <c r="G11" s="184">
        <v>7.0</v>
      </c>
      <c r="H11" s="185">
        <v>0.2</v>
      </c>
      <c r="I11" s="152" t="s">
        <v>32</v>
      </c>
      <c r="J11" s="447">
        <v>0.058</v>
      </c>
      <c r="K11" s="152">
        <v>56.13</v>
      </c>
      <c r="L11" s="152">
        <v>45.38</v>
      </c>
      <c r="M11" s="152">
        <v>169.55</v>
      </c>
      <c r="N11" s="152">
        <v>169.55</v>
      </c>
      <c r="O11" s="443" t="s">
        <v>107</v>
      </c>
      <c r="P11" s="152">
        <v>55.89</v>
      </c>
      <c r="Q11" s="152">
        <v>45.19</v>
      </c>
      <c r="R11" s="152">
        <v>168.89</v>
      </c>
      <c r="S11" s="152">
        <v>168.89</v>
      </c>
      <c r="T11" s="183" t="s">
        <v>20</v>
      </c>
      <c r="U11" s="178" t="s">
        <v>746</v>
      </c>
      <c r="V11" s="448" t="s">
        <v>855</v>
      </c>
    </row>
    <row r="12">
      <c r="A12" s="441">
        <v>46196.89531857639</v>
      </c>
      <c r="B12" s="190">
        <v>143018.0</v>
      </c>
      <c r="C12" s="442" t="s">
        <v>1355</v>
      </c>
      <c r="D12" s="442" t="s">
        <v>1354</v>
      </c>
      <c r="E12" s="179">
        <v>34.0</v>
      </c>
      <c r="F12" s="179">
        <v>37.0</v>
      </c>
      <c r="G12" s="179">
        <v>7.0</v>
      </c>
      <c r="H12" s="180">
        <v>0.189</v>
      </c>
      <c r="I12" s="443" t="s">
        <v>17</v>
      </c>
      <c r="J12" s="444">
        <v>0.019</v>
      </c>
      <c r="K12" s="443">
        <v>49.62</v>
      </c>
      <c r="L12" s="443">
        <v>32.16</v>
      </c>
      <c r="M12" s="443">
        <v>136.84</v>
      </c>
      <c r="N12" s="443">
        <v>136.84</v>
      </c>
      <c r="O12" s="443" t="s">
        <v>107</v>
      </c>
      <c r="P12" s="443">
        <v>49.82</v>
      </c>
      <c r="Q12" s="443">
        <v>32.39</v>
      </c>
      <c r="R12" s="443">
        <v>137.62</v>
      </c>
      <c r="S12" s="443">
        <v>137.91</v>
      </c>
      <c r="T12" s="183" t="s">
        <v>20</v>
      </c>
      <c r="U12" s="178" t="s">
        <v>746</v>
      </c>
      <c r="V12" s="445" t="s">
        <v>943</v>
      </c>
    </row>
    <row r="13">
      <c r="A13" s="449">
        <v>46196.896582685185</v>
      </c>
      <c r="B13" s="194">
        <v>217204.0</v>
      </c>
      <c r="C13" s="150" t="s">
        <v>1335</v>
      </c>
      <c r="D13" s="150" t="s">
        <v>1334</v>
      </c>
      <c r="E13" s="184">
        <v>10.0</v>
      </c>
      <c r="F13" s="184">
        <v>9.0</v>
      </c>
      <c r="G13" s="184">
        <v>7.0</v>
      </c>
      <c r="H13" s="185">
        <v>0.778</v>
      </c>
      <c r="I13" s="152" t="s">
        <v>17</v>
      </c>
      <c r="J13" s="447">
        <v>0.714</v>
      </c>
      <c r="K13" s="152">
        <v>48.89</v>
      </c>
      <c r="L13" s="152">
        <v>42.36</v>
      </c>
      <c r="M13" s="152">
        <v>149.05</v>
      </c>
      <c r="N13" s="152">
        <v>149.77</v>
      </c>
      <c r="O13" s="443" t="s">
        <v>107</v>
      </c>
      <c r="P13" s="152">
        <v>49.31</v>
      </c>
      <c r="Q13" s="152">
        <v>42.8</v>
      </c>
      <c r="R13" s="152">
        <v>150.44</v>
      </c>
      <c r="S13" s="152">
        <v>150.85</v>
      </c>
      <c r="T13" s="183" t="s">
        <v>20</v>
      </c>
      <c r="U13" s="178" t="s">
        <v>746</v>
      </c>
      <c r="V13" s="448" t="s">
        <v>855</v>
      </c>
    </row>
    <row r="14">
      <c r="A14" s="441">
        <v>46196.8980455787</v>
      </c>
      <c r="B14" s="190">
        <v>223230.0</v>
      </c>
      <c r="C14" s="442" t="s">
        <v>877</v>
      </c>
      <c r="D14" s="442" t="s">
        <v>599</v>
      </c>
      <c r="E14" s="179">
        <v>64.0</v>
      </c>
      <c r="F14" s="179">
        <v>65.0</v>
      </c>
      <c r="G14" s="179">
        <v>7.0</v>
      </c>
      <c r="H14" s="180">
        <v>0.108</v>
      </c>
      <c r="I14" s="443" t="s">
        <v>32</v>
      </c>
      <c r="J14" s="444">
        <v>0.037</v>
      </c>
      <c r="K14" s="443">
        <v>48.25</v>
      </c>
      <c r="L14" s="443">
        <v>48.25</v>
      </c>
      <c r="M14" s="443">
        <v>145.47</v>
      </c>
      <c r="N14" s="443">
        <v>145.47</v>
      </c>
      <c r="O14" s="443" t="s">
        <v>107</v>
      </c>
      <c r="P14" s="443">
        <v>48.1</v>
      </c>
      <c r="Q14" s="443">
        <v>41.7</v>
      </c>
      <c r="R14" s="443">
        <v>144.82</v>
      </c>
      <c r="S14" s="443">
        <v>144.89</v>
      </c>
      <c r="T14" s="183" t="s">
        <v>20</v>
      </c>
      <c r="U14" s="178" t="s">
        <v>746</v>
      </c>
      <c r="V14" s="445" t="s">
        <v>855</v>
      </c>
    </row>
    <row r="15">
      <c r="A15" s="446"/>
      <c r="B15" s="194">
        <v>134949.0</v>
      </c>
      <c r="C15" s="150" t="s">
        <v>1312</v>
      </c>
      <c r="D15" s="150" t="s">
        <v>34</v>
      </c>
      <c r="E15" s="184">
        <v>28.0</v>
      </c>
      <c r="F15" s="184">
        <v>20.0</v>
      </c>
      <c r="G15" s="184">
        <v>6.0</v>
      </c>
      <c r="H15" s="185">
        <v>0.3</v>
      </c>
      <c r="I15" s="152" t="s">
        <v>32</v>
      </c>
      <c r="J15" s="447">
        <v>0.069</v>
      </c>
      <c r="K15" s="450"/>
      <c r="L15" s="450"/>
      <c r="M15" s="450"/>
      <c r="N15" s="450"/>
      <c r="O15" s="450"/>
      <c r="P15" s="450"/>
      <c r="Q15" s="450"/>
      <c r="R15" s="450"/>
      <c r="S15" s="450"/>
      <c r="T15" s="196"/>
      <c r="U15" s="196"/>
      <c r="V15" s="448" t="s">
        <v>943</v>
      </c>
    </row>
    <row r="16">
      <c r="A16" s="441">
        <v>46196.89895055555</v>
      </c>
      <c r="B16" s="190">
        <v>215983.0</v>
      </c>
      <c r="C16" s="442" t="s">
        <v>1289</v>
      </c>
      <c r="D16" s="442" t="s">
        <v>1288</v>
      </c>
      <c r="E16" s="179">
        <v>112.0</v>
      </c>
      <c r="F16" s="179">
        <v>110.0</v>
      </c>
      <c r="G16" s="179">
        <v>6.0</v>
      </c>
      <c r="H16" s="180">
        <v>0.055</v>
      </c>
      <c r="I16" s="443" t="s">
        <v>32</v>
      </c>
      <c r="J16" s="444">
        <v>0.027</v>
      </c>
      <c r="K16" s="443">
        <v>50.94</v>
      </c>
      <c r="L16" s="443">
        <v>39.72</v>
      </c>
      <c r="M16" s="443">
        <v>152.94</v>
      </c>
      <c r="N16" s="443">
        <v>153.08</v>
      </c>
      <c r="O16" s="443" t="s">
        <v>107</v>
      </c>
      <c r="P16" s="443">
        <v>50.75</v>
      </c>
      <c r="Q16" s="443">
        <v>39.6</v>
      </c>
      <c r="R16" s="443">
        <v>152.24</v>
      </c>
      <c r="S16" s="443">
        <v>152.46</v>
      </c>
      <c r="T16" s="178" t="s">
        <v>20</v>
      </c>
      <c r="U16" s="178" t="s">
        <v>746</v>
      </c>
      <c r="V16" s="445" t="s">
        <v>855</v>
      </c>
    </row>
    <row r="17">
      <c r="A17" s="449">
        <v>46196.89990872685</v>
      </c>
      <c r="B17" s="194">
        <v>237933.0</v>
      </c>
      <c r="C17" s="150" t="s">
        <v>1339</v>
      </c>
      <c r="D17" s="150" t="s">
        <v>1338</v>
      </c>
      <c r="E17" s="184">
        <v>14.0</v>
      </c>
      <c r="F17" s="184">
        <v>10.0</v>
      </c>
      <c r="G17" s="184">
        <v>6.0</v>
      </c>
      <c r="H17" s="185">
        <v>0.6</v>
      </c>
      <c r="I17" s="152" t="s">
        <v>32</v>
      </c>
      <c r="J17" s="447">
        <v>0.042</v>
      </c>
      <c r="K17" s="152">
        <v>50.5</v>
      </c>
      <c r="L17" s="152">
        <v>39.55</v>
      </c>
      <c r="M17" s="152">
        <v>151.45</v>
      </c>
      <c r="N17" s="152">
        <v>151.45</v>
      </c>
      <c r="O17" s="152" t="s">
        <v>107</v>
      </c>
      <c r="P17" s="152">
        <v>50.29</v>
      </c>
      <c r="Q17" s="152">
        <v>39.4</v>
      </c>
      <c r="R17" s="152">
        <v>150.67</v>
      </c>
      <c r="S17" s="152">
        <v>150.65</v>
      </c>
      <c r="T17" s="183" t="s">
        <v>20</v>
      </c>
      <c r="U17" s="183" t="s">
        <v>746</v>
      </c>
      <c r="V17" s="448" t="s">
        <v>943</v>
      </c>
    </row>
    <row r="18">
      <c r="A18" s="441">
        <v>46196.90104033565</v>
      </c>
      <c r="B18" s="190">
        <v>241091.0</v>
      </c>
      <c r="C18" s="442" t="s">
        <v>1346</v>
      </c>
      <c r="D18" s="442" t="s">
        <v>1345</v>
      </c>
      <c r="E18" s="179">
        <v>19.0</v>
      </c>
      <c r="F18" s="179">
        <v>17.0</v>
      </c>
      <c r="G18" s="179">
        <v>6.0</v>
      </c>
      <c r="H18" s="180">
        <v>0.353</v>
      </c>
      <c r="I18" s="443" t="s">
        <v>32</v>
      </c>
      <c r="J18" s="444">
        <v>0.156</v>
      </c>
      <c r="K18" s="443">
        <v>54.01</v>
      </c>
      <c r="L18" s="443">
        <v>43.36</v>
      </c>
      <c r="M18" s="443">
        <v>160.84</v>
      </c>
      <c r="N18" s="443">
        <v>159.79</v>
      </c>
      <c r="O18" s="443" t="s">
        <v>107</v>
      </c>
      <c r="P18" s="443">
        <v>53.6</v>
      </c>
      <c r="Q18" s="443">
        <v>43.16</v>
      </c>
      <c r="R18" s="443">
        <v>159.87</v>
      </c>
      <c r="S18" s="443">
        <v>159.29</v>
      </c>
      <c r="T18" s="178" t="s">
        <v>20</v>
      </c>
      <c r="U18" s="178" t="s">
        <v>746</v>
      </c>
      <c r="V18" s="445" t="s">
        <v>855</v>
      </c>
    </row>
    <row r="19">
      <c r="A19" s="449">
        <v>46196.902119618055</v>
      </c>
      <c r="B19" s="194">
        <v>148157.0</v>
      </c>
      <c r="C19" s="150" t="s">
        <v>1299</v>
      </c>
      <c r="D19" s="150" t="s">
        <v>1298</v>
      </c>
      <c r="E19" s="184">
        <v>73.0</v>
      </c>
      <c r="F19" s="184">
        <v>71.0</v>
      </c>
      <c r="G19" s="184">
        <v>5.0</v>
      </c>
      <c r="H19" s="185">
        <v>0.07</v>
      </c>
      <c r="I19" s="152" t="s">
        <v>32</v>
      </c>
      <c r="J19" s="447">
        <v>0.061</v>
      </c>
      <c r="K19" s="152">
        <v>50.69</v>
      </c>
      <c r="L19" s="152">
        <v>45.23</v>
      </c>
      <c r="M19" s="152">
        <v>152.78</v>
      </c>
      <c r="N19" s="152">
        <v>152.78</v>
      </c>
      <c r="O19" s="443" t="s">
        <v>107</v>
      </c>
      <c r="P19" s="152">
        <v>50.5</v>
      </c>
      <c r="Q19" s="152">
        <v>45.05</v>
      </c>
      <c r="R19" s="152">
        <v>152.19</v>
      </c>
      <c r="S19" s="152">
        <v>152.11</v>
      </c>
      <c r="T19" s="178" t="s">
        <v>20</v>
      </c>
      <c r="U19" s="178" t="s">
        <v>746</v>
      </c>
      <c r="V19" s="448" t="s">
        <v>855</v>
      </c>
    </row>
    <row r="20">
      <c r="A20" s="441">
        <v>46196.90314005787</v>
      </c>
      <c r="B20" s="190">
        <v>241120.0</v>
      </c>
      <c r="C20" s="442" t="s">
        <v>1381</v>
      </c>
      <c r="D20" s="442" t="s">
        <v>1380</v>
      </c>
      <c r="E20" s="179">
        <v>49.0</v>
      </c>
      <c r="F20" s="179">
        <v>44.0</v>
      </c>
      <c r="G20" s="179">
        <v>5.0</v>
      </c>
      <c r="H20" s="180">
        <v>0.114</v>
      </c>
      <c r="I20" s="443" t="s">
        <v>32</v>
      </c>
      <c r="J20" s="444">
        <v>0.06</v>
      </c>
      <c r="K20" s="443">
        <v>56.09</v>
      </c>
      <c r="L20" s="443">
        <v>39.17</v>
      </c>
      <c r="M20" s="443">
        <v>164.14</v>
      </c>
      <c r="N20" s="443">
        <v>163.8</v>
      </c>
      <c r="O20" s="443" t="s">
        <v>107</v>
      </c>
      <c r="P20" s="443">
        <v>55.89</v>
      </c>
      <c r="Q20" s="443">
        <v>38.95</v>
      </c>
      <c r="R20" s="443">
        <v>163.33</v>
      </c>
      <c r="S20" s="443">
        <v>163.09</v>
      </c>
      <c r="T20" s="178" t="s">
        <v>20</v>
      </c>
      <c r="U20" s="178" t="s">
        <v>746</v>
      </c>
      <c r="V20" s="445" t="s">
        <v>855</v>
      </c>
    </row>
    <row r="21">
      <c r="A21" s="446"/>
      <c r="B21" s="194">
        <v>134949.0</v>
      </c>
      <c r="C21" s="150" t="s">
        <v>1316</v>
      </c>
      <c r="D21" s="150" t="s">
        <v>1315</v>
      </c>
      <c r="E21" s="184">
        <v>19.0</v>
      </c>
      <c r="F21" s="184">
        <v>16.0</v>
      </c>
      <c r="G21" s="184">
        <v>4.0</v>
      </c>
      <c r="H21" s="185">
        <v>0.25</v>
      </c>
      <c r="I21" s="152" t="s">
        <v>32</v>
      </c>
      <c r="J21" s="447"/>
      <c r="K21" s="450"/>
      <c r="L21" s="450"/>
      <c r="M21" s="450"/>
      <c r="N21" s="450"/>
      <c r="O21" s="450"/>
      <c r="P21" s="450"/>
      <c r="Q21" s="450"/>
      <c r="R21" s="450"/>
      <c r="S21" s="450"/>
      <c r="T21" s="196"/>
      <c r="U21" s="196"/>
      <c r="V21" s="448" t="s">
        <v>943</v>
      </c>
    </row>
    <row r="22">
      <c r="A22" s="451"/>
      <c r="B22" s="190">
        <v>134951.0</v>
      </c>
      <c r="C22" s="442" t="s">
        <v>1311</v>
      </c>
      <c r="D22" s="442" t="s">
        <v>1310</v>
      </c>
      <c r="E22" s="179">
        <v>26.0</v>
      </c>
      <c r="F22" s="179">
        <v>25.0</v>
      </c>
      <c r="G22" s="179">
        <v>4.0</v>
      </c>
      <c r="H22" s="180">
        <v>0.16</v>
      </c>
      <c r="I22" s="443" t="s">
        <v>1524</v>
      </c>
      <c r="J22" s="444">
        <v>0.1818</v>
      </c>
      <c r="K22" s="452"/>
      <c r="L22" s="452"/>
      <c r="M22" s="452"/>
      <c r="N22" s="452"/>
      <c r="O22" s="452"/>
      <c r="P22" s="452"/>
      <c r="Q22" s="452"/>
      <c r="R22" s="452"/>
      <c r="S22" s="452"/>
      <c r="T22" s="192"/>
      <c r="U22" s="192"/>
      <c r="V22" s="448" t="s">
        <v>943</v>
      </c>
    </row>
    <row r="23">
      <c r="A23" s="441">
        <v>46196.90446023148</v>
      </c>
      <c r="B23" s="190">
        <v>148906.0</v>
      </c>
      <c r="C23" s="442" t="s">
        <v>1357</v>
      </c>
      <c r="D23" s="442" t="s">
        <v>1356</v>
      </c>
      <c r="E23" s="179">
        <v>26.0</v>
      </c>
      <c r="F23" s="179">
        <v>23.0</v>
      </c>
      <c r="G23" s="179">
        <v>4.0</v>
      </c>
      <c r="H23" s="180">
        <v>0.174</v>
      </c>
      <c r="I23" s="443" t="s">
        <v>32</v>
      </c>
      <c r="J23" s="444">
        <v>0.121</v>
      </c>
      <c r="K23" s="443">
        <v>49.66</v>
      </c>
      <c r="L23" s="443">
        <v>39.02</v>
      </c>
      <c r="M23" s="443">
        <v>147.01</v>
      </c>
      <c r="N23" s="443">
        <v>147.3</v>
      </c>
      <c r="O23" s="443" t="s">
        <v>107</v>
      </c>
      <c r="P23" s="443">
        <v>49.4</v>
      </c>
      <c r="Q23" s="443">
        <v>38.8</v>
      </c>
      <c r="R23" s="443">
        <v>146.2</v>
      </c>
      <c r="S23" s="443">
        <v>146.38</v>
      </c>
      <c r="T23" s="178" t="s">
        <v>20</v>
      </c>
      <c r="U23" s="178" t="s">
        <v>746</v>
      </c>
      <c r="V23" s="445" t="s">
        <v>855</v>
      </c>
    </row>
    <row r="24">
      <c r="A24" s="449">
        <v>46196.910338981485</v>
      </c>
      <c r="B24" s="194">
        <v>224353.0</v>
      </c>
      <c r="C24" s="150" t="s">
        <v>1397</v>
      </c>
      <c r="D24" s="150" t="s">
        <v>1396</v>
      </c>
      <c r="E24" s="184">
        <v>54.0</v>
      </c>
      <c r="F24" s="184">
        <v>51.0</v>
      </c>
      <c r="G24" s="184">
        <v>4.0</v>
      </c>
      <c r="H24" s="185">
        <v>0.078</v>
      </c>
      <c r="I24" s="152" t="s">
        <v>32</v>
      </c>
      <c r="J24" s="447">
        <v>0.019</v>
      </c>
      <c r="K24" s="152">
        <v>55.08</v>
      </c>
      <c r="L24" s="152">
        <v>45.95</v>
      </c>
      <c r="M24" s="152">
        <v>165.74</v>
      </c>
      <c r="N24" s="152">
        <v>165.75</v>
      </c>
      <c r="O24" s="443" t="s">
        <v>107</v>
      </c>
      <c r="P24" s="152">
        <v>54.91</v>
      </c>
      <c r="Q24" s="152">
        <v>45.9</v>
      </c>
      <c r="R24" s="152">
        <v>165.11</v>
      </c>
      <c r="S24" s="152">
        <v>165.11</v>
      </c>
      <c r="T24" s="178" t="s">
        <v>20</v>
      </c>
      <c r="U24" s="178" t="s">
        <v>746</v>
      </c>
      <c r="V24" s="448" t="s">
        <v>855</v>
      </c>
    </row>
    <row r="25">
      <c r="A25" s="441">
        <v>46196.91138424768</v>
      </c>
      <c r="B25" s="190">
        <v>224849.0</v>
      </c>
      <c r="C25" s="442" t="s">
        <v>1375</v>
      </c>
      <c r="D25" s="442" t="s">
        <v>1374</v>
      </c>
      <c r="E25" s="179">
        <v>65.0</v>
      </c>
      <c r="F25" s="179">
        <v>57.0</v>
      </c>
      <c r="G25" s="179">
        <v>4.0</v>
      </c>
      <c r="H25" s="180">
        <v>0.07</v>
      </c>
      <c r="I25" s="443" t="s">
        <v>32</v>
      </c>
      <c r="J25" s="444">
        <v>0.039</v>
      </c>
      <c r="K25" s="443">
        <v>54.21</v>
      </c>
      <c r="L25" s="443">
        <v>42.42</v>
      </c>
      <c r="M25" s="443">
        <v>161.52</v>
      </c>
      <c r="N25" s="443">
        <v>161.36</v>
      </c>
      <c r="O25" s="443" t="s">
        <v>107</v>
      </c>
      <c r="P25" s="443">
        <v>54.0</v>
      </c>
      <c r="Q25" s="443">
        <v>42.2</v>
      </c>
      <c r="R25" s="443">
        <v>160.83</v>
      </c>
      <c r="S25" s="443">
        <v>160.56</v>
      </c>
      <c r="T25" s="178" t="s">
        <v>20</v>
      </c>
      <c r="U25" s="178" t="s">
        <v>746</v>
      </c>
      <c r="V25" s="445" t="s">
        <v>855</v>
      </c>
    </row>
    <row r="26">
      <c r="A26" s="441">
        <v>46200.91662509259</v>
      </c>
      <c r="B26" s="190">
        <v>234798.0</v>
      </c>
      <c r="C26" s="442" t="s">
        <v>1265</v>
      </c>
      <c r="D26" s="442" t="s">
        <v>1263</v>
      </c>
      <c r="E26" s="179">
        <v>5.0</v>
      </c>
      <c r="F26" s="179">
        <v>5.0</v>
      </c>
      <c r="G26" s="179">
        <v>4.0</v>
      </c>
      <c r="H26" s="180">
        <v>0.8</v>
      </c>
      <c r="I26" s="443" t="s">
        <v>17</v>
      </c>
      <c r="J26" s="444">
        <v>0.4</v>
      </c>
      <c r="K26" s="442">
        <v>51.65</v>
      </c>
      <c r="L26" s="443">
        <v>43.55</v>
      </c>
      <c r="M26" s="443">
        <v>154.42</v>
      </c>
      <c r="N26" s="443">
        <v>154.11</v>
      </c>
      <c r="O26" s="443" t="s">
        <v>107</v>
      </c>
      <c r="P26" s="443">
        <v>52.21</v>
      </c>
      <c r="Q26" s="443">
        <v>44.1</v>
      </c>
      <c r="R26" s="443">
        <v>156.21</v>
      </c>
      <c r="S26" s="443">
        <v>156.17</v>
      </c>
      <c r="T26" s="178" t="s">
        <v>20</v>
      </c>
      <c r="U26" s="178" t="s">
        <v>746</v>
      </c>
      <c r="V26" s="445" t="s">
        <v>855</v>
      </c>
    </row>
    <row r="27">
      <c r="A27" s="449">
        <v>46200.91393730324</v>
      </c>
      <c r="B27" s="194">
        <v>235307.0</v>
      </c>
      <c r="C27" s="150" t="s">
        <v>1305</v>
      </c>
      <c r="D27" s="150" t="s">
        <v>1304</v>
      </c>
      <c r="E27" s="184">
        <v>38.0</v>
      </c>
      <c r="F27" s="184">
        <v>37.0</v>
      </c>
      <c r="G27" s="184">
        <v>4.0</v>
      </c>
      <c r="H27" s="185">
        <v>0.108</v>
      </c>
      <c r="I27" s="152" t="s">
        <v>17</v>
      </c>
      <c r="J27" s="447">
        <v>0.023</v>
      </c>
      <c r="K27" s="150">
        <v>50.18</v>
      </c>
      <c r="L27" s="152">
        <v>40.94</v>
      </c>
      <c r="M27" s="152">
        <v>152.28</v>
      </c>
      <c r="N27" s="152">
        <v>152.2</v>
      </c>
      <c r="O27" s="443" t="s">
        <v>107</v>
      </c>
      <c r="P27" s="152">
        <v>51.3</v>
      </c>
      <c r="Q27" s="152">
        <v>41.1</v>
      </c>
      <c r="R27" s="152">
        <v>152.38</v>
      </c>
      <c r="S27" s="152">
        <v>152.68</v>
      </c>
      <c r="T27" s="178" t="s">
        <v>20</v>
      </c>
      <c r="U27" s="178" t="s">
        <v>746</v>
      </c>
      <c r="V27" s="448" t="s">
        <v>855</v>
      </c>
    </row>
    <row r="28">
      <c r="A28" s="441">
        <v>46200.9148149074</v>
      </c>
      <c r="B28" s="190">
        <v>236141.0</v>
      </c>
      <c r="C28" s="442" t="s">
        <v>1406</v>
      </c>
      <c r="D28" s="442" t="s">
        <v>325</v>
      </c>
      <c r="E28" s="179">
        <v>71.0</v>
      </c>
      <c r="F28" s="179">
        <v>70.0</v>
      </c>
      <c r="G28" s="179">
        <v>4.0</v>
      </c>
      <c r="H28" s="180">
        <v>0.057</v>
      </c>
      <c r="I28" s="443" t="s">
        <v>17</v>
      </c>
      <c r="J28" s="444">
        <v>0.037</v>
      </c>
      <c r="K28" s="443">
        <v>53.5</v>
      </c>
      <c r="L28" s="443">
        <v>41.52</v>
      </c>
      <c r="M28" s="443">
        <v>157.98</v>
      </c>
      <c r="N28" s="443">
        <v>158.1</v>
      </c>
      <c r="O28" s="443" t="s">
        <v>107</v>
      </c>
      <c r="P28" s="443">
        <v>53.7</v>
      </c>
      <c r="Q28" s="443">
        <v>41.71</v>
      </c>
      <c r="R28" s="443">
        <v>158.12</v>
      </c>
      <c r="S28" s="443">
        <v>158.14</v>
      </c>
      <c r="T28" s="178" t="s">
        <v>20</v>
      </c>
      <c r="U28" s="178" t="s">
        <v>746</v>
      </c>
      <c r="V28" s="445" t="s">
        <v>855</v>
      </c>
    </row>
    <row r="29">
      <c r="A29" s="449">
        <v>46200.91514865741</v>
      </c>
      <c r="B29" s="194">
        <v>238583.0</v>
      </c>
      <c r="C29" s="150" t="s">
        <v>1379</v>
      </c>
      <c r="D29" s="150" t="s">
        <v>1378</v>
      </c>
      <c r="E29" s="184">
        <v>34.0</v>
      </c>
      <c r="F29" s="184">
        <v>34.0</v>
      </c>
      <c r="G29" s="184">
        <v>5.0</v>
      </c>
      <c r="H29" s="185">
        <v>0.118</v>
      </c>
      <c r="I29" s="152" t="s">
        <v>32</v>
      </c>
      <c r="J29" s="447">
        <v>0.111</v>
      </c>
      <c r="K29" s="152">
        <v>51.2</v>
      </c>
      <c r="L29" s="152">
        <v>36.81</v>
      </c>
      <c r="M29" s="152">
        <v>148.64</v>
      </c>
      <c r="N29" s="152">
        <v>148.85</v>
      </c>
      <c r="O29" s="443" t="s">
        <v>107</v>
      </c>
      <c r="P29" s="152">
        <v>50.95</v>
      </c>
      <c r="Q29" s="152">
        <v>36.6</v>
      </c>
      <c r="R29" s="152">
        <v>147.86</v>
      </c>
      <c r="S29" s="152">
        <v>148.3</v>
      </c>
      <c r="T29" s="178" t="s">
        <v>20</v>
      </c>
      <c r="U29" s="178" t="s">
        <v>746</v>
      </c>
      <c r="V29" s="448" t="s">
        <v>855</v>
      </c>
    </row>
    <row r="30">
      <c r="A30" s="441">
        <v>46200.916294027775</v>
      </c>
      <c r="B30" s="190">
        <v>239839.0</v>
      </c>
      <c r="C30" s="442" t="s">
        <v>1323</v>
      </c>
      <c r="D30" s="442" t="s">
        <v>91</v>
      </c>
      <c r="E30" s="179">
        <v>39.0</v>
      </c>
      <c r="F30" s="179">
        <v>32.0</v>
      </c>
      <c r="G30" s="179">
        <v>4.0</v>
      </c>
      <c r="H30" s="180">
        <v>0.125</v>
      </c>
      <c r="I30" s="443" t="s">
        <v>32</v>
      </c>
      <c r="J30" s="444">
        <v>0.023</v>
      </c>
      <c r="K30" s="443">
        <v>53.4</v>
      </c>
      <c r="L30" s="443">
        <v>35.8</v>
      </c>
      <c r="M30" s="443">
        <v>152.98</v>
      </c>
      <c r="N30" s="443">
        <v>152.68</v>
      </c>
      <c r="O30" s="443" t="s">
        <v>107</v>
      </c>
      <c r="P30" s="443">
        <v>53.21</v>
      </c>
      <c r="Q30" s="443">
        <v>35.6</v>
      </c>
      <c r="R30" s="443">
        <v>152.44</v>
      </c>
      <c r="S30" s="443">
        <v>152.42</v>
      </c>
      <c r="T30" s="178" t="s">
        <v>20</v>
      </c>
      <c r="U30" s="178" t="s">
        <v>746</v>
      </c>
      <c r="V30" s="445" t="s">
        <v>855</v>
      </c>
    </row>
    <row r="31">
      <c r="I31" s="174"/>
      <c r="J31" s="453"/>
      <c r="K31" s="174"/>
      <c r="L31" s="174"/>
      <c r="M31" s="174"/>
      <c r="N31" s="174"/>
      <c r="O31" s="174"/>
      <c r="P31" s="174"/>
      <c r="Q31" s="174"/>
      <c r="R31" s="174"/>
      <c r="S31" s="174"/>
      <c r="T31" s="182"/>
    </row>
    <row r="32">
      <c r="I32" s="174"/>
      <c r="J32" s="453"/>
      <c r="K32" s="174"/>
      <c r="L32" s="174"/>
      <c r="M32" s="174"/>
      <c r="N32" s="174"/>
      <c r="O32" s="174"/>
      <c r="P32" s="174"/>
      <c r="Q32" s="174"/>
      <c r="R32" s="174"/>
      <c r="S32" s="174"/>
      <c r="T32" s="182"/>
    </row>
    <row r="33">
      <c r="I33" s="174"/>
      <c r="J33" s="453"/>
      <c r="K33" s="174"/>
      <c r="L33" s="174"/>
      <c r="M33" s="174"/>
      <c r="N33" s="174"/>
      <c r="O33" s="174"/>
      <c r="P33" s="174"/>
      <c r="Q33" s="174"/>
      <c r="R33" s="174"/>
      <c r="S33" s="174"/>
      <c r="T33" s="182"/>
    </row>
    <row r="34">
      <c r="I34" s="174"/>
      <c r="J34" s="453"/>
      <c r="K34" s="174"/>
      <c r="L34" s="174"/>
      <c r="M34" s="174"/>
      <c r="N34" s="174"/>
      <c r="O34" s="174"/>
      <c r="P34" s="174"/>
      <c r="Q34" s="174"/>
      <c r="R34" s="174"/>
      <c r="S34" s="174"/>
      <c r="T34" s="182"/>
    </row>
    <row r="35">
      <c r="I35" s="174"/>
      <c r="J35" s="453"/>
      <c r="K35" s="174"/>
      <c r="L35" s="174"/>
      <c r="M35" s="174"/>
      <c r="N35" s="174"/>
      <c r="O35" s="174"/>
      <c r="P35" s="174"/>
      <c r="Q35" s="174"/>
      <c r="R35" s="174"/>
      <c r="S35" s="174"/>
      <c r="T35" s="182"/>
    </row>
    <row r="36">
      <c r="I36" s="174"/>
      <c r="J36" s="453"/>
      <c r="K36" s="174"/>
      <c r="L36" s="174"/>
      <c r="M36" s="174"/>
      <c r="N36" s="174"/>
      <c r="O36" s="174"/>
      <c r="P36" s="174"/>
      <c r="Q36" s="174"/>
      <c r="R36" s="174"/>
      <c r="S36" s="174"/>
      <c r="T36" s="182"/>
    </row>
    <row r="37">
      <c r="I37" s="174"/>
      <c r="J37" s="453"/>
      <c r="K37" s="174"/>
      <c r="L37" s="174"/>
      <c r="M37" s="174"/>
      <c r="N37" s="174"/>
      <c r="O37" s="174"/>
      <c r="P37" s="174"/>
      <c r="Q37" s="174"/>
      <c r="R37" s="174"/>
      <c r="S37" s="174"/>
      <c r="T37" s="182"/>
    </row>
    <row r="38">
      <c r="I38" s="174"/>
      <c r="J38" s="453"/>
      <c r="K38" s="174"/>
      <c r="L38" s="174"/>
      <c r="M38" s="174"/>
      <c r="N38" s="174"/>
      <c r="O38" s="174"/>
      <c r="P38" s="174"/>
      <c r="Q38" s="174"/>
      <c r="R38" s="174"/>
      <c r="S38" s="174"/>
      <c r="T38" s="182"/>
    </row>
    <row r="39">
      <c r="I39" s="174"/>
      <c r="J39" s="453"/>
      <c r="K39" s="174"/>
      <c r="L39" s="174"/>
      <c r="M39" s="174"/>
      <c r="N39" s="174"/>
      <c r="O39" s="174"/>
      <c r="P39" s="174"/>
      <c r="Q39" s="174"/>
      <c r="R39" s="174"/>
      <c r="S39" s="174"/>
      <c r="T39" s="182"/>
    </row>
    <row r="40">
      <c r="I40" s="174"/>
      <c r="J40" s="453"/>
      <c r="K40" s="174"/>
      <c r="L40" s="174"/>
      <c r="M40" s="174"/>
      <c r="N40" s="174"/>
      <c r="O40" s="174"/>
      <c r="P40" s="174"/>
      <c r="Q40" s="174"/>
      <c r="R40" s="174"/>
      <c r="S40" s="174"/>
      <c r="T40" s="182"/>
    </row>
    <row r="41">
      <c r="I41" s="174"/>
      <c r="J41" s="453"/>
      <c r="K41" s="174"/>
      <c r="L41" s="174"/>
      <c r="M41" s="174"/>
      <c r="N41" s="174"/>
      <c r="O41" s="174"/>
      <c r="P41" s="174"/>
      <c r="Q41" s="174"/>
      <c r="R41" s="174"/>
      <c r="S41" s="174"/>
      <c r="T41" s="182"/>
    </row>
    <row r="42">
      <c r="I42" s="174"/>
      <c r="J42" s="453"/>
      <c r="K42" s="174"/>
      <c r="L42" s="174"/>
      <c r="M42" s="174"/>
      <c r="N42" s="174"/>
      <c r="O42" s="174"/>
      <c r="P42" s="174"/>
      <c r="Q42" s="174"/>
      <c r="R42" s="174"/>
      <c r="S42" s="174"/>
      <c r="T42" s="182"/>
    </row>
    <row r="43">
      <c r="I43" s="174"/>
      <c r="J43" s="453"/>
      <c r="K43" s="174"/>
      <c r="L43" s="174"/>
      <c r="M43" s="174"/>
      <c r="N43" s="174"/>
      <c r="O43" s="174"/>
      <c r="P43" s="174"/>
      <c r="Q43" s="174"/>
      <c r="R43" s="174"/>
      <c r="S43" s="174"/>
      <c r="T43" s="182"/>
    </row>
    <row r="44">
      <c r="I44" s="174"/>
      <c r="J44" s="453"/>
      <c r="K44" s="174"/>
      <c r="L44" s="174"/>
      <c r="M44" s="174"/>
      <c r="N44" s="174"/>
      <c r="O44" s="174"/>
      <c r="P44" s="174"/>
      <c r="Q44" s="174"/>
      <c r="R44" s="174"/>
      <c r="S44" s="174"/>
      <c r="T44" s="182"/>
    </row>
    <row r="45">
      <c r="I45" s="174"/>
      <c r="J45" s="453"/>
      <c r="K45" s="174"/>
      <c r="L45" s="174"/>
      <c r="M45" s="174"/>
      <c r="N45" s="174"/>
      <c r="O45" s="174"/>
      <c r="P45" s="174"/>
      <c r="Q45" s="174"/>
      <c r="R45" s="174"/>
      <c r="S45" s="174"/>
      <c r="T45" s="182"/>
    </row>
    <row r="46">
      <c r="I46" s="174"/>
      <c r="J46" s="453"/>
      <c r="K46" s="174"/>
      <c r="L46" s="174"/>
      <c r="M46" s="174"/>
      <c r="N46" s="174"/>
      <c r="O46" s="174"/>
      <c r="P46" s="174"/>
      <c r="Q46" s="174"/>
      <c r="R46" s="174"/>
      <c r="S46" s="174"/>
      <c r="T46" s="182"/>
    </row>
    <row r="47">
      <c r="I47" s="174"/>
      <c r="J47" s="453"/>
      <c r="K47" s="174"/>
      <c r="L47" s="174"/>
      <c r="M47" s="174"/>
      <c r="N47" s="174"/>
      <c r="O47" s="174"/>
      <c r="P47" s="174"/>
      <c r="Q47" s="174"/>
      <c r="R47" s="174"/>
      <c r="S47" s="174"/>
      <c r="T47" s="182"/>
    </row>
    <row r="48">
      <c r="I48" s="174"/>
      <c r="J48" s="453"/>
      <c r="K48" s="174"/>
      <c r="L48" s="174"/>
      <c r="M48" s="174"/>
      <c r="N48" s="174"/>
      <c r="O48" s="174"/>
      <c r="P48" s="174"/>
      <c r="Q48" s="174"/>
      <c r="R48" s="174"/>
      <c r="S48" s="174"/>
      <c r="T48" s="182"/>
    </row>
    <row r="49">
      <c r="I49" s="174"/>
      <c r="J49" s="453"/>
      <c r="K49" s="174"/>
      <c r="L49" s="174"/>
      <c r="M49" s="174"/>
      <c r="N49" s="174"/>
      <c r="O49" s="174"/>
      <c r="P49" s="174"/>
      <c r="Q49" s="174"/>
      <c r="R49" s="174"/>
      <c r="S49" s="174"/>
      <c r="T49" s="182"/>
    </row>
    <row r="50">
      <c r="I50" s="174"/>
      <c r="J50" s="453"/>
      <c r="K50" s="174"/>
      <c r="L50" s="174"/>
      <c r="M50" s="174"/>
      <c r="N50" s="174"/>
      <c r="O50" s="174"/>
      <c r="P50" s="174"/>
      <c r="Q50" s="174"/>
      <c r="R50" s="174"/>
      <c r="S50" s="174"/>
      <c r="T50" s="182"/>
    </row>
    <row r="51">
      <c r="I51" s="174"/>
      <c r="J51" s="453"/>
      <c r="K51" s="174"/>
      <c r="L51" s="174"/>
      <c r="M51" s="174"/>
      <c r="N51" s="174"/>
      <c r="O51" s="174"/>
      <c r="P51" s="174"/>
      <c r="Q51" s="174"/>
      <c r="R51" s="174"/>
      <c r="S51" s="174"/>
      <c r="T51" s="182"/>
    </row>
    <row r="52">
      <c r="I52" s="174"/>
      <c r="J52" s="453"/>
      <c r="K52" s="174"/>
      <c r="L52" s="174"/>
      <c r="M52" s="174"/>
      <c r="N52" s="174"/>
      <c r="O52" s="174"/>
      <c r="P52" s="174"/>
      <c r="Q52" s="174"/>
      <c r="R52" s="174"/>
      <c r="S52" s="174"/>
      <c r="T52" s="182"/>
    </row>
    <row r="53">
      <c r="I53" s="174"/>
      <c r="J53" s="453"/>
      <c r="K53" s="174"/>
      <c r="L53" s="174"/>
      <c r="M53" s="174"/>
      <c r="N53" s="174"/>
      <c r="O53" s="174"/>
      <c r="P53" s="174"/>
      <c r="Q53" s="174"/>
      <c r="R53" s="174"/>
      <c r="S53" s="174"/>
      <c r="T53" s="182"/>
    </row>
    <row r="54">
      <c r="I54" s="174"/>
      <c r="J54" s="453"/>
      <c r="K54" s="174"/>
      <c r="L54" s="174"/>
      <c r="M54" s="174"/>
      <c r="N54" s="174"/>
      <c r="O54" s="174"/>
      <c r="P54" s="174"/>
      <c r="Q54" s="174"/>
      <c r="R54" s="174"/>
      <c r="S54" s="174"/>
      <c r="T54" s="182"/>
    </row>
    <row r="55">
      <c r="I55" s="174"/>
      <c r="J55" s="453"/>
      <c r="K55" s="174"/>
      <c r="L55" s="174"/>
      <c r="M55" s="174"/>
      <c r="N55" s="174"/>
      <c r="O55" s="174"/>
      <c r="P55" s="174"/>
      <c r="Q55" s="174"/>
      <c r="R55" s="174"/>
      <c r="S55" s="174"/>
      <c r="T55" s="182"/>
    </row>
    <row r="56">
      <c r="I56" s="174"/>
      <c r="J56" s="453"/>
      <c r="K56" s="174"/>
      <c r="L56" s="174"/>
      <c r="M56" s="174"/>
      <c r="N56" s="174"/>
      <c r="O56" s="174"/>
      <c r="P56" s="174"/>
      <c r="Q56" s="174"/>
      <c r="R56" s="174"/>
      <c r="S56" s="174"/>
      <c r="T56" s="182"/>
    </row>
    <row r="57">
      <c r="I57" s="174"/>
      <c r="J57" s="453"/>
      <c r="K57" s="174"/>
      <c r="L57" s="174"/>
      <c r="M57" s="174"/>
      <c r="N57" s="174"/>
      <c r="O57" s="174"/>
      <c r="P57" s="174"/>
      <c r="Q57" s="174"/>
      <c r="R57" s="174"/>
      <c r="S57" s="174"/>
      <c r="T57" s="182"/>
    </row>
    <row r="58">
      <c r="I58" s="174"/>
      <c r="J58" s="453"/>
      <c r="K58" s="174"/>
      <c r="L58" s="174"/>
      <c r="M58" s="174"/>
      <c r="N58" s="174"/>
      <c r="O58" s="174"/>
      <c r="P58" s="174"/>
      <c r="Q58" s="174"/>
      <c r="R58" s="174"/>
      <c r="S58" s="174"/>
      <c r="T58" s="182"/>
    </row>
    <row r="59">
      <c r="I59" s="174"/>
      <c r="J59" s="453"/>
      <c r="K59" s="174"/>
      <c r="L59" s="174"/>
      <c r="M59" s="174"/>
      <c r="N59" s="174"/>
      <c r="O59" s="174"/>
      <c r="P59" s="174"/>
      <c r="Q59" s="174"/>
      <c r="R59" s="174"/>
      <c r="S59" s="174"/>
      <c r="T59" s="182"/>
    </row>
    <row r="60">
      <c r="I60" s="174"/>
      <c r="J60" s="453"/>
      <c r="K60" s="174"/>
      <c r="L60" s="174"/>
      <c r="M60" s="174"/>
      <c r="N60" s="174"/>
      <c r="O60" s="174"/>
      <c r="P60" s="174"/>
      <c r="Q60" s="174"/>
      <c r="R60" s="174"/>
      <c r="S60" s="174"/>
      <c r="T60" s="182"/>
    </row>
    <row r="61">
      <c r="I61" s="174"/>
      <c r="J61" s="453"/>
      <c r="K61" s="174"/>
      <c r="L61" s="174"/>
      <c r="M61" s="174"/>
      <c r="N61" s="174"/>
      <c r="O61" s="174"/>
      <c r="P61" s="174"/>
      <c r="Q61" s="174"/>
      <c r="R61" s="174"/>
      <c r="S61" s="174"/>
      <c r="T61" s="182"/>
    </row>
    <row r="62">
      <c r="I62" s="174"/>
      <c r="J62" s="453"/>
      <c r="K62" s="174"/>
      <c r="L62" s="174"/>
      <c r="M62" s="174"/>
      <c r="N62" s="174"/>
      <c r="O62" s="174"/>
      <c r="P62" s="174"/>
      <c r="Q62" s="174"/>
      <c r="R62" s="174"/>
      <c r="S62" s="174"/>
      <c r="T62" s="182"/>
    </row>
    <row r="63">
      <c r="I63" s="174"/>
      <c r="J63" s="453"/>
      <c r="K63" s="174"/>
      <c r="L63" s="174"/>
      <c r="M63" s="174"/>
      <c r="N63" s="174"/>
      <c r="O63" s="174"/>
      <c r="P63" s="174"/>
      <c r="Q63" s="174"/>
      <c r="R63" s="174"/>
      <c r="S63" s="174"/>
      <c r="T63" s="182"/>
    </row>
    <row r="64">
      <c r="I64" s="174"/>
      <c r="J64" s="453"/>
      <c r="K64" s="174"/>
      <c r="L64" s="174"/>
      <c r="M64" s="174"/>
      <c r="N64" s="174"/>
      <c r="O64" s="174"/>
      <c r="P64" s="174"/>
      <c r="Q64" s="174"/>
      <c r="R64" s="174"/>
      <c r="S64" s="174"/>
      <c r="T64" s="182"/>
    </row>
    <row r="65">
      <c r="I65" s="174"/>
      <c r="J65" s="453"/>
      <c r="K65" s="174"/>
      <c r="L65" s="174"/>
      <c r="M65" s="174"/>
      <c r="N65" s="174"/>
      <c r="O65" s="174"/>
      <c r="P65" s="174"/>
      <c r="Q65" s="174"/>
      <c r="R65" s="174"/>
      <c r="S65" s="174"/>
      <c r="T65" s="182"/>
    </row>
    <row r="66">
      <c r="I66" s="174"/>
      <c r="J66" s="453"/>
      <c r="K66" s="174"/>
      <c r="L66" s="174"/>
      <c r="M66" s="174"/>
      <c r="N66" s="174"/>
      <c r="O66" s="174"/>
      <c r="P66" s="174"/>
      <c r="Q66" s="174"/>
      <c r="R66" s="174"/>
      <c r="S66" s="174"/>
      <c r="T66" s="182"/>
    </row>
    <row r="67">
      <c r="I67" s="174"/>
      <c r="J67" s="453"/>
      <c r="K67" s="174"/>
      <c r="L67" s="174"/>
      <c r="M67" s="174"/>
      <c r="N67" s="174"/>
      <c r="O67" s="174"/>
      <c r="P67" s="174"/>
      <c r="Q67" s="174"/>
      <c r="R67" s="174"/>
      <c r="S67" s="174"/>
      <c r="T67" s="182"/>
    </row>
    <row r="68">
      <c r="I68" s="174"/>
      <c r="J68" s="453"/>
      <c r="K68" s="174"/>
      <c r="L68" s="174"/>
      <c r="M68" s="174"/>
      <c r="N68" s="174"/>
      <c r="O68" s="174"/>
      <c r="P68" s="174"/>
      <c r="Q68" s="174"/>
      <c r="R68" s="174"/>
      <c r="S68" s="174"/>
      <c r="T68" s="182"/>
    </row>
    <row r="69">
      <c r="I69" s="174"/>
      <c r="J69" s="453"/>
      <c r="K69" s="174"/>
      <c r="L69" s="174"/>
      <c r="M69" s="174"/>
      <c r="N69" s="174"/>
      <c r="O69" s="174"/>
      <c r="P69" s="174"/>
      <c r="Q69" s="174"/>
      <c r="R69" s="174"/>
      <c r="S69" s="174"/>
      <c r="T69" s="182"/>
    </row>
    <row r="70">
      <c r="I70" s="174"/>
      <c r="J70" s="453"/>
      <c r="K70" s="174"/>
      <c r="L70" s="174"/>
      <c r="M70" s="174"/>
      <c r="N70" s="174"/>
      <c r="O70" s="174"/>
      <c r="P70" s="174"/>
      <c r="Q70" s="174"/>
      <c r="R70" s="174"/>
      <c r="S70" s="174"/>
      <c r="T70" s="182"/>
    </row>
    <row r="71">
      <c r="I71" s="174"/>
      <c r="J71" s="453"/>
      <c r="K71" s="174"/>
      <c r="L71" s="174"/>
      <c r="M71" s="174"/>
      <c r="N71" s="174"/>
      <c r="O71" s="174"/>
      <c r="P71" s="174"/>
      <c r="Q71" s="174"/>
      <c r="R71" s="174"/>
      <c r="S71" s="174"/>
      <c r="T71" s="182"/>
    </row>
    <row r="72">
      <c r="I72" s="174"/>
      <c r="J72" s="453"/>
      <c r="K72" s="174"/>
      <c r="L72" s="174"/>
      <c r="M72" s="174"/>
      <c r="N72" s="174"/>
      <c r="O72" s="174"/>
      <c r="P72" s="174"/>
      <c r="Q72" s="174"/>
      <c r="R72" s="174"/>
      <c r="S72" s="174"/>
      <c r="T72" s="182"/>
    </row>
    <row r="73">
      <c r="I73" s="174"/>
      <c r="J73" s="453"/>
      <c r="K73" s="174"/>
      <c r="L73" s="174"/>
      <c r="M73" s="174"/>
      <c r="N73" s="174"/>
      <c r="O73" s="174"/>
      <c r="P73" s="174"/>
      <c r="Q73" s="174"/>
      <c r="R73" s="174"/>
      <c r="S73" s="174"/>
      <c r="T73" s="182"/>
    </row>
    <row r="74">
      <c r="I74" s="174"/>
      <c r="J74" s="453"/>
      <c r="K74" s="174"/>
      <c r="L74" s="174"/>
      <c r="M74" s="174"/>
      <c r="N74" s="174"/>
      <c r="O74" s="174"/>
      <c r="P74" s="174"/>
      <c r="Q74" s="174"/>
      <c r="R74" s="174"/>
      <c r="S74" s="174"/>
      <c r="T74" s="182"/>
    </row>
    <row r="75">
      <c r="I75" s="174"/>
      <c r="J75" s="453"/>
      <c r="K75" s="174"/>
      <c r="L75" s="174"/>
      <c r="M75" s="174"/>
      <c r="N75" s="174"/>
      <c r="O75" s="174"/>
      <c r="P75" s="174"/>
      <c r="Q75" s="174"/>
      <c r="R75" s="174"/>
      <c r="S75" s="174"/>
      <c r="T75" s="182"/>
    </row>
    <row r="76">
      <c r="I76" s="174"/>
      <c r="J76" s="453"/>
      <c r="K76" s="174"/>
      <c r="L76" s="174"/>
      <c r="M76" s="174"/>
      <c r="N76" s="174"/>
      <c r="O76" s="174"/>
      <c r="P76" s="174"/>
      <c r="Q76" s="174"/>
      <c r="R76" s="174"/>
      <c r="S76" s="174"/>
      <c r="T76" s="182"/>
    </row>
    <row r="77">
      <c r="I77" s="174"/>
      <c r="J77" s="453"/>
      <c r="K77" s="174"/>
      <c r="L77" s="174"/>
      <c r="M77" s="174"/>
      <c r="N77" s="174"/>
      <c r="O77" s="174"/>
      <c r="P77" s="174"/>
      <c r="Q77" s="174"/>
      <c r="R77" s="174"/>
      <c r="S77" s="174"/>
      <c r="T77" s="182"/>
    </row>
    <row r="78">
      <c r="I78" s="174"/>
      <c r="J78" s="453"/>
      <c r="K78" s="174"/>
      <c r="L78" s="174"/>
      <c r="M78" s="174"/>
      <c r="N78" s="174"/>
      <c r="O78" s="174"/>
      <c r="P78" s="174"/>
      <c r="Q78" s="174"/>
      <c r="R78" s="174"/>
      <c r="S78" s="174"/>
      <c r="T78" s="182"/>
    </row>
    <row r="79">
      <c r="I79" s="174"/>
      <c r="J79" s="453"/>
      <c r="K79" s="174"/>
      <c r="L79" s="174"/>
      <c r="M79" s="174"/>
      <c r="N79" s="174"/>
      <c r="O79" s="174"/>
      <c r="P79" s="174"/>
      <c r="Q79" s="174"/>
      <c r="R79" s="174"/>
      <c r="S79" s="174"/>
      <c r="T79" s="182"/>
    </row>
    <row r="80">
      <c r="I80" s="174"/>
      <c r="J80" s="453"/>
      <c r="K80" s="174"/>
      <c r="L80" s="174"/>
      <c r="M80" s="174"/>
      <c r="N80" s="174"/>
      <c r="O80" s="174"/>
      <c r="P80" s="174"/>
      <c r="Q80" s="174"/>
      <c r="R80" s="174"/>
      <c r="S80" s="174"/>
      <c r="T80" s="182"/>
    </row>
    <row r="81">
      <c r="I81" s="174"/>
      <c r="J81" s="453"/>
      <c r="K81" s="174"/>
      <c r="L81" s="174"/>
      <c r="M81" s="174"/>
      <c r="N81" s="174"/>
      <c r="O81" s="174"/>
      <c r="P81" s="174"/>
      <c r="Q81" s="174"/>
      <c r="R81" s="174"/>
      <c r="S81" s="174"/>
      <c r="T81" s="182"/>
    </row>
    <row r="82">
      <c r="I82" s="174"/>
      <c r="J82" s="453"/>
      <c r="K82" s="174"/>
      <c r="L82" s="174"/>
      <c r="M82" s="174"/>
      <c r="N82" s="174"/>
      <c r="O82" s="174"/>
      <c r="P82" s="174"/>
      <c r="Q82" s="174"/>
      <c r="R82" s="174"/>
      <c r="S82" s="174"/>
      <c r="T82" s="182"/>
    </row>
    <row r="83">
      <c r="I83" s="174"/>
      <c r="J83" s="453"/>
      <c r="K83" s="174"/>
      <c r="L83" s="174"/>
      <c r="M83" s="174"/>
      <c r="N83" s="174"/>
      <c r="O83" s="174"/>
      <c r="P83" s="174"/>
      <c r="Q83" s="174"/>
      <c r="R83" s="174"/>
      <c r="S83" s="174"/>
      <c r="T83" s="182"/>
    </row>
    <row r="84">
      <c r="I84" s="174"/>
      <c r="J84" s="453"/>
      <c r="K84" s="174"/>
      <c r="L84" s="174"/>
      <c r="M84" s="174"/>
      <c r="N84" s="174"/>
      <c r="O84" s="174"/>
      <c r="P84" s="174"/>
      <c r="Q84" s="174"/>
      <c r="R84" s="174"/>
      <c r="S84" s="174"/>
      <c r="T84" s="182"/>
    </row>
    <row r="85">
      <c r="I85" s="174"/>
      <c r="J85" s="453"/>
      <c r="K85" s="174"/>
      <c r="L85" s="174"/>
      <c r="M85" s="174"/>
      <c r="N85" s="174"/>
      <c r="O85" s="174"/>
      <c r="P85" s="174"/>
      <c r="Q85" s="174"/>
      <c r="R85" s="174"/>
      <c r="S85" s="174"/>
      <c r="T85" s="182"/>
    </row>
    <row r="86">
      <c r="I86" s="174"/>
      <c r="J86" s="453"/>
      <c r="K86" s="174"/>
      <c r="L86" s="174"/>
      <c r="M86" s="174"/>
      <c r="N86" s="174"/>
      <c r="O86" s="174"/>
      <c r="P86" s="174"/>
      <c r="Q86" s="174"/>
      <c r="R86" s="174"/>
      <c r="S86" s="174"/>
      <c r="T86" s="182"/>
    </row>
    <row r="87">
      <c r="I87" s="174"/>
      <c r="J87" s="453"/>
      <c r="K87" s="174"/>
      <c r="L87" s="174"/>
      <c r="M87" s="174"/>
      <c r="N87" s="174"/>
      <c r="O87" s="174"/>
      <c r="P87" s="174"/>
      <c r="Q87" s="174"/>
      <c r="R87" s="174"/>
      <c r="S87" s="174"/>
      <c r="T87" s="182"/>
    </row>
    <row r="88">
      <c r="I88" s="174"/>
      <c r="J88" s="453"/>
      <c r="K88" s="174"/>
      <c r="L88" s="174"/>
      <c r="M88" s="174"/>
      <c r="N88" s="174"/>
      <c r="O88" s="174"/>
      <c r="P88" s="174"/>
      <c r="Q88" s="174"/>
      <c r="R88" s="174"/>
      <c r="S88" s="174"/>
      <c r="T88" s="182"/>
    </row>
    <row r="89">
      <c r="I89" s="174"/>
      <c r="J89" s="453"/>
      <c r="K89" s="174"/>
      <c r="L89" s="174"/>
      <c r="M89" s="174"/>
      <c r="N89" s="174"/>
      <c r="O89" s="174"/>
      <c r="P89" s="174"/>
      <c r="Q89" s="174"/>
      <c r="R89" s="174"/>
      <c r="S89" s="174"/>
      <c r="T89" s="182"/>
    </row>
    <row r="90">
      <c r="I90" s="174"/>
      <c r="J90" s="453"/>
      <c r="K90" s="174"/>
      <c r="L90" s="174"/>
      <c r="M90" s="174"/>
      <c r="N90" s="174"/>
      <c r="O90" s="174"/>
      <c r="P90" s="174"/>
      <c r="Q90" s="174"/>
      <c r="R90" s="174"/>
      <c r="S90" s="174"/>
      <c r="T90" s="182"/>
    </row>
    <row r="91">
      <c r="I91" s="174"/>
      <c r="J91" s="453"/>
      <c r="K91" s="174"/>
      <c r="L91" s="174"/>
      <c r="M91" s="174"/>
      <c r="N91" s="174"/>
      <c r="O91" s="174"/>
      <c r="P91" s="174"/>
      <c r="Q91" s="174"/>
      <c r="R91" s="174"/>
      <c r="S91" s="174"/>
      <c r="T91" s="182"/>
    </row>
    <row r="92">
      <c r="I92" s="174"/>
      <c r="J92" s="453"/>
      <c r="K92" s="174"/>
      <c r="L92" s="174"/>
      <c r="M92" s="174"/>
      <c r="N92" s="174"/>
      <c r="O92" s="174"/>
      <c r="P92" s="174"/>
      <c r="Q92" s="174"/>
      <c r="R92" s="174"/>
      <c r="S92" s="174"/>
      <c r="T92" s="182"/>
    </row>
    <row r="93">
      <c r="I93" s="174"/>
      <c r="J93" s="453"/>
      <c r="K93" s="174"/>
      <c r="L93" s="174"/>
      <c r="M93" s="174"/>
      <c r="N93" s="174"/>
      <c r="O93" s="174"/>
      <c r="P93" s="174"/>
      <c r="Q93" s="174"/>
      <c r="R93" s="174"/>
      <c r="S93" s="174"/>
      <c r="T93" s="182"/>
    </row>
    <row r="94">
      <c r="I94" s="174"/>
      <c r="J94" s="453"/>
      <c r="K94" s="174"/>
      <c r="L94" s="174"/>
      <c r="M94" s="174"/>
      <c r="N94" s="174"/>
      <c r="O94" s="174"/>
      <c r="P94" s="174"/>
      <c r="Q94" s="174"/>
      <c r="R94" s="174"/>
      <c r="S94" s="174"/>
      <c r="T94" s="182"/>
    </row>
    <row r="95">
      <c r="I95" s="174"/>
      <c r="J95" s="453"/>
      <c r="K95" s="174"/>
      <c r="L95" s="174"/>
      <c r="M95" s="174"/>
      <c r="N95" s="174"/>
      <c r="O95" s="174"/>
      <c r="P95" s="174"/>
      <c r="Q95" s="174"/>
      <c r="R95" s="174"/>
      <c r="S95" s="174"/>
      <c r="T95" s="182"/>
    </row>
    <row r="96">
      <c r="I96" s="174"/>
      <c r="J96" s="453"/>
      <c r="K96" s="174"/>
      <c r="L96" s="174"/>
      <c r="M96" s="174"/>
      <c r="N96" s="174"/>
      <c r="O96" s="174"/>
      <c r="P96" s="174"/>
      <c r="Q96" s="174"/>
      <c r="R96" s="174"/>
      <c r="S96" s="174"/>
      <c r="T96" s="182"/>
    </row>
    <row r="97">
      <c r="I97" s="174"/>
      <c r="J97" s="453"/>
      <c r="K97" s="174"/>
      <c r="L97" s="174"/>
      <c r="M97" s="174"/>
      <c r="N97" s="174"/>
      <c r="O97" s="174"/>
      <c r="P97" s="174"/>
      <c r="Q97" s="174"/>
      <c r="R97" s="174"/>
      <c r="S97" s="174"/>
      <c r="T97" s="182"/>
    </row>
    <row r="98">
      <c r="I98" s="174"/>
      <c r="J98" s="453"/>
      <c r="K98" s="174"/>
      <c r="L98" s="174"/>
      <c r="M98" s="174"/>
      <c r="N98" s="174"/>
      <c r="O98" s="174"/>
      <c r="P98" s="174"/>
      <c r="Q98" s="174"/>
      <c r="R98" s="174"/>
      <c r="S98" s="174"/>
      <c r="T98" s="182"/>
    </row>
    <row r="99">
      <c r="I99" s="174"/>
      <c r="J99" s="453"/>
      <c r="K99" s="174"/>
      <c r="L99" s="174"/>
      <c r="M99" s="174"/>
      <c r="N99" s="174"/>
      <c r="O99" s="174"/>
      <c r="P99" s="174"/>
      <c r="Q99" s="174"/>
      <c r="R99" s="174"/>
      <c r="S99" s="174"/>
      <c r="T99" s="182"/>
    </row>
    <row r="100">
      <c r="I100" s="174"/>
      <c r="J100" s="453"/>
      <c r="K100" s="174"/>
      <c r="L100" s="174"/>
      <c r="M100" s="174"/>
      <c r="N100" s="174"/>
      <c r="O100" s="174"/>
      <c r="P100" s="174"/>
      <c r="Q100" s="174"/>
      <c r="R100" s="174"/>
      <c r="S100" s="174"/>
      <c r="T100" s="182"/>
    </row>
    <row r="101">
      <c r="I101" s="174"/>
      <c r="J101" s="453"/>
      <c r="K101" s="174"/>
      <c r="L101" s="174"/>
      <c r="M101" s="174"/>
      <c r="N101" s="174"/>
      <c r="O101" s="174"/>
      <c r="P101" s="174"/>
      <c r="Q101" s="174"/>
      <c r="R101" s="174"/>
      <c r="S101" s="174"/>
      <c r="T101" s="182"/>
    </row>
    <row r="102">
      <c r="I102" s="174"/>
      <c r="J102" s="453"/>
      <c r="K102" s="174"/>
      <c r="L102" s="174"/>
      <c r="M102" s="174"/>
      <c r="N102" s="174"/>
      <c r="O102" s="174"/>
      <c r="P102" s="174"/>
      <c r="Q102" s="174"/>
      <c r="R102" s="174"/>
      <c r="S102" s="174"/>
      <c r="T102" s="182"/>
    </row>
    <row r="103">
      <c r="I103" s="174"/>
      <c r="J103" s="453"/>
      <c r="K103" s="174"/>
      <c r="L103" s="174"/>
      <c r="M103" s="174"/>
      <c r="N103" s="174"/>
      <c r="O103" s="174"/>
      <c r="P103" s="174"/>
      <c r="Q103" s="174"/>
      <c r="R103" s="174"/>
      <c r="S103" s="174"/>
      <c r="T103" s="182"/>
    </row>
    <row r="104">
      <c r="I104" s="174"/>
      <c r="J104" s="453"/>
      <c r="K104" s="174"/>
      <c r="L104" s="174"/>
      <c r="M104" s="174"/>
      <c r="N104" s="174"/>
      <c r="O104" s="174"/>
      <c r="P104" s="174"/>
      <c r="Q104" s="174"/>
      <c r="R104" s="174"/>
      <c r="S104" s="174"/>
      <c r="T104" s="182"/>
    </row>
    <row r="105">
      <c r="I105" s="174"/>
      <c r="J105" s="453"/>
      <c r="K105" s="174"/>
      <c r="L105" s="174"/>
      <c r="M105" s="174"/>
      <c r="N105" s="174"/>
      <c r="O105" s="174"/>
      <c r="P105" s="174"/>
      <c r="Q105" s="174"/>
      <c r="R105" s="174"/>
      <c r="S105" s="174"/>
      <c r="T105" s="182"/>
    </row>
    <row r="106">
      <c r="I106" s="174"/>
      <c r="J106" s="453"/>
      <c r="K106" s="174"/>
      <c r="L106" s="174"/>
      <c r="M106" s="174"/>
      <c r="N106" s="174"/>
      <c r="O106" s="174"/>
      <c r="P106" s="174"/>
      <c r="Q106" s="174"/>
      <c r="R106" s="174"/>
      <c r="S106" s="174"/>
      <c r="T106" s="182"/>
    </row>
    <row r="107">
      <c r="I107" s="174"/>
      <c r="J107" s="453"/>
      <c r="K107" s="174"/>
      <c r="L107" s="174"/>
      <c r="M107" s="174"/>
      <c r="N107" s="174"/>
      <c r="O107" s="174"/>
      <c r="P107" s="174"/>
      <c r="Q107" s="174"/>
      <c r="R107" s="174"/>
      <c r="S107" s="174"/>
      <c r="T107" s="182"/>
    </row>
    <row r="108">
      <c r="I108" s="174"/>
      <c r="J108" s="453"/>
      <c r="K108" s="174"/>
      <c r="L108" s="174"/>
      <c r="M108" s="174"/>
      <c r="N108" s="174"/>
      <c r="O108" s="174"/>
      <c r="P108" s="174"/>
      <c r="Q108" s="174"/>
      <c r="R108" s="174"/>
      <c r="S108" s="174"/>
      <c r="T108" s="182"/>
    </row>
    <row r="109">
      <c r="I109" s="174"/>
      <c r="J109" s="453"/>
      <c r="K109" s="174"/>
      <c r="L109" s="174"/>
      <c r="M109" s="174"/>
      <c r="N109" s="174"/>
      <c r="O109" s="174"/>
      <c r="P109" s="174"/>
      <c r="Q109" s="174"/>
      <c r="R109" s="174"/>
      <c r="S109" s="174"/>
      <c r="T109" s="182"/>
    </row>
    <row r="110">
      <c r="I110" s="174"/>
      <c r="J110" s="453"/>
      <c r="K110" s="174"/>
      <c r="L110" s="174"/>
      <c r="M110" s="174"/>
      <c r="N110" s="174"/>
      <c r="O110" s="174"/>
      <c r="P110" s="174"/>
      <c r="Q110" s="174"/>
      <c r="R110" s="174"/>
      <c r="S110" s="174"/>
      <c r="T110" s="182"/>
    </row>
    <row r="111">
      <c r="I111" s="174"/>
      <c r="J111" s="453"/>
      <c r="K111" s="174"/>
      <c r="L111" s="174"/>
      <c r="M111" s="174"/>
      <c r="N111" s="174"/>
      <c r="O111" s="174"/>
      <c r="P111" s="174"/>
      <c r="Q111" s="174"/>
      <c r="R111" s="174"/>
      <c r="S111" s="174"/>
      <c r="T111" s="182"/>
    </row>
    <row r="112">
      <c r="I112" s="174"/>
      <c r="J112" s="453"/>
      <c r="K112" s="174"/>
      <c r="L112" s="174"/>
      <c r="M112" s="174"/>
      <c r="N112" s="174"/>
      <c r="O112" s="174"/>
      <c r="P112" s="174"/>
      <c r="Q112" s="174"/>
      <c r="R112" s="174"/>
      <c r="S112" s="174"/>
      <c r="T112" s="182"/>
    </row>
    <row r="113">
      <c r="I113" s="174"/>
      <c r="J113" s="453"/>
      <c r="K113" s="174"/>
      <c r="L113" s="174"/>
      <c r="M113" s="174"/>
      <c r="N113" s="174"/>
      <c r="O113" s="174"/>
      <c r="P113" s="174"/>
      <c r="Q113" s="174"/>
      <c r="R113" s="174"/>
      <c r="S113" s="174"/>
      <c r="T113" s="182"/>
    </row>
    <row r="114">
      <c r="I114" s="174"/>
      <c r="J114" s="453"/>
      <c r="K114" s="174"/>
      <c r="L114" s="174"/>
      <c r="M114" s="174"/>
      <c r="N114" s="174"/>
      <c r="O114" s="174"/>
      <c r="P114" s="174"/>
      <c r="Q114" s="174"/>
      <c r="R114" s="174"/>
      <c r="S114" s="174"/>
      <c r="T114" s="182"/>
    </row>
    <row r="115">
      <c r="I115" s="174"/>
      <c r="J115" s="453"/>
      <c r="K115" s="174"/>
      <c r="L115" s="174"/>
      <c r="M115" s="174"/>
      <c r="N115" s="174"/>
      <c r="O115" s="174"/>
      <c r="P115" s="174"/>
      <c r="Q115" s="174"/>
      <c r="R115" s="174"/>
      <c r="S115" s="174"/>
      <c r="T115" s="182"/>
    </row>
    <row r="116">
      <c r="I116" s="174"/>
      <c r="J116" s="453"/>
      <c r="K116" s="174"/>
      <c r="L116" s="174"/>
      <c r="M116" s="174"/>
      <c r="N116" s="174"/>
      <c r="O116" s="174"/>
      <c r="P116" s="174"/>
      <c r="Q116" s="174"/>
      <c r="R116" s="174"/>
      <c r="S116" s="174"/>
      <c r="T116" s="182"/>
    </row>
    <row r="117">
      <c r="I117" s="174"/>
      <c r="J117" s="453"/>
      <c r="K117" s="174"/>
      <c r="L117" s="174"/>
      <c r="M117" s="174"/>
      <c r="N117" s="174"/>
      <c r="O117" s="174"/>
      <c r="P117" s="174"/>
      <c r="Q117" s="174"/>
      <c r="R117" s="174"/>
      <c r="S117" s="174"/>
      <c r="T117" s="182"/>
    </row>
    <row r="118">
      <c r="I118" s="174"/>
      <c r="J118" s="453"/>
      <c r="K118" s="174"/>
      <c r="L118" s="174"/>
      <c r="M118" s="174"/>
      <c r="N118" s="174"/>
      <c r="O118" s="174"/>
      <c r="P118" s="174"/>
      <c r="Q118" s="174"/>
      <c r="R118" s="174"/>
      <c r="S118" s="174"/>
      <c r="T118" s="182"/>
    </row>
    <row r="119">
      <c r="I119" s="174"/>
      <c r="J119" s="453"/>
      <c r="K119" s="174"/>
      <c r="L119" s="174"/>
      <c r="M119" s="174"/>
      <c r="N119" s="174"/>
      <c r="O119" s="174"/>
      <c r="P119" s="174"/>
      <c r="Q119" s="174"/>
      <c r="R119" s="174"/>
      <c r="S119" s="174"/>
      <c r="T119" s="182"/>
    </row>
    <row r="120">
      <c r="I120" s="174"/>
      <c r="J120" s="453"/>
      <c r="K120" s="174"/>
      <c r="L120" s="174"/>
      <c r="M120" s="174"/>
      <c r="N120" s="174"/>
      <c r="O120" s="174"/>
      <c r="P120" s="174"/>
      <c r="Q120" s="174"/>
      <c r="R120" s="174"/>
      <c r="S120" s="174"/>
      <c r="T120" s="182"/>
    </row>
    <row r="121">
      <c r="I121" s="174"/>
      <c r="J121" s="453"/>
      <c r="K121" s="174"/>
      <c r="L121" s="174"/>
      <c r="M121" s="174"/>
      <c r="N121" s="174"/>
      <c r="O121" s="174"/>
      <c r="P121" s="174"/>
      <c r="Q121" s="174"/>
      <c r="R121" s="174"/>
      <c r="S121" s="174"/>
      <c r="T121" s="182"/>
    </row>
    <row r="122">
      <c r="I122" s="174"/>
      <c r="J122" s="453"/>
      <c r="K122" s="174"/>
      <c r="L122" s="174"/>
      <c r="M122" s="174"/>
      <c r="N122" s="174"/>
      <c r="O122" s="174"/>
      <c r="P122" s="174"/>
      <c r="Q122" s="174"/>
      <c r="R122" s="174"/>
      <c r="S122" s="174"/>
      <c r="T122" s="182"/>
    </row>
    <row r="123">
      <c r="I123" s="174"/>
      <c r="J123" s="453"/>
      <c r="K123" s="174"/>
      <c r="L123" s="174"/>
      <c r="M123" s="174"/>
      <c r="N123" s="174"/>
      <c r="O123" s="174"/>
      <c r="P123" s="174"/>
      <c r="Q123" s="174"/>
      <c r="R123" s="174"/>
      <c r="S123" s="174"/>
      <c r="T123" s="182"/>
    </row>
    <row r="124">
      <c r="I124" s="174"/>
      <c r="J124" s="453"/>
      <c r="K124" s="174"/>
      <c r="L124" s="174"/>
      <c r="M124" s="174"/>
      <c r="N124" s="174"/>
      <c r="O124" s="174"/>
      <c r="P124" s="174"/>
      <c r="Q124" s="174"/>
      <c r="R124" s="174"/>
      <c r="S124" s="174"/>
      <c r="T124" s="182"/>
    </row>
    <row r="125">
      <c r="I125" s="174"/>
      <c r="J125" s="453"/>
      <c r="K125" s="174"/>
      <c r="L125" s="174"/>
      <c r="M125" s="174"/>
      <c r="N125" s="174"/>
      <c r="O125" s="174"/>
      <c r="P125" s="174"/>
      <c r="Q125" s="174"/>
      <c r="R125" s="174"/>
      <c r="S125" s="174"/>
      <c r="T125" s="182"/>
    </row>
    <row r="126">
      <c r="I126" s="174"/>
      <c r="J126" s="453"/>
      <c r="K126" s="174"/>
      <c r="L126" s="174"/>
      <c r="M126" s="174"/>
      <c r="N126" s="174"/>
      <c r="O126" s="174"/>
      <c r="P126" s="174"/>
      <c r="Q126" s="174"/>
      <c r="R126" s="174"/>
      <c r="S126" s="174"/>
      <c r="T126" s="182"/>
    </row>
    <row r="127">
      <c r="I127" s="174"/>
      <c r="J127" s="453"/>
      <c r="K127" s="174"/>
      <c r="L127" s="174"/>
      <c r="M127" s="174"/>
      <c r="N127" s="174"/>
      <c r="O127" s="174"/>
      <c r="P127" s="174"/>
      <c r="Q127" s="174"/>
      <c r="R127" s="174"/>
      <c r="S127" s="174"/>
      <c r="T127" s="182"/>
    </row>
    <row r="128">
      <c r="I128" s="174"/>
      <c r="J128" s="453"/>
      <c r="K128" s="174"/>
      <c r="L128" s="174"/>
      <c r="M128" s="174"/>
      <c r="N128" s="174"/>
      <c r="O128" s="174"/>
      <c r="P128" s="174"/>
      <c r="Q128" s="174"/>
      <c r="R128" s="174"/>
      <c r="S128" s="174"/>
      <c r="T128" s="182"/>
    </row>
    <row r="129">
      <c r="I129" s="174"/>
      <c r="J129" s="453"/>
      <c r="K129" s="174"/>
      <c r="L129" s="174"/>
      <c r="M129" s="174"/>
      <c r="N129" s="174"/>
      <c r="O129" s="174"/>
      <c r="P129" s="174"/>
      <c r="Q129" s="174"/>
      <c r="R129" s="174"/>
      <c r="S129" s="174"/>
      <c r="T129" s="182"/>
    </row>
    <row r="130">
      <c r="I130" s="174"/>
      <c r="J130" s="453"/>
      <c r="K130" s="174"/>
      <c r="L130" s="174"/>
      <c r="M130" s="174"/>
      <c r="N130" s="174"/>
      <c r="O130" s="174"/>
      <c r="P130" s="174"/>
      <c r="Q130" s="174"/>
      <c r="R130" s="174"/>
      <c r="S130" s="174"/>
      <c r="T130" s="182"/>
    </row>
    <row r="131">
      <c r="I131" s="174"/>
      <c r="J131" s="453"/>
      <c r="K131" s="174"/>
      <c r="L131" s="174"/>
      <c r="M131" s="174"/>
      <c r="N131" s="174"/>
      <c r="O131" s="174"/>
      <c r="P131" s="174"/>
      <c r="Q131" s="174"/>
      <c r="R131" s="174"/>
      <c r="S131" s="174"/>
      <c r="T131" s="182"/>
    </row>
    <row r="132">
      <c r="I132" s="174"/>
      <c r="J132" s="453"/>
      <c r="K132" s="174"/>
      <c r="L132" s="174"/>
      <c r="M132" s="174"/>
      <c r="N132" s="174"/>
      <c r="O132" s="174"/>
      <c r="P132" s="174"/>
      <c r="Q132" s="174"/>
      <c r="R132" s="174"/>
      <c r="S132" s="174"/>
      <c r="T132" s="182"/>
    </row>
    <row r="133">
      <c r="I133" s="174"/>
      <c r="J133" s="453"/>
      <c r="K133" s="174"/>
      <c r="L133" s="174"/>
      <c r="M133" s="174"/>
      <c r="N133" s="174"/>
      <c r="O133" s="174"/>
      <c r="P133" s="174"/>
      <c r="Q133" s="174"/>
      <c r="R133" s="174"/>
      <c r="S133" s="174"/>
      <c r="T133" s="182"/>
    </row>
    <row r="134">
      <c r="I134" s="174"/>
      <c r="J134" s="453"/>
      <c r="K134" s="174"/>
      <c r="L134" s="174"/>
      <c r="M134" s="174"/>
      <c r="N134" s="174"/>
      <c r="O134" s="174"/>
      <c r="P134" s="174"/>
      <c r="Q134" s="174"/>
      <c r="R134" s="174"/>
      <c r="S134" s="174"/>
      <c r="T134" s="182"/>
    </row>
    <row r="135">
      <c r="I135" s="174"/>
      <c r="J135" s="453"/>
      <c r="K135" s="174"/>
      <c r="L135" s="174"/>
      <c r="M135" s="174"/>
      <c r="N135" s="174"/>
      <c r="O135" s="174"/>
      <c r="P135" s="174"/>
      <c r="Q135" s="174"/>
      <c r="R135" s="174"/>
      <c r="S135" s="174"/>
      <c r="T135" s="182"/>
    </row>
    <row r="136">
      <c r="I136" s="174"/>
      <c r="J136" s="453"/>
      <c r="K136" s="174"/>
      <c r="L136" s="174"/>
      <c r="M136" s="174"/>
      <c r="N136" s="174"/>
      <c r="O136" s="174"/>
      <c r="P136" s="174"/>
      <c r="Q136" s="174"/>
      <c r="R136" s="174"/>
      <c r="S136" s="174"/>
      <c r="T136" s="182"/>
    </row>
    <row r="137">
      <c r="I137" s="174"/>
      <c r="J137" s="453"/>
      <c r="K137" s="174"/>
      <c r="L137" s="174"/>
      <c r="M137" s="174"/>
      <c r="N137" s="174"/>
      <c r="O137" s="174"/>
      <c r="P137" s="174"/>
      <c r="Q137" s="174"/>
      <c r="R137" s="174"/>
      <c r="S137" s="174"/>
      <c r="T137" s="182"/>
    </row>
    <row r="138">
      <c r="I138" s="174"/>
      <c r="J138" s="453"/>
      <c r="K138" s="174"/>
      <c r="L138" s="174"/>
      <c r="M138" s="174"/>
      <c r="N138" s="174"/>
      <c r="O138" s="174"/>
      <c r="P138" s="174"/>
      <c r="Q138" s="174"/>
      <c r="R138" s="174"/>
      <c r="S138" s="174"/>
      <c r="T138" s="182"/>
    </row>
    <row r="139">
      <c r="I139" s="174"/>
      <c r="J139" s="453"/>
      <c r="K139" s="174"/>
      <c r="L139" s="174"/>
      <c r="M139" s="174"/>
      <c r="N139" s="174"/>
      <c r="O139" s="174"/>
      <c r="P139" s="174"/>
      <c r="Q139" s="174"/>
      <c r="R139" s="174"/>
      <c r="S139" s="174"/>
      <c r="T139" s="182"/>
    </row>
    <row r="140">
      <c r="I140" s="174"/>
      <c r="J140" s="453"/>
      <c r="K140" s="174"/>
      <c r="L140" s="174"/>
      <c r="M140" s="174"/>
      <c r="N140" s="174"/>
      <c r="O140" s="174"/>
      <c r="P140" s="174"/>
      <c r="Q140" s="174"/>
      <c r="R140" s="174"/>
      <c r="S140" s="174"/>
      <c r="T140" s="182"/>
    </row>
    <row r="141">
      <c r="I141" s="174"/>
      <c r="J141" s="453"/>
      <c r="K141" s="174"/>
      <c r="L141" s="174"/>
      <c r="M141" s="174"/>
      <c r="N141" s="174"/>
      <c r="O141" s="174"/>
      <c r="P141" s="174"/>
      <c r="Q141" s="174"/>
      <c r="R141" s="174"/>
      <c r="S141" s="174"/>
      <c r="T141" s="182"/>
    </row>
    <row r="142">
      <c r="I142" s="174"/>
      <c r="J142" s="453"/>
      <c r="K142" s="174"/>
      <c r="L142" s="174"/>
      <c r="M142" s="174"/>
      <c r="N142" s="174"/>
      <c r="O142" s="174"/>
      <c r="P142" s="174"/>
      <c r="Q142" s="174"/>
      <c r="R142" s="174"/>
      <c r="S142" s="174"/>
      <c r="T142" s="182"/>
    </row>
    <row r="143">
      <c r="I143" s="174"/>
      <c r="J143" s="453"/>
      <c r="K143" s="174"/>
      <c r="L143" s="174"/>
      <c r="M143" s="174"/>
      <c r="N143" s="174"/>
      <c r="O143" s="174"/>
      <c r="P143" s="174"/>
      <c r="Q143" s="174"/>
      <c r="R143" s="174"/>
      <c r="S143" s="174"/>
      <c r="T143" s="182"/>
    </row>
    <row r="144">
      <c r="I144" s="174"/>
      <c r="J144" s="453"/>
      <c r="K144" s="174"/>
      <c r="L144" s="174"/>
      <c r="M144" s="174"/>
      <c r="N144" s="174"/>
      <c r="O144" s="174"/>
      <c r="P144" s="174"/>
      <c r="Q144" s="174"/>
      <c r="R144" s="174"/>
      <c r="S144" s="174"/>
      <c r="T144" s="182"/>
    </row>
    <row r="145">
      <c r="I145" s="174"/>
      <c r="J145" s="453"/>
      <c r="K145" s="174"/>
      <c r="L145" s="174"/>
      <c r="M145" s="174"/>
      <c r="N145" s="174"/>
      <c r="O145" s="174"/>
      <c r="P145" s="174"/>
      <c r="Q145" s="174"/>
      <c r="R145" s="174"/>
      <c r="S145" s="174"/>
      <c r="T145" s="182"/>
    </row>
    <row r="146">
      <c r="I146" s="174"/>
      <c r="J146" s="453"/>
      <c r="K146" s="174"/>
      <c r="L146" s="174"/>
      <c r="M146" s="174"/>
      <c r="N146" s="174"/>
      <c r="O146" s="174"/>
      <c r="P146" s="174"/>
      <c r="Q146" s="174"/>
      <c r="R146" s="174"/>
      <c r="S146" s="174"/>
      <c r="T146" s="182"/>
    </row>
    <row r="147">
      <c r="I147" s="174"/>
      <c r="J147" s="453"/>
      <c r="K147" s="174"/>
      <c r="L147" s="174"/>
      <c r="M147" s="174"/>
      <c r="N147" s="174"/>
      <c r="O147" s="174"/>
      <c r="P147" s="174"/>
      <c r="Q147" s="174"/>
      <c r="R147" s="174"/>
      <c r="S147" s="174"/>
      <c r="T147" s="182"/>
    </row>
    <row r="148">
      <c r="I148" s="174"/>
      <c r="J148" s="453"/>
      <c r="K148" s="174"/>
      <c r="L148" s="174"/>
      <c r="M148" s="174"/>
      <c r="N148" s="174"/>
      <c r="O148" s="174"/>
      <c r="P148" s="174"/>
      <c r="Q148" s="174"/>
      <c r="R148" s="174"/>
      <c r="S148" s="174"/>
      <c r="T148" s="182"/>
    </row>
    <row r="149">
      <c r="I149" s="174"/>
      <c r="J149" s="453"/>
      <c r="K149" s="174"/>
      <c r="L149" s="174"/>
      <c r="M149" s="174"/>
      <c r="N149" s="174"/>
      <c r="O149" s="174"/>
      <c r="P149" s="174"/>
      <c r="Q149" s="174"/>
      <c r="R149" s="174"/>
      <c r="S149" s="174"/>
      <c r="T149" s="182"/>
    </row>
    <row r="150">
      <c r="I150" s="174"/>
      <c r="J150" s="453"/>
      <c r="K150" s="174"/>
      <c r="L150" s="174"/>
      <c r="M150" s="174"/>
      <c r="N150" s="174"/>
      <c r="O150" s="174"/>
      <c r="P150" s="174"/>
      <c r="Q150" s="174"/>
      <c r="R150" s="174"/>
      <c r="S150" s="174"/>
      <c r="T150" s="182"/>
    </row>
    <row r="151">
      <c r="I151" s="174"/>
      <c r="J151" s="453"/>
      <c r="K151" s="174"/>
      <c r="L151" s="174"/>
      <c r="M151" s="174"/>
      <c r="N151" s="174"/>
      <c r="O151" s="174"/>
      <c r="P151" s="174"/>
      <c r="Q151" s="174"/>
      <c r="R151" s="174"/>
      <c r="S151" s="174"/>
      <c r="T151" s="182"/>
    </row>
    <row r="152">
      <c r="I152" s="174"/>
      <c r="J152" s="453"/>
      <c r="K152" s="174"/>
      <c r="L152" s="174"/>
      <c r="M152" s="174"/>
      <c r="N152" s="174"/>
      <c r="O152" s="174"/>
      <c r="P152" s="174"/>
      <c r="Q152" s="174"/>
      <c r="R152" s="174"/>
      <c r="S152" s="174"/>
      <c r="T152" s="182"/>
    </row>
    <row r="153">
      <c r="I153" s="174"/>
      <c r="J153" s="453"/>
      <c r="K153" s="174"/>
      <c r="L153" s="174"/>
      <c r="M153" s="174"/>
      <c r="N153" s="174"/>
      <c r="O153" s="174"/>
      <c r="P153" s="174"/>
      <c r="Q153" s="174"/>
      <c r="R153" s="174"/>
      <c r="S153" s="174"/>
      <c r="T153" s="182"/>
    </row>
    <row r="154">
      <c r="I154" s="174"/>
      <c r="J154" s="453"/>
      <c r="K154" s="174"/>
      <c r="L154" s="174"/>
      <c r="M154" s="174"/>
      <c r="N154" s="174"/>
      <c r="O154" s="174"/>
      <c r="P154" s="174"/>
      <c r="Q154" s="174"/>
      <c r="R154" s="174"/>
      <c r="S154" s="174"/>
      <c r="T154" s="182"/>
    </row>
    <row r="155">
      <c r="I155" s="174"/>
      <c r="J155" s="453"/>
      <c r="K155" s="174"/>
      <c r="L155" s="174"/>
      <c r="M155" s="174"/>
      <c r="N155" s="174"/>
      <c r="O155" s="174"/>
      <c r="P155" s="174"/>
      <c r="Q155" s="174"/>
      <c r="R155" s="174"/>
      <c r="S155" s="174"/>
      <c r="T155" s="182"/>
    </row>
    <row r="156">
      <c r="I156" s="174"/>
      <c r="J156" s="453"/>
      <c r="K156" s="174"/>
      <c r="L156" s="174"/>
      <c r="M156" s="174"/>
      <c r="N156" s="174"/>
      <c r="O156" s="174"/>
      <c r="P156" s="174"/>
      <c r="Q156" s="174"/>
      <c r="R156" s="174"/>
      <c r="S156" s="174"/>
      <c r="T156" s="182"/>
    </row>
    <row r="157">
      <c r="I157" s="174"/>
      <c r="J157" s="453"/>
      <c r="K157" s="174"/>
      <c r="L157" s="174"/>
      <c r="M157" s="174"/>
      <c r="N157" s="174"/>
      <c r="O157" s="174"/>
      <c r="P157" s="174"/>
      <c r="Q157" s="174"/>
      <c r="R157" s="174"/>
      <c r="S157" s="174"/>
      <c r="T157" s="182"/>
    </row>
    <row r="158">
      <c r="I158" s="174"/>
      <c r="J158" s="453"/>
      <c r="K158" s="174"/>
      <c r="L158" s="174"/>
      <c r="M158" s="174"/>
      <c r="N158" s="174"/>
      <c r="O158" s="174"/>
      <c r="P158" s="174"/>
      <c r="Q158" s="174"/>
      <c r="R158" s="174"/>
      <c r="S158" s="174"/>
      <c r="T158" s="182"/>
    </row>
    <row r="159">
      <c r="I159" s="174"/>
      <c r="J159" s="453"/>
      <c r="K159" s="174"/>
      <c r="L159" s="174"/>
      <c r="M159" s="174"/>
      <c r="N159" s="174"/>
      <c r="O159" s="174"/>
      <c r="P159" s="174"/>
      <c r="Q159" s="174"/>
      <c r="R159" s="174"/>
      <c r="S159" s="174"/>
      <c r="T159" s="182"/>
    </row>
    <row r="160">
      <c r="I160" s="174"/>
      <c r="J160" s="453"/>
      <c r="K160" s="174"/>
      <c r="L160" s="174"/>
      <c r="M160" s="174"/>
      <c r="N160" s="174"/>
      <c r="O160" s="174"/>
      <c r="P160" s="174"/>
      <c r="Q160" s="174"/>
      <c r="R160" s="174"/>
      <c r="S160" s="174"/>
      <c r="T160" s="182"/>
    </row>
    <row r="161">
      <c r="I161" s="174"/>
      <c r="J161" s="453"/>
      <c r="K161" s="174"/>
      <c r="L161" s="174"/>
      <c r="M161" s="174"/>
      <c r="N161" s="174"/>
      <c r="O161" s="174"/>
      <c r="P161" s="174"/>
      <c r="Q161" s="174"/>
      <c r="R161" s="174"/>
      <c r="S161" s="174"/>
      <c r="T161" s="182"/>
    </row>
    <row r="162">
      <c r="I162" s="174"/>
      <c r="J162" s="453"/>
      <c r="K162" s="174"/>
      <c r="L162" s="174"/>
      <c r="M162" s="174"/>
      <c r="N162" s="174"/>
      <c r="O162" s="174"/>
      <c r="P162" s="174"/>
      <c r="Q162" s="174"/>
      <c r="R162" s="174"/>
      <c r="S162" s="174"/>
      <c r="T162" s="182"/>
    </row>
    <row r="163">
      <c r="I163" s="174"/>
      <c r="J163" s="453"/>
      <c r="K163" s="174"/>
      <c r="L163" s="174"/>
      <c r="M163" s="174"/>
      <c r="N163" s="174"/>
      <c r="O163" s="174"/>
      <c r="P163" s="174"/>
      <c r="Q163" s="174"/>
      <c r="R163" s="174"/>
      <c r="S163" s="174"/>
      <c r="T163" s="182"/>
    </row>
    <row r="164">
      <c r="I164" s="174"/>
      <c r="J164" s="453"/>
      <c r="K164" s="174"/>
      <c r="L164" s="174"/>
      <c r="M164" s="174"/>
      <c r="N164" s="174"/>
      <c r="O164" s="174"/>
      <c r="P164" s="174"/>
      <c r="Q164" s="174"/>
      <c r="R164" s="174"/>
      <c r="S164" s="174"/>
      <c r="T164" s="182"/>
    </row>
    <row r="165">
      <c r="I165" s="174"/>
      <c r="J165" s="453"/>
      <c r="K165" s="174"/>
      <c r="L165" s="174"/>
      <c r="M165" s="174"/>
      <c r="N165" s="174"/>
      <c r="O165" s="174"/>
      <c r="P165" s="174"/>
      <c r="Q165" s="174"/>
      <c r="R165" s="174"/>
      <c r="S165" s="174"/>
      <c r="T165" s="182"/>
    </row>
    <row r="166">
      <c r="I166" s="174"/>
      <c r="J166" s="453"/>
      <c r="K166" s="174"/>
      <c r="L166" s="174"/>
      <c r="M166" s="174"/>
      <c r="N166" s="174"/>
      <c r="O166" s="174"/>
      <c r="P166" s="174"/>
      <c r="Q166" s="174"/>
      <c r="R166" s="174"/>
      <c r="S166" s="174"/>
      <c r="T166" s="182"/>
    </row>
    <row r="167">
      <c r="I167" s="174"/>
      <c r="J167" s="453"/>
      <c r="K167" s="174"/>
      <c r="L167" s="174"/>
      <c r="M167" s="174"/>
      <c r="N167" s="174"/>
      <c r="O167" s="174"/>
      <c r="P167" s="174"/>
      <c r="Q167" s="174"/>
      <c r="R167" s="174"/>
      <c r="S167" s="174"/>
      <c r="T167" s="182"/>
    </row>
    <row r="168">
      <c r="I168" s="174"/>
      <c r="J168" s="453"/>
      <c r="K168" s="174"/>
      <c r="L168" s="174"/>
      <c r="M168" s="174"/>
      <c r="N168" s="174"/>
      <c r="O168" s="174"/>
      <c r="P168" s="174"/>
      <c r="Q168" s="174"/>
      <c r="R168" s="174"/>
      <c r="S168" s="174"/>
      <c r="T168" s="182"/>
    </row>
    <row r="169">
      <c r="I169" s="174"/>
      <c r="J169" s="453"/>
      <c r="K169" s="174"/>
      <c r="L169" s="174"/>
      <c r="M169" s="174"/>
      <c r="N169" s="174"/>
      <c r="O169" s="174"/>
      <c r="P169" s="174"/>
      <c r="Q169" s="174"/>
      <c r="R169" s="174"/>
      <c r="S169" s="174"/>
      <c r="T169" s="182"/>
    </row>
    <row r="170">
      <c r="I170" s="174"/>
      <c r="J170" s="453"/>
      <c r="K170" s="174"/>
      <c r="L170" s="174"/>
      <c r="M170" s="174"/>
      <c r="N170" s="174"/>
      <c r="O170" s="174"/>
      <c r="P170" s="174"/>
      <c r="Q170" s="174"/>
      <c r="R170" s="174"/>
      <c r="S170" s="174"/>
      <c r="T170" s="182"/>
    </row>
    <row r="171">
      <c r="I171" s="174"/>
      <c r="J171" s="453"/>
      <c r="K171" s="174"/>
      <c r="L171" s="174"/>
      <c r="M171" s="174"/>
      <c r="N171" s="174"/>
      <c r="O171" s="174"/>
      <c r="P171" s="174"/>
      <c r="Q171" s="174"/>
      <c r="R171" s="174"/>
      <c r="S171" s="174"/>
      <c r="T171" s="182"/>
    </row>
    <row r="172">
      <c r="I172" s="174"/>
      <c r="J172" s="453"/>
      <c r="K172" s="174"/>
      <c r="L172" s="174"/>
      <c r="M172" s="174"/>
      <c r="N172" s="174"/>
      <c r="O172" s="174"/>
      <c r="P172" s="174"/>
      <c r="Q172" s="174"/>
      <c r="R172" s="174"/>
      <c r="S172" s="174"/>
      <c r="T172" s="182"/>
    </row>
    <row r="173">
      <c r="I173" s="174"/>
      <c r="J173" s="453"/>
      <c r="K173" s="174"/>
      <c r="L173" s="174"/>
      <c r="M173" s="174"/>
      <c r="N173" s="174"/>
      <c r="O173" s="174"/>
      <c r="P173" s="174"/>
      <c r="Q173" s="174"/>
      <c r="R173" s="174"/>
      <c r="S173" s="174"/>
      <c r="T173" s="182"/>
    </row>
    <row r="174">
      <c r="I174" s="174"/>
      <c r="J174" s="453"/>
      <c r="K174" s="174"/>
      <c r="L174" s="174"/>
      <c r="M174" s="174"/>
      <c r="N174" s="174"/>
      <c r="O174" s="174"/>
      <c r="P174" s="174"/>
      <c r="Q174" s="174"/>
      <c r="R174" s="174"/>
      <c r="S174" s="174"/>
      <c r="T174" s="182"/>
    </row>
    <row r="175">
      <c r="I175" s="174"/>
      <c r="J175" s="453"/>
      <c r="K175" s="174"/>
      <c r="L175" s="174"/>
      <c r="M175" s="174"/>
      <c r="N175" s="174"/>
      <c r="O175" s="174"/>
      <c r="P175" s="174"/>
      <c r="Q175" s="174"/>
      <c r="R175" s="174"/>
      <c r="S175" s="174"/>
      <c r="T175" s="182"/>
    </row>
    <row r="176">
      <c r="I176" s="174"/>
      <c r="J176" s="453"/>
      <c r="K176" s="174"/>
      <c r="L176" s="174"/>
      <c r="M176" s="174"/>
      <c r="N176" s="174"/>
      <c r="O176" s="174"/>
      <c r="P176" s="174"/>
      <c r="Q176" s="174"/>
      <c r="R176" s="174"/>
      <c r="S176" s="174"/>
      <c r="T176" s="182"/>
    </row>
    <row r="177">
      <c r="I177" s="174"/>
      <c r="J177" s="453"/>
      <c r="K177" s="174"/>
      <c r="L177" s="174"/>
      <c r="M177" s="174"/>
      <c r="N177" s="174"/>
      <c r="O177" s="174"/>
      <c r="P177" s="174"/>
      <c r="Q177" s="174"/>
      <c r="R177" s="174"/>
      <c r="S177" s="174"/>
      <c r="T177" s="182"/>
    </row>
    <row r="178">
      <c r="I178" s="174"/>
      <c r="J178" s="453"/>
      <c r="K178" s="174"/>
      <c r="L178" s="174"/>
      <c r="M178" s="174"/>
      <c r="N178" s="174"/>
      <c r="O178" s="174"/>
      <c r="P178" s="174"/>
      <c r="Q178" s="174"/>
      <c r="R178" s="174"/>
      <c r="S178" s="174"/>
      <c r="T178" s="182"/>
    </row>
    <row r="179">
      <c r="I179" s="174"/>
      <c r="J179" s="453"/>
      <c r="K179" s="174"/>
      <c r="L179" s="174"/>
      <c r="M179" s="174"/>
      <c r="N179" s="174"/>
      <c r="O179" s="174"/>
      <c r="P179" s="174"/>
      <c r="Q179" s="174"/>
      <c r="R179" s="174"/>
      <c r="S179" s="174"/>
      <c r="T179" s="182"/>
    </row>
    <row r="180">
      <c r="I180" s="174"/>
      <c r="J180" s="453"/>
      <c r="K180" s="174"/>
      <c r="L180" s="174"/>
      <c r="M180" s="174"/>
      <c r="N180" s="174"/>
      <c r="O180" s="174"/>
      <c r="P180" s="174"/>
      <c r="Q180" s="174"/>
      <c r="R180" s="174"/>
      <c r="S180" s="174"/>
      <c r="T180" s="182"/>
    </row>
    <row r="181">
      <c r="I181" s="174"/>
      <c r="J181" s="453"/>
      <c r="K181" s="174"/>
      <c r="L181" s="174"/>
      <c r="M181" s="174"/>
      <c r="N181" s="174"/>
      <c r="O181" s="174"/>
      <c r="P181" s="174"/>
      <c r="Q181" s="174"/>
      <c r="R181" s="174"/>
      <c r="S181" s="174"/>
      <c r="T181" s="182"/>
    </row>
    <row r="182">
      <c r="I182" s="174"/>
      <c r="J182" s="453"/>
      <c r="K182" s="174"/>
      <c r="L182" s="174"/>
      <c r="M182" s="174"/>
      <c r="N182" s="174"/>
      <c r="O182" s="174"/>
      <c r="P182" s="174"/>
      <c r="Q182" s="174"/>
      <c r="R182" s="174"/>
      <c r="S182" s="174"/>
      <c r="T182" s="182"/>
    </row>
    <row r="183">
      <c r="I183" s="174"/>
      <c r="J183" s="453"/>
      <c r="K183" s="174"/>
      <c r="L183" s="174"/>
      <c r="M183" s="174"/>
      <c r="N183" s="174"/>
      <c r="O183" s="174"/>
      <c r="P183" s="174"/>
      <c r="Q183" s="174"/>
      <c r="R183" s="174"/>
      <c r="S183" s="174"/>
      <c r="T183" s="182"/>
    </row>
    <row r="184">
      <c r="I184" s="174"/>
      <c r="J184" s="453"/>
      <c r="K184" s="174"/>
      <c r="L184" s="174"/>
      <c r="M184" s="174"/>
      <c r="N184" s="174"/>
      <c r="O184" s="174"/>
      <c r="P184" s="174"/>
      <c r="Q184" s="174"/>
      <c r="R184" s="174"/>
      <c r="S184" s="174"/>
      <c r="T184" s="182"/>
    </row>
    <row r="185">
      <c r="I185" s="174"/>
      <c r="J185" s="453"/>
      <c r="K185" s="174"/>
      <c r="L185" s="174"/>
      <c r="M185" s="174"/>
      <c r="N185" s="174"/>
      <c r="O185" s="174"/>
      <c r="P185" s="174"/>
      <c r="Q185" s="174"/>
      <c r="R185" s="174"/>
      <c r="S185" s="174"/>
      <c r="T185" s="182"/>
    </row>
    <row r="186">
      <c r="I186" s="174"/>
      <c r="J186" s="453"/>
      <c r="K186" s="174"/>
      <c r="L186" s="174"/>
      <c r="M186" s="174"/>
      <c r="N186" s="174"/>
      <c r="O186" s="174"/>
      <c r="P186" s="174"/>
      <c r="Q186" s="174"/>
      <c r="R186" s="174"/>
      <c r="S186" s="174"/>
      <c r="T186" s="182"/>
    </row>
    <row r="187">
      <c r="I187" s="174"/>
      <c r="J187" s="453"/>
      <c r="K187" s="174"/>
      <c r="L187" s="174"/>
      <c r="M187" s="174"/>
      <c r="N187" s="174"/>
      <c r="O187" s="174"/>
      <c r="P187" s="174"/>
      <c r="Q187" s="174"/>
      <c r="R187" s="174"/>
      <c r="S187" s="174"/>
      <c r="T187" s="182"/>
    </row>
    <row r="188">
      <c r="I188" s="174"/>
      <c r="J188" s="453"/>
      <c r="K188" s="174"/>
      <c r="L188" s="174"/>
      <c r="M188" s="174"/>
      <c r="N188" s="174"/>
      <c r="O188" s="174"/>
      <c r="P188" s="174"/>
      <c r="Q188" s="174"/>
      <c r="R188" s="174"/>
      <c r="S188" s="174"/>
      <c r="T188" s="182"/>
    </row>
    <row r="189">
      <c r="I189" s="174"/>
      <c r="J189" s="453"/>
      <c r="K189" s="174"/>
      <c r="L189" s="174"/>
      <c r="M189" s="174"/>
      <c r="N189" s="174"/>
      <c r="O189" s="174"/>
      <c r="P189" s="174"/>
      <c r="Q189" s="174"/>
      <c r="R189" s="174"/>
      <c r="S189" s="174"/>
      <c r="T189" s="182"/>
    </row>
    <row r="190">
      <c r="I190" s="174"/>
      <c r="J190" s="453"/>
      <c r="K190" s="174"/>
      <c r="L190" s="174"/>
      <c r="M190" s="174"/>
      <c r="N190" s="174"/>
      <c r="O190" s="174"/>
      <c r="P190" s="174"/>
      <c r="Q190" s="174"/>
      <c r="R190" s="174"/>
      <c r="S190" s="174"/>
      <c r="T190" s="182"/>
    </row>
    <row r="191">
      <c r="I191" s="174"/>
      <c r="J191" s="453"/>
      <c r="K191" s="174"/>
      <c r="L191" s="174"/>
      <c r="M191" s="174"/>
      <c r="N191" s="174"/>
      <c r="O191" s="174"/>
      <c r="P191" s="174"/>
      <c r="Q191" s="174"/>
      <c r="R191" s="174"/>
      <c r="S191" s="174"/>
      <c r="T191" s="182"/>
    </row>
    <row r="192">
      <c r="I192" s="174"/>
      <c r="J192" s="453"/>
      <c r="K192" s="174"/>
      <c r="L192" s="174"/>
      <c r="M192" s="174"/>
      <c r="N192" s="174"/>
      <c r="O192" s="174"/>
      <c r="P192" s="174"/>
      <c r="Q192" s="174"/>
      <c r="R192" s="174"/>
      <c r="S192" s="174"/>
      <c r="T192" s="182"/>
    </row>
    <row r="193">
      <c r="I193" s="174"/>
      <c r="J193" s="453"/>
      <c r="K193" s="174"/>
      <c r="L193" s="174"/>
      <c r="M193" s="174"/>
      <c r="N193" s="174"/>
      <c r="O193" s="174"/>
      <c r="P193" s="174"/>
      <c r="Q193" s="174"/>
      <c r="R193" s="174"/>
      <c r="S193" s="174"/>
      <c r="T193" s="182"/>
    </row>
    <row r="194">
      <c r="I194" s="174"/>
      <c r="J194" s="453"/>
      <c r="K194" s="174"/>
      <c r="L194" s="174"/>
      <c r="M194" s="174"/>
      <c r="N194" s="174"/>
      <c r="O194" s="174"/>
      <c r="P194" s="174"/>
      <c r="Q194" s="174"/>
      <c r="R194" s="174"/>
      <c r="S194" s="174"/>
      <c r="T194" s="182"/>
    </row>
    <row r="195">
      <c r="I195" s="174"/>
      <c r="J195" s="453"/>
      <c r="K195" s="174"/>
      <c r="L195" s="174"/>
      <c r="M195" s="174"/>
      <c r="N195" s="174"/>
      <c r="O195" s="174"/>
      <c r="P195" s="174"/>
      <c r="Q195" s="174"/>
      <c r="R195" s="174"/>
      <c r="S195" s="174"/>
      <c r="T195" s="182"/>
    </row>
    <row r="196">
      <c r="I196" s="174"/>
      <c r="J196" s="453"/>
      <c r="K196" s="174"/>
      <c r="L196" s="174"/>
      <c r="M196" s="174"/>
      <c r="N196" s="174"/>
      <c r="O196" s="174"/>
      <c r="P196" s="174"/>
      <c r="Q196" s="174"/>
      <c r="R196" s="174"/>
      <c r="S196" s="174"/>
      <c r="T196" s="182"/>
    </row>
    <row r="197">
      <c r="I197" s="174"/>
      <c r="J197" s="453"/>
      <c r="K197" s="174"/>
      <c r="L197" s="174"/>
      <c r="M197" s="174"/>
      <c r="N197" s="174"/>
      <c r="O197" s="174"/>
      <c r="P197" s="174"/>
      <c r="Q197" s="174"/>
      <c r="R197" s="174"/>
      <c r="S197" s="174"/>
      <c r="T197" s="182"/>
    </row>
    <row r="198">
      <c r="I198" s="174"/>
      <c r="J198" s="453"/>
      <c r="K198" s="174"/>
      <c r="L198" s="174"/>
      <c r="M198" s="174"/>
      <c r="N198" s="174"/>
      <c r="O198" s="174"/>
      <c r="P198" s="174"/>
      <c r="Q198" s="174"/>
      <c r="R198" s="174"/>
      <c r="S198" s="174"/>
      <c r="T198" s="182"/>
    </row>
    <row r="199">
      <c r="I199" s="174"/>
      <c r="J199" s="453"/>
      <c r="K199" s="174"/>
      <c r="L199" s="174"/>
      <c r="M199" s="174"/>
      <c r="N199" s="174"/>
      <c r="O199" s="174"/>
      <c r="P199" s="174"/>
      <c r="Q199" s="174"/>
      <c r="R199" s="174"/>
      <c r="S199" s="174"/>
      <c r="T199" s="182"/>
    </row>
    <row r="200">
      <c r="I200" s="174"/>
      <c r="J200" s="453"/>
      <c r="K200" s="174"/>
      <c r="L200" s="174"/>
      <c r="M200" s="174"/>
      <c r="N200" s="174"/>
      <c r="O200" s="174"/>
      <c r="P200" s="174"/>
      <c r="Q200" s="174"/>
      <c r="R200" s="174"/>
      <c r="S200" s="174"/>
      <c r="T200" s="182"/>
    </row>
    <row r="201">
      <c r="I201" s="174"/>
      <c r="J201" s="453"/>
      <c r="K201" s="174"/>
      <c r="L201" s="174"/>
      <c r="M201" s="174"/>
      <c r="N201" s="174"/>
      <c r="O201" s="174"/>
      <c r="P201" s="174"/>
      <c r="Q201" s="174"/>
      <c r="R201" s="174"/>
      <c r="S201" s="174"/>
      <c r="T201" s="182"/>
    </row>
    <row r="202">
      <c r="I202" s="174"/>
      <c r="J202" s="453"/>
      <c r="K202" s="174"/>
      <c r="L202" s="174"/>
      <c r="M202" s="174"/>
      <c r="N202" s="174"/>
      <c r="O202" s="174"/>
      <c r="P202" s="174"/>
      <c r="Q202" s="174"/>
      <c r="R202" s="174"/>
      <c r="S202" s="174"/>
      <c r="T202" s="182"/>
    </row>
    <row r="203">
      <c r="I203" s="174"/>
      <c r="J203" s="453"/>
      <c r="K203" s="174"/>
      <c r="L203" s="174"/>
      <c r="M203" s="174"/>
      <c r="N203" s="174"/>
      <c r="O203" s="174"/>
      <c r="P203" s="174"/>
      <c r="Q203" s="174"/>
      <c r="R203" s="174"/>
      <c r="S203" s="174"/>
      <c r="T203" s="182"/>
    </row>
    <row r="204">
      <c r="I204" s="174"/>
      <c r="J204" s="453"/>
      <c r="K204" s="174"/>
      <c r="L204" s="174"/>
      <c r="M204" s="174"/>
      <c r="N204" s="174"/>
      <c r="O204" s="174"/>
      <c r="P204" s="174"/>
      <c r="Q204" s="174"/>
      <c r="R204" s="174"/>
      <c r="S204" s="174"/>
      <c r="T204" s="182"/>
    </row>
    <row r="205">
      <c r="I205" s="174"/>
      <c r="J205" s="453"/>
      <c r="K205" s="174"/>
      <c r="L205" s="174"/>
      <c r="M205" s="174"/>
      <c r="N205" s="174"/>
      <c r="O205" s="174"/>
      <c r="P205" s="174"/>
      <c r="Q205" s="174"/>
      <c r="R205" s="174"/>
      <c r="S205" s="174"/>
      <c r="T205" s="182"/>
    </row>
    <row r="206">
      <c r="I206" s="174"/>
      <c r="J206" s="453"/>
      <c r="K206" s="174"/>
      <c r="L206" s="174"/>
      <c r="M206" s="174"/>
      <c r="N206" s="174"/>
      <c r="O206" s="174"/>
      <c r="P206" s="174"/>
      <c r="Q206" s="174"/>
      <c r="R206" s="174"/>
      <c r="S206" s="174"/>
      <c r="T206" s="182"/>
    </row>
    <row r="207">
      <c r="I207" s="174"/>
      <c r="J207" s="453"/>
      <c r="K207" s="174"/>
      <c r="L207" s="174"/>
      <c r="M207" s="174"/>
      <c r="N207" s="174"/>
      <c r="O207" s="174"/>
      <c r="P207" s="174"/>
      <c r="Q207" s="174"/>
      <c r="R207" s="174"/>
      <c r="S207" s="174"/>
      <c r="T207" s="182"/>
    </row>
    <row r="208">
      <c r="I208" s="174"/>
      <c r="J208" s="453"/>
      <c r="K208" s="174"/>
      <c r="L208" s="174"/>
      <c r="M208" s="174"/>
      <c r="N208" s="174"/>
      <c r="O208" s="174"/>
      <c r="P208" s="174"/>
      <c r="Q208" s="174"/>
      <c r="R208" s="174"/>
      <c r="S208" s="174"/>
      <c r="T208" s="182"/>
    </row>
    <row r="209">
      <c r="I209" s="174"/>
      <c r="J209" s="453"/>
      <c r="K209" s="174"/>
      <c r="L209" s="174"/>
      <c r="M209" s="174"/>
      <c r="N209" s="174"/>
      <c r="O209" s="174"/>
      <c r="P209" s="174"/>
      <c r="Q209" s="174"/>
      <c r="R209" s="174"/>
      <c r="S209" s="174"/>
      <c r="T209" s="182"/>
    </row>
    <row r="210">
      <c r="I210" s="174"/>
      <c r="J210" s="453"/>
      <c r="K210" s="174"/>
      <c r="L210" s="174"/>
      <c r="M210" s="174"/>
      <c r="N210" s="174"/>
      <c r="O210" s="174"/>
      <c r="P210" s="174"/>
      <c r="Q210" s="174"/>
      <c r="R210" s="174"/>
      <c r="S210" s="174"/>
      <c r="T210" s="182"/>
    </row>
    <row r="211">
      <c r="I211" s="174"/>
      <c r="J211" s="453"/>
      <c r="K211" s="174"/>
      <c r="L211" s="174"/>
      <c r="M211" s="174"/>
      <c r="N211" s="174"/>
      <c r="O211" s="174"/>
      <c r="P211" s="174"/>
      <c r="Q211" s="174"/>
      <c r="R211" s="174"/>
      <c r="S211" s="174"/>
      <c r="T211" s="182"/>
    </row>
    <row r="212">
      <c r="I212" s="174"/>
      <c r="J212" s="453"/>
      <c r="K212" s="174"/>
      <c r="L212" s="174"/>
      <c r="M212" s="174"/>
      <c r="N212" s="174"/>
      <c r="O212" s="174"/>
      <c r="P212" s="174"/>
      <c r="Q212" s="174"/>
      <c r="R212" s="174"/>
      <c r="S212" s="174"/>
      <c r="T212" s="182"/>
    </row>
    <row r="213">
      <c r="I213" s="174"/>
      <c r="J213" s="453"/>
      <c r="K213" s="174"/>
      <c r="L213" s="174"/>
      <c r="M213" s="174"/>
      <c r="N213" s="174"/>
      <c r="O213" s="174"/>
      <c r="T213" s="182"/>
    </row>
    <row r="214">
      <c r="I214" s="174"/>
      <c r="J214" s="453"/>
      <c r="K214" s="174"/>
      <c r="L214" s="174"/>
      <c r="M214" s="174"/>
      <c r="N214" s="174"/>
      <c r="O214" s="174"/>
      <c r="T214" s="182"/>
    </row>
    <row r="215">
      <c r="I215" s="174"/>
      <c r="J215" s="453"/>
      <c r="K215" s="174"/>
      <c r="L215" s="174"/>
      <c r="M215" s="174"/>
      <c r="N215" s="174"/>
      <c r="O215" s="174"/>
      <c r="T215" s="182"/>
    </row>
    <row r="216">
      <c r="I216" s="174"/>
      <c r="J216" s="453"/>
      <c r="K216" s="174"/>
      <c r="L216" s="174"/>
      <c r="M216" s="174"/>
      <c r="N216" s="174"/>
      <c r="O216" s="174"/>
      <c r="T216" s="182"/>
    </row>
    <row r="217">
      <c r="I217" s="174"/>
      <c r="J217" s="453"/>
      <c r="K217" s="174"/>
      <c r="L217" s="174"/>
      <c r="M217" s="174"/>
      <c r="N217" s="174"/>
      <c r="O217" s="174"/>
      <c r="T217" s="182"/>
    </row>
    <row r="218">
      <c r="I218" s="174"/>
      <c r="J218" s="453"/>
      <c r="K218" s="174"/>
      <c r="L218" s="174"/>
      <c r="M218" s="174"/>
      <c r="N218" s="174"/>
      <c r="O218" s="174"/>
      <c r="T218" s="182"/>
    </row>
    <row r="219">
      <c r="I219" s="174"/>
      <c r="J219" s="453"/>
      <c r="K219" s="174"/>
      <c r="L219" s="174"/>
      <c r="M219" s="174"/>
      <c r="N219" s="174"/>
      <c r="O219" s="174"/>
      <c r="T219" s="182"/>
    </row>
    <row r="220">
      <c r="I220" s="174"/>
      <c r="J220" s="453"/>
      <c r="K220" s="174"/>
      <c r="L220" s="174"/>
      <c r="M220" s="174"/>
      <c r="N220" s="174"/>
      <c r="O220" s="174"/>
      <c r="T220" s="182"/>
    </row>
    <row r="221">
      <c r="I221" s="174"/>
      <c r="J221" s="453"/>
      <c r="K221" s="174"/>
      <c r="L221" s="174"/>
      <c r="M221" s="174"/>
      <c r="N221" s="174"/>
      <c r="O221" s="174"/>
      <c r="T221" s="182"/>
    </row>
    <row r="222">
      <c r="I222" s="174"/>
      <c r="J222" s="453"/>
      <c r="K222" s="174"/>
      <c r="L222" s="174"/>
      <c r="M222" s="174"/>
      <c r="N222" s="174"/>
      <c r="O222" s="174"/>
      <c r="T222" s="182"/>
    </row>
    <row r="223">
      <c r="I223" s="174"/>
      <c r="J223" s="453"/>
      <c r="K223" s="174"/>
      <c r="L223" s="174"/>
      <c r="M223" s="174"/>
      <c r="N223" s="174"/>
      <c r="O223" s="174"/>
      <c r="T223" s="182"/>
    </row>
    <row r="224">
      <c r="I224" s="174"/>
      <c r="J224" s="453"/>
      <c r="K224" s="174"/>
      <c r="L224" s="174"/>
      <c r="M224" s="174"/>
      <c r="N224" s="174"/>
      <c r="O224" s="174"/>
      <c r="T224" s="182"/>
    </row>
    <row r="225">
      <c r="I225" s="174"/>
      <c r="J225" s="453"/>
      <c r="K225" s="174"/>
      <c r="L225" s="174"/>
      <c r="M225" s="174"/>
      <c r="N225" s="174"/>
      <c r="O225" s="174"/>
      <c r="T225" s="182"/>
    </row>
    <row r="226">
      <c r="I226" s="174"/>
      <c r="J226" s="453"/>
      <c r="K226" s="174"/>
      <c r="L226" s="174"/>
      <c r="M226" s="174"/>
      <c r="N226" s="174"/>
      <c r="O226" s="174"/>
      <c r="T226" s="182"/>
    </row>
    <row r="227">
      <c r="I227" s="174"/>
      <c r="J227" s="453"/>
      <c r="K227" s="174"/>
      <c r="L227" s="174"/>
      <c r="M227" s="174"/>
      <c r="N227" s="174"/>
      <c r="O227" s="174"/>
      <c r="T227" s="182"/>
    </row>
    <row r="228">
      <c r="I228" s="174"/>
      <c r="J228" s="453"/>
      <c r="K228" s="174"/>
      <c r="L228" s="174"/>
      <c r="M228" s="174"/>
      <c r="N228" s="174"/>
      <c r="O228" s="174"/>
      <c r="T228" s="182"/>
    </row>
    <row r="229">
      <c r="I229" s="174"/>
      <c r="J229" s="453"/>
      <c r="K229" s="174"/>
      <c r="L229" s="174"/>
      <c r="M229" s="174"/>
      <c r="N229" s="174"/>
      <c r="O229" s="174"/>
      <c r="T229" s="182"/>
    </row>
    <row r="230">
      <c r="I230" s="174"/>
      <c r="J230" s="453"/>
      <c r="K230" s="174"/>
      <c r="L230" s="174"/>
      <c r="M230" s="174"/>
      <c r="N230" s="174"/>
      <c r="O230" s="174"/>
      <c r="T230" s="182"/>
    </row>
    <row r="231">
      <c r="I231" s="174"/>
      <c r="J231" s="453"/>
      <c r="K231" s="174"/>
      <c r="L231" s="174"/>
      <c r="M231" s="174"/>
      <c r="N231" s="174"/>
      <c r="O231" s="174"/>
      <c r="T231" s="182"/>
    </row>
    <row r="232">
      <c r="I232" s="174"/>
      <c r="J232" s="453"/>
      <c r="K232" s="174"/>
      <c r="L232" s="174"/>
      <c r="M232" s="174"/>
      <c r="N232" s="174"/>
      <c r="O232" s="174"/>
      <c r="T232" s="182"/>
    </row>
    <row r="233">
      <c r="I233" s="174"/>
      <c r="J233" s="453"/>
      <c r="K233" s="174"/>
      <c r="L233" s="174"/>
      <c r="M233" s="174"/>
      <c r="N233" s="174"/>
      <c r="O233" s="174"/>
      <c r="T233" s="182"/>
    </row>
    <row r="234">
      <c r="I234" s="174"/>
      <c r="J234" s="453"/>
      <c r="K234" s="174"/>
      <c r="L234" s="174"/>
      <c r="M234" s="174"/>
      <c r="N234" s="174"/>
      <c r="O234" s="174"/>
      <c r="T234" s="182"/>
    </row>
    <row r="235">
      <c r="I235" s="174"/>
      <c r="J235" s="453"/>
      <c r="K235" s="174"/>
      <c r="L235" s="174"/>
      <c r="M235" s="174"/>
      <c r="N235" s="174"/>
      <c r="O235" s="174"/>
      <c r="T235" s="182"/>
    </row>
    <row r="236">
      <c r="I236" s="174"/>
      <c r="J236" s="453"/>
      <c r="K236" s="174"/>
      <c r="L236" s="174"/>
      <c r="M236" s="174"/>
      <c r="N236" s="174"/>
      <c r="O236" s="174"/>
      <c r="T236" s="182"/>
    </row>
    <row r="237">
      <c r="I237" s="174"/>
      <c r="J237" s="453"/>
      <c r="K237" s="174"/>
      <c r="L237" s="174"/>
      <c r="M237" s="174"/>
      <c r="N237" s="174"/>
      <c r="O237" s="174"/>
      <c r="T237" s="182"/>
    </row>
    <row r="238">
      <c r="I238" s="174"/>
      <c r="J238" s="453"/>
      <c r="K238" s="174"/>
      <c r="L238" s="174"/>
      <c r="M238" s="174"/>
      <c r="N238" s="174"/>
      <c r="O238" s="174"/>
      <c r="T238" s="182"/>
    </row>
    <row r="239">
      <c r="I239" s="174"/>
      <c r="J239" s="453"/>
      <c r="K239" s="174"/>
      <c r="L239" s="174"/>
      <c r="M239" s="174"/>
      <c r="N239" s="174"/>
      <c r="O239" s="174"/>
      <c r="T239" s="182"/>
    </row>
    <row r="240">
      <c r="I240" s="174"/>
      <c r="J240" s="453"/>
      <c r="K240" s="174"/>
      <c r="L240" s="174"/>
      <c r="M240" s="174"/>
      <c r="N240" s="174"/>
      <c r="O240" s="174"/>
      <c r="T240" s="182"/>
    </row>
    <row r="241">
      <c r="I241" s="174"/>
      <c r="J241" s="453"/>
      <c r="K241" s="174"/>
      <c r="L241" s="174"/>
      <c r="M241" s="174"/>
      <c r="N241" s="174"/>
      <c r="O241" s="174"/>
      <c r="T241" s="182"/>
    </row>
    <row r="242">
      <c r="I242" s="174"/>
      <c r="J242" s="453"/>
      <c r="K242" s="174"/>
      <c r="L242" s="174"/>
      <c r="M242" s="174"/>
      <c r="N242" s="174"/>
      <c r="O242" s="174"/>
      <c r="T242" s="182"/>
    </row>
    <row r="243">
      <c r="I243" s="174"/>
      <c r="J243" s="453"/>
      <c r="K243" s="174"/>
      <c r="L243" s="174"/>
      <c r="M243" s="174"/>
      <c r="N243" s="174"/>
      <c r="O243" s="174"/>
      <c r="T243" s="182"/>
    </row>
    <row r="244">
      <c r="I244" s="174"/>
      <c r="J244" s="453"/>
      <c r="K244" s="174"/>
      <c r="L244" s="174"/>
      <c r="M244" s="174"/>
      <c r="N244" s="174"/>
      <c r="O244" s="174"/>
      <c r="T244" s="182"/>
    </row>
    <row r="245">
      <c r="I245" s="174"/>
      <c r="J245" s="453"/>
      <c r="K245" s="174"/>
      <c r="L245" s="174"/>
      <c r="M245" s="174"/>
      <c r="N245" s="174"/>
      <c r="O245" s="174"/>
      <c r="T245" s="182"/>
    </row>
    <row r="246">
      <c r="I246" s="174"/>
      <c r="J246" s="453"/>
      <c r="K246" s="174"/>
      <c r="L246" s="174"/>
      <c r="M246" s="174"/>
      <c r="N246" s="174"/>
      <c r="O246" s="174"/>
      <c r="T246" s="182"/>
    </row>
    <row r="247">
      <c r="I247" s="174"/>
      <c r="J247" s="453"/>
      <c r="K247" s="174"/>
      <c r="L247" s="174"/>
      <c r="M247" s="174"/>
      <c r="N247" s="174"/>
      <c r="O247" s="174"/>
      <c r="T247" s="182"/>
    </row>
    <row r="248">
      <c r="I248" s="174"/>
      <c r="J248" s="453"/>
      <c r="K248" s="174"/>
      <c r="L248" s="174"/>
      <c r="M248" s="174"/>
      <c r="N248" s="174"/>
      <c r="O248" s="174"/>
      <c r="T248" s="182"/>
    </row>
    <row r="249">
      <c r="I249" s="174"/>
      <c r="J249" s="453"/>
      <c r="K249" s="174"/>
      <c r="L249" s="174"/>
      <c r="M249" s="174"/>
      <c r="N249" s="174"/>
      <c r="O249" s="174"/>
      <c r="T249" s="182"/>
    </row>
    <row r="250">
      <c r="I250" s="174"/>
      <c r="J250" s="453"/>
      <c r="K250" s="174"/>
      <c r="L250" s="174"/>
      <c r="M250" s="174"/>
      <c r="N250" s="174"/>
      <c r="O250" s="174"/>
      <c r="T250" s="182"/>
    </row>
    <row r="251">
      <c r="I251" s="174"/>
      <c r="J251" s="453"/>
      <c r="K251" s="174"/>
      <c r="L251" s="174"/>
      <c r="M251" s="174"/>
      <c r="N251" s="174"/>
      <c r="O251" s="174"/>
      <c r="T251" s="182"/>
    </row>
    <row r="252">
      <c r="I252" s="174"/>
      <c r="J252" s="453"/>
      <c r="K252" s="174"/>
      <c r="L252" s="174"/>
      <c r="M252" s="174"/>
      <c r="N252" s="174"/>
      <c r="O252" s="174"/>
      <c r="T252" s="182"/>
    </row>
    <row r="253">
      <c r="I253" s="174"/>
      <c r="J253" s="453"/>
      <c r="K253" s="174"/>
      <c r="L253" s="174"/>
      <c r="M253" s="174"/>
      <c r="N253" s="174"/>
      <c r="O253" s="174"/>
      <c r="T253" s="182"/>
    </row>
    <row r="254">
      <c r="I254" s="174"/>
      <c r="J254" s="453"/>
      <c r="K254" s="174"/>
      <c r="L254" s="174"/>
      <c r="M254" s="174"/>
      <c r="N254" s="174"/>
      <c r="O254" s="174"/>
      <c r="T254" s="182"/>
    </row>
    <row r="255">
      <c r="I255" s="174"/>
      <c r="J255" s="453"/>
      <c r="K255" s="174"/>
      <c r="L255" s="174"/>
      <c r="M255" s="174"/>
      <c r="N255" s="174"/>
      <c r="O255" s="174"/>
      <c r="T255" s="182"/>
    </row>
    <row r="256">
      <c r="I256" s="174"/>
      <c r="J256" s="453"/>
      <c r="K256" s="174"/>
      <c r="L256" s="174"/>
      <c r="M256" s="174"/>
      <c r="N256" s="174"/>
      <c r="O256" s="174"/>
      <c r="T256" s="182"/>
    </row>
    <row r="257">
      <c r="I257" s="174"/>
      <c r="J257" s="453"/>
      <c r="K257" s="174"/>
      <c r="L257" s="174"/>
      <c r="M257" s="174"/>
      <c r="N257" s="174"/>
      <c r="O257" s="174"/>
      <c r="T257" s="182"/>
    </row>
    <row r="258">
      <c r="I258" s="174"/>
      <c r="J258" s="453"/>
      <c r="K258" s="174"/>
      <c r="L258" s="174"/>
      <c r="M258" s="174"/>
      <c r="N258" s="174"/>
      <c r="O258" s="174"/>
      <c r="T258" s="182"/>
    </row>
    <row r="259">
      <c r="I259" s="174"/>
      <c r="J259" s="453"/>
      <c r="K259" s="174"/>
      <c r="L259" s="174"/>
      <c r="M259" s="174"/>
      <c r="N259" s="174"/>
      <c r="O259" s="174"/>
      <c r="T259" s="182"/>
    </row>
    <row r="260">
      <c r="I260" s="174"/>
      <c r="J260" s="453"/>
      <c r="K260" s="174"/>
      <c r="L260" s="174"/>
      <c r="M260" s="174"/>
      <c r="N260" s="174"/>
      <c r="O260" s="174"/>
      <c r="T260" s="182"/>
    </row>
    <row r="261">
      <c r="I261" s="174"/>
      <c r="J261" s="453"/>
      <c r="K261" s="174"/>
      <c r="L261" s="174"/>
      <c r="M261" s="174"/>
      <c r="N261" s="174"/>
      <c r="O261" s="174"/>
      <c r="T261" s="182"/>
    </row>
    <row r="262">
      <c r="I262" s="174"/>
      <c r="J262" s="453"/>
      <c r="K262" s="174"/>
      <c r="L262" s="174"/>
      <c r="M262" s="174"/>
      <c r="N262" s="174"/>
      <c r="O262" s="174"/>
      <c r="T262" s="182"/>
    </row>
    <row r="263">
      <c r="I263" s="174"/>
      <c r="J263" s="453"/>
      <c r="K263" s="174"/>
      <c r="L263" s="174"/>
      <c r="M263" s="174"/>
      <c r="N263" s="174"/>
      <c r="O263" s="174"/>
      <c r="T263" s="182"/>
    </row>
    <row r="264">
      <c r="I264" s="174"/>
      <c r="J264" s="453"/>
      <c r="K264" s="174"/>
      <c r="L264" s="174"/>
      <c r="M264" s="174"/>
      <c r="N264" s="174"/>
      <c r="O264" s="174"/>
      <c r="T264" s="182"/>
    </row>
    <row r="265">
      <c r="I265" s="174"/>
      <c r="J265" s="453"/>
      <c r="K265" s="174"/>
      <c r="L265" s="174"/>
      <c r="M265" s="174"/>
      <c r="N265" s="174"/>
      <c r="O265" s="174"/>
      <c r="T265" s="182"/>
    </row>
    <row r="266">
      <c r="I266" s="174"/>
      <c r="J266" s="453"/>
      <c r="K266" s="174"/>
      <c r="L266" s="174"/>
      <c r="M266" s="174"/>
      <c r="N266" s="174"/>
      <c r="O266" s="174"/>
      <c r="T266" s="182"/>
    </row>
    <row r="267">
      <c r="I267" s="174"/>
      <c r="J267" s="453"/>
      <c r="K267" s="174"/>
      <c r="L267" s="174"/>
      <c r="M267" s="174"/>
      <c r="N267" s="174"/>
      <c r="O267" s="174"/>
      <c r="T267" s="182"/>
    </row>
    <row r="268">
      <c r="I268" s="174"/>
      <c r="J268" s="453"/>
      <c r="K268" s="174"/>
      <c r="L268" s="174"/>
      <c r="M268" s="174"/>
      <c r="N268" s="174"/>
      <c r="O268" s="174"/>
      <c r="T268" s="182"/>
    </row>
    <row r="269">
      <c r="I269" s="174"/>
      <c r="J269" s="453"/>
      <c r="K269" s="174"/>
      <c r="L269" s="174"/>
      <c r="M269" s="174"/>
      <c r="N269" s="174"/>
      <c r="O269" s="174"/>
      <c r="T269" s="182"/>
    </row>
    <row r="270">
      <c r="I270" s="174"/>
      <c r="J270" s="453"/>
      <c r="K270" s="174"/>
      <c r="L270" s="174"/>
      <c r="M270" s="174"/>
      <c r="N270" s="174"/>
      <c r="O270" s="174"/>
      <c r="T270" s="182"/>
    </row>
    <row r="271">
      <c r="I271" s="174"/>
      <c r="J271" s="453"/>
      <c r="K271" s="174"/>
      <c r="L271" s="174"/>
      <c r="M271" s="174"/>
      <c r="N271" s="174"/>
      <c r="O271" s="174"/>
      <c r="T271" s="182"/>
    </row>
    <row r="272">
      <c r="I272" s="174"/>
      <c r="J272" s="453"/>
      <c r="K272" s="174"/>
      <c r="L272" s="174"/>
      <c r="M272" s="174"/>
      <c r="N272" s="174"/>
      <c r="O272" s="174"/>
      <c r="T272" s="182"/>
    </row>
    <row r="273">
      <c r="I273" s="174"/>
      <c r="J273" s="453"/>
      <c r="K273" s="174"/>
      <c r="L273" s="174"/>
      <c r="M273" s="174"/>
      <c r="N273" s="174"/>
      <c r="O273" s="174"/>
      <c r="T273" s="182"/>
    </row>
    <row r="274">
      <c r="I274" s="174"/>
      <c r="J274" s="453"/>
      <c r="K274" s="174"/>
      <c r="L274" s="174"/>
      <c r="M274" s="174"/>
      <c r="N274" s="174"/>
      <c r="O274" s="174"/>
      <c r="T274" s="182"/>
    </row>
    <row r="275">
      <c r="I275" s="174"/>
      <c r="J275" s="453"/>
      <c r="K275" s="174"/>
      <c r="L275" s="174"/>
      <c r="M275" s="174"/>
      <c r="N275" s="174"/>
      <c r="O275" s="174"/>
      <c r="T275" s="182"/>
    </row>
    <row r="276">
      <c r="I276" s="174"/>
      <c r="J276" s="453"/>
      <c r="K276" s="174"/>
      <c r="L276" s="174"/>
      <c r="M276" s="174"/>
      <c r="N276" s="174"/>
      <c r="O276" s="174"/>
      <c r="T276" s="182"/>
    </row>
    <row r="277">
      <c r="I277" s="174"/>
      <c r="J277" s="453"/>
      <c r="K277" s="174"/>
      <c r="L277" s="174"/>
      <c r="M277" s="174"/>
      <c r="N277" s="174"/>
      <c r="O277" s="174"/>
      <c r="T277" s="182"/>
    </row>
    <row r="278">
      <c r="I278" s="174"/>
      <c r="J278" s="453"/>
      <c r="K278" s="174"/>
      <c r="L278" s="174"/>
      <c r="M278" s="174"/>
      <c r="N278" s="174"/>
      <c r="O278" s="174"/>
      <c r="T278" s="182"/>
    </row>
    <row r="279">
      <c r="I279" s="174"/>
      <c r="J279" s="453"/>
      <c r="K279" s="174"/>
      <c r="L279" s="174"/>
      <c r="M279" s="174"/>
      <c r="N279" s="174"/>
      <c r="O279" s="174"/>
      <c r="T279" s="182"/>
    </row>
    <row r="280">
      <c r="I280" s="174"/>
      <c r="J280" s="453"/>
      <c r="K280" s="174"/>
      <c r="L280" s="174"/>
      <c r="M280" s="174"/>
      <c r="N280" s="174"/>
      <c r="O280" s="174"/>
      <c r="T280" s="182"/>
    </row>
    <row r="281">
      <c r="I281" s="174"/>
      <c r="J281" s="453"/>
      <c r="K281" s="174"/>
      <c r="L281" s="174"/>
      <c r="M281" s="174"/>
      <c r="N281" s="174"/>
      <c r="O281" s="174"/>
      <c r="T281" s="182"/>
    </row>
    <row r="282">
      <c r="I282" s="174"/>
      <c r="J282" s="453"/>
      <c r="K282" s="174"/>
      <c r="L282" s="174"/>
      <c r="M282" s="174"/>
      <c r="N282" s="174"/>
      <c r="O282" s="174"/>
      <c r="T282" s="182"/>
    </row>
    <row r="283">
      <c r="I283" s="174"/>
      <c r="J283" s="453"/>
      <c r="K283" s="174"/>
      <c r="L283" s="174"/>
      <c r="M283" s="174"/>
      <c r="N283" s="174"/>
      <c r="O283" s="174"/>
      <c r="T283" s="182"/>
    </row>
    <row r="284">
      <c r="I284" s="174"/>
      <c r="J284" s="453"/>
      <c r="K284" s="174"/>
      <c r="L284" s="174"/>
      <c r="M284" s="174"/>
      <c r="N284" s="174"/>
      <c r="O284" s="174"/>
      <c r="T284" s="182"/>
    </row>
    <row r="285">
      <c r="I285" s="174"/>
      <c r="J285" s="453"/>
      <c r="K285" s="174"/>
      <c r="L285" s="174"/>
      <c r="M285" s="174"/>
      <c r="N285" s="174"/>
      <c r="O285" s="174"/>
      <c r="T285" s="182"/>
    </row>
    <row r="286">
      <c r="I286" s="174"/>
      <c r="J286" s="453"/>
      <c r="K286" s="174"/>
      <c r="L286" s="174"/>
      <c r="M286" s="174"/>
      <c r="N286" s="174"/>
      <c r="O286" s="174"/>
      <c r="T286" s="182"/>
    </row>
    <row r="287">
      <c r="I287" s="174"/>
      <c r="J287" s="453"/>
      <c r="K287" s="174"/>
      <c r="L287" s="174"/>
      <c r="M287" s="174"/>
      <c r="N287" s="174"/>
      <c r="O287" s="174"/>
      <c r="T287" s="182"/>
    </row>
    <row r="288">
      <c r="I288" s="174"/>
      <c r="J288" s="453"/>
      <c r="K288" s="174"/>
      <c r="L288" s="174"/>
      <c r="M288" s="174"/>
      <c r="N288" s="174"/>
      <c r="O288" s="174"/>
      <c r="T288" s="182"/>
    </row>
    <row r="289">
      <c r="I289" s="174"/>
      <c r="J289" s="453"/>
      <c r="K289" s="174"/>
      <c r="L289" s="174"/>
      <c r="M289" s="174"/>
      <c r="N289" s="174"/>
      <c r="O289" s="174"/>
      <c r="T289" s="182"/>
    </row>
    <row r="290">
      <c r="I290" s="174"/>
      <c r="J290" s="453"/>
      <c r="K290" s="174"/>
      <c r="L290" s="174"/>
      <c r="M290" s="174"/>
      <c r="N290" s="174"/>
      <c r="O290" s="174"/>
      <c r="T290" s="182"/>
    </row>
    <row r="291">
      <c r="I291" s="174"/>
      <c r="J291" s="453"/>
      <c r="K291" s="174"/>
      <c r="L291" s="174"/>
      <c r="M291" s="174"/>
      <c r="N291" s="174"/>
      <c r="O291" s="174"/>
      <c r="T291" s="182"/>
    </row>
    <row r="292">
      <c r="I292" s="174"/>
      <c r="J292" s="453"/>
      <c r="K292" s="174"/>
      <c r="L292" s="174"/>
      <c r="M292" s="174"/>
      <c r="N292" s="174"/>
      <c r="O292" s="174"/>
      <c r="T292" s="182"/>
    </row>
    <row r="293">
      <c r="I293" s="174"/>
      <c r="J293" s="453"/>
      <c r="K293" s="174"/>
      <c r="L293" s="174"/>
      <c r="M293" s="174"/>
      <c r="N293" s="174"/>
      <c r="O293" s="174"/>
      <c r="T293" s="182"/>
    </row>
    <row r="294">
      <c r="I294" s="174"/>
      <c r="J294" s="453"/>
      <c r="K294" s="174"/>
      <c r="L294" s="174"/>
      <c r="M294" s="174"/>
      <c r="N294" s="174"/>
      <c r="O294" s="174"/>
      <c r="T294" s="182"/>
    </row>
    <row r="295">
      <c r="I295" s="174"/>
      <c r="J295" s="453"/>
      <c r="K295" s="174"/>
      <c r="L295" s="174"/>
      <c r="M295" s="174"/>
      <c r="N295" s="174"/>
      <c r="O295" s="174"/>
      <c r="T295" s="182"/>
    </row>
    <row r="296">
      <c r="I296" s="174"/>
      <c r="J296" s="453"/>
      <c r="K296" s="174"/>
      <c r="L296" s="174"/>
      <c r="M296" s="174"/>
      <c r="N296" s="174"/>
      <c r="O296" s="174"/>
      <c r="T296" s="182"/>
    </row>
    <row r="297">
      <c r="I297" s="174"/>
      <c r="J297" s="453"/>
      <c r="K297" s="174"/>
      <c r="L297" s="174"/>
      <c r="M297" s="174"/>
      <c r="N297" s="174"/>
      <c r="O297" s="174"/>
      <c r="T297" s="182"/>
    </row>
    <row r="298">
      <c r="I298" s="174"/>
      <c r="J298" s="453"/>
      <c r="K298" s="174"/>
      <c r="L298" s="174"/>
      <c r="M298" s="174"/>
      <c r="N298" s="174"/>
      <c r="O298" s="174"/>
      <c r="T298" s="182"/>
    </row>
    <row r="299">
      <c r="I299" s="174"/>
      <c r="J299" s="453"/>
      <c r="K299" s="174"/>
      <c r="L299" s="174"/>
      <c r="M299" s="174"/>
      <c r="N299" s="174"/>
      <c r="O299" s="174"/>
      <c r="T299" s="182"/>
    </row>
    <row r="300">
      <c r="I300" s="174"/>
      <c r="J300" s="453"/>
      <c r="K300" s="174"/>
      <c r="L300" s="174"/>
      <c r="M300" s="174"/>
      <c r="N300" s="174"/>
      <c r="O300" s="174"/>
      <c r="T300" s="182"/>
    </row>
    <row r="301">
      <c r="I301" s="174"/>
      <c r="J301" s="453"/>
      <c r="K301" s="174"/>
      <c r="L301" s="174"/>
      <c r="M301" s="174"/>
      <c r="N301" s="174"/>
      <c r="O301" s="174"/>
      <c r="T301" s="182"/>
    </row>
    <row r="302">
      <c r="I302" s="174"/>
      <c r="J302" s="453"/>
      <c r="K302" s="174"/>
      <c r="L302" s="174"/>
      <c r="M302" s="174"/>
      <c r="N302" s="174"/>
      <c r="O302" s="174"/>
      <c r="T302" s="182"/>
    </row>
    <row r="303">
      <c r="I303" s="174"/>
      <c r="J303" s="453"/>
      <c r="K303" s="174"/>
      <c r="L303" s="174"/>
      <c r="M303" s="174"/>
      <c r="N303" s="174"/>
      <c r="O303" s="174"/>
      <c r="T303" s="182"/>
    </row>
    <row r="304">
      <c r="I304" s="174"/>
      <c r="J304" s="453"/>
      <c r="K304" s="174"/>
      <c r="L304" s="174"/>
      <c r="M304" s="174"/>
      <c r="N304" s="174"/>
      <c r="O304" s="174"/>
      <c r="T304" s="182"/>
    </row>
    <row r="305">
      <c r="I305" s="174"/>
      <c r="J305" s="453"/>
      <c r="K305" s="174"/>
      <c r="L305" s="174"/>
      <c r="M305" s="174"/>
      <c r="N305" s="174"/>
      <c r="O305" s="174"/>
      <c r="T305" s="182"/>
    </row>
    <row r="306">
      <c r="I306" s="174"/>
      <c r="J306" s="453"/>
      <c r="K306" s="174"/>
      <c r="L306" s="174"/>
      <c r="M306" s="174"/>
      <c r="N306" s="174"/>
      <c r="O306" s="174"/>
      <c r="T306" s="182"/>
    </row>
    <row r="307">
      <c r="I307" s="174"/>
      <c r="J307" s="453"/>
      <c r="K307" s="174"/>
      <c r="L307" s="174"/>
      <c r="M307" s="174"/>
      <c r="N307" s="174"/>
      <c r="O307" s="174"/>
      <c r="T307" s="182"/>
    </row>
    <row r="308">
      <c r="I308" s="174"/>
      <c r="J308" s="453"/>
      <c r="K308" s="174"/>
      <c r="L308" s="174"/>
      <c r="M308" s="174"/>
      <c r="N308" s="174"/>
      <c r="O308" s="174"/>
      <c r="T308" s="182"/>
    </row>
    <row r="309">
      <c r="I309" s="174"/>
      <c r="J309" s="453"/>
      <c r="K309" s="174"/>
      <c r="L309" s="174"/>
      <c r="M309" s="174"/>
      <c r="N309" s="174"/>
      <c r="O309" s="174"/>
      <c r="T309" s="182"/>
    </row>
    <row r="310">
      <c r="I310" s="174"/>
      <c r="J310" s="453"/>
      <c r="K310" s="174"/>
      <c r="L310" s="174"/>
      <c r="M310" s="174"/>
      <c r="N310" s="174"/>
      <c r="O310" s="174"/>
      <c r="T310" s="182"/>
    </row>
    <row r="311">
      <c r="I311" s="174"/>
      <c r="J311" s="453"/>
      <c r="K311" s="174"/>
      <c r="L311" s="174"/>
      <c r="M311" s="174"/>
      <c r="N311" s="174"/>
      <c r="O311" s="174"/>
      <c r="T311" s="182"/>
    </row>
    <row r="312">
      <c r="I312" s="174"/>
      <c r="J312" s="453"/>
      <c r="K312" s="174"/>
      <c r="L312" s="174"/>
      <c r="M312" s="174"/>
      <c r="N312" s="174"/>
      <c r="O312" s="174"/>
      <c r="T312" s="182"/>
    </row>
    <row r="313">
      <c r="I313" s="174"/>
      <c r="J313" s="453"/>
      <c r="K313" s="174"/>
      <c r="L313" s="174"/>
      <c r="M313" s="174"/>
      <c r="N313" s="174"/>
      <c r="O313" s="174"/>
      <c r="T313" s="182"/>
    </row>
    <row r="314">
      <c r="I314" s="174"/>
      <c r="J314" s="453"/>
      <c r="K314" s="174"/>
      <c r="L314" s="174"/>
      <c r="M314" s="174"/>
      <c r="N314" s="174"/>
      <c r="O314" s="174"/>
      <c r="T314" s="182"/>
    </row>
    <row r="315">
      <c r="I315" s="174"/>
      <c r="J315" s="453"/>
      <c r="K315" s="174"/>
      <c r="L315" s="174"/>
      <c r="M315" s="174"/>
      <c r="N315" s="174"/>
      <c r="O315" s="174"/>
      <c r="T315" s="182"/>
    </row>
    <row r="316">
      <c r="I316" s="174"/>
      <c r="J316" s="453"/>
      <c r="K316" s="174"/>
      <c r="L316" s="174"/>
      <c r="M316" s="174"/>
      <c r="N316" s="174"/>
      <c r="O316" s="174"/>
      <c r="T316" s="182"/>
    </row>
    <row r="317">
      <c r="I317" s="174"/>
      <c r="J317" s="453"/>
      <c r="K317" s="174"/>
      <c r="L317" s="174"/>
      <c r="M317" s="174"/>
      <c r="N317" s="174"/>
      <c r="O317" s="174"/>
      <c r="T317" s="182"/>
    </row>
    <row r="318">
      <c r="I318" s="174"/>
      <c r="J318" s="453"/>
      <c r="K318" s="174"/>
      <c r="L318" s="174"/>
      <c r="M318" s="174"/>
      <c r="N318" s="174"/>
      <c r="O318" s="174"/>
      <c r="T318" s="182"/>
    </row>
    <row r="319">
      <c r="I319" s="174"/>
      <c r="J319" s="453"/>
      <c r="K319" s="174"/>
      <c r="L319" s="174"/>
      <c r="M319" s="174"/>
      <c r="N319" s="174"/>
      <c r="O319" s="174"/>
      <c r="T319" s="182"/>
    </row>
    <row r="320">
      <c r="I320" s="174"/>
      <c r="J320" s="453"/>
      <c r="K320" s="174"/>
      <c r="L320" s="174"/>
      <c r="M320" s="174"/>
      <c r="N320" s="174"/>
      <c r="O320" s="174"/>
      <c r="T320" s="182"/>
    </row>
    <row r="321">
      <c r="I321" s="174"/>
      <c r="J321" s="453"/>
      <c r="K321" s="174"/>
      <c r="L321" s="174"/>
      <c r="M321" s="174"/>
      <c r="N321" s="174"/>
      <c r="O321" s="174"/>
      <c r="T321" s="182"/>
    </row>
    <row r="322">
      <c r="I322" s="174"/>
      <c r="J322" s="453"/>
      <c r="K322" s="174"/>
      <c r="L322" s="174"/>
      <c r="M322" s="174"/>
      <c r="N322" s="174"/>
      <c r="O322" s="174"/>
      <c r="T322" s="182"/>
    </row>
    <row r="323">
      <c r="I323" s="174"/>
      <c r="J323" s="453"/>
      <c r="K323" s="174"/>
      <c r="L323" s="174"/>
      <c r="M323" s="174"/>
      <c r="N323" s="174"/>
      <c r="O323" s="174"/>
      <c r="T323" s="182"/>
    </row>
    <row r="324">
      <c r="I324" s="174"/>
      <c r="J324" s="453"/>
      <c r="K324" s="174"/>
      <c r="L324" s="174"/>
      <c r="M324" s="174"/>
      <c r="N324" s="174"/>
      <c r="O324" s="174"/>
      <c r="T324" s="182"/>
    </row>
    <row r="325">
      <c r="I325" s="174"/>
      <c r="J325" s="453"/>
      <c r="K325" s="174"/>
      <c r="L325" s="174"/>
      <c r="M325" s="174"/>
      <c r="N325" s="174"/>
      <c r="O325" s="174"/>
      <c r="T325" s="182"/>
    </row>
    <row r="326">
      <c r="I326" s="174"/>
      <c r="J326" s="453"/>
      <c r="K326" s="174"/>
      <c r="L326" s="174"/>
      <c r="M326" s="174"/>
      <c r="N326" s="174"/>
      <c r="O326" s="174"/>
      <c r="T326" s="182"/>
    </row>
    <row r="327">
      <c r="I327" s="174"/>
      <c r="J327" s="453"/>
      <c r="K327" s="174"/>
      <c r="L327" s="174"/>
      <c r="M327" s="174"/>
      <c r="N327" s="174"/>
      <c r="O327" s="174"/>
      <c r="T327" s="182"/>
    </row>
    <row r="328">
      <c r="I328" s="174"/>
      <c r="J328" s="453"/>
      <c r="K328" s="174"/>
      <c r="L328" s="174"/>
      <c r="M328" s="174"/>
      <c r="N328" s="174"/>
      <c r="O328" s="174"/>
      <c r="T328" s="182"/>
    </row>
    <row r="329">
      <c r="I329" s="174"/>
      <c r="J329" s="453"/>
      <c r="K329" s="174"/>
      <c r="L329" s="174"/>
      <c r="M329" s="174"/>
      <c r="N329" s="174"/>
      <c r="O329" s="174"/>
      <c r="T329" s="182"/>
    </row>
    <row r="330">
      <c r="I330" s="174"/>
      <c r="J330" s="453"/>
      <c r="K330" s="174"/>
      <c r="L330" s="174"/>
      <c r="M330" s="174"/>
      <c r="N330" s="174"/>
      <c r="O330" s="174"/>
      <c r="T330" s="182"/>
    </row>
    <row r="331">
      <c r="I331" s="174"/>
      <c r="J331" s="453"/>
      <c r="K331" s="174"/>
      <c r="L331" s="174"/>
      <c r="M331" s="174"/>
      <c r="N331" s="174"/>
      <c r="O331" s="174"/>
      <c r="T331" s="182"/>
    </row>
    <row r="332">
      <c r="I332" s="174"/>
      <c r="J332" s="453"/>
      <c r="K332" s="174"/>
      <c r="L332" s="174"/>
      <c r="M332" s="174"/>
      <c r="N332" s="174"/>
      <c r="O332" s="174"/>
      <c r="T332" s="182"/>
    </row>
    <row r="333">
      <c r="I333" s="174"/>
      <c r="J333" s="453"/>
      <c r="K333" s="174"/>
      <c r="L333" s="174"/>
      <c r="M333" s="174"/>
      <c r="N333" s="174"/>
      <c r="O333" s="174"/>
      <c r="T333" s="182"/>
    </row>
    <row r="334">
      <c r="I334" s="174"/>
      <c r="J334" s="453"/>
      <c r="K334" s="174"/>
      <c r="L334" s="174"/>
      <c r="M334" s="174"/>
      <c r="N334" s="174"/>
      <c r="O334" s="174"/>
      <c r="T334" s="182"/>
    </row>
    <row r="335">
      <c r="I335" s="174"/>
      <c r="J335" s="453"/>
      <c r="K335" s="174"/>
      <c r="L335" s="174"/>
      <c r="M335" s="174"/>
      <c r="N335" s="174"/>
      <c r="O335" s="174"/>
      <c r="T335" s="182"/>
    </row>
    <row r="336">
      <c r="I336" s="174"/>
      <c r="J336" s="453"/>
      <c r="K336" s="174"/>
      <c r="L336" s="174"/>
      <c r="M336" s="174"/>
      <c r="N336" s="174"/>
      <c r="O336" s="174"/>
      <c r="T336" s="182"/>
    </row>
    <row r="337">
      <c r="I337" s="174"/>
      <c r="J337" s="453"/>
      <c r="K337" s="174"/>
      <c r="L337" s="174"/>
      <c r="M337" s="174"/>
      <c r="N337" s="174"/>
      <c r="O337" s="174"/>
      <c r="T337" s="182"/>
    </row>
    <row r="338">
      <c r="I338" s="174"/>
      <c r="J338" s="453"/>
      <c r="K338" s="174"/>
      <c r="L338" s="174"/>
      <c r="M338" s="174"/>
      <c r="N338" s="174"/>
      <c r="O338" s="174"/>
      <c r="T338" s="182"/>
    </row>
    <row r="339">
      <c r="I339" s="174"/>
      <c r="J339" s="453"/>
      <c r="K339" s="174"/>
      <c r="L339" s="174"/>
      <c r="M339" s="174"/>
      <c r="N339" s="174"/>
      <c r="O339" s="174"/>
      <c r="T339" s="182"/>
    </row>
    <row r="340">
      <c r="I340" s="174"/>
      <c r="J340" s="453"/>
      <c r="K340" s="174"/>
      <c r="L340" s="174"/>
      <c r="M340" s="174"/>
      <c r="N340" s="174"/>
      <c r="O340" s="174"/>
      <c r="T340" s="182"/>
    </row>
    <row r="341">
      <c r="I341" s="174"/>
      <c r="J341" s="453"/>
      <c r="K341" s="174"/>
      <c r="L341" s="174"/>
      <c r="M341" s="174"/>
      <c r="N341" s="174"/>
      <c r="O341" s="174"/>
      <c r="T341" s="182"/>
    </row>
    <row r="342">
      <c r="I342" s="174"/>
      <c r="J342" s="453"/>
      <c r="K342" s="174"/>
      <c r="L342" s="174"/>
      <c r="M342" s="174"/>
      <c r="N342" s="174"/>
      <c r="O342" s="174"/>
      <c r="T342" s="182"/>
    </row>
    <row r="343">
      <c r="I343" s="174"/>
      <c r="J343" s="453"/>
      <c r="K343" s="174"/>
      <c r="L343" s="174"/>
      <c r="M343" s="174"/>
      <c r="N343" s="174"/>
      <c r="O343" s="174"/>
      <c r="T343" s="182"/>
    </row>
    <row r="344">
      <c r="I344" s="174"/>
      <c r="J344" s="453"/>
      <c r="K344" s="174"/>
      <c r="L344" s="174"/>
      <c r="M344" s="174"/>
      <c r="N344" s="174"/>
      <c r="O344" s="174"/>
      <c r="T344" s="182"/>
    </row>
    <row r="345">
      <c r="I345" s="174"/>
      <c r="J345" s="453"/>
      <c r="K345" s="174"/>
      <c r="L345" s="174"/>
      <c r="M345" s="174"/>
      <c r="N345" s="174"/>
      <c r="O345" s="174"/>
      <c r="T345" s="182"/>
    </row>
    <row r="346">
      <c r="I346" s="174"/>
      <c r="J346" s="453"/>
      <c r="K346" s="174"/>
      <c r="L346" s="174"/>
      <c r="M346" s="174"/>
      <c r="N346" s="174"/>
      <c r="O346" s="174"/>
      <c r="T346" s="182"/>
    </row>
    <row r="347">
      <c r="I347" s="174"/>
      <c r="J347" s="453"/>
      <c r="K347" s="174"/>
      <c r="L347" s="174"/>
      <c r="M347" s="174"/>
      <c r="N347" s="174"/>
      <c r="O347" s="174"/>
      <c r="T347" s="182"/>
    </row>
    <row r="348">
      <c r="I348" s="174"/>
      <c r="J348" s="453"/>
      <c r="K348" s="174"/>
      <c r="L348" s="174"/>
      <c r="M348" s="174"/>
      <c r="N348" s="174"/>
      <c r="O348" s="174"/>
      <c r="T348" s="182"/>
    </row>
    <row r="349">
      <c r="I349" s="174"/>
      <c r="J349" s="453"/>
      <c r="K349" s="174"/>
      <c r="L349" s="174"/>
      <c r="M349" s="174"/>
      <c r="N349" s="174"/>
      <c r="O349" s="174"/>
      <c r="T349" s="182"/>
    </row>
    <row r="350">
      <c r="I350" s="174"/>
      <c r="J350" s="453"/>
      <c r="K350" s="174"/>
      <c r="L350" s="174"/>
      <c r="M350" s="174"/>
      <c r="N350" s="174"/>
      <c r="O350" s="174"/>
      <c r="T350" s="182"/>
    </row>
    <row r="351">
      <c r="I351" s="174"/>
      <c r="J351" s="453"/>
      <c r="K351" s="174"/>
      <c r="L351" s="174"/>
      <c r="M351" s="174"/>
      <c r="N351" s="174"/>
      <c r="O351" s="174"/>
      <c r="T351" s="182"/>
    </row>
    <row r="352">
      <c r="I352" s="174"/>
      <c r="J352" s="453"/>
      <c r="K352" s="174"/>
      <c r="L352" s="174"/>
      <c r="M352" s="174"/>
      <c r="N352" s="174"/>
      <c r="O352" s="174"/>
      <c r="T352" s="182"/>
    </row>
    <row r="353">
      <c r="I353" s="174"/>
      <c r="J353" s="453"/>
      <c r="K353" s="174"/>
      <c r="L353" s="174"/>
      <c r="M353" s="174"/>
      <c r="N353" s="174"/>
      <c r="O353" s="174"/>
      <c r="T353" s="182"/>
    </row>
    <row r="354">
      <c r="I354" s="174"/>
      <c r="J354" s="453"/>
      <c r="K354" s="174"/>
      <c r="L354" s="174"/>
      <c r="M354" s="174"/>
      <c r="N354" s="174"/>
      <c r="O354" s="174"/>
      <c r="T354" s="182"/>
    </row>
    <row r="355">
      <c r="I355" s="174"/>
      <c r="J355" s="453"/>
      <c r="K355" s="174"/>
      <c r="L355" s="174"/>
      <c r="M355" s="174"/>
      <c r="N355" s="174"/>
      <c r="O355" s="174"/>
      <c r="T355" s="182"/>
    </row>
    <row r="356">
      <c r="I356" s="174"/>
      <c r="J356" s="453"/>
      <c r="K356" s="174"/>
      <c r="L356" s="174"/>
      <c r="M356" s="174"/>
      <c r="N356" s="174"/>
      <c r="O356" s="174"/>
      <c r="T356" s="182"/>
    </row>
    <row r="357">
      <c r="I357" s="174"/>
      <c r="J357" s="453"/>
      <c r="K357" s="174"/>
      <c r="L357" s="174"/>
      <c r="M357" s="174"/>
      <c r="N357" s="174"/>
      <c r="O357" s="174"/>
      <c r="T357" s="182"/>
    </row>
    <row r="358">
      <c r="I358" s="174"/>
      <c r="J358" s="453"/>
      <c r="K358" s="174"/>
      <c r="L358" s="174"/>
      <c r="M358" s="174"/>
      <c r="N358" s="174"/>
      <c r="O358" s="174"/>
      <c r="T358" s="182"/>
    </row>
    <row r="359">
      <c r="I359" s="174"/>
      <c r="J359" s="453"/>
      <c r="K359" s="174"/>
      <c r="L359" s="174"/>
      <c r="M359" s="174"/>
      <c r="N359" s="174"/>
      <c r="O359" s="174"/>
      <c r="T359" s="182"/>
    </row>
    <row r="360">
      <c r="I360" s="174"/>
      <c r="J360" s="453"/>
      <c r="K360" s="174"/>
      <c r="L360" s="174"/>
      <c r="M360" s="174"/>
      <c r="N360" s="174"/>
      <c r="O360" s="174"/>
      <c r="T360" s="182"/>
    </row>
    <row r="361">
      <c r="I361" s="174"/>
      <c r="J361" s="453"/>
      <c r="K361" s="174"/>
      <c r="L361" s="174"/>
      <c r="M361" s="174"/>
      <c r="N361" s="174"/>
      <c r="O361" s="174"/>
      <c r="T361" s="182"/>
    </row>
    <row r="362">
      <c r="I362" s="174"/>
      <c r="J362" s="453"/>
      <c r="K362" s="174"/>
      <c r="L362" s="174"/>
      <c r="M362" s="174"/>
      <c r="N362" s="174"/>
      <c r="O362" s="174"/>
      <c r="T362" s="182"/>
    </row>
    <row r="363">
      <c r="I363" s="174"/>
      <c r="J363" s="453"/>
      <c r="K363" s="174"/>
      <c r="L363" s="174"/>
      <c r="M363" s="174"/>
      <c r="N363" s="174"/>
      <c r="O363" s="174"/>
      <c r="T363" s="182"/>
    </row>
    <row r="364">
      <c r="I364" s="174"/>
      <c r="J364" s="453"/>
      <c r="K364" s="174"/>
      <c r="L364" s="174"/>
      <c r="M364" s="174"/>
      <c r="N364" s="174"/>
      <c r="O364" s="174"/>
      <c r="T364" s="182"/>
    </row>
    <row r="365">
      <c r="I365" s="174"/>
      <c r="J365" s="453"/>
      <c r="K365" s="174"/>
      <c r="L365" s="174"/>
      <c r="M365" s="174"/>
      <c r="N365" s="174"/>
      <c r="O365" s="174"/>
      <c r="T365" s="182"/>
    </row>
    <row r="366">
      <c r="I366" s="174"/>
      <c r="J366" s="453"/>
      <c r="K366" s="174"/>
      <c r="L366" s="174"/>
      <c r="M366" s="174"/>
      <c r="N366" s="174"/>
      <c r="O366" s="174"/>
      <c r="T366" s="182"/>
    </row>
    <row r="367">
      <c r="I367" s="174"/>
      <c r="J367" s="453"/>
      <c r="K367" s="174"/>
      <c r="L367" s="174"/>
      <c r="M367" s="174"/>
      <c r="N367" s="174"/>
      <c r="O367" s="174"/>
      <c r="T367" s="182"/>
    </row>
    <row r="368">
      <c r="I368" s="174"/>
      <c r="J368" s="453"/>
      <c r="K368" s="174"/>
      <c r="L368" s="174"/>
      <c r="M368" s="174"/>
      <c r="N368" s="174"/>
      <c r="O368" s="174"/>
      <c r="T368" s="182"/>
    </row>
    <row r="369">
      <c r="I369" s="174"/>
      <c r="J369" s="453"/>
      <c r="K369" s="174"/>
      <c r="L369" s="174"/>
      <c r="M369" s="174"/>
      <c r="N369" s="174"/>
      <c r="O369" s="174"/>
      <c r="T369" s="182"/>
    </row>
    <row r="370">
      <c r="I370" s="174"/>
      <c r="J370" s="453"/>
      <c r="K370" s="174"/>
      <c r="L370" s="174"/>
      <c r="M370" s="174"/>
      <c r="N370" s="174"/>
      <c r="O370" s="174"/>
      <c r="T370" s="182"/>
    </row>
    <row r="371">
      <c r="I371" s="174"/>
      <c r="J371" s="453"/>
      <c r="K371" s="174"/>
      <c r="L371" s="174"/>
      <c r="M371" s="174"/>
      <c r="N371" s="174"/>
      <c r="O371" s="174"/>
      <c r="T371" s="182"/>
    </row>
    <row r="372">
      <c r="I372" s="174"/>
      <c r="J372" s="453"/>
      <c r="K372" s="174"/>
      <c r="L372" s="174"/>
      <c r="M372" s="174"/>
      <c r="N372" s="174"/>
      <c r="O372" s="174"/>
      <c r="T372" s="182"/>
    </row>
    <row r="373">
      <c r="I373" s="174"/>
      <c r="J373" s="453"/>
      <c r="K373" s="174"/>
      <c r="L373" s="174"/>
      <c r="M373" s="174"/>
      <c r="N373" s="174"/>
      <c r="O373" s="174"/>
      <c r="T373" s="182"/>
    </row>
    <row r="374">
      <c r="I374" s="174"/>
      <c r="J374" s="453"/>
      <c r="K374" s="174"/>
      <c r="L374" s="174"/>
      <c r="M374" s="174"/>
      <c r="N374" s="174"/>
      <c r="O374" s="174"/>
      <c r="T374" s="182"/>
    </row>
    <row r="375">
      <c r="I375" s="174"/>
      <c r="J375" s="453"/>
      <c r="K375" s="174"/>
      <c r="L375" s="174"/>
      <c r="M375" s="174"/>
      <c r="N375" s="174"/>
      <c r="O375" s="174"/>
      <c r="T375" s="182"/>
    </row>
    <row r="376">
      <c r="I376" s="174"/>
      <c r="J376" s="453"/>
      <c r="K376" s="174"/>
      <c r="L376" s="174"/>
      <c r="M376" s="174"/>
      <c r="N376" s="174"/>
      <c r="O376" s="174"/>
      <c r="T376" s="182"/>
    </row>
    <row r="377">
      <c r="I377" s="174"/>
      <c r="J377" s="453"/>
      <c r="K377" s="174"/>
      <c r="L377" s="174"/>
      <c r="M377" s="174"/>
      <c r="N377" s="174"/>
      <c r="O377" s="174"/>
      <c r="T377" s="182"/>
    </row>
    <row r="378">
      <c r="I378" s="174"/>
      <c r="J378" s="453"/>
      <c r="K378" s="174"/>
      <c r="L378" s="174"/>
      <c r="M378" s="174"/>
      <c r="N378" s="174"/>
      <c r="O378" s="174"/>
      <c r="T378" s="182"/>
    </row>
    <row r="379">
      <c r="I379" s="174"/>
      <c r="J379" s="453"/>
      <c r="K379" s="174"/>
      <c r="L379" s="174"/>
      <c r="M379" s="174"/>
      <c r="N379" s="174"/>
      <c r="O379" s="174"/>
      <c r="T379" s="182"/>
    </row>
    <row r="380">
      <c r="I380" s="174"/>
      <c r="J380" s="453"/>
      <c r="K380" s="174"/>
      <c r="L380" s="174"/>
      <c r="M380" s="174"/>
      <c r="N380" s="174"/>
      <c r="O380" s="174"/>
      <c r="T380" s="182"/>
    </row>
    <row r="381">
      <c r="I381" s="174"/>
      <c r="J381" s="453"/>
      <c r="K381" s="174"/>
      <c r="L381" s="174"/>
      <c r="M381" s="174"/>
      <c r="N381" s="174"/>
      <c r="O381" s="174"/>
      <c r="T381" s="182"/>
    </row>
    <row r="382">
      <c r="I382" s="174"/>
      <c r="J382" s="453"/>
      <c r="K382" s="174"/>
      <c r="L382" s="174"/>
      <c r="M382" s="174"/>
      <c r="N382" s="174"/>
      <c r="O382" s="174"/>
      <c r="T382" s="182"/>
    </row>
    <row r="383">
      <c r="I383" s="174"/>
      <c r="J383" s="453"/>
      <c r="K383" s="174"/>
      <c r="L383" s="174"/>
      <c r="M383" s="174"/>
      <c r="N383" s="174"/>
      <c r="O383" s="174"/>
      <c r="T383" s="182"/>
    </row>
    <row r="384">
      <c r="I384" s="174"/>
      <c r="J384" s="453"/>
      <c r="K384" s="174"/>
      <c r="L384" s="174"/>
      <c r="M384" s="174"/>
      <c r="N384" s="174"/>
      <c r="O384" s="174"/>
      <c r="T384" s="182"/>
    </row>
    <row r="385">
      <c r="I385" s="174"/>
      <c r="J385" s="453"/>
      <c r="K385" s="174"/>
      <c r="L385" s="174"/>
      <c r="M385" s="174"/>
      <c r="N385" s="174"/>
      <c r="O385" s="174"/>
      <c r="T385" s="182"/>
    </row>
    <row r="386">
      <c r="I386" s="174"/>
      <c r="J386" s="453"/>
      <c r="K386" s="174"/>
      <c r="L386" s="174"/>
      <c r="M386" s="174"/>
      <c r="N386" s="174"/>
      <c r="O386" s="174"/>
      <c r="T386" s="182"/>
    </row>
    <row r="387">
      <c r="I387" s="174"/>
      <c r="J387" s="453"/>
      <c r="K387" s="174"/>
      <c r="L387" s="174"/>
      <c r="M387" s="174"/>
      <c r="N387" s="174"/>
      <c r="O387" s="174"/>
      <c r="T387" s="182"/>
    </row>
    <row r="388">
      <c r="I388" s="174"/>
      <c r="J388" s="453"/>
      <c r="K388" s="174"/>
      <c r="L388" s="174"/>
      <c r="M388" s="174"/>
      <c r="N388" s="174"/>
      <c r="O388" s="174"/>
      <c r="T388" s="182"/>
    </row>
    <row r="389">
      <c r="I389" s="174"/>
      <c r="J389" s="453"/>
      <c r="K389" s="174"/>
      <c r="L389" s="174"/>
      <c r="M389" s="174"/>
      <c r="N389" s="174"/>
      <c r="O389" s="174"/>
      <c r="T389" s="182"/>
    </row>
    <row r="390">
      <c r="I390" s="174"/>
      <c r="J390" s="453"/>
      <c r="K390" s="174"/>
      <c r="L390" s="174"/>
      <c r="M390" s="174"/>
      <c r="N390" s="174"/>
      <c r="O390" s="174"/>
      <c r="T390" s="182"/>
    </row>
    <row r="391">
      <c r="I391" s="174"/>
      <c r="J391" s="453"/>
      <c r="K391" s="174"/>
      <c r="L391" s="174"/>
      <c r="M391" s="174"/>
      <c r="N391" s="174"/>
      <c r="O391" s="174"/>
      <c r="T391" s="182"/>
    </row>
    <row r="392">
      <c r="I392" s="174"/>
      <c r="J392" s="453"/>
      <c r="K392" s="174"/>
      <c r="L392" s="174"/>
      <c r="M392" s="174"/>
      <c r="N392" s="174"/>
      <c r="O392" s="174"/>
      <c r="T392" s="182"/>
    </row>
    <row r="393">
      <c r="I393" s="174"/>
      <c r="J393" s="453"/>
      <c r="K393" s="174"/>
      <c r="L393" s="174"/>
      <c r="M393" s="174"/>
      <c r="N393" s="174"/>
      <c r="O393" s="174"/>
      <c r="T393" s="182"/>
    </row>
    <row r="394">
      <c r="I394" s="174"/>
      <c r="J394" s="453"/>
      <c r="K394" s="174"/>
      <c r="L394" s="174"/>
      <c r="M394" s="174"/>
      <c r="N394" s="174"/>
      <c r="O394" s="174"/>
      <c r="T394" s="182"/>
    </row>
    <row r="395">
      <c r="I395" s="174"/>
      <c r="J395" s="453"/>
      <c r="K395" s="174"/>
      <c r="L395" s="174"/>
      <c r="M395" s="174"/>
      <c r="N395" s="174"/>
      <c r="O395" s="174"/>
      <c r="T395" s="182"/>
    </row>
    <row r="396">
      <c r="I396" s="174"/>
      <c r="J396" s="453"/>
      <c r="K396" s="174"/>
      <c r="L396" s="174"/>
      <c r="M396" s="174"/>
      <c r="N396" s="174"/>
      <c r="O396" s="174"/>
      <c r="T396" s="182"/>
    </row>
    <row r="397">
      <c r="I397" s="174"/>
      <c r="J397" s="453"/>
      <c r="K397" s="174"/>
      <c r="L397" s="174"/>
      <c r="M397" s="174"/>
      <c r="N397" s="174"/>
      <c r="O397" s="174"/>
      <c r="T397" s="182"/>
    </row>
    <row r="398">
      <c r="I398" s="174"/>
      <c r="J398" s="453"/>
      <c r="K398" s="174"/>
      <c r="L398" s="174"/>
      <c r="M398" s="174"/>
      <c r="N398" s="174"/>
      <c r="O398" s="174"/>
      <c r="T398" s="182"/>
    </row>
    <row r="399">
      <c r="I399" s="174"/>
      <c r="J399" s="453"/>
      <c r="K399" s="174"/>
      <c r="L399" s="174"/>
      <c r="M399" s="174"/>
      <c r="N399" s="174"/>
      <c r="O399" s="174"/>
      <c r="T399" s="182"/>
    </row>
    <row r="400">
      <c r="I400" s="174"/>
      <c r="J400" s="453"/>
      <c r="K400" s="174"/>
      <c r="L400" s="174"/>
      <c r="M400" s="174"/>
      <c r="N400" s="174"/>
      <c r="O400" s="174"/>
      <c r="T400" s="182"/>
    </row>
    <row r="401">
      <c r="I401" s="174"/>
      <c r="J401" s="453"/>
      <c r="K401" s="174"/>
      <c r="L401" s="174"/>
      <c r="M401" s="174"/>
      <c r="N401" s="174"/>
      <c r="O401" s="174"/>
      <c r="T401" s="182"/>
    </row>
    <row r="402">
      <c r="I402" s="174"/>
      <c r="J402" s="453"/>
      <c r="K402" s="174"/>
      <c r="L402" s="174"/>
      <c r="M402" s="174"/>
      <c r="N402" s="174"/>
      <c r="O402" s="174"/>
      <c r="T402" s="182"/>
    </row>
    <row r="403">
      <c r="I403" s="174"/>
      <c r="J403" s="453"/>
      <c r="K403" s="174"/>
      <c r="L403" s="174"/>
      <c r="M403" s="174"/>
      <c r="N403" s="174"/>
      <c r="O403" s="174"/>
      <c r="T403" s="182"/>
    </row>
    <row r="404">
      <c r="I404" s="174"/>
      <c r="J404" s="453"/>
      <c r="K404" s="174"/>
      <c r="L404" s="174"/>
      <c r="M404" s="174"/>
      <c r="N404" s="174"/>
      <c r="O404" s="174"/>
      <c r="T404" s="182"/>
    </row>
    <row r="405">
      <c r="I405" s="174"/>
      <c r="J405" s="453"/>
      <c r="K405" s="174"/>
      <c r="L405" s="174"/>
      <c r="M405" s="174"/>
      <c r="N405" s="174"/>
      <c r="O405" s="174"/>
      <c r="T405" s="182"/>
    </row>
    <row r="406">
      <c r="I406" s="174"/>
      <c r="J406" s="453"/>
      <c r="K406" s="174"/>
      <c r="L406" s="174"/>
      <c r="M406" s="174"/>
      <c r="N406" s="174"/>
      <c r="O406" s="174"/>
      <c r="T406" s="182"/>
    </row>
    <row r="407">
      <c r="I407" s="174"/>
      <c r="J407" s="453"/>
      <c r="K407" s="174"/>
      <c r="L407" s="174"/>
      <c r="M407" s="174"/>
      <c r="N407" s="174"/>
      <c r="O407" s="174"/>
      <c r="T407" s="182"/>
    </row>
    <row r="408">
      <c r="I408" s="174"/>
      <c r="J408" s="453"/>
      <c r="K408" s="174"/>
      <c r="L408" s="174"/>
      <c r="M408" s="174"/>
      <c r="N408" s="174"/>
      <c r="O408" s="174"/>
      <c r="T408" s="182"/>
    </row>
    <row r="409">
      <c r="I409" s="174"/>
      <c r="J409" s="453"/>
      <c r="K409" s="174"/>
      <c r="L409" s="174"/>
      <c r="M409" s="174"/>
      <c r="N409" s="174"/>
      <c r="O409" s="174"/>
      <c r="T409" s="182"/>
    </row>
    <row r="410">
      <c r="I410" s="174"/>
      <c r="J410" s="453"/>
      <c r="K410" s="174"/>
      <c r="L410" s="174"/>
      <c r="M410" s="174"/>
      <c r="N410" s="174"/>
      <c r="O410" s="174"/>
      <c r="T410" s="182"/>
    </row>
    <row r="411">
      <c r="I411" s="174"/>
      <c r="J411" s="453"/>
      <c r="K411" s="174"/>
      <c r="L411" s="174"/>
      <c r="M411" s="174"/>
      <c r="N411" s="174"/>
      <c r="O411" s="174"/>
      <c r="T411" s="182"/>
    </row>
    <row r="412">
      <c r="I412" s="174"/>
      <c r="J412" s="453"/>
      <c r="K412" s="174"/>
      <c r="L412" s="174"/>
      <c r="M412" s="174"/>
      <c r="N412" s="174"/>
      <c r="O412" s="174"/>
      <c r="T412" s="182"/>
    </row>
    <row r="413">
      <c r="I413" s="174"/>
      <c r="J413" s="453"/>
      <c r="K413" s="174"/>
      <c r="L413" s="174"/>
      <c r="M413" s="174"/>
      <c r="N413" s="174"/>
      <c r="O413" s="174"/>
      <c r="T413" s="182"/>
    </row>
    <row r="414">
      <c r="J414" s="454"/>
      <c r="K414" s="174"/>
      <c r="L414" s="174"/>
      <c r="M414" s="174"/>
      <c r="N414" s="174"/>
      <c r="O414" s="174"/>
      <c r="T414" s="182"/>
    </row>
    <row r="415">
      <c r="J415" s="454"/>
      <c r="K415" s="174"/>
      <c r="L415" s="174"/>
      <c r="M415" s="174"/>
      <c r="N415" s="174"/>
      <c r="O415" s="174"/>
      <c r="T415" s="182"/>
    </row>
    <row r="416">
      <c r="J416" s="454"/>
      <c r="K416" s="174"/>
      <c r="L416" s="174"/>
      <c r="M416" s="174"/>
      <c r="N416" s="174"/>
      <c r="O416" s="174"/>
      <c r="T416" s="182"/>
    </row>
    <row r="417">
      <c r="J417" s="454"/>
      <c r="K417" s="174"/>
      <c r="L417" s="174"/>
      <c r="M417" s="174"/>
      <c r="N417" s="174"/>
      <c r="O417" s="174"/>
      <c r="T417" s="182"/>
    </row>
    <row r="418">
      <c r="J418" s="454"/>
      <c r="K418" s="174"/>
      <c r="L418" s="174"/>
      <c r="M418" s="174"/>
      <c r="N418" s="174"/>
      <c r="O418" s="174"/>
      <c r="T418" s="182"/>
    </row>
    <row r="419">
      <c r="J419" s="454"/>
      <c r="K419" s="174"/>
      <c r="L419" s="174"/>
      <c r="M419" s="174"/>
      <c r="N419" s="174"/>
      <c r="O419" s="174"/>
      <c r="T419" s="182"/>
    </row>
    <row r="420">
      <c r="J420" s="454"/>
      <c r="K420" s="174"/>
      <c r="L420" s="174"/>
      <c r="M420" s="174"/>
      <c r="N420" s="174"/>
      <c r="O420" s="174"/>
      <c r="T420" s="182"/>
    </row>
    <row r="421">
      <c r="J421" s="454"/>
      <c r="K421" s="174"/>
      <c r="L421" s="174"/>
      <c r="M421" s="174"/>
      <c r="N421" s="174"/>
      <c r="O421" s="174"/>
      <c r="T421" s="182"/>
    </row>
    <row r="422">
      <c r="J422" s="454"/>
      <c r="K422" s="174"/>
      <c r="L422" s="174"/>
      <c r="M422" s="174"/>
      <c r="N422" s="174"/>
      <c r="O422" s="174"/>
      <c r="T422" s="182"/>
    </row>
    <row r="423">
      <c r="J423" s="454"/>
      <c r="K423" s="174"/>
      <c r="L423" s="174"/>
      <c r="M423" s="174"/>
      <c r="N423" s="174"/>
      <c r="O423" s="174"/>
      <c r="T423" s="182"/>
    </row>
    <row r="424">
      <c r="J424" s="454"/>
      <c r="K424" s="174"/>
      <c r="L424" s="174"/>
      <c r="M424" s="174"/>
      <c r="N424" s="174"/>
      <c r="O424" s="174"/>
      <c r="T424" s="182"/>
    </row>
    <row r="425">
      <c r="J425" s="454"/>
      <c r="K425" s="174"/>
      <c r="L425" s="174"/>
      <c r="M425" s="174"/>
      <c r="N425" s="174"/>
      <c r="O425" s="174"/>
      <c r="T425" s="182"/>
    </row>
    <row r="426">
      <c r="J426" s="454"/>
      <c r="K426" s="174"/>
      <c r="L426" s="174"/>
      <c r="M426" s="174"/>
      <c r="N426" s="174"/>
      <c r="O426" s="174"/>
      <c r="T426" s="182"/>
    </row>
    <row r="427">
      <c r="J427" s="454"/>
      <c r="K427" s="174"/>
      <c r="L427" s="174"/>
      <c r="M427" s="174"/>
      <c r="N427" s="174"/>
      <c r="O427" s="174"/>
      <c r="T427" s="182"/>
    </row>
    <row r="428">
      <c r="J428" s="454"/>
      <c r="K428" s="174"/>
      <c r="L428" s="174"/>
      <c r="M428" s="174"/>
      <c r="N428" s="174"/>
      <c r="O428" s="174"/>
      <c r="T428" s="182"/>
    </row>
    <row r="429">
      <c r="J429" s="454"/>
      <c r="K429" s="174"/>
      <c r="L429" s="174"/>
      <c r="M429" s="174"/>
      <c r="N429" s="174"/>
      <c r="O429" s="174"/>
      <c r="T429" s="182"/>
    </row>
    <row r="430">
      <c r="J430" s="454"/>
      <c r="K430" s="174"/>
      <c r="L430" s="174"/>
      <c r="M430" s="174"/>
      <c r="N430" s="174"/>
      <c r="O430" s="174"/>
      <c r="T430" s="182"/>
    </row>
    <row r="431">
      <c r="J431" s="454"/>
      <c r="K431" s="174"/>
      <c r="L431" s="174"/>
      <c r="M431" s="174"/>
      <c r="N431" s="174"/>
      <c r="O431" s="174"/>
      <c r="T431" s="182"/>
    </row>
    <row r="432">
      <c r="J432" s="454"/>
      <c r="K432" s="174"/>
      <c r="L432" s="174"/>
      <c r="M432" s="174"/>
      <c r="N432" s="174"/>
      <c r="O432" s="174"/>
      <c r="T432" s="182"/>
    </row>
    <row r="433">
      <c r="J433" s="454"/>
      <c r="K433" s="174"/>
      <c r="L433" s="174"/>
      <c r="M433" s="174"/>
      <c r="N433" s="174"/>
      <c r="O433" s="174"/>
      <c r="T433" s="182"/>
    </row>
    <row r="434">
      <c r="J434" s="454"/>
      <c r="K434" s="174"/>
      <c r="L434" s="174"/>
      <c r="M434" s="174"/>
      <c r="N434" s="174"/>
      <c r="O434" s="174"/>
      <c r="T434" s="182"/>
    </row>
    <row r="435">
      <c r="J435" s="454"/>
      <c r="K435" s="174"/>
      <c r="L435" s="174"/>
      <c r="M435" s="174"/>
      <c r="N435" s="174"/>
      <c r="O435" s="174"/>
      <c r="T435" s="182"/>
    </row>
    <row r="436">
      <c r="J436" s="454"/>
      <c r="K436" s="174"/>
      <c r="L436" s="174"/>
      <c r="M436" s="174"/>
      <c r="N436" s="174"/>
      <c r="O436" s="174"/>
      <c r="T436" s="182"/>
    </row>
    <row r="437">
      <c r="J437" s="454"/>
      <c r="K437" s="174"/>
      <c r="L437" s="174"/>
      <c r="M437" s="174"/>
      <c r="N437" s="174"/>
      <c r="O437" s="174"/>
      <c r="T437" s="182"/>
    </row>
    <row r="438">
      <c r="J438" s="454"/>
      <c r="K438" s="174"/>
      <c r="L438" s="174"/>
      <c r="M438" s="174"/>
      <c r="N438" s="174"/>
      <c r="O438" s="174"/>
      <c r="T438" s="182"/>
    </row>
    <row r="439">
      <c r="J439" s="454"/>
      <c r="K439" s="174"/>
      <c r="L439" s="174"/>
      <c r="M439" s="174"/>
      <c r="N439" s="174"/>
      <c r="O439" s="174"/>
      <c r="T439" s="182"/>
    </row>
    <row r="440">
      <c r="J440" s="454"/>
      <c r="K440" s="174"/>
      <c r="L440" s="174"/>
      <c r="M440" s="174"/>
      <c r="N440" s="174"/>
      <c r="O440" s="174"/>
      <c r="T440" s="182"/>
    </row>
    <row r="441">
      <c r="J441" s="454"/>
      <c r="K441" s="174"/>
      <c r="L441" s="174"/>
      <c r="M441" s="174"/>
      <c r="N441" s="174"/>
      <c r="O441" s="174"/>
      <c r="T441" s="182"/>
    </row>
    <row r="442">
      <c r="J442" s="454"/>
      <c r="K442" s="174"/>
      <c r="L442" s="174"/>
      <c r="M442" s="174"/>
      <c r="N442" s="174"/>
      <c r="O442" s="174"/>
      <c r="T442" s="182"/>
    </row>
    <row r="443">
      <c r="J443" s="454"/>
      <c r="K443" s="174"/>
      <c r="L443" s="174"/>
      <c r="M443" s="174"/>
      <c r="N443" s="174"/>
      <c r="O443" s="174"/>
      <c r="T443" s="182"/>
    </row>
    <row r="444">
      <c r="J444" s="454"/>
      <c r="K444" s="174"/>
      <c r="L444" s="174"/>
      <c r="M444" s="174"/>
      <c r="N444" s="174"/>
      <c r="O444" s="174"/>
      <c r="T444" s="182"/>
    </row>
    <row r="445">
      <c r="J445" s="454"/>
      <c r="K445" s="174"/>
      <c r="L445" s="174"/>
      <c r="M445" s="174"/>
      <c r="N445" s="174"/>
      <c r="O445" s="174"/>
      <c r="T445" s="182"/>
    </row>
    <row r="446">
      <c r="J446" s="454"/>
      <c r="K446" s="174"/>
      <c r="L446" s="174"/>
      <c r="M446" s="174"/>
      <c r="N446" s="174"/>
      <c r="O446" s="174"/>
      <c r="T446" s="182"/>
    </row>
    <row r="447">
      <c r="J447" s="454"/>
      <c r="K447" s="174"/>
      <c r="L447" s="174"/>
      <c r="M447" s="174"/>
      <c r="N447" s="174"/>
      <c r="O447" s="174"/>
      <c r="T447" s="182"/>
    </row>
    <row r="448">
      <c r="J448" s="454"/>
      <c r="K448" s="174"/>
      <c r="L448" s="174"/>
      <c r="M448" s="174"/>
      <c r="N448" s="174"/>
      <c r="O448" s="174"/>
      <c r="T448" s="182"/>
    </row>
    <row r="449">
      <c r="J449" s="454"/>
      <c r="K449" s="174"/>
      <c r="L449" s="174"/>
      <c r="M449" s="174"/>
      <c r="N449" s="174"/>
      <c r="O449" s="174"/>
      <c r="T449" s="182"/>
    </row>
    <row r="450">
      <c r="J450" s="454"/>
      <c r="K450" s="174"/>
      <c r="L450" s="174"/>
      <c r="M450" s="174"/>
      <c r="N450" s="174"/>
      <c r="O450" s="174"/>
      <c r="T450" s="182"/>
    </row>
    <row r="451">
      <c r="J451" s="454"/>
      <c r="K451" s="174"/>
      <c r="L451" s="174"/>
      <c r="M451" s="174"/>
      <c r="N451" s="174"/>
      <c r="O451" s="174"/>
      <c r="T451" s="182"/>
    </row>
    <row r="452">
      <c r="J452" s="454"/>
      <c r="K452" s="174"/>
      <c r="L452" s="174"/>
      <c r="M452" s="174"/>
      <c r="N452" s="174"/>
      <c r="O452" s="174"/>
      <c r="T452" s="182"/>
    </row>
    <row r="453">
      <c r="J453" s="454"/>
      <c r="K453" s="174"/>
      <c r="L453" s="174"/>
      <c r="M453" s="174"/>
      <c r="N453" s="174"/>
      <c r="O453" s="174"/>
      <c r="T453" s="182"/>
    </row>
    <row r="454">
      <c r="J454" s="454"/>
      <c r="K454" s="174"/>
      <c r="L454" s="174"/>
      <c r="M454" s="174"/>
      <c r="N454" s="174"/>
      <c r="O454" s="174"/>
      <c r="T454" s="182"/>
    </row>
    <row r="455">
      <c r="J455" s="454"/>
      <c r="K455" s="174"/>
      <c r="L455" s="174"/>
      <c r="M455" s="174"/>
      <c r="N455" s="174"/>
      <c r="O455" s="174"/>
      <c r="T455" s="182"/>
    </row>
    <row r="456">
      <c r="J456" s="454"/>
      <c r="K456" s="174"/>
      <c r="L456" s="174"/>
      <c r="M456" s="174"/>
      <c r="N456" s="174"/>
      <c r="O456" s="174"/>
      <c r="T456" s="182"/>
    </row>
    <row r="457">
      <c r="J457" s="454"/>
      <c r="K457" s="174"/>
      <c r="L457" s="174"/>
      <c r="M457" s="174"/>
      <c r="N457" s="174"/>
      <c r="O457" s="174"/>
      <c r="T457" s="182"/>
    </row>
    <row r="458">
      <c r="J458" s="454"/>
      <c r="K458" s="174"/>
      <c r="L458" s="174"/>
      <c r="M458" s="174"/>
      <c r="N458" s="174"/>
      <c r="O458" s="174"/>
      <c r="T458" s="182"/>
    </row>
    <row r="459">
      <c r="J459" s="454"/>
      <c r="K459" s="174"/>
      <c r="L459" s="174"/>
      <c r="M459" s="174"/>
      <c r="N459" s="174"/>
      <c r="O459" s="174"/>
      <c r="T459" s="182"/>
    </row>
    <row r="460">
      <c r="J460" s="454"/>
      <c r="K460" s="174"/>
      <c r="L460" s="174"/>
      <c r="M460" s="174"/>
      <c r="N460" s="174"/>
      <c r="O460" s="174"/>
      <c r="T460" s="182"/>
    </row>
    <row r="461">
      <c r="J461" s="454"/>
      <c r="K461" s="174"/>
      <c r="L461" s="174"/>
      <c r="M461" s="174"/>
      <c r="N461" s="174"/>
      <c r="O461" s="174"/>
      <c r="T461" s="182"/>
    </row>
    <row r="462">
      <c r="J462" s="454"/>
      <c r="K462" s="174"/>
      <c r="L462" s="174"/>
      <c r="M462" s="174"/>
      <c r="N462" s="174"/>
      <c r="O462" s="174"/>
      <c r="T462" s="182"/>
    </row>
    <row r="463">
      <c r="J463" s="454"/>
      <c r="K463" s="174"/>
      <c r="L463" s="174"/>
      <c r="M463" s="174"/>
      <c r="N463" s="174"/>
      <c r="O463" s="174"/>
      <c r="T463" s="182"/>
    </row>
    <row r="464">
      <c r="J464" s="454"/>
      <c r="K464" s="174"/>
      <c r="L464" s="174"/>
      <c r="M464" s="174"/>
      <c r="N464" s="174"/>
      <c r="O464" s="174"/>
      <c r="T464" s="182"/>
    </row>
    <row r="465">
      <c r="J465" s="454"/>
      <c r="K465" s="174"/>
      <c r="L465" s="174"/>
      <c r="M465" s="174"/>
      <c r="N465" s="174"/>
      <c r="O465" s="174"/>
      <c r="T465" s="182"/>
    </row>
    <row r="466">
      <c r="J466" s="454"/>
      <c r="K466" s="174"/>
      <c r="L466" s="174"/>
      <c r="M466" s="174"/>
      <c r="N466" s="174"/>
      <c r="O466" s="174"/>
      <c r="T466" s="182"/>
    </row>
    <row r="467">
      <c r="J467" s="454"/>
      <c r="K467" s="174"/>
      <c r="L467" s="174"/>
      <c r="M467" s="174"/>
      <c r="N467" s="174"/>
      <c r="O467" s="174"/>
      <c r="T467" s="182"/>
    </row>
    <row r="468">
      <c r="J468" s="454"/>
      <c r="K468" s="174"/>
      <c r="L468" s="174"/>
      <c r="M468" s="174"/>
      <c r="N468" s="174"/>
      <c r="O468" s="174"/>
      <c r="T468" s="182"/>
    </row>
    <row r="469">
      <c r="J469" s="454"/>
      <c r="K469" s="174"/>
      <c r="L469" s="174"/>
      <c r="M469" s="174"/>
      <c r="N469" s="174"/>
      <c r="O469" s="174"/>
      <c r="T469" s="182"/>
    </row>
    <row r="470">
      <c r="J470" s="454"/>
      <c r="K470" s="174"/>
      <c r="L470" s="174"/>
      <c r="M470" s="174"/>
      <c r="N470" s="174"/>
      <c r="O470" s="174"/>
      <c r="T470" s="182"/>
    </row>
    <row r="471">
      <c r="J471" s="454"/>
      <c r="K471" s="174"/>
      <c r="L471" s="174"/>
      <c r="M471" s="174"/>
      <c r="N471" s="174"/>
      <c r="O471" s="174"/>
      <c r="T471" s="182"/>
    </row>
    <row r="472">
      <c r="J472" s="454"/>
      <c r="K472" s="174"/>
      <c r="L472" s="174"/>
      <c r="M472" s="174"/>
      <c r="N472" s="174"/>
      <c r="O472" s="174"/>
      <c r="T472" s="182"/>
    </row>
    <row r="473">
      <c r="J473" s="454"/>
      <c r="K473" s="174"/>
      <c r="L473" s="174"/>
      <c r="M473" s="174"/>
      <c r="N473" s="174"/>
      <c r="O473" s="174"/>
      <c r="T473" s="182"/>
    </row>
    <row r="474">
      <c r="J474" s="454"/>
      <c r="K474" s="174"/>
      <c r="L474" s="174"/>
      <c r="M474" s="174"/>
      <c r="N474" s="174"/>
      <c r="O474" s="174"/>
      <c r="T474" s="182"/>
    </row>
    <row r="475">
      <c r="J475" s="454"/>
      <c r="K475" s="174"/>
      <c r="L475" s="174"/>
      <c r="M475" s="174"/>
      <c r="N475" s="174"/>
      <c r="O475" s="174"/>
      <c r="T475" s="182"/>
    </row>
    <row r="476">
      <c r="J476" s="454"/>
      <c r="K476" s="174"/>
      <c r="L476" s="174"/>
      <c r="M476" s="174"/>
      <c r="N476" s="174"/>
      <c r="O476" s="174"/>
      <c r="T476" s="182"/>
    </row>
    <row r="477">
      <c r="J477" s="454"/>
      <c r="K477" s="174"/>
      <c r="L477" s="174"/>
      <c r="M477" s="174"/>
      <c r="N477" s="174"/>
      <c r="O477" s="174"/>
      <c r="T477" s="182"/>
    </row>
    <row r="478">
      <c r="J478" s="454"/>
      <c r="K478" s="174"/>
      <c r="L478" s="174"/>
      <c r="M478" s="174"/>
      <c r="N478" s="174"/>
      <c r="O478" s="174"/>
      <c r="T478" s="182"/>
    </row>
    <row r="479">
      <c r="J479" s="454"/>
      <c r="K479" s="174"/>
      <c r="L479" s="174"/>
      <c r="M479" s="174"/>
      <c r="N479" s="174"/>
      <c r="O479" s="174"/>
      <c r="T479" s="182"/>
    </row>
    <row r="480">
      <c r="J480" s="454"/>
      <c r="K480" s="174"/>
      <c r="L480" s="174"/>
      <c r="M480" s="174"/>
      <c r="N480" s="174"/>
      <c r="O480" s="174"/>
      <c r="T480" s="182"/>
    </row>
    <row r="481">
      <c r="J481" s="454"/>
      <c r="K481" s="174"/>
      <c r="L481" s="174"/>
      <c r="M481" s="174"/>
      <c r="N481" s="174"/>
      <c r="O481" s="174"/>
      <c r="T481" s="182"/>
    </row>
    <row r="482">
      <c r="J482" s="454"/>
      <c r="K482" s="174"/>
      <c r="L482" s="174"/>
      <c r="M482" s="174"/>
      <c r="N482" s="174"/>
      <c r="O482" s="174"/>
      <c r="T482" s="182"/>
    </row>
    <row r="483">
      <c r="J483" s="454"/>
      <c r="K483" s="174"/>
      <c r="L483" s="174"/>
      <c r="M483" s="174"/>
      <c r="N483" s="174"/>
      <c r="O483" s="174"/>
      <c r="T483" s="182"/>
    </row>
    <row r="484">
      <c r="J484" s="454"/>
      <c r="K484" s="174"/>
      <c r="L484" s="174"/>
      <c r="M484" s="174"/>
      <c r="N484" s="174"/>
      <c r="O484" s="174"/>
      <c r="T484" s="182"/>
    </row>
    <row r="485">
      <c r="J485" s="454"/>
      <c r="K485" s="174"/>
      <c r="L485" s="174"/>
      <c r="M485" s="174"/>
      <c r="N485" s="174"/>
      <c r="O485" s="174"/>
      <c r="T485" s="182"/>
    </row>
    <row r="486">
      <c r="J486" s="454"/>
      <c r="K486" s="174"/>
      <c r="L486" s="174"/>
      <c r="M486" s="174"/>
      <c r="N486" s="174"/>
      <c r="O486" s="174"/>
      <c r="T486" s="182"/>
    </row>
    <row r="487">
      <c r="J487" s="454"/>
      <c r="K487" s="174"/>
      <c r="L487" s="174"/>
      <c r="M487" s="174"/>
      <c r="N487" s="174"/>
      <c r="O487" s="174"/>
      <c r="T487" s="182"/>
    </row>
    <row r="488">
      <c r="J488" s="454"/>
      <c r="K488" s="174"/>
      <c r="L488" s="174"/>
      <c r="M488" s="174"/>
      <c r="N488" s="174"/>
      <c r="O488" s="174"/>
      <c r="T488" s="182"/>
    </row>
    <row r="489">
      <c r="J489" s="454"/>
      <c r="K489" s="174"/>
      <c r="L489" s="174"/>
      <c r="M489" s="174"/>
      <c r="N489" s="174"/>
      <c r="O489" s="174"/>
      <c r="T489" s="182"/>
    </row>
    <row r="490">
      <c r="J490" s="454"/>
      <c r="K490" s="174"/>
      <c r="L490" s="174"/>
      <c r="M490" s="174"/>
      <c r="N490" s="174"/>
      <c r="O490" s="174"/>
      <c r="T490" s="182"/>
    </row>
    <row r="491">
      <c r="J491" s="454"/>
      <c r="K491" s="174"/>
      <c r="L491" s="174"/>
      <c r="M491" s="174"/>
      <c r="N491" s="174"/>
      <c r="O491" s="174"/>
      <c r="T491" s="182"/>
    </row>
    <row r="492">
      <c r="J492" s="454"/>
      <c r="K492" s="174"/>
      <c r="L492" s="174"/>
      <c r="M492" s="174"/>
      <c r="N492" s="174"/>
      <c r="O492" s="174"/>
      <c r="T492" s="182"/>
    </row>
    <row r="493">
      <c r="J493" s="454"/>
      <c r="K493" s="174"/>
      <c r="L493" s="174"/>
      <c r="M493" s="174"/>
      <c r="N493" s="174"/>
      <c r="O493" s="174"/>
      <c r="T493" s="182"/>
    </row>
    <row r="494">
      <c r="J494" s="454"/>
      <c r="K494" s="174"/>
      <c r="L494" s="174"/>
      <c r="M494" s="174"/>
      <c r="N494" s="174"/>
      <c r="O494" s="174"/>
      <c r="T494" s="182"/>
    </row>
    <row r="495">
      <c r="J495" s="454"/>
      <c r="K495" s="174"/>
      <c r="L495" s="174"/>
      <c r="M495" s="174"/>
      <c r="N495" s="174"/>
      <c r="O495" s="174"/>
      <c r="T495" s="182"/>
    </row>
    <row r="496">
      <c r="J496" s="454"/>
      <c r="K496" s="174"/>
      <c r="L496" s="174"/>
      <c r="M496" s="174"/>
      <c r="N496" s="174"/>
      <c r="O496" s="174"/>
      <c r="T496" s="182"/>
    </row>
    <row r="497">
      <c r="J497" s="454"/>
      <c r="K497" s="174"/>
      <c r="L497" s="174"/>
      <c r="M497" s="174"/>
      <c r="N497" s="174"/>
      <c r="O497" s="174"/>
      <c r="T497" s="182"/>
    </row>
    <row r="498">
      <c r="J498" s="454"/>
      <c r="K498" s="174"/>
      <c r="L498" s="174"/>
      <c r="M498" s="174"/>
      <c r="N498" s="174"/>
      <c r="O498" s="174"/>
      <c r="T498" s="182"/>
    </row>
    <row r="499">
      <c r="J499" s="454"/>
      <c r="K499" s="174"/>
      <c r="L499" s="174"/>
      <c r="M499" s="174"/>
      <c r="N499" s="174"/>
      <c r="O499" s="174"/>
      <c r="T499" s="182"/>
    </row>
    <row r="500">
      <c r="J500" s="454"/>
      <c r="K500" s="174"/>
      <c r="L500" s="174"/>
      <c r="M500" s="174"/>
      <c r="N500" s="174"/>
      <c r="O500" s="174"/>
      <c r="T500" s="182"/>
    </row>
    <row r="501">
      <c r="J501" s="454"/>
      <c r="K501" s="174"/>
      <c r="L501" s="174"/>
      <c r="M501" s="174"/>
      <c r="N501" s="174"/>
      <c r="O501" s="174"/>
      <c r="T501" s="182"/>
    </row>
    <row r="502">
      <c r="J502" s="454"/>
      <c r="K502" s="174"/>
      <c r="L502" s="174"/>
      <c r="M502" s="174"/>
      <c r="N502" s="174"/>
      <c r="O502" s="174"/>
      <c r="T502" s="182"/>
    </row>
    <row r="503">
      <c r="J503" s="454"/>
      <c r="K503" s="174"/>
      <c r="L503" s="174"/>
      <c r="M503" s="174"/>
      <c r="N503" s="174"/>
      <c r="O503" s="174"/>
      <c r="T503" s="182"/>
    </row>
    <row r="504">
      <c r="J504" s="454"/>
      <c r="K504" s="174"/>
      <c r="L504" s="174"/>
      <c r="M504" s="174"/>
      <c r="N504" s="174"/>
      <c r="O504" s="174"/>
      <c r="T504" s="182"/>
    </row>
    <row r="505">
      <c r="J505" s="454"/>
      <c r="K505" s="174"/>
      <c r="L505" s="174"/>
      <c r="M505" s="174"/>
      <c r="N505" s="174"/>
      <c r="O505" s="174"/>
      <c r="T505" s="182"/>
    </row>
    <row r="506">
      <c r="J506" s="454"/>
      <c r="K506" s="174"/>
      <c r="L506" s="174"/>
      <c r="M506" s="174"/>
      <c r="N506" s="174"/>
      <c r="O506" s="174"/>
      <c r="T506" s="182"/>
    </row>
    <row r="507">
      <c r="J507" s="454"/>
      <c r="K507" s="174"/>
      <c r="L507" s="174"/>
      <c r="M507" s="174"/>
      <c r="N507" s="174"/>
      <c r="O507" s="174"/>
      <c r="T507" s="182"/>
    </row>
    <row r="508">
      <c r="J508" s="454"/>
      <c r="K508" s="174"/>
      <c r="L508" s="174"/>
      <c r="M508" s="174"/>
      <c r="N508" s="174"/>
      <c r="O508" s="174"/>
      <c r="T508" s="182"/>
    </row>
    <row r="509">
      <c r="J509" s="454"/>
      <c r="K509" s="174"/>
      <c r="L509" s="174"/>
      <c r="M509" s="174"/>
      <c r="N509" s="174"/>
      <c r="O509" s="174"/>
      <c r="T509" s="182"/>
    </row>
    <row r="510">
      <c r="J510" s="454"/>
      <c r="K510" s="174"/>
      <c r="L510" s="174"/>
      <c r="M510" s="174"/>
      <c r="N510" s="174"/>
      <c r="O510" s="174"/>
      <c r="T510" s="182"/>
    </row>
    <row r="511">
      <c r="J511" s="454"/>
      <c r="K511" s="174"/>
      <c r="L511" s="174"/>
      <c r="M511" s="174"/>
      <c r="N511" s="174"/>
      <c r="O511" s="174"/>
      <c r="T511" s="182"/>
    </row>
    <row r="512">
      <c r="J512" s="454"/>
      <c r="K512" s="174"/>
      <c r="L512" s="174"/>
      <c r="M512" s="174"/>
      <c r="N512" s="174"/>
      <c r="O512" s="174"/>
      <c r="T512" s="182"/>
    </row>
    <row r="513">
      <c r="J513" s="454"/>
      <c r="K513" s="174"/>
      <c r="L513" s="174"/>
      <c r="M513" s="174"/>
      <c r="N513" s="174"/>
      <c r="O513" s="174"/>
      <c r="T513" s="182"/>
    </row>
    <row r="514">
      <c r="J514" s="454"/>
      <c r="K514" s="174"/>
      <c r="L514" s="174"/>
      <c r="M514" s="174"/>
      <c r="N514" s="174"/>
      <c r="O514" s="174"/>
      <c r="T514" s="182"/>
    </row>
    <row r="515">
      <c r="J515" s="454"/>
      <c r="K515" s="174"/>
      <c r="L515" s="174"/>
      <c r="M515" s="174"/>
      <c r="N515" s="174"/>
      <c r="O515" s="174"/>
      <c r="T515" s="182"/>
    </row>
    <row r="516">
      <c r="J516" s="454"/>
      <c r="K516" s="174"/>
      <c r="L516" s="174"/>
      <c r="M516" s="174"/>
      <c r="N516" s="174"/>
      <c r="O516" s="174"/>
      <c r="T516" s="182"/>
    </row>
    <row r="517">
      <c r="J517" s="454"/>
      <c r="K517" s="174"/>
      <c r="L517" s="174"/>
      <c r="M517" s="174"/>
      <c r="N517" s="174"/>
      <c r="O517" s="174"/>
      <c r="T517" s="182"/>
    </row>
    <row r="518">
      <c r="J518" s="454"/>
      <c r="K518" s="174"/>
      <c r="L518" s="174"/>
      <c r="M518" s="174"/>
      <c r="N518" s="174"/>
      <c r="O518" s="174"/>
      <c r="T518" s="182"/>
    </row>
    <row r="519">
      <c r="J519" s="454"/>
      <c r="K519" s="174"/>
      <c r="L519" s="174"/>
      <c r="M519" s="174"/>
      <c r="N519" s="174"/>
      <c r="O519" s="174"/>
      <c r="T519" s="182"/>
    </row>
    <row r="520">
      <c r="J520" s="454"/>
      <c r="K520" s="174"/>
      <c r="L520" s="174"/>
      <c r="M520" s="174"/>
      <c r="N520" s="174"/>
      <c r="O520" s="174"/>
      <c r="T520" s="182"/>
    </row>
    <row r="521">
      <c r="J521" s="454"/>
      <c r="K521" s="174"/>
      <c r="L521" s="174"/>
      <c r="M521" s="174"/>
      <c r="N521" s="174"/>
      <c r="O521" s="174"/>
      <c r="T521" s="182"/>
    </row>
    <row r="522">
      <c r="J522" s="454"/>
      <c r="K522" s="174"/>
      <c r="L522" s="174"/>
      <c r="M522" s="174"/>
      <c r="N522" s="174"/>
      <c r="O522" s="174"/>
      <c r="T522" s="182"/>
    </row>
    <row r="523">
      <c r="J523" s="454"/>
      <c r="K523" s="174"/>
      <c r="L523" s="174"/>
      <c r="M523" s="174"/>
      <c r="N523" s="174"/>
      <c r="O523" s="174"/>
      <c r="T523" s="182"/>
    </row>
    <row r="524">
      <c r="J524" s="454"/>
      <c r="K524" s="174"/>
      <c r="L524" s="174"/>
      <c r="M524" s="174"/>
      <c r="N524" s="174"/>
      <c r="O524" s="174"/>
      <c r="T524" s="182"/>
    </row>
    <row r="525">
      <c r="J525" s="454"/>
      <c r="K525" s="174"/>
      <c r="L525" s="174"/>
      <c r="M525" s="174"/>
      <c r="N525" s="174"/>
      <c r="O525" s="174"/>
      <c r="T525" s="182"/>
    </row>
    <row r="526">
      <c r="J526" s="454"/>
      <c r="K526" s="174"/>
      <c r="L526" s="174"/>
      <c r="M526" s="174"/>
      <c r="N526" s="174"/>
      <c r="O526" s="174"/>
      <c r="T526" s="182"/>
    </row>
    <row r="527">
      <c r="J527" s="454"/>
      <c r="K527" s="174"/>
      <c r="L527" s="174"/>
      <c r="M527" s="174"/>
      <c r="N527" s="174"/>
      <c r="O527" s="174"/>
      <c r="T527" s="182"/>
    </row>
    <row r="528">
      <c r="J528" s="454"/>
      <c r="K528" s="174"/>
      <c r="L528" s="174"/>
      <c r="M528" s="174"/>
      <c r="N528" s="174"/>
      <c r="O528" s="174"/>
      <c r="T528" s="182"/>
    </row>
    <row r="529">
      <c r="J529" s="454"/>
      <c r="K529" s="174"/>
      <c r="L529" s="174"/>
      <c r="M529" s="174"/>
      <c r="N529" s="174"/>
      <c r="O529" s="174"/>
      <c r="T529" s="182"/>
    </row>
    <row r="530">
      <c r="J530" s="454"/>
      <c r="K530" s="174"/>
      <c r="L530" s="174"/>
      <c r="M530" s="174"/>
      <c r="N530" s="174"/>
      <c r="O530" s="174"/>
      <c r="T530" s="182"/>
    </row>
    <row r="531">
      <c r="J531" s="454"/>
      <c r="K531" s="174"/>
      <c r="L531" s="174"/>
      <c r="M531" s="174"/>
      <c r="N531" s="174"/>
      <c r="O531" s="174"/>
      <c r="T531" s="182"/>
    </row>
    <row r="532">
      <c r="J532" s="454"/>
      <c r="K532" s="174"/>
      <c r="L532" s="174"/>
      <c r="M532" s="174"/>
      <c r="N532" s="174"/>
      <c r="O532" s="174"/>
      <c r="T532" s="182"/>
    </row>
    <row r="533">
      <c r="J533" s="454"/>
      <c r="K533" s="174"/>
      <c r="L533" s="174"/>
      <c r="M533" s="174"/>
      <c r="N533" s="174"/>
      <c r="O533" s="174"/>
      <c r="T533" s="182"/>
    </row>
    <row r="534">
      <c r="J534" s="454"/>
      <c r="K534" s="174"/>
      <c r="L534" s="174"/>
      <c r="M534" s="174"/>
      <c r="N534" s="174"/>
      <c r="O534" s="174"/>
      <c r="T534" s="182"/>
    </row>
    <row r="535">
      <c r="J535" s="454"/>
      <c r="K535" s="174"/>
      <c r="L535" s="174"/>
      <c r="M535" s="174"/>
      <c r="N535" s="174"/>
      <c r="O535" s="174"/>
      <c r="T535" s="182"/>
    </row>
    <row r="536">
      <c r="J536" s="454"/>
      <c r="K536" s="174"/>
      <c r="L536" s="174"/>
      <c r="M536" s="174"/>
      <c r="N536" s="174"/>
      <c r="O536" s="174"/>
      <c r="T536" s="182"/>
    </row>
    <row r="537">
      <c r="J537" s="454"/>
      <c r="K537" s="174"/>
      <c r="L537" s="174"/>
      <c r="M537" s="174"/>
      <c r="N537" s="174"/>
      <c r="O537" s="174"/>
      <c r="T537" s="182"/>
    </row>
    <row r="538">
      <c r="J538" s="454"/>
      <c r="K538" s="174"/>
      <c r="L538" s="174"/>
      <c r="M538" s="174"/>
      <c r="N538" s="174"/>
      <c r="O538" s="174"/>
      <c r="T538" s="182"/>
    </row>
    <row r="539">
      <c r="J539" s="454"/>
      <c r="K539" s="174"/>
      <c r="L539" s="174"/>
      <c r="M539" s="174"/>
      <c r="N539" s="174"/>
      <c r="O539" s="174"/>
      <c r="T539" s="182"/>
    </row>
    <row r="540">
      <c r="J540" s="454"/>
      <c r="K540" s="174"/>
      <c r="L540" s="174"/>
      <c r="M540" s="174"/>
      <c r="N540" s="174"/>
      <c r="O540" s="174"/>
      <c r="T540" s="182"/>
    </row>
    <row r="541">
      <c r="J541" s="454"/>
      <c r="K541" s="174"/>
      <c r="L541" s="174"/>
      <c r="M541" s="174"/>
      <c r="N541" s="174"/>
      <c r="O541" s="174"/>
      <c r="T541" s="182"/>
    </row>
    <row r="542">
      <c r="J542" s="454"/>
      <c r="K542" s="174"/>
      <c r="L542" s="174"/>
      <c r="M542" s="174"/>
      <c r="N542" s="174"/>
      <c r="O542" s="174"/>
      <c r="T542" s="182"/>
    </row>
    <row r="543">
      <c r="J543" s="454"/>
      <c r="K543" s="174"/>
      <c r="L543" s="174"/>
      <c r="M543" s="174"/>
      <c r="N543" s="174"/>
      <c r="O543" s="174"/>
      <c r="T543" s="182"/>
    </row>
    <row r="544">
      <c r="J544" s="454"/>
      <c r="K544" s="174"/>
      <c r="L544" s="174"/>
      <c r="M544" s="174"/>
      <c r="N544" s="174"/>
      <c r="O544" s="174"/>
      <c r="T544" s="182"/>
    </row>
    <row r="545">
      <c r="J545" s="454"/>
      <c r="K545" s="174"/>
      <c r="L545" s="174"/>
      <c r="M545" s="174"/>
      <c r="N545" s="174"/>
      <c r="O545" s="174"/>
      <c r="T545" s="182"/>
    </row>
    <row r="546">
      <c r="J546" s="454"/>
      <c r="K546" s="174"/>
      <c r="L546" s="174"/>
      <c r="M546" s="174"/>
      <c r="N546" s="174"/>
      <c r="O546" s="174"/>
      <c r="T546" s="182"/>
    </row>
    <row r="547">
      <c r="J547" s="454"/>
      <c r="K547" s="174"/>
      <c r="L547" s="174"/>
      <c r="M547" s="174"/>
      <c r="N547" s="174"/>
      <c r="O547" s="174"/>
      <c r="T547" s="182"/>
    </row>
    <row r="548">
      <c r="J548" s="454"/>
      <c r="K548" s="174"/>
      <c r="L548" s="174"/>
      <c r="M548" s="174"/>
      <c r="N548" s="174"/>
      <c r="O548" s="174"/>
      <c r="T548" s="182"/>
    </row>
    <row r="549">
      <c r="J549" s="454"/>
      <c r="K549" s="174"/>
      <c r="L549" s="174"/>
      <c r="M549" s="174"/>
      <c r="N549" s="174"/>
      <c r="O549" s="174"/>
      <c r="T549" s="182"/>
    </row>
    <row r="550">
      <c r="J550" s="454"/>
      <c r="K550" s="174"/>
      <c r="L550" s="174"/>
      <c r="M550" s="174"/>
      <c r="N550" s="174"/>
      <c r="O550" s="174"/>
      <c r="T550" s="182"/>
    </row>
    <row r="551">
      <c r="J551" s="454"/>
      <c r="K551" s="174"/>
      <c r="L551" s="174"/>
      <c r="M551" s="174"/>
      <c r="N551" s="174"/>
      <c r="O551" s="174"/>
      <c r="T551" s="182"/>
    </row>
    <row r="552">
      <c r="J552" s="454"/>
      <c r="K552" s="174"/>
      <c r="L552" s="174"/>
      <c r="M552" s="174"/>
      <c r="N552" s="174"/>
      <c r="O552" s="174"/>
      <c r="T552" s="182"/>
    </row>
    <row r="553">
      <c r="J553" s="454"/>
      <c r="K553" s="174"/>
      <c r="L553" s="174"/>
      <c r="M553" s="174"/>
      <c r="N553" s="174"/>
      <c r="O553" s="174"/>
      <c r="T553" s="182"/>
    </row>
    <row r="554">
      <c r="J554" s="454"/>
      <c r="K554" s="174"/>
      <c r="L554" s="174"/>
      <c r="M554" s="174"/>
      <c r="N554" s="174"/>
      <c r="O554" s="174"/>
      <c r="T554" s="182"/>
    </row>
    <row r="555">
      <c r="J555" s="454"/>
      <c r="K555" s="174"/>
      <c r="L555" s="174"/>
      <c r="M555" s="174"/>
      <c r="N555" s="174"/>
      <c r="O555" s="174"/>
      <c r="T555" s="182"/>
    </row>
    <row r="556">
      <c r="J556" s="454"/>
      <c r="K556" s="174"/>
      <c r="L556" s="174"/>
      <c r="M556" s="174"/>
      <c r="N556" s="174"/>
      <c r="O556" s="174"/>
      <c r="T556" s="182"/>
    </row>
    <row r="557">
      <c r="J557" s="454"/>
      <c r="K557" s="174"/>
      <c r="L557" s="174"/>
      <c r="M557" s="174"/>
      <c r="N557" s="174"/>
      <c r="O557" s="174"/>
      <c r="T557" s="182"/>
    </row>
    <row r="558">
      <c r="J558" s="454"/>
      <c r="K558" s="174"/>
      <c r="L558" s="174"/>
      <c r="M558" s="174"/>
      <c r="N558" s="174"/>
      <c r="O558" s="174"/>
      <c r="T558" s="182"/>
    </row>
    <row r="559">
      <c r="J559" s="454"/>
      <c r="K559" s="174"/>
      <c r="L559" s="174"/>
      <c r="M559" s="174"/>
      <c r="N559" s="174"/>
      <c r="O559" s="174"/>
      <c r="T559" s="182"/>
    </row>
    <row r="560">
      <c r="J560" s="454"/>
      <c r="K560" s="174"/>
      <c r="L560" s="174"/>
      <c r="M560" s="174"/>
      <c r="N560" s="174"/>
      <c r="O560" s="174"/>
      <c r="T560" s="182"/>
    </row>
    <row r="561">
      <c r="J561" s="454"/>
      <c r="K561" s="174"/>
      <c r="L561" s="174"/>
      <c r="M561" s="174"/>
      <c r="N561" s="174"/>
      <c r="O561" s="174"/>
      <c r="T561" s="182"/>
    </row>
    <row r="562">
      <c r="J562" s="454"/>
      <c r="K562" s="174"/>
      <c r="L562" s="174"/>
      <c r="M562" s="174"/>
      <c r="N562" s="174"/>
      <c r="O562" s="174"/>
      <c r="T562" s="182"/>
    </row>
    <row r="563">
      <c r="J563" s="454"/>
      <c r="K563" s="174"/>
      <c r="L563" s="174"/>
      <c r="M563" s="174"/>
      <c r="N563" s="174"/>
      <c r="O563" s="174"/>
      <c r="T563" s="182"/>
    </row>
    <row r="564">
      <c r="J564" s="454"/>
      <c r="K564" s="174"/>
      <c r="L564" s="174"/>
      <c r="M564" s="174"/>
      <c r="N564" s="174"/>
      <c r="O564" s="174"/>
      <c r="T564" s="182"/>
    </row>
    <row r="565">
      <c r="J565" s="454"/>
      <c r="K565" s="174"/>
      <c r="L565" s="174"/>
      <c r="M565" s="174"/>
      <c r="N565" s="174"/>
      <c r="O565" s="174"/>
      <c r="T565" s="182"/>
    </row>
    <row r="566">
      <c r="J566" s="454"/>
      <c r="K566" s="174"/>
      <c r="L566" s="174"/>
      <c r="M566" s="174"/>
      <c r="N566" s="174"/>
      <c r="O566" s="174"/>
      <c r="T566" s="182"/>
    </row>
    <row r="567">
      <c r="J567" s="454"/>
      <c r="K567" s="174"/>
      <c r="L567" s="174"/>
      <c r="M567" s="174"/>
      <c r="N567" s="174"/>
      <c r="O567" s="174"/>
      <c r="T567" s="182"/>
    </row>
    <row r="568">
      <c r="J568" s="454"/>
      <c r="K568" s="174"/>
      <c r="L568" s="174"/>
      <c r="M568" s="174"/>
      <c r="N568" s="174"/>
      <c r="O568" s="174"/>
      <c r="T568" s="182"/>
    </row>
    <row r="569">
      <c r="J569" s="454"/>
      <c r="K569" s="174"/>
      <c r="L569" s="174"/>
      <c r="M569" s="174"/>
      <c r="N569" s="174"/>
      <c r="O569" s="174"/>
      <c r="T569" s="182"/>
    </row>
    <row r="570">
      <c r="J570" s="454"/>
      <c r="K570" s="174"/>
      <c r="L570" s="174"/>
      <c r="M570" s="174"/>
      <c r="N570" s="174"/>
      <c r="O570" s="174"/>
      <c r="T570" s="182"/>
    </row>
    <row r="571">
      <c r="J571" s="454"/>
      <c r="K571" s="174"/>
      <c r="L571" s="174"/>
      <c r="M571" s="174"/>
      <c r="N571" s="174"/>
      <c r="O571" s="174"/>
      <c r="T571" s="182"/>
    </row>
    <row r="572">
      <c r="J572" s="454"/>
      <c r="K572" s="174"/>
      <c r="L572" s="174"/>
      <c r="M572" s="174"/>
      <c r="N572" s="174"/>
      <c r="O572" s="174"/>
      <c r="T572" s="182"/>
    </row>
    <row r="573">
      <c r="J573" s="454"/>
      <c r="K573" s="174"/>
      <c r="L573" s="174"/>
      <c r="M573" s="174"/>
      <c r="N573" s="174"/>
      <c r="O573" s="174"/>
      <c r="T573" s="182"/>
    </row>
    <row r="574">
      <c r="J574" s="454"/>
      <c r="K574" s="174"/>
      <c r="L574" s="174"/>
      <c r="M574" s="174"/>
      <c r="N574" s="174"/>
      <c r="O574" s="174"/>
      <c r="T574" s="182"/>
    </row>
    <row r="575">
      <c r="J575" s="454"/>
      <c r="K575" s="174"/>
      <c r="L575" s="174"/>
      <c r="M575" s="174"/>
      <c r="N575" s="174"/>
      <c r="O575" s="174"/>
      <c r="T575" s="182"/>
    </row>
    <row r="576">
      <c r="J576" s="454"/>
      <c r="K576" s="174"/>
      <c r="L576" s="174"/>
      <c r="M576" s="174"/>
      <c r="N576" s="174"/>
      <c r="O576" s="174"/>
      <c r="T576" s="182"/>
    </row>
    <row r="577">
      <c r="J577" s="454"/>
      <c r="K577" s="174"/>
      <c r="L577" s="174"/>
      <c r="M577" s="174"/>
      <c r="N577" s="174"/>
      <c r="O577" s="174"/>
      <c r="T577" s="182"/>
    </row>
    <row r="578">
      <c r="J578" s="454"/>
      <c r="K578" s="174"/>
      <c r="L578" s="174"/>
      <c r="M578" s="174"/>
      <c r="N578" s="174"/>
      <c r="O578" s="174"/>
      <c r="T578" s="182"/>
    </row>
    <row r="579">
      <c r="J579" s="454"/>
      <c r="K579" s="174"/>
      <c r="L579" s="174"/>
      <c r="M579" s="174"/>
      <c r="N579" s="174"/>
      <c r="O579" s="174"/>
      <c r="T579" s="182"/>
    </row>
    <row r="580">
      <c r="J580" s="454"/>
      <c r="K580" s="174"/>
      <c r="L580" s="174"/>
      <c r="M580" s="174"/>
      <c r="N580" s="174"/>
      <c r="O580" s="174"/>
      <c r="T580" s="182"/>
    </row>
    <row r="581">
      <c r="J581" s="454"/>
      <c r="K581" s="174"/>
      <c r="L581" s="174"/>
      <c r="M581" s="174"/>
      <c r="N581" s="174"/>
      <c r="O581" s="174"/>
      <c r="T581" s="182"/>
    </row>
    <row r="582">
      <c r="J582" s="454"/>
      <c r="K582" s="174"/>
      <c r="L582" s="174"/>
      <c r="M582" s="174"/>
      <c r="N582" s="174"/>
      <c r="O582" s="174"/>
      <c r="T582" s="182"/>
    </row>
    <row r="583">
      <c r="J583" s="454"/>
      <c r="K583" s="174"/>
      <c r="L583" s="174"/>
      <c r="M583" s="174"/>
      <c r="N583" s="174"/>
      <c r="O583" s="174"/>
      <c r="T583" s="182"/>
    </row>
    <row r="584">
      <c r="J584" s="454"/>
      <c r="K584" s="174"/>
      <c r="L584" s="174"/>
      <c r="M584" s="174"/>
      <c r="N584" s="174"/>
      <c r="O584" s="174"/>
      <c r="T584" s="182"/>
    </row>
    <row r="585">
      <c r="J585" s="454"/>
      <c r="K585" s="174"/>
      <c r="L585" s="174"/>
      <c r="M585" s="174"/>
      <c r="N585" s="174"/>
      <c r="O585" s="174"/>
      <c r="T585" s="182"/>
    </row>
    <row r="586">
      <c r="J586" s="454"/>
      <c r="K586" s="174"/>
      <c r="L586" s="174"/>
      <c r="M586" s="174"/>
      <c r="N586" s="174"/>
      <c r="O586" s="174"/>
      <c r="T586" s="182"/>
    </row>
    <row r="587">
      <c r="J587" s="454"/>
      <c r="K587" s="174"/>
      <c r="L587" s="174"/>
      <c r="M587" s="174"/>
      <c r="N587" s="174"/>
      <c r="O587" s="174"/>
      <c r="T587" s="182"/>
    </row>
    <row r="588">
      <c r="J588" s="454"/>
      <c r="K588" s="174"/>
      <c r="L588" s="174"/>
      <c r="M588" s="174"/>
      <c r="N588" s="174"/>
      <c r="O588" s="174"/>
      <c r="T588" s="182"/>
    </row>
    <row r="589">
      <c r="J589" s="454"/>
      <c r="K589" s="174"/>
      <c r="L589" s="174"/>
      <c r="M589" s="174"/>
      <c r="N589" s="174"/>
      <c r="O589" s="174"/>
      <c r="T589" s="182"/>
    </row>
    <row r="590">
      <c r="J590" s="454"/>
      <c r="K590" s="174"/>
      <c r="L590" s="174"/>
      <c r="M590" s="174"/>
      <c r="N590" s="174"/>
      <c r="O590" s="174"/>
      <c r="T590" s="182"/>
    </row>
    <row r="591">
      <c r="J591" s="454"/>
      <c r="K591" s="174"/>
      <c r="L591" s="174"/>
      <c r="M591" s="174"/>
      <c r="N591" s="174"/>
      <c r="O591" s="174"/>
      <c r="T591" s="182"/>
    </row>
    <row r="592">
      <c r="J592" s="454"/>
      <c r="K592" s="174"/>
      <c r="L592" s="174"/>
      <c r="M592" s="174"/>
      <c r="N592" s="174"/>
      <c r="O592" s="174"/>
      <c r="T592" s="182"/>
    </row>
    <row r="593">
      <c r="J593" s="454"/>
      <c r="K593" s="174"/>
      <c r="L593" s="174"/>
      <c r="M593" s="174"/>
      <c r="N593" s="174"/>
      <c r="O593" s="174"/>
      <c r="T593" s="182"/>
    </row>
    <row r="594">
      <c r="J594" s="454"/>
      <c r="K594" s="174"/>
      <c r="L594" s="174"/>
      <c r="M594" s="174"/>
      <c r="N594" s="174"/>
      <c r="O594" s="174"/>
      <c r="T594" s="182"/>
    </row>
    <row r="595">
      <c r="J595" s="454"/>
      <c r="K595" s="174"/>
      <c r="L595" s="174"/>
      <c r="M595" s="174"/>
      <c r="N595" s="174"/>
      <c r="O595" s="174"/>
      <c r="T595" s="182"/>
    </row>
    <row r="596">
      <c r="J596" s="454"/>
      <c r="K596" s="174"/>
      <c r="L596" s="174"/>
      <c r="M596" s="174"/>
      <c r="N596" s="174"/>
      <c r="O596" s="174"/>
      <c r="T596" s="182"/>
    </row>
    <row r="597">
      <c r="J597" s="454"/>
      <c r="K597" s="174"/>
      <c r="L597" s="174"/>
      <c r="M597" s="174"/>
      <c r="N597" s="174"/>
      <c r="O597" s="174"/>
      <c r="T597" s="182"/>
    </row>
    <row r="598">
      <c r="J598" s="454"/>
      <c r="K598" s="174"/>
      <c r="L598" s="174"/>
      <c r="M598" s="174"/>
      <c r="N598" s="174"/>
      <c r="O598" s="174"/>
      <c r="T598" s="182"/>
    </row>
    <row r="599">
      <c r="J599" s="454"/>
      <c r="K599" s="174"/>
      <c r="L599" s="174"/>
      <c r="M599" s="174"/>
      <c r="N599" s="174"/>
      <c r="O599" s="174"/>
      <c r="T599" s="182"/>
    </row>
    <row r="600">
      <c r="J600" s="454"/>
      <c r="K600" s="174"/>
      <c r="L600" s="174"/>
      <c r="M600" s="174"/>
      <c r="N600" s="174"/>
      <c r="O600" s="174"/>
      <c r="T600" s="182"/>
    </row>
    <row r="601">
      <c r="J601" s="454"/>
      <c r="K601" s="174"/>
      <c r="L601" s="174"/>
      <c r="M601" s="174"/>
      <c r="N601" s="174"/>
      <c r="O601" s="174"/>
      <c r="T601" s="182"/>
    </row>
    <row r="602">
      <c r="J602" s="454"/>
      <c r="K602" s="174"/>
      <c r="L602" s="174"/>
      <c r="M602" s="174"/>
      <c r="N602" s="174"/>
      <c r="O602" s="174"/>
      <c r="T602" s="182"/>
    </row>
    <row r="603">
      <c r="J603" s="454"/>
      <c r="K603" s="174"/>
      <c r="L603" s="174"/>
      <c r="M603" s="174"/>
      <c r="N603" s="174"/>
      <c r="O603" s="174"/>
      <c r="T603" s="182"/>
    </row>
    <row r="604">
      <c r="J604" s="454"/>
      <c r="K604" s="174"/>
      <c r="L604" s="174"/>
      <c r="M604" s="174"/>
      <c r="N604" s="174"/>
      <c r="O604" s="174"/>
      <c r="T604" s="182"/>
    </row>
    <row r="605">
      <c r="J605" s="454"/>
      <c r="K605" s="174"/>
      <c r="L605" s="174"/>
      <c r="M605" s="174"/>
      <c r="N605" s="174"/>
      <c r="O605" s="174"/>
      <c r="T605" s="182"/>
    </row>
    <row r="606">
      <c r="J606" s="454"/>
      <c r="K606" s="174"/>
      <c r="L606" s="174"/>
      <c r="M606" s="174"/>
      <c r="N606" s="174"/>
      <c r="O606" s="174"/>
      <c r="T606" s="182"/>
    </row>
    <row r="607">
      <c r="J607" s="454"/>
      <c r="K607" s="174"/>
      <c r="L607" s="174"/>
      <c r="M607" s="174"/>
      <c r="N607" s="174"/>
      <c r="O607" s="174"/>
      <c r="T607" s="182"/>
    </row>
    <row r="608">
      <c r="J608" s="454"/>
      <c r="K608" s="174"/>
      <c r="L608" s="174"/>
      <c r="M608" s="174"/>
      <c r="N608" s="174"/>
      <c r="O608" s="174"/>
      <c r="T608" s="182"/>
    </row>
    <row r="609">
      <c r="J609" s="454"/>
      <c r="K609" s="174"/>
      <c r="L609" s="174"/>
      <c r="M609" s="174"/>
      <c r="N609" s="174"/>
      <c r="O609" s="174"/>
      <c r="T609" s="182"/>
    </row>
    <row r="610">
      <c r="J610" s="454"/>
      <c r="K610" s="174"/>
      <c r="L610" s="174"/>
      <c r="M610" s="174"/>
      <c r="N610" s="174"/>
      <c r="O610" s="174"/>
      <c r="T610" s="182"/>
    </row>
    <row r="611">
      <c r="J611" s="454"/>
      <c r="K611" s="174"/>
      <c r="L611" s="174"/>
      <c r="M611" s="174"/>
      <c r="N611" s="174"/>
      <c r="O611" s="174"/>
      <c r="T611" s="182"/>
    </row>
    <row r="612">
      <c r="J612" s="454"/>
      <c r="K612" s="174"/>
      <c r="L612" s="174"/>
      <c r="M612" s="174"/>
      <c r="N612" s="174"/>
      <c r="O612" s="174"/>
      <c r="T612" s="182"/>
    </row>
    <row r="613">
      <c r="J613" s="454"/>
      <c r="K613" s="174"/>
      <c r="L613" s="174"/>
      <c r="M613" s="174"/>
      <c r="N613" s="174"/>
      <c r="O613" s="174"/>
      <c r="T613" s="182"/>
    </row>
    <row r="614">
      <c r="J614" s="454"/>
      <c r="K614" s="174"/>
      <c r="L614" s="174"/>
      <c r="M614" s="174"/>
      <c r="N614" s="174"/>
      <c r="O614" s="174"/>
      <c r="T614" s="182"/>
    </row>
    <row r="615">
      <c r="J615" s="454"/>
      <c r="K615" s="174"/>
      <c r="L615" s="174"/>
      <c r="M615" s="174"/>
      <c r="N615" s="174"/>
      <c r="O615" s="174"/>
      <c r="T615" s="182"/>
    </row>
    <row r="616">
      <c r="J616" s="454"/>
      <c r="K616" s="174"/>
      <c r="L616" s="174"/>
      <c r="M616" s="174"/>
      <c r="N616" s="174"/>
      <c r="O616" s="174"/>
      <c r="T616" s="182"/>
    </row>
    <row r="617">
      <c r="J617" s="454"/>
      <c r="K617" s="174"/>
      <c r="L617" s="174"/>
      <c r="M617" s="174"/>
      <c r="N617" s="174"/>
      <c r="O617" s="174"/>
      <c r="T617" s="182"/>
    </row>
    <row r="618">
      <c r="J618" s="454"/>
      <c r="K618" s="174"/>
      <c r="L618" s="174"/>
      <c r="M618" s="174"/>
      <c r="N618" s="174"/>
      <c r="O618" s="174"/>
      <c r="T618" s="182"/>
    </row>
    <row r="619">
      <c r="J619" s="454"/>
      <c r="K619" s="174"/>
      <c r="L619" s="174"/>
      <c r="M619" s="174"/>
      <c r="N619" s="174"/>
      <c r="O619" s="174"/>
      <c r="T619" s="182"/>
    </row>
    <row r="620">
      <c r="J620" s="454"/>
      <c r="K620" s="174"/>
      <c r="L620" s="174"/>
      <c r="M620" s="174"/>
      <c r="N620" s="174"/>
      <c r="O620" s="174"/>
      <c r="T620" s="182"/>
    </row>
    <row r="621">
      <c r="J621" s="454"/>
      <c r="K621" s="174"/>
      <c r="L621" s="174"/>
      <c r="M621" s="174"/>
      <c r="N621" s="174"/>
      <c r="O621" s="174"/>
      <c r="T621" s="182"/>
    </row>
    <row r="622">
      <c r="J622" s="454"/>
      <c r="K622" s="174"/>
      <c r="L622" s="174"/>
      <c r="M622" s="174"/>
      <c r="N622" s="174"/>
      <c r="O622" s="174"/>
      <c r="T622" s="182"/>
    </row>
    <row r="623">
      <c r="J623" s="454"/>
      <c r="K623" s="174"/>
      <c r="L623" s="174"/>
      <c r="M623" s="174"/>
      <c r="N623" s="174"/>
      <c r="O623" s="174"/>
      <c r="T623" s="182"/>
    </row>
    <row r="624">
      <c r="J624" s="454"/>
      <c r="K624" s="174"/>
      <c r="L624" s="174"/>
      <c r="M624" s="174"/>
      <c r="N624" s="174"/>
      <c r="O624" s="174"/>
      <c r="T624" s="182"/>
    </row>
    <row r="625">
      <c r="J625" s="454"/>
      <c r="K625" s="174"/>
      <c r="L625" s="174"/>
      <c r="M625" s="174"/>
      <c r="N625" s="174"/>
      <c r="O625" s="174"/>
      <c r="T625" s="182"/>
    </row>
    <row r="626">
      <c r="J626" s="454"/>
      <c r="K626" s="174"/>
      <c r="L626" s="174"/>
      <c r="M626" s="174"/>
      <c r="N626" s="174"/>
      <c r="O626" s="174"/>
      <c r="T626" s="182"/>
    </row>
    <row r="627">
      <c r="J627" s="454"/>
      <c r="K627" s="174"/>
      <c r="L627" s="174"/>
      <c r="M627" s="174"/>
      <c r="N627" s="174"/>
      <c r="O627" s="174"/>
      <c r="T627" s="182"/>
    </row>
    <row r="628">
      <c r="J628" s="454"/>
      <c r="K628" s="174"/>
      <c r="L628" s="174"/>
      <c r="M628" s="174"/>
      <c r="N628" s="174"/>
      <c r="O628" s="174"/>
      <c r="T628" s="182"/>
    </row>
    <row r="629">
      <c r="J629" s="454"/>
      <c r="K629" s="174"/>
      <c r="L629" s="174"/>
      <c r="M629" s="174"/>
      <c r="N629" s="174"/>
      <c r="O629" s="174"/>
      <c r="T629" s="182"/>
    </row>
    <row r="630">
      <c r="J630" s="454"/>
      <c r="K630" s="174"/>
      <c r="L630" s="174"/>
      <c r="M630" s="174"/>
      <c r="N630" s="174"/>
      <c r="O630" s="174"/>
      <c r="T630" s="182"/>
    </row>
    <row r="631">
      <c r="J631" s="454"/>
      <c r="K631" s="174"/>
      <c r="L631" s="174"/>
      <c r="M631" s="174"/>
      <c r="N631" s="174"/>
      <c r="O631" s="174"/>
      <c r="T631" s="182"/>
    </row>
    <row r="632">
      <c r="J632" s="454"/>
      <c r="K632" s="174"/>
      <c r="L632" s="174"/>
      <c r="M632" s="174"/>
      <c r="N632" s="174"/>
      <c r="O632" s="174"/>
      <c r="T632" s="182"/>
    </row>
    <row r="633">
      <c r="J633" s="454"/>
      <c r="K633" s="174"/>
      <c r="L633" s="174"/>
      <c r="M633" s="174"/>
      <c r="N633" s="174"/>
      <c r="O633" s="174"/>
      <c r="T633" s="182"/>
    </row>
    <row r="634">
      <c r="J634" s="454"/>
      <c r="K634" s="174"/>
      <c r="L634" s="174"/>
      <c r="M634" s="174"/>
      <c r="N634" s="174"/>
      <c r="O634" s="174"/>
      <c r="T634" s="182"/>
    </row>
    <row r="635">
      <c r="J635" s="454"/>
      <c r="K635" s="174"/>
      <c r="L635" s="174"/>
      <c r="M635" s="174"/>
      <c r="N635" s="174"/>
      <c r="O635" s="174"/>
      <c r="T635" s="182"/>
    </row>
    <row r="636">
      <c r="J636" s="454"/>
      <c r="K636" s="174"/>
      <c r="L636" s="174"/>
      <c r="M636" s="174"/>
      <c r="N636" s="174"/>
      <c r="O636" s="174"/>
      <c r="T636" s="182"/>
    </row>
    <row r="637">
      <c r="J637" s="454"/>
      <c r="K637" s="174"/>
      <c r="L637" s="174"/>
      <c r="M637" s="174"/>
      <c r="N637" s="174"/>
      <c r="O637" s="174"/>
      <c r="T637" s="182"/>
    </row>
    <row r="638">
      <c r="J638" s="454"/>
      <c r="K638" s="174"/>
      <c r="L638" s="174"/>
      <c r="M638" s="174"/>
      <c r="N638" s="174"/>
      <c r="O638" s="174"/>
      <c r="T638" s="182"/>
    </row>
    <row r="639">
      <c r="J639" s="454"/>
      <c r="K639" s="174"/>
      <c r="L639" s="174"/>
      <c r="M639" s="174"/>
      <c r="N639" s="174"/>
      <c r="O639" s="174"/>
      <c r="T639" s="182"/>
    </row>
    <row r="640">
      <c r="J640" s="454"/>
      <c r="K640" s="174"/>
      <c r="L640" s="174"/>
      <c r="M640" s="174"/>
      <c r="N640" s="174"/>
      <c r="O640" s="174"/>
      <c r="T640" s="182"/>
    </row>
    <row r="641">
      <c r="J641" s="454"/>
      <c r="K641" s="174"/>
      <c r="L641" s="174"/>
      <c r="M641" s="174"/>
      <c r="N641" s="174"/>
      <c r="O641" s="174"/>
      <c r="T641" s="182"/>
    </row>
    <row r="642">
      <c r="J642" s="454"/>
      <c r="K642" s="174"/>
      <c r="L642" s="174"/>
      <c r="M642" s="174"/>
      <c r="N642" s="174"/>
      <c r="O642" s="174"/>
      <c r="T642" s="182"/>
    </row>
    <row r="643">
      <c r="J643" s="454"/>
      <c r="K643" s="174"/>
      <c r="L643" s="174"/>
      <c r="M643" s="174"/>
      <c r="N643" s="174"/>
      <c r="O643" s="174"/>
      <c r="T643" s="182"/>
    </row>
    <row r="644">
      <c r="J644" s="454"/>
      <c r="K644" s="174"/>
      <c r="L644" s="174"/>
      <c r="M644" s="174"/>
      <c r="N644" s="174"/>
      <c r="O644" s="174"/>
      <c r="T644" s="182"/>
    </row>
    <row r="645">
      <c r="J645" s="454"/>
      <c r="K645" s="174"/>
      <c r="L645" s="174"/>
      <c r="M645" s="174"/>
      <c r="N645" s="174"/>
      <c r="O645" s="174"/>
      <c r="T645" s="182"/>
    </row>
    <row r="646">
      <c r="J646" s="454"/>
      <c r="K646" s="174"/>
      <c r="L646" s="174"/>
      <c r="M646" s="174"/>
      <c r="N646" s="174"/>
      <c r="O646" s="174"/>
      <c r="T646" s="182"/>
    </row>
    <row r="647">
      <c r="J647" s="454"/>
      <c r="K647" s="174"/>
      <c r="L647" s="174"/>
      <c r="M647" s="174"/>
      <c r="N647" s="174"/>
      <c r="O647" s="174"/>
      <c r="T647" s="182"/>
    </row>
    <row r="648">
      <c r="J648" s="454"/>
      <c r="K648" s="174"/>
      <c r="L648" s="174"/>
      <c r="M648" s="174"/>
      <c r="N648" s="174"/>
      <c r="O648" s="174"/>
      <c r="T648" s="182"/>
    </row>
    <row r="649">
      <c r="J649" s="454"/>
      <c r="K649" s="174"/>
      <c r="L649" s="174"/>
      <c r="M649" s="174"/>
      <c r="N649" s="174"/>
      <c r="O649" s="174"/>
      <c r="T649" s="182"/>
    </row>
    <row r="650">
      <c r="J650" s="454"/>
      <c r="K650" s="174"/>
      <c r="L650" s="174"/>
      <c r="M650" s="174"/>
      <c r="N650" s="174"/>
      <c r="O650" s="174"/>
      <c r="T650" s="182"/>
    </row>
    <row r="651">
      <c r="J651" s="454"/>
      <c r="K651" s="174"/>
      <c r="L651" s="174"/>
      <c r="M651" s="174"/>
      <c r="N651" s="174"/>
      <c r="O651" s="174"/>
      <c r="T651" s="182"/>
    </row>
    <row r="652">
      <c r="J652" s="454"/>
      <c r="K652" s="174"/>
      <c r="L652" s="174"/>
      <c r="M652" s="174"/>
      <c r="N652" s="174"/>
      <c r="O652" s="174"/>
      <c r="T652" s="182"/>
    </row>
    <row r="653">
      <c r="J653" s="454"/>
      <c r="K653" s="174"/>
      <c r="L653" s="174"/>
      <c r="M653" s="174"/>
      <c r="N653" s="174"/>
      <c r="O653" s="174"/>
      <c r="T653" s="182"/>
    </row>
    <row r="654">
      <c r="J654" s="454"/>
      <c r="K654" s="174"/>
      <c r="L654" s="174"/>
      <c r="M654" s="174"/>
      <c r="N654" s="174"/>
      <c r="O654" s="174"/>
      <c r="T654" s="182"/>
    </row>
    <row r="655">
      <c r="J655" s="454"/>
      <c r="K655" s="174"/>
      <c r="L655" s="174"/>
      <c r="M655" s="174"/>
      <c r="N655" s="174"/>
      <c r="O655" s="174"/>
      <c r="T655" s="182"/>
    </row>
    <row r="656">
      <c r="J656" s="454"/>
      <c r="K656" s="174"/>
      <c r="L656" s="174"/>
      <c r="M656" s="174"/>
      <c r="N656" s="174"/>
      <c r="O656" s="174"/>
      <c r="T656" s="182"/>
    </row>
    <row r="657">
      <c r="J657" s="454"/>
      <c r="K657" s="174"/>
      <c r="L657" s="174"/>
      <c r="M657" s="174"/>
      <c r="N657" s="174"/>
      <c r="O657" s="174"/>
      <c r="T657" s="182"/>
    </row>
    <row r="658">
      <c r="J658" s="454"/>
      <c r="K658" s="174"/>
      <c r="L658" s="174"/>
      <c r="M658" s="174"/>
      <c r="N658" s="174"/>
      <c r="O658" s="174"/>
      <c r="T658" s="182"/>
    </row>
    <row r="659">
      <c r="J659" s="454"/>
      <c r="K659" s="174"/>
      <c r="L659" s="174"/>
      <c r="M659" s="174"/>
      <c r="N659" s="174"/>
      <c r="O659" s="174"/>
      <c r="T659" s="182"/>
    </row>
    <row r="660">
      <c r="J660" s="454"/>
      <c r="K660" s="174"/>
      <c r="L660" s="174"/>
      <c r="M660" s="174"/>
      <c r="N660" s="174"/>
      <c r="O660" s="174"/>
      <c r="T660" s="182"/>
    </row>
    <row r="661">
      <c r="J661" s="454"/>
      <c r="K661" s="174"/>
      <c r="L661" s="174"/>
      <c r="M661" s="174"/>
      <c r="N661" s="174"/>
      <c r="O661" s="174"/>
      <c r="T661" s="182"/>
    </row>
    <row r="662">
      <c r="J662" s="454"/>
      <c r="K662" s="174"/>
      <c r="L662" s="174"/>
      <c r="M662" s="174"/>
      <c r="N662" s="174"/>
      <c r="O662" s="174"/>
      <c r="T662" s="182"/>
    </row>
    <row r="663">
      <c r="J663" s="454"/>
      <c r="K663" s="174"/>
      <c r="L663" s="174"/>
      <c r="M663" s="174"/>
      <c r="N663" s="174"/>
      <c r="O663" s="174"/>
      <c r="T663" s="182"/>
    </row>
    <row r="664">
      <c r="J664" s="454"/>
      <c r="K664" s="174"/>
      <c r="L664" s="174"/>
      <c r="M664" s="174"/>
      <c r="N664" s="174"/>
      <c r="O664" s="174"/>
      <c r="T664" s="182"/>
    </row>
    <row r="665">
      <c r="J665" s="454"/>
      <c r="K665" s="174"/>
      <c r="L665" s="174"/>
      <c r="M665" s="174"/>
      <c r="N665" s="174"/>
      <c r="O665" s="174"/>
      <c r="T665" s="182"/>
    </row>
    <row r="666">
      <c r="J666" s="454"/>
      <c r="K666" s="174"/>
      <c r="L666" s="174"/>
      <c r="M666" s="174"/>
      <c r="N666" s="174"/>
      <c r="O666" s="174"/>
      <c r="T666" s="182"/>
    </row>
    <row r="667">
      <c r="J667" s="454"/>
      <c r="K667" s="174"/>
      <c r="L667" s="174"/>
      <c r="M667" s="174"/>
      <c r="N667" s="174"/>
      <c r="O667" s="174"/>
      <c r="T667" s="182"/>
    </row>
    <row r="668">
      <c r="J668" s="454"/>
      <c r="K668" s="174"/>
      <c r="L668" s="174"/>
      <c r="M668" s="174"/>
      <c r="N668" s="174"/>
      <c r="O668" s="174"/>
      <c r="T668" s="182"/>
    </row>
    <row r="669">
      <c r="J669" s="454"/>
      <c r="K669" s="174"/>
      <c r="L669" s="174"/>
      <c r="M669" s="174"/>
      <c r="N669" s="174"/>
      <c r="O669" s="174"/>
      <c r="T669" s="182"/>
    </row>
    <row r="670">
      <c r="J670" s="454"/>
      <c r="K670" s="174"/>
      <c r="L670" s="174"/>
      <c r="M670" s="174"/>
      <c r="N670" s="174"/>
      <c r="O670" s="174"/>
      <c r="T670" s="182"/>
    </row>
    <row r="671">
      <c r="J671" s="454"/>
      <c r="K671" s="174"/>
      <c r="L671" s="174"/>
      <c r="M671" s="174"/>
      <c r="N671" s="174"/>
      <c r="O671" s="174"/>
      <c r="T671" s="182"/>
    </row>
    <row r="672">
      <c r="J672" s="454"/>
      <c r="K672" s="174"/>
      <c r="L672" s="174"/>
      <c r="M672" s="174"/>
      <c r="N672" s="174"/>
      <c r="O672" s="174"/>
      <c r="T672" s="182"/>
    </row>
    <row r="673">
      <c r="J673" s="454"/>
      <c r="K673" s="174"/>
      <c r="L673" s="174"/>
      <c r="M673" s="174"/>
      <c r="N673" s="174"/>
      <c r="O673" s="174"/>
      <c r="T673" s="182"/>
    </row>
    <row r="674">
      <c r="J674" s="454"/>
      <c r="K674" s="174"/>
      <c r="L674" s="174"/>
      <c r="M674" s="174"/>
      <c r="N674" s="174"/>
      <c r="O674" s="174"/>
      <c r="T674" s="182"/>
    </row>
    <row r="675">
      <c r="J675" s="454"/>
      <c r="K675" s="174"/>
      <c r="L675" s="174"/>
      <c r="M675" s="174"/>
      <c r="N675" s="174"/>
      <c r="O675" s="174"/>
      <c r="T675" s="182"/>
    </row>
    <row r="676">
      <c r="J676" s="454"/>
      <c r="K676" s="174"/>
      <c r="L676" s="174"/>
      <c r="M676" s="174"/>
      <c r="N676" s="174"/>
      <c r="O676" s="174"/>
      <c r="T676" s="182"/>
    </row>
    <row r="677">
      <c r="J677" s="454"/>
      <c r="K677" s="174"/>
      <c r="L677" s="174"/>
      <c r="M677" s="174"/>
      <c r="N677" s="174"/>
      <c r="O677" s="174"/>
      <c r="T677" s="182"/>
    </row>
    <row r="678">
      <c r="J678" s="454"/>
      <c r="K678" s="174"/>
      <c r="L678" s="174"/>
      <c r="M678" s="174"/>
      <c r="N678" s="174"/>
      <c r="O678" s="174"/>
      <c r="T678" s="182"/>
    </row>
    <row r="679">
      <c r="J679" s="454"/>
      <c r="K679" s="174"/>
      <c r="L679" s="174"/>
      <c r="M679" s="174"/>
      <c r="N679" s="174"/>
      <c r="O679" s="174"/>
      <c r="T679" s="182"/>
    </row>
    <row r="680">
      <c r="J680" s="454"/>
      <c r="K680" s="174"/>
      <c r="L680" s="174"/>
      <c r="M680" s="174"/>
      <c r="N680" s="174"/>
      <c r="O680" s="174"/>
      <c r="T680" s="182"/>
    </row>
    <row r="681">
      <c r="J681" s="454"/>
      <c r="K681" s="174"/>
      <c r="L681" s="174"/>
      <c r="M681" s="174"/>
      <c r="N681" s="174"/>
      <c r="O681" s="174"/>
      <c r="T681" s="182"/>
    </row>
    <row r="682">
      <c r="J682" s="454"/>
      <c r="K682" s="174"/>
      <c r="L682" s="174"/>
      <c r="M682" s="174"/>
      <c r="N682" s="174"/>
      <c r="O682" s="174"/>
      <c r="T682" s="182"/>
    </row>
    <row r="683">
      <c r="J683" s="454"/>
      <c r="K683" s="174"/>
      <c r="L683" s="174"/>
      <c r="M683" s="174"/>
      <c r="N683" s="174"/>
      <c r="O683" s="174"/>
      <c r="T683" s="182"/>
    </row>
    <row r="684">
      <c r="J684" s="454"/>
      <c r="K684" s="174"/>
      <c r="L684" s="174"/>
      <c r="M684" s="174"/>
      <c r="N684" s="174"/>
      <c r="O684" s="174"/>
      <c r="T684" s="182"/>
    </row>
    <row r="685">
      <c r="J685" s="454"/>
      <c r="K685" s="174"/>
      <c r="L685" s="174"/>
      <c r="M685" s="174"/>
      <c r="N685" s="174"/>
      <c r="O685" s="174"/>
      <c r="T685" s="182"/>
    </row>
    <row r="686">
      <c r="J686" s="454"/>
      <c r="K686" s="174"/>
      <c r="L686" s="174"/>
      <c r="M686" s="174"/>
      <c r="N686" s="174"/>
      <c r="O686" s="174"/>
      <c r="T686" s="182"/>
    </row>
    <row r="687">
      <c r="J687" s="454"/>
      <c r="K687" s="174"/>
      <c r="L687" s="174"/>
      <c r="M687" s="174"/>
      <c r="N687" s="174"/>
      <c r="O687" s="174"/>
      <c r="T687" s="182"/>
    </row>
    <row r="688">
      <c r="J688" s="454"/>
      <c r="K688" s="174"/>
      <c r="L688" s="174"/>
      <c r="M688" s="174"/>
      <c r="N688" s="174"/>
      <c r="O688" s="174"/>
      <c r="T688" s="182"/>
    </row>
    <row r="689">
      <c r="J689" s="454"/>
      <c r="K689" s="174"/>
      <c r="L689" s="174"/>
      <c r="M689" s="174"/>
      <c r="N689" s="174"/>
      <c r="O689" s="174"/>
      <c r="T689" s="182"/>
    </row>
    <row r="690">
      <c r="J690" s="454"/>
      <c r="K690" s="174"/>
      <c r="L690" s="174"/>
      <c r="M690" s="174"/>
      <c r="N690" s="174"/>
      <c r="O690" s="174"/>
      <c r="T690" s="182"/>
    </row>
    <row r="691">
      <c r="J691" s="454"/>
      <c r="K691" s="174"/>
      <c r="L691" s="174"/>
      <c r="M691" s="174"/>
      <c r="N691" s="174"/>
      <c r="O691" s="174"/>
      <c r="T691" s="182"/>
    </row>
    <row r="692">
      <c r="J692" s="454"/>
      <c r="K692" s="174"/>
      <c r="L692" s="174"/>
      <c r="M692" s="174"/>
      <c r="N692" s="174"/>
      <c r="O692" s="174"/>
      <c r="T692" s="182"/>
    </row>
    <row r="693">
      <c r="J693" s="454"/>
      <c r="K693" s="174"/>
      <c r="L693" s="174"/>
      <c r="M693" s="174"/>
      <c r="N693" s="174"/>
      <c r="O693" s="174"/>
      <c r="T693" s="182"/>
    </row>
    <row r="694">
      <c r="J694" s="454"/>
      <c r="K694" s="174"/>
      <c r="L694" s="174"/>
      <c r="M694" s="174"/>
      <c r="N694" s="174"/>
      <c r="O694" s="174"/>
      <c r="T694" s="182"/>
    </row>
    <row r="695">
      <c r="J695" s="454"/>
      <c r="K695" s="174"/>
      <c r="L695" s="174"/>
      <c r="M695" s="174"/>
      <c r="N695" s="174"/>
      <c r="O695" s="174"/>
      <c r="T695" s="182"/>
    </row>
    <row r="696">
      <c r="J696" s="454"/>
      <c r="K696" s="174"/>
      <c r="L696" s="174"/>
      <c r="M696" s="174"/>
      <c r="N696" s="174"/>
      <c r="O696" s="174"/>
      <c r="T696" s="182"/>
    </row>
    <row r="697">
      <c r="J697" s="454"/>
      <c r="K697" s="174"/>
      <c r="L697" s="174"/>
      <c r="M697" s="174"/>
      <c r="N697" s="174"/>
      <c r="O697" s="174"/>
      <c r="T697" s="182"/>
    </row>
    <row r="698">
      <c r="J698" s="454"/>
      <c r="K698" s="174"/>
      <c r="L698" s="174"/>
      <c r="M698" s="174"/>
      <c r="N698" s="174"/>
      <c r="O698" s="174"/>
      <c r="T698" s="182"/>
    </row>
    <row r="699">
      <c r="J699" s="454"/>
      <c r="K699" s="174"/>
      <c r="L699" s="174"/>
      <c r="M699" s="174"/>
      <c r="N699" s="174"/>
      <c r="O699" s="174"/>
      <c r="T699" s="182"/>
    </row>
    <row r="700">
      <c r="J700" s="454"/>
      <c r="K700" s="174"/>
      <c r="L700" s="174"/>
      <c r="M700" s="174"/>
      <c r="N700" s="174"/>
      <c r="O700" s="174"/>
      <c r="T700" s="182"/>
    </row>
    <row r="701">
      <c r="J701" s="454"/>
      <c r="K701" s="174"/>
      <c r="L701" s="174"/>
      <c r="M701" s="174"/>
      <c r="N701" s="174"/>
      <c r="O701" s="174"/>
      <c r="T701" s="182"/>
    </row>
    <row r="702">
      <c r="J702" s="454"/>
      <c r="K702" s="174"/>
      <c r="L702" s="174"/>
      <c r="M702" s="174"/>
      <c r="N702" s="174"/>
      <c r="O702" s="174"/>
      <c r="T702" s="182"/>
    </row>
    <row r="703">
      <c r="J703" s="454"/>
      <c r="K703" s="174"/>
      <c r="L703" s="174"/>
      <c r="M703" s="174"/>
      <c r="N703" s="174"/>
      <c r="O703" s="174"/>
      <c r="T703" s="182"/>
    </row>
    <row r="704">
      <c r="J704" s="454"/>
      <c r="K704" s="174"/>
      <c r="L704" s="174"/>
      <c r="M704" s="174"/>
      <c r="N704" s="174"/>
      <c r="O704" s="174"/>
      <c r="T704" s="182"/>
    </row>
    <row r="705">
      <c r="J705" s="454"/>
      <c r="K705" s="174"/>
      <c r="L705" s="174"/>
      <c r="M705" s="174"/>
      <c r="N705" s="174"/>
      <c r="O705" s="174"/>
      <c r="T705" s="182"/>
    </row>
    <row r="706">
      <c r="J706" s="454"/>
      <c r="K706" s="174"/>
      <c r="L706" s="174"/>
      <c r="M706" s="174"/>
      <c r="N706" s="174"/>
      <c r="O706" s="174"/>
      <c r="T706" s="182"/>
    </row>
    <row r="707">
      <c r="J707" s="454"/>
      <c r="K707" s="174"/>
      <c r="L707" s="174"/>
      <c r="M707" s="174"/>
      <c r="N707" s="174"/>
      <c r="O707" s="174"/>
      <c r="T707" s="182"/>
    </row>
    <row r="708">
      <c r="J708" s="454"/>
      <c r="K708" s="174"/>
      <c r="L708" s="174"/>
      <c r="M708" s="174"/>
      <c r="N708" s="174"/>
      <c r="O708" s="174"/>
      <c r="T708" s="182"/>
    </row>
    <row r="709">
      <c r="J709" s="454"/>
      <c r="K709" s="174"/>
      <c r="L709" s="174"/>
      <c r="M709" s="174"/>
      <c r="N709" s="174"/>
      <c r="O709" s="174"/>
      <c r="T709" s="182"/>
    </row>
    <row r="710">
      <c r="J710" s="454"/>
      <c r="K710" s="174"/>
      <c r="L710" s="174"/>
      <c r="M710" s="174"/>
      <c r="N710" s="174"/>
      <c r="O710" s="174"/>
      <c r="T710" s="182"/>
    </row>
    <row r="711">
      <c r="J711" s="454"/>
      <c r="K711" s="174"/>
      <c r="L711" s="174"/>
      <c r="M711" s="174"/>
      <c r="N711" s="174"/>
      <c r="O711" s="174"/>
      <c r="T711" s="182"/>
    </row>
    <row r="712">
      <c r="J712" s="454"/>
      <c r="K712" s="174"/>
      <c r="L712" s="174"/>
      <c r="M712" s="174"/>
      <c r="N712" s="174"/>
      <c r="O712" s="174"/>
      <c r="T712" s="182"/>
    </row>
    <row r="713">
      <c r="J713" s="454"/>
      <c r="K713" s="174"/>
      <c r="L713" s="174"/>
      <c r="M713" s="174"/>
      <c r="N713" s="174"/>
      <c r="O713" s="174"/>
      <c r="T713" s="182"/>
    </row>
    <row r="714">
      <c r="J714" s="454"/>
      <c r="K714" s="174"/>
      <c r="L714" s="174"/>
      <c r="M714" s="174"/>
      <c r="N714" s="174"/>
      <c r="O714" s="174"/>
      <c r="T714" s="182"/>
    </row>
    <row r="715">
      <c r="J715" s="454"/>
      <c r="K715" s="174"/>
      <c r="L715" s="174"/>
      <c r="M715" s="174"/>
      <c r="N715" s="174"/>
      <c r="O715" s="174"/>
      <c r="T715" s="182"/>
    </row>
    <row r="716">
      <c r="J716" s="454"/>
      <c r="K716" s="174"/>
      <c r="L716" s="174"/>
      <c r="M716" s="174"/>
      <c r="N716" s="174"/>
      <c r="O716" s="174"/>
      <c r="T716" s="182"/>
    </row>
    <row r="717">
      <c r="J717" s="454"/>
      <c r="K717" s="174"/>
      <c r="L717" s="174"/>
      <c r="M717" s="174"/>
      <c r="N717" s="174"/>
      <c r="O717" s="174"/>
      <c r="T717" s="182"/>
    </row>
    <row r="718">
      <c r="J718" s="454"/>
      <c r="K718" s="174"/>
      <c r="L718" s="174"/>
      <c r="M718" s="174"/>
      <c r="N718" s="174"/>
      <c r="O718" s="174"/>
      <c r="T718" s="182"/>
    </row>
    <row r="719">
      <c r="J719" s="454"/>
      <c r="K719" s="174"/>
      <c r="L719" s="174"/>
      <c r="M719" s="174"/>
      <c r="N719" s="174"/>
      <c r="O719" s="174"/>
      <c r="T719" s="182"/>
    </row>
    <row r="720">
      <c r="J720" s="454"/>
      <c r="K720" s="174"/>
      <c r="L720" s="174"/>
      <c r="M720" s="174"/>
      <c r="N720" s="174"/>
      <c r="O720" s="174"/>
      <c r="T720" s="182"/>
    </row>
    <row r="721">
      <c r="J721" s="454"/>
      <c r="K721" s="174"/>
      <c r="L721" s="174"/>
      <c r="M721" s="174"/>
      <c r="N721" s="174"/>
      <c r="O721" s="174"/>
      <c r="T721" s="182"/>
    </row>
    <row r="722">
      <c r="J722" s="454"/>
      <c r="K722" s="174"/>
      <c r="L722" s="174"/>
      <c r="M722" s="174"/>
      <c r="N722" s="174"/>
      <c r="O722" s="174"/>
      <c r="T722" s="182"/>
    </row>
    <row r="723">
      <c r="J723" s="454"/>
      <c r="K723" s="174"/>
      <c r="L723" s="174"/>
      <c r="M723" s="174"/>
      <c r="N723" s="174"/>
      <c r="O723" s="174"/>
      <c r="T723" s="182"/>
    </row>
    <row r="724">
      <c r="J724" s="454"/>
      <c r="K724" s="174"/>
      <c r="L724" s="174"/>
      <c r="M724" s="174"/>
      <c r="N724" s="174"/>
      <c r="O724" s="174"/>
      <c r="T724" s="182"/>
    </row>
    <row r="725">
      <c r="J725" s="454"/>
      <c r="K725" s="174"/>
      <c r="L725" s="174"/>
      <c r="M725" s="174"/>
      <c r="N725" s="174"/>
      <c r="O725" s="174"/>
      <c r="T725" s="182"/>
    </row>
    <row r="726">
      <c r="J726" s="454"/>
      <c r="K726" s="174"/>
      <c r="L726" s="174"/>
      <c r="M726" s="174"/>
      <c r="N726" s="174"/>
      <c r="O726" s="174"/>
      <c r="T726" s="182"/>
    </row>
    <row r="727">
      <c r="J727" s="454"/>
      <c r="K727" s="174"/>
      <c r="L727" s="174"/>
      <c r="M727" s="174"/>
      <c r="N727" s="174"/>
      <c r="O727" s="174"/>
      <c r="T727" s="182"/>
    </row>
    <row r="728">
      <c r="J728" s="454"/>
      <c r="K728" s="174"/>
      <c r="L728" s="174"/>
      <c r="M728" s="174"/>
      <c r="N728" s="174"/>
      <c r="O728" s="174"/>
      <c r="T728" s="182"/>
    </row>
    <row r="729">
      <c r="J729" s="454"/>
      <c r="K729" s="174"/>
      <c r="L729" s="174"/>
      <c r="M729" s="174"/>
      <c r="N729" s="174"/>
      <c r="O729" s="174"/>
      <c r="T729" s="182"/>
    </row>
    <row r="730">
      <c r="J730" s="454"/>
      <c r="K730" s="174"/>
      <c r="L730" s="174"/>
      <c r="M730" s="174"/>
      <c r="N730" s="174"/>
      <c r="O730" s="174"/>
      <c r="T730" s="182"/>
    </row>
    <row r="731">
      <c r="J731" s="454"/>
      <c r="K731" s="174"/>
      <c r="L731" s="174"/>
      <c r="M731" s="174"/>
      <c r="N731" s="174"/>
      <c r="O731" s="174"/>
      <c r="T731" s="182"/>
    </row>
    <row r="732">
      <c r="J732" s="454"/>
      <c r="K732" s="174"/>
      <c r="L732" s="174"/>
      <c r="M732" s="174"/>
      <c r="N732" s="174"/>
      <c r="O732" s="174"/>
      <c r="T732" s="182"/>
    </row>
    <row r="733">
      <c r="J733" s="454"/>
      <c r="K733" s="174"/>
      <c r="L733" s="174"/>
      <c r="M733" s="174"/>
      <c r="N733" s="174"/>
      <c r="O733" s="174"/>
      <c r="T733" s="182"/>
    </row>
    <row r="734">
      <c r="J734" s="454"/>
      <c r="K734" s="174"/>
      <c r="L734" s="174"/>
      <c r="M734" s="174"/>
      <c r="N734" s="174"/>
      <c r="O734" s="174"/>
      <c r="T734" s="182"/>
    </row>
    <row r="735">
      <c r="J735" s="454"/>
      <c r="K735" s="174"/>
      <c r="L735" s="174"/>
      <c r="M735" s="174"/>
      <c r="N735" s="174"/>
      <c r="O735" s="174"/>
      <c r="T735" s="182"/>
    </row>
    <row r="736">
      <c r="J736" s="454"/>
      <c r="K736" s="174"/>
      <c r="L736" s="174"/>
      <c r="M736" s="174"/>
      <c r="N736" s="174"/>
      <c r="O736" s="174"/>
      <c r="T736" s="182"/>
    </row>
    <row r="737">
      <c r="J737" s="454"/>
      <c r="K737" s="174"/>
      <c r="L737" s="174"/>
      <c r="M737" s="174"/>
      <c r="N737" s="174"/>
      <c r="O737" s="174"/>
      <c r="T737" s="182"/>
    </row>
    <row r="738">
      <c r="J738" s="454"/>
      <c r="K738" s="174"/>
      <c r="L738" s="174"/>
      <c r="M738" s="174"/>
      <c r="N738" s="174"/>
      <c r="O738" s="174"/>
      <c r="T738" s="182"/>
    </row>
    <row r="739">
      <c r="J739" s="454"/>
      <c r="K739" s="174"/>
      <c r="L739" s="174"/>
      <c r="M739" s="174"/>
      <c r="N739" s="174"/>
      <c r="O739" s="174"/>
      <c r="T739" s="182"/>
    </row>
    <row r="740">
      <c r="J740" s="454"/>
      <c r="K740" s="174"/>
      <c r="L740" s="174"/>
      <c r="M740" s="174"/>
      <c r="N740" s="174"/>
      <c r="O740" s="174"/>
      <c r="T740" s="182"/>
    </row>
    <row r="741">
      <c r="J741" s="454"/>
      <c r="K741" s="174"/>
      <c r="L741" s="174"/>
      <c r="M741" s="174"/>
      <c r="N741" s="174"/>
      <c r="O741" s="174"/>
      <c r="T741" s="182"/>
    </row>
    <row r="742">
      <c r="J742" s="454"/>
      <c r="K742" s="174"/>
      <c r="L742" s="174"/>
      <c r="M742" s="174"/>
      <c r="N742" s="174"/>
      <c r="O742" s="174"/>
      <c r="T742" s="182"/>
    </row>
    <row r="743">
      <c r="J743" s="454"/>
      <c r="K743" s="174"/>
      <c r="L743" s="174"/>
      <c r="M743" s="174"/>
      <c r="N743" s="174"/>
      <c r="O743" s="174"/>
      <c r="T743" s="182"/>
    </row>
    <row r="744">
      <c r="J744" s="454"/>
      <c r="K744" s="174"/>
      <c r="L744" s="174"/>
      <c r="M744" s="174"/>
      <c r="N744" s="174"/>
      <c r="O744" s="174"/>
      <c r="T744" s="182"/>
    </row>
    <row r="745">
      <c r="J745" s="454"/>
      <c r="K745" s="174"/>
      <c r="L745" s="174"/>
      <c r="M745" s="174"/>
      <c r="N745" s="174"/>
      <c r="O745" s="174"/>
      <c r="T745" s="182"/>
    </row>
    <row r="746">
      <c r="J746" s="454"/>
      <c r="K746" s="174"/>
      <c r="L746" s="174"/>
      <c r="M746" s="174"/>
      <c r="N746" s="174"/>
      <c r="O746" s="174"/>
      <c r="T746" s="182"/>
    </row>
    <row r="747">
      <c r="J747" s="454"/>
      <c r="K747" s="174"/>
      <c r="L747" s="174"/>
      <c r="M747" s="174"/>
      <c r="N747" s="174"/>
      <c r="O747" s="174"/>
      <c r="T747" s="182"/>
    </row>
    <row r="748">
      <c r="J748" s="454"/>
      <c r="K748" s="174"/>
      <c r="L748" s="174"/>
      <c r="M748" s="174"/>
      <c r="N748" s="174"/>
      <c r="O748" s="174"/>
      <c r="T748" s="182"/>
    </row>
    <row r="749">
      <c r="J749" s="454"/>
      <c r="K749" s="174"/>
      <c r="L749" s="174"/>
      <c r="M749" s="174"/>
      <c r="N749" s="174"/>
      <c r="O749" s="174"/>
      <c r="T749" s="182"/>
    </row>
    <row r="750">
      <c r="J750" s="454"/>
      <c r="K750" s="174"/>
      <c r="L750" s="174"/>
      <c r="M750" s="174"/>
      <c r="N750" s="174"/>
      <c r="O750" s="174"/>
      <c r="T750" s="182"/>
    </row>
    <row r="751">
      <c r="J751" s="454"/>
      <c r="K751" s="174"/>
      <c r="L751" s="174"/>
      <c r="M751" s="174"/>
      <c r="N751" s="174"/>
      <c r="O751" s="174"/>
      <c r="T751" s="182"/>
    </row>
    <row r="752">
      <c r="J752" s="454"/>
      <c r="K752" s="174"/>
      <c r="L752" s="174"/>
      <c r="M752" s="174"/>
      <c r="N752" s="174"/>
      <c r="O752" s="174"/>
      <c r="T752" s="182"/>
    </row>
    <row r="753">
      <c r="J753" s="454"/>
      <c r="K753" s="174"/>
      <c r="L753" s="174"/>
      <c r="M753" s="174"/>
      <c r="N753" s="174"/>
      <c r="O753" s="174"/>
      <c r="T753" s="182"/>
    </row>
    <row r="754">
      <c r="J754" s="454"/>
      <c r="K754" s="174"/>
      <c r="L754" s="174"/>
      <c r="M754" s="174"/>
      <c r="N754" s="174"/>
      <c r="O754" s="174"/>
      <c r="T754" s="182"/>
    </row>
    <row r="755">
      <c r="J755" s="454"/>
      <c r="K755" s="174"/>
      <c r="L755" s="174"/>
      <c r="M755" s="174"/>
      <c r="N755" s="174"/>
      <c r="O755" s="174"/>
      <c r="T755" s="182"/>
    </row>
    <row r="756">
      <c r="J756" s="454"/>
      <c r="K756" s="174"/>
      <c r="L756" s="174"/>
      <c r="M756" s="174"/>
      <c r="N756" s="174"/>
      <c r="O756" s="174"/>
      <c r="T756" s="182"/>
    </row>
    <row r="757">
      <c r="J757" s="454"/>
      <c r="K757" s="174"/>
      <c r="L757" s="174"/>
      <c r="M757" s="174"/>
      <c r="N757" s="174"/>
      <c r="O757" s="174"/>
      <c r="T757" s="182"/>
    </row>
    <row r="758">
      <c r="J758" s="454"/>
      <c r="K758" s="174"/>
      <c r="L758" s="174"/>
      <c r="M758" s="174"/>
      <c r="N758" s="174"/>
      <c r="O758" s="174"/>
      <c r="T758" s="182"/>
    </row>
    <row r="759">
      <c r="J759" s="454"/>
      <c r="K759" s="174"/>
      <c r="L759" s="174"/>
      <c r="M759" s="174"/>
      <c r="N759" s="174"/>
      <c r="O759" s="174"/>
      <c r="T759" s="182"/>
    </row>
    <row r="760">
      <c r="J760" s="454"/>
      <c r="K760" s="174"/>
      <c r="L760" s="174"/>
      <c r="M760" s="174"/>
      <c r="N760" s="174"/>
      <c r="O760" s="174"/>
      <c r="T760" s="182"/>
    </row>
    <row r="761">
      <c r="J761" s="454"/>
      <c r="K761" s="174"/>
      <c r="L761" s="174"/>
      <c r="M761" s="174"/>
      <c r="N761" s="174"/>
      <c r="O761" s="174"/>
      <c r="T761" s="182"/>
    </row>
    <row r="762">
      <c r="J762" s="454"/>
      <c r="K762" s="174"/>
      <c r="L762" s="174"/>
      <c r="M762" s="174"/>
      <c r="N762" s="174"/>
      <c r="O762" s="174"/>
      <c r="T762" s="182"/>
    </row>
    <row r="763">
      <c r="J763" s="454"/>
      <c r="K763" s="174"/>
      <c r="L763" s="174"/>
      <c r="M763" s="174"/>
      <c r="N763" s="174"/>
      <c r="O763" s="174"/>
      <c r="T763" s="182"/>
    </row>
    <row r="764">
      <c r="J764" s="454"/>
      <c r="K764" s="174"/>
      <c r="L764" s="174"/>
      <c r="M764" s="174"/>
      <c r="N764" s="174"/>
      <c r="O764" s="174"/>
      <c r="T764" s="182"/>
    </row>
    <row r="765">
      <c r="J765" s="454"/>
      <c r="K765" s="174"/>
      <c r="L765" s="174"/>
      <c r="M765" s="174"/>
      <c r="N765" s="174"/>
      <c r="O765" s="174"/>
      <c r="T765" s="182"/>
    </row>
    <row r="766">
      <c r="J766" s="454"/>
      <c r="K766" s="174"/>
      <c r="L766" s="174"/>
      <c r="M766" s="174"/>
      <c r="N766" s="174"/>
      <c r="O766" s="174"/>
      <c r="T766" s="182"/>
    </row>
    <row r="767">
      <c r="J767" s="454"/>
      <c r="K767" s="174"/>
      <c r="L767" s="174"/>
      <c r="M767" s="174"/>
      <c r="N767" s="174"/>
      <c r="O767" s="174"/>
      <c r="T767" s="182"/>
    </row>
    <row r="768">
      <c r="J768" s="454"/>
      <c r="K768" s="174"/>
      <c r="L768" s="174"/>
      <c r="M768" s="174"/>
      <c r="N768" s="174"/>
      <c r="O768" s="174"/>
      <c r="T768" s="182"/>
    </row>
    <row r="769">
      <c r="J769" s="454"/>
      <c r="K769" s="174"/>
      <c r="L769" s="174"/>
      <c r="M769" s="174"/>
      <c r="N769" s="174"/>
      <c r="O769" s="174"/>
      <c r="T769" s="182"/>
    </row>
    <row r="770">
      <c r="J770" s="454"/>
      <c r="K770" s="174"/>
      <c r="L770" s="174"/>
      <c r="M770" s="174"/>
      <c r="N770" s="174"/>
      <c r="O770" s="174"/>
      <c r="T770" s="182"/>
    </row>
    <row r="771">
      <c r="J771" s="454"/>
      <c r="K771" s="174"/>
      <c r="L771" s="174"/>
      <c r="M771" s="174"/>
      <c r="N771" s="174"/>
      <c r="O771" s="174"/>
      <c r="T771" s="182"/>
    </row>
    <row r="772">
      <c r="J772" s="454"/>
      <c r="K772" s="174"/>
      <c r="L772" s="174"/>
      <c r="M772" s="174"/>
      <c r="N772" s="174"/>
      <c r="O772" s="174"/>
      <c r="T772" s="182"/>
    </row>
    <row r="773">
      <c r="J773" s="454"/>
      <c r="K773" s="174"/>
      <c r="L773" s="174"/>
      <c r="M773" s="174"/>
      <c r="N773" s="174"/>
      <c r="O773" s="174"/>
      <c r="T773" s="182"/>
    </row>
    <row r="774">
      <c r="J774" s="454"/>
      <c r="K774" s="174"/>
      <c r="L774" s="174"/>
      <c r="M774" s="174"/>
      <c r="N774" s="174"/>
      <c r="O774" s="174"/>
      <c r="T774" s="182"/>
    </row>
    <row r="775">
      <c r="J775" s="454"/>
      <c r="K775" s="174"/>
      <c r="L775" s="174"/>
      <c r="M775" s="174"/>
      <c r="N775" s="174"/>
      <c r="O775" s="174"/>
      <c r="T775" s="182"/>
    </row>
    <row r="776">
      <c r="J776" s="454"/>
      <c r="K776" s="174"/>
      <c r="L776" s="174"/>
      <c r="M776" s="174"/>
      <c r="N776" s="174"/>
      <c r="O776" s="174"/>
      <c r="T776" s="182"/>
    </row>
    <row r="777">
      <c r="J777" s="454"/>
      <c r="K777" s="174"/>
      <c r="L777" s="174"/>
      <c r="M777" s="174"/>
      <c r="N777" s="174"/>
      <c r="O777" s="174"/>
      <c r="T777" s="182"/>
    </row>
    <row r="778">
      <c r="J778" s="454"/>
      <c r="K778" s="174"/>
      <c r="L778" s="174"/>
      <c r="M778" s="174"/>
      <c r="N778" s="174"/>
      <c r="O778" s="174"/>
      <c r="T778" s="182"/>
    </row>
    <row r="779">
      <c r="J779" s="454"/>
      <c r="K779" s="174"/>
      <c r="L779" s="174"/>
      <c r="M779" s="174"/>
      <c r="N779" s="174"/>
      <c r="O779" s="174"/>
      <c r="T779" s="182"/>
    </row>
    <row r="780">
      <c r="J780" s="454"/>
      <c r="K780" s="174"/>
      <c r="L780" s="174"/>
      <c r="M780" s="174"/>
      <c r="N780" s="174"/>
      <c r="O780" s="174"/>
      <c r="T780" s="182"/>
    </row>
    <row r="781">
      <c r="J781" s="454"/>
      <c r="K781" s="174"/>
      <c r="L781" s="174"/>
      <c r="M781" s="174"/>
      <c r="N781" s="174"/>
      <c r="O781" s="174"/>
      <c r="T781" s="182"/>
    </row>
    <row r="782">
      <c r="J782" s="454"/>
      <c r="K782" s="174"/>
      <c r="L782" s="174"/>
      <c r="M782" s="174"/>
      <c r="N782" s="174"/>
      <c r="O782" s="174"/>
      <c r="T782" s="182"/>
    </row>
    <row r="783">
      <c r="J783" s="454"/>
      <c r="K783" s="174"/>
      <c r="L783" s="174"/>
      <c r="M783" s="174"/>
      <c r="N783" s="174"/>
      <c r="O783" s="174"/>
      <c r="T783" s="182"/>
    </row>
    <row r="784">
      <c r="J784" s="454"/>
      <c r="K784" s="174"/>
      <c r="L784" s="174"/>
      <c r="M784" s="174"/>
      <c r="N784" s="174"/>
      <c r="O784" s="174"/>
      <c r="T784" s="182"/>
    </row>
    <row r="785">
      <c r="J785" s="454"/>
      <c r="K785" s="174"/>
      <c r="L785" s="174"/>
      <c r="M785" s="174"/>
      <c r="N785" s="174"/>
      <c r="O785" s="174"/>
      <c r="T785" s="182"/>
    </row>
    <row r="786">
      <c r="J786" s="454"/>
      <c r="K786" s="174"/>
      <c r="L786" s="174"/>
      <c r="M786" s="174"/>
      <c r="N786" s="174"/>
      <c r="O786" s="174"/>
      <c r="T786" s="182"/>
    </row>
    <row r="787">
      <c r="J787" s="454"/>
      <c r="K787" s="174"/>
      <c r="L787" s="174"/>
      <c r="M787" s="174"/>
      <c r="N787" s="174"/>
      <c r="O787" s="174"/>
      <c r="T787" s="182"/>
    </row>
    <row r="788">
      <c r="J788" s="454"/>
      <c r="K788" s="174"/>
      <c r="L788" s="174"/>
      <c r="M788" s="174"/>
      <c r="N788" s="174"/>
      <c r="O788" s="174"/>
      <c r="T788" s="182"/>
    </row>
    <row r="789">
      <c r="J789" s="454"/>
      <c r="K789" s="174"/>
      <c r="L789" s="174"/>
      <c r="M789" s="174"/>
      <c r="N789" s="174"/>
      <c r="O789" s="174"/>
      <c r="T789" s="182"/>
    </row>
    <row r="790">
      <c r="J790" s="454"/>
      <c r="K790" s="174"/>
      <c r="L790" s="174"/>
      <c r="M790" s="174"/>
      <c r="N790" s="174"/>
      <c r="O790" s="174"/>
      <c r="T790" s="182"/>
    </row>
    <row r="791">
      <c r="J791" s="454"/>
      <c r="K791" s="174"/>
      <c r="L791" s="174"/>
      <c r="M791" s="174"/>
      <c r="N791" s="174"/>
      <c r="O791" s="174"/>
      <c r="T791" s="182"/>
    </row>
    <row r="792">
      <c r="J792" s="454"/>
      <c r="K792" s="174"/>
      <c r="L792" s="174"/>
      <c r="M792" s="174"/>
      <c r="N792" s="174"/>
      <c r="O792" s="174"/>
      <c r="T792" s="182"/>
    </row>
    <row r="793">
      <c r="J793" s="454"/>
      <c r="K793" s="174"/>
      <c r="L793" s="174"/>
      <c r="M793" s="174"/>
      <c r="N793" s="174"/>
      <c r="O793" s="174"/>
      <c r="T793" s="182"/>
    </row>
    <row r="794">
      <c r="J794" s="454"/>
      <c r="K794" s="174"/>
      <c r="L794" s="174"/>
      <c r="M794" s="174"/>
      <c r="N794" s="174"/>
      <c r="O794" s="174"/>
      <c r="T794" s="182"/>
    </row>
    <row r="795">
      <c r="J795" s="454"/>
      <c r="K795" s="174"/>
      <c r="L795" s="174"/>
      <c r="M795" s="174"/>
      <c r="N795" s="174"/>
      <c r="O795" s="174"/>
      <c r="T795" s="182"/>
    </row>
    <row r="796">
      <c r="J796" s="454"/>
      <c r="K796" s="174"/>
      <c r="L796" s="174"/>
      <c r="M796" s="174"/>
      <c r="N796" s="174"/>
      <c r="O796" s="174"/>
      <c r="T796" s="182"/>
    </row>
    <row r="797">
      <c r="J797" s="454"/>
      <c r="K797" s="174"/>
      <c r="L797" s="174"/>
      <c r="M797" s="174"/>
      <c r="N797" s="174"/>
      <c r="O797" s="174"/>
      <c r="T797" s="182"/>
    </row>
    <row r="798">
      <c r="J798" s="454"/>
      <c r="K798" s="174"/>
      <c r="L798" s="174"/>
      <c r="M798" s="174"/>
      <c r="N798" s="174"/>
      <c r="O798" s="174"/>
      <c r="T798" s="182"/>
    </row>
    <row r="799">
      <c r="J799" s="454"/>
      <c r="K799" s="174"/>
      <c r="L799" s="174"/>
      <c r="M799" s="174"/>
      <c r="N799" s="174"/>
      <c r="O799" s="174"/>
      <c r="T799" s="182"/>
    </row>
    <row r="800">
      <c r="J800" s="454"/>
      <c r="K800" s="174"/>
      <c r="L800" s="174"/>
      <c r="M800" s="174"/>
      <c r="N800" s="174"/>
      <c r="O800" s="174"/>
      <c r="T800" s="182"/>
    </row>
    <row r="801">
      <c r="J801" s="454"/>
      <c r="K801" s="174"/>
      <c r="L801" s="174"/>
      <c r="M801" s="174"/>
      <c r="N801" s="174"/>
      <c r="O801" s="174"/>
      <c r="T801" s="182"/>
    </row>
    <row r="802">
      <c r="J802" s="454"/>
      <c r="K802" s="174"/>
      <c r="L802" s="174"/>
      <c r="M802" s="174"/>
      <c r="N802" s="174"/>
      <c r="O802" s="174"/>
      <c r="T802" s="182"/>
    </row>
    <row r="803">
      <c r="J803" s="454"/>
      <c r="K803" s="174"/>
      <c r="L803" s="174"/>
      <c r="M803" s="174"/>
      <c r="N803" s="174"/>
      <c r="O803" s="174"/>
      <c r="T803" s="182"/>
    </row>
    <row r="804">
      <c r="J804" s="454"/>
      <c r="K804" s="174"/>
      <c r="L804" s="174"/>
      <c r="M804" s="174"/>
      <c r="N804" s="174"/>
      <c r="O804" s="174"/>
      <c r="T804" s="182"/>
    </row>
    <row r="805">
      <c r="J805" s="454"/>
      <c r="K805" s="174"/>
      <c r="L805" s="174"/>
      <c r="M805" s="174"/>
      <c r="N805" s="174"/>
      <c r="O805" s="174"/>
      <c r="T805" s="182"/>
    </row>
    <row r="806">
      <c r="J806" s="454"/>
      <c r="K806" s="174"/>
      <c r="L806" s="174"/>
      <c r="M806" s="174"/>
      <c r="N806" s="174"/>
      <c r="O806" s="174"/>
      <c r="T806" s="182"/>
    </row>
    <row r="807">
      <c r="J807" s="454"/>
      <c r="K807" s="174"/>
      <c r="L807" s="174"/>
      <c r="M807" s="174"/>
      <c r="N807" s="174"/>
      <c r="O807" s="174"/>
      <c r="T807" s="182"/>
    </row>
    <row r="808">
      <c r="J808" s="454"/>
      <c r="K808" s="174"/>
      <c r="L808" s="174"/>
      <c r="M808" s="174"/>
      <c r="N808" s="174"/>
      <c r="O808" s="174"/>
      <c r="T808" s="182"/>
    </row>
    <row r="809">
      <c r="J809" s="454"/>
      <c r="K809" s="174"/>
      <c r="L809" s="174"/>
      <c r="M809" s="174"/>
      <c r="N809" s="174"/>
      <c r="O809" s="174"/>
      <c r="T809" s="182"/>
    </row>
    <row r="810">
      <c r="J810" s="454"/>
      <c r="K810" s="174"/>
      <c r="L810" s="174"/>
      <c r="M810" s="174"/>
      <c r="N810" s="174"/>
      <c r="O810" s="174"/>
      <c r="T810" s="182"/>
    </row>
    <row r="811">
      <c r="J811" s="454"/>
      <c r="K811" s="174"/>
      <c r="L811" s="174"/>
      <c r="M811" s="174"/>
      <c r="N811" s="174"/>
      <c r="O811" s="174"/>
      <c r="T811" s="182"/>
    </row>
    <row r="812">
      <c r="J812" s="454"/>
      <c r="K812" s="174"/>
      <c r="L812" s="174"/>
      <c r="M812" s="174"/>
      <c r="N812" s="174"/>
      <c r="O812" s="174"/>
      <c r="T812" s="182"/>
    </row>
    <row r="813">
      <c r="J813" s="454"/>
      <c r="K813" s="174"/>
      <c r="L813" s="174"/>
      <c r="M813" s="174"/>
      <c r="N813" s="174"/>
      <c r="O813" s="174"/>
      <c r="T813" s="182"/>
    </row>
    <row r="814">
      <c r="J814" s="454"/>
      <c r="K814" s="174"/>
      <c r="L814" s="174"/>
      <c r="M814" s="174"/>
      <c r="N814" s="174"/>
      <c r="O814" s="174"/>
      <c r="T814" s="182"/>
    </row>
    <row r="815">
      <c r="J815" s="454"/>
      <c r="K815" s="174"/>
      <c r="L815" s="174"/>
      <c r="M815" s="174"/>
      <c r="N815" s="174"/>
      <c r="O815" s="174"/>
      <c r="T815" s="182"/>
    </row>
    <row r="816">
      <c r="J816" s="454"/>
      <c r="K816" s="174"/>
      <c r="L816" s="174"/>
      <c r="M816" s="174"/>
      <c r="N816" s="174"/>
      <c r="O816" s="174"/>
      <c r="T816" s="182"/>
    </row>
    <row r="817">
      <c r="J817" s="454"/>
      <c r="K817" s="174"/>
      <c r="L817" s="174"/>
      <c r="M817" s="174"/>
      <c r="N817" s="174"/>
      <c r="O817" s="174"/>
      <c r="T817" s="182"/>
    </row>
    <row r="818">
      <c r="J818" s="454"/>
      <c r="K818" s="174"/>
      <c r="L818" s="174"/>
      <c r="M818" s="174"/>
      <c r="N818" s="174"/>
      <c r="O818" s="174"/>
      <c r="T818" s="182"/>
    </row>
    <row r="819">
      <c r="J819" s="454"/>
      <c r="K819" s="174"/>
      <c r="L819" s="174"/>
      <c r="M819" s="174"/>
      <c r="N819" s="174"/>
      <c r="O819" s="174"/>
      <c r="T819" s="182"/>
    </row>
    <row r="820">
      <c r="J820" s="454"/>
      <c r="K820" s="174"/>
      <c r="L820" s="174"/>
      <c r="M820" s="174"/>
      <c r="N820" s="174"/>
      <c r="O820" s="174"/>
      <c r="T820" s="182"/>
    </row>
    <row r="821">
      <c r="J821" s="454"/>
      <c r="K821" s="174"/>
      <c r="L821" s="174"/>
      <c r="M821" s="174"/>
      <c r="N821" s="174"/>
      <c r="O821" s="174"/>
      <c r="T821" s="182"/>
    </row>
    <row r="822">
      <c r="J822" s="454"/>
      <c r="K822" s="174"/>
      <c r="L822" s="174"/>
      <c r="M822" s="174"/>
      <c r="N822" s="174"/>
      <c r="O822" s="174"/>
      <c r="T822" s="182"/>
    </row>
    <row r="823">
      <c r="J823" s="454"/>
      <c r="K823" s="174"/>
      <c r="L823" s="174"/>
      <c r="M823" s="174"/>
      <c r="N823" s="174"/>
      <c r="O823" s="174"/>
      <c r="T823" s="182"/>
    </row>
    <row r="824">
      <c r="J824" s="454"/>
      <c r="K824" s="174"/>
      <c r="L824" s="174"/>
      <c r="M824" s="174"/>
      <c r="N824" s="174"/>
      <c r="O824" s="174"/>
      <c r="T824" s="182"/>
    </row>
    <row r="825">
      <c r="J825" s="454"/>
      <c r="K825" s="174"/>
      <c r="L825" s="174"/>
      <c r="M825" s="174"/>
      <c r="N825" s="174"/>
      <c r="O825" s="174"/>
      <c r="T825" s="182"/>
    </row>
    <row r="826">
      <c r="J826" s="454"/>
      <c r="K826" s="174"/>
      <c r="L826" s="174"/>
      <c r="M826" s="174"/>
      <c r="N826" s="174"/>
      <c r="O826" s="174"/>
      <c r="T826" s="182"/>
    </row>
    <row r="827">
      <c r="J827" s="454"/>
      <c r="K827" s="174"/>
      <c r="L827" s="174"/>
      <c r="M827" s="174"/>
      <c r="N827" s="174"/>
      <c r="O827" s="174"/>
      <c r="T827" s="182"/>
    </row>
    <row r="828">
      <c r="J828" s="454"/>
      <c r="K828" s="174"/>
      <c r="L828" s="174"/>
      <c r="M828" s="174"/>
      <c r="N828" s="174"/>
      <c r="O828" s="174"/>
      <c r="T828" s="182"/>
    </row>
    <row r="829">
      <c r="J829" s="454"/>
      <c r="K829" s="174"/>
      <c r="L829" s="174"/>
      <c r="M829" s="174"/>
      <c r="N829" s="174"/>
      <c r="O829" s="174"/>
      <c r="T829" s="182"/>
    </row>
    <row r="830">
      <c r="J830" s="454"/>
      <c r="K830" s="174"/>
      <c r="L830" s="174"/>
      <c r="M830" s="174"/>
      <c r="N830" s="174"/>
      <c r="O830" s="174"/>
      <c r="T830" s="182"/>
    </row>
    <row r="831">
      <c r="J831" s="454"/>
      <c r="K831" s="174"/>
      <c r="L831" s="174"/>
      <c r="M831" s="174"/>
      <c r="N831" s="174"/>
      <c r="O831" s="174"/>
      <c r="T831" s="182"/>
    </row>
    <row r="832">
      <c r="J832" s="454"/>
      <c r="K832" s="174"/>
      <c r="L832" s="174"/>
      <c r="M832" s="174"/>
      <c r="N832" s="174"/>
      <c r="O832" s="174"/>
      <c r="T832" s="182"/>
    </row>
    <row r="833">
      <c r="J833" s="454"/>
      <c r="K833" s="174"/>
      <c r="L833" s="174"/>
      <c r="M833" s="174"/>
      <c r="N833" s="174"/>
      <c r="O833" s="174"/>
      <c r="T833" s="182"/>
    </row>
    <row r="834">
      <c r="J834" s="454"/>
      <c r="K834" s="174"/>
      <c r="L834" s="174"/>
      <c r="M834" s="174"/>
      <c r="N834" s="174"/>
      <c r="O834" s="174"/>
      <c r="T834" s="182"/>
    </row>
    <row r="835">
      <c r="J835" s="454"/>
      <c r="K835" s="174"/>
      <c r="L835" s="174"/>
      <c r="M835" s="174"/>
      <c r="N835" s="174"/>
      <c r="O835" s="174"/>
      <c r="T835" s="182"/>
    </row>
    <row r="836">
      <c r="J836" s="454"/>
      <c r="K836" s="174"/>
      <c r="L836" s="174"/>
      <c r="M836" s="174"/>
      <c r="N836" s="174"/>
      <c r="O836" s="174"/>
      <c r="T836" s="182"/>
    </row>
    <row r="837">
      <c r="J837" s="454"/>
      <c r="K837" s="174"/>
      <c r="L837" s="174"/>
      <c r="M837" s="174"/>
      <c r="N837" s="174"/>
      <c r="O837" s="174"/>
      <c r="T837" s="182"/>
    </row>
    <row r="838">
      <c r="J838" s="454"/>
      <c r="K838" s="174"/>
      <c r="L838" s="174"/>
      <c r="M838" s="174"/>
      <c r="N838" s="174"/>
      <c r="O838" s="174"/>
      <c r="T838" s="182"/>
    </row>
    <row r="839">
      <c r="J839" s="454"/>
      <c r="K839" s="174"/>
      <c r="L839" s="174"/>
      <c r="M839" s="174"/>
      <c r="N839" s="174"/>
      <c r="O839" s="174"/>
      <c r="T839" s="182"/>
    </row>
    <row r="840">
      <c r="J840" s="454"/>
      <c r="K840" s="174"/>
      <c r="L840" s="174"/>
      <c r="M840" s="174"/>
      <c r="N840" s="174"/>
      <c r="O840" s="174"/>
      <c r="T840" s="182"/>
    </row>
    <row r="841">
      <c r="J841" s="454"/>
      <c r="K841" s="174"/>
      <c r="L841" s="174"/>
      <c r="M841" s="174"/>
      <c r="N841" s="174"/>
      <c r="O841" s="174"/>
      <c r="T841" s="182"/>
    </row>
    <row r="842">
      <c r="J842" s="454"/>
      <c r="K842" s="174"/>
      <c r="L842" s="174"/>
      <c r="M842" s="174"/>
      <c r="N842" s="174"/>
      <c r="O842" s="174"/>
      <c r="T842" s="182"/>
    </row>
    <row r="843">
      <c r="J843" s="454"/>
      <c r="K843" s="174"/>
      <c r="L843" s="174"/>
      <c r="M843" s="174"/>
      <c r="N843" s="174"/>
      <c r="O843" s="174"/>
      <c r="T843" s="182"/>
    </row>
    <row r="844">
      <c r="J844" s="454"/>
      <c r="K844" s="174"/>
      <c r="L844" s="174"/>
      <c r="M844" s="174"/>
      <c r="N844" s="174"/>
      <c r="O844" s="174"/>
      <c r="T844" s="182"/>
    </row>
    <row r="845">
      <c r="J845" s="454"/>
      <c r="K845" s="174"/>
      <c r="L845" s="174"/>
      <c r="M845" s="174"/>
      <c r="N845" s="174"/>
      <c r="O845" s="174"/>
      <c r="T845" s="182"/>
    </row>
    <row r="846">
      <c r="J846" s="454"/>
      <c r="K846" s="174"/>
      <c r="L846" s="174"/>
      <c r="M846" s="174"/>
      <c r="N846" s="174"/>
      <c r="O846" s="174"/>
      <c r="T846" s="182"/>
    </row>
    <row r="847">
      <c r="J847" s="454"/>
      <c r="K847" s="174"/>
      <c r="L847" s="174"/>
      <c r="M847" s="174"/>
      <c r="N847" s="174"/>
      <c r="O847" s="174"/>
      <c r="T847" s="182"/>
    </row>
    <row r="848">
      <c r="J848" s="454"/>
      <c r="K848" s="174"/>
      <c r="L848" s="174"/>
      <c r="M848" s="174"/>
      <c r="N848" s="174"/>
      <c r="O848" s="174"/>
      <c r="T848" s="182"/>
    </row>
    <row r="849">
      <c r="J849" s="454"/>
      <c r="K849" s="174"/>
      <c r="L849" s="174"/>
      <c r="M849" s="174"/>
      <c r="N849" s="174"/>
      <c r="O849" s="174"/>
      <c r="T849" s="182"/>
    </row>
    <row r="850">
      <c r="J850" s="454"/>
      <c r="K850" s="174"/>
      <c r="L850" s="174"/>
      <c r="M850" s="174"/>
      <c r="N850" s="174"/>
      <c r="O850" s="174"/>
      <c r="T850" s="182"/>
    </row>
    <row r="851">
      <c r="J851" s="454"/>
      <c r="K851" s="174"/>
      <c r="L851" s="174"/>
      <c r="M851" s="174"/>
      <c r="N851" s="174"/>
      <c r="O851" s="174"/>
      <c r="T851" s="182"/>
    </row>
    <row r="852">
      <c r="J852" s="454"/>
      <c r="K852" s="174"/>
      <c r="L852" s="174"/>
      <c r="M852" s="174"/>
      <c r="N852" s="174"/>
      <c r="O852" s="174"/>
      <c r="T852" s="182"/>
    </row>
    <row r="853">
      <c r="J853" s="454"/>
      <c r="K853" s="174"/>
      <c r="L853" s="174"/>
      <c r="M853" s="174"/>
      <c r="N853" s="174"/>
      <c r="O853" s="174"/>
      <c r="T853" s="182"/>
    </row>
    <row r="854">
      <c r="J854" s="454"/>
      <c r="K854" s="174"/>
      <c r="L854" s="174"/>
      <c r="M854" s="174"/>
      <c r="N854" s="174"/>
      <c r="O854" s="174"/>
      <c r="T854" s="182"/>
    </row>
    <row r="855">
      <c r="J855" s="454"/>
      <c r="K855" s="174"/>
      <c r="L855" s="174"/>
      <c r="M855" s="174"/>
      <c r="N855" s="174"/>
      <c r="O855" s="174"/>
      <c r="T855" s="182"/>
    </row>
    <row r="856">
      <c r="J856" s="454"/>
      <c r="K856" s="174"/>
      <c r="L856" s="174"/>
      <c r="M856" s="174"/>
      <c r="N856" s="174"/>
      <c r="O856" s="174"/>
      <c r="T856" s="182"/>
    </row>
    <row r="857">
      <c r="J857" s="454"/>
      <c r="K857" s="174"/>
      <c r="L857" s="174"/>
      <c r="M857" s="174"/>
      <c r="N857" s="174"/>
      <c r="O857" s="174"/>
      <c r="T857" s="182"/>
    </row>
    <row r="858">
      <c r="J858" s="454"/>
      <c r="K858" s="174"/>
      <c r="L858" s="174"/>
      <c r="M858" s="174"/>
      <c r="N858" s="174"/>
      <c r="O858" s="174"/>
      <c r="T858" s="182"/>
    </row>
    <row r="859">
      <c r="J859" s="454"/>
      <c r="K859" s="174"/>
      <c r="L859" s="174"/>
      <c r="M859" s="174"/>
      <c r="N859" s="174"/>
      <c r="O859" s="174"/>
      <c r="T859" s="182"/>
    </row>
    <row r="860">
      <c r="J860" s="454"/>
      <c r="K860" s="174"/>
      <c r="L860" s="174"/>
      <c r="M860" s="174"/>
      <c r="N860" s="174"/>
      <c r="O860" s="174"/>
      <c r="T860" s="182"/>
    </row>
    <row r="861">
      <c r="J861" s="454"/>
      <c r="K861" s="174"/>
      <c r="L861" s="174"/>
      <c r="M861" s="174"/>
      <c r="N861" s="174"/>
      <c r="O861" s="174"/>
      <c r="T861" s="182"/>
    </row>
    <row r="862">
      <c r="J862" s="454"/>
      <c r="K862" s="174"/>
      <c r="L862" s="174"/>
      <c r="M862" s="174"/>
      <c r="N862" s="174"/>
      <c r="O862" s="174"/>
      <c r="T862" s="182"/>
    </row>
    <row r="863">
      <c r="J863" s="454"/>
      <c r="K863" s="174"/>
      <c r="L863" s="174"/>
      <c r="M863" s="174"/>
      <c r="N863" s="174"/>
      <c r="O863" s="174"/>
      <c r="T863" s="182"/>
    </row>
    <row r="864">
      <c r="J864" s="454"/>
      <c r="K864" s="174"/>
      <c r="L864" s="174"/>
      <c r="M864" s="174"/>
      <c r="N864" s="174"/>
      <c r="O864" s="174"/>
      <c r="T864" s="182"/>
    </row>
    <row r="865">
      <c r="J865" s="454"/>
      <c r="K865" s="174"/>
      <c r="L865" s="174"/>
      <c r="M865" s="174"/>
      <c r="N865" s="174"/>
      <c r="O865" s="174"/>
      <c r="T865" s="182"/>
    </row>
    <row r="866">
      <c r="J866" s="454"/>
      <c r="K866" s="174"/>
      <c r="L866" s="174"/>
      <c r="M866" s="174"/>
      <c r="N866" s="174"/>
      <c r="O866" s="174"/>
      <c r="T866" s="182"/>
    </row>
    <row r="867">
      <c r="J867" s="454"/>
      <c r="K867" s="174"/>
      <c r="L867" s="174"/>
      <c r="M867" s="174"/>
      <c r="N867" s="174"/>
      <c r="O867" s="174"/>
      <c r="T867" s="182"/>
    </row>
    <row r="868">
      <c r="J868" s="454"/>
      <c r="K868" s="174"/>
      <c r="L868" s="174"/>
      <c r="M868" s="174"/>
      <c r="N868" s="174"/>
      <c r="O868" s="174"/>
      <c r="T868" s="182"/>
    </row>
    <row r="869">
      <c r="J869" s="454"/>
      <c r="K869" s="174"/>
      <c r="L869" s="174"/>
      <c r="M869" s="174"/>
      <c r="N869" s="174"/>
      <c r="O869" s="174"/>
      <c r="T869" s="182"/>
    </row>
    <row r="870">
      <c r="J870" s="454"/>
      <c r="K870" s="174"/>
      <c r="L870" s="174"/>
      <c r="M870" s="174"/>
      <c r="N870" s="174"/>
      <c r="O870" s="174"/>
      <c r="T870" s="182"/>
    </row>
    <row r="871">
      <c r="J871" s="454"/>
      <c r="K871" s="174"/>
      <c r="L871" s="174"/>
      <c r="M871" s="174"/>
      <c r="N871" s="174"/>
      <c r="O871" s="174"/>
      <c r="T871" s="182"/>
    </row>
    <row r="872">
      <c r="J872" s="454"/>
      <c r="K872" s="174"/>
      <c r="L872" s="174"/>
      <c r="M872" s="174"/>
      <c r="N872" s="174"/>
      <c r="O872" s="174"/>
      <c r="T872" s="182"/>
    </row>
    <row r="873">
      <c r="J873" s="454"/>
      <c r="K873" s="174"/>
      <c r="L873" s="174"/>
      <c r="M873" s="174"/>
      <c r="N873" s="174"/>
      <c r="O873" s="174"/>
      <c r="T873" s="182"/>
    </row>
    <row r="874">
      <c r="J874" s="454"/>
      <c r="K874" s="174"/>
      <c r="L874" s="174"/>
      <c r="M874" s="174"/>
      <c r="N874" s="174"/>
      <c r="O874" s="174"/>
      <c r="T874" s="182"/>
    </row>
    <row r="875">
      <c r="J875" s="454"/>
      <c r="K875" s="174"/>
      <c r="L875" s="174"/>
      <c r="M875" s="174"/>
      <c r="N875" s="174"/>
      <c r="O875" s="174"/>
      <c r="T875" s="182"/>
    </row>
    <row r="876">
      <c r="J876" s="454"/>
      <c r="K876" s="174"/>
      <c r="L876" s="174"/>
      <c r="M876" s="174"/>
      <c r="N876" s="174"/>
      <c r="O876" s="174"/>
      <c r="T876" s="182"/>
    </row>
    <row r="877">
      <c r="J877" s="454"/>
      <c r="K877" s="174"/>
      <c r="L877" s="174"/>
      <c r="M877" s="174"/>
      <c r="N877" s="174"/>
      <c r="O877" s="174"/>
      <c r="T877" s="182"/>
    </row>
    <row r="878">
      <c r="J878" s="454"/>
      <c r="K878" s="174"/>
      <c r="L878" s="174"/>
      <c r="M878" s="174"/>
      <c r="N878" s="174"/>
      <c r="O878" s="174"/>
      <c r="T878" s="182"/>
    </row>
    <row r="879">
      <c r="J879" s="454"/>
      <c r="K879" s="174"/>
      <c r="L879" s="174"/>
      <c r="M879" s="174"/>
      <c r="N879" s="174"/>
      <c r="O879" s="174"/>
      <c r="T879" s="182"/>
    </row>
    <row r="880">
      <c r="J880" s="454"/>
      <c r="K880" s="174"/>
      <c r="L880" s="174"/>
      <c r="M880" s="174"/>
      <c r="N880" s="174"/>
      <c r="O880" s="174"/>
      <c r="T880" s="182"/>
    </row>
    <row r="881">
      <c r="J881" s="454"/>
      <c r="K881" s="174"/>
      <c r="L881" s="174"/>
      <c r="M881" s="174"/>
      <c r="N881" s="174"/>
      <c r="O881" s="174"/>
      <c r="T881" s="182"/>
    </row>
    <row r="882">
      <c r="J882" s="454"/>
      <c r="K882" s="174"/>
      <c r="L882" s="174"/>
      <c r="M882" s="174"/>
      <c r="N882" s="174"/>
      <c r="O882" s="174"/>
      <c r="T882" s="182"/>
    </row>
    <row r="883">
      <c r="J883" s="454"/>
      <c r="K883" s="174"/>
      <c r="L883" s="174"/>
      <c r="M883" s="174"/>
      <c r="N883" s="174"/>
      <c r="O883" s="174"/>
      <c r="T883" s="182"/>
    </row>
    <row r="884">
      <c r="J884" s="454"/>
      <c r="K884" s="174"/>
      <c r="L884" s="174"/>
      <c r="M884" s="174"/>
      <c r="N884" s="174"/>
      <c r="O884" s="174"/>
      <c r="T884" s="182"/>
    </row>
    <row r="885">
      <c r="J885" s="454"/>
      <c r="K885" s="174"/>
      <c r="L885" s="174"/>
      <c r="M885" s="174"/>
      <c r="N885" s="174"/>
      <c r="O885" s="174"/>
      <c r="T885" s="182"/>
    </row>
    <row r="886">
      <c r="J886" s="454"/>
      <c r="K886" s="174"/>
      <c r="L886" s="174"/>
      <c r="M886" s="174"/>
      <c r="N886" s="174"/>
      <c r="O886" s="174"/>
      <c r="T886" s="182"/>
    </row>
    <row r="887">
      <c r="J887" s="454"/>
      <c r="K887" s="174"/>
      <c r="L887" s="174"/>
      <c r="M887" s="174"/>
      <c r="N887" s="174"/>
      <c r="O887" s="174"/>
      <c r="T887" s="182"/>
    </row>
    <row r="888">
      <c r="J888" s="454"/>
      <c r="K888" s="174"/>
      <c r="L888" s="174"/>
      <c r="M888" s="174"/>
      <c r="N888" s="174"/>
      <c r="O888" s="174"/>
      <c r="T888" s="182"/>
    </row>
    <row r="889">
      <c r="J889" s="454"/>
      <c r="K889" s="174"/>
      <c r="L889" s="174"/>
      <c r="M889" s="174"/>
      <c r="N889" s="174"/>
      <c r="O889" s="174"/>
      <c r="T889" s="182"/>
    </row>
    <row r="890">
      <c r="J890" s="454"/>
      <c r="K890" s="174"/>
      <c r="L890" s="174"/>
      <c r="M890" s="174"/>
      <c r="N890" s="174"/>
      <c r="O890" s="174"/>
      <c r="T890" s="182"/>
    </row>
    <row r="891">
      <c r="J891" s="454"/>
      <c r="K891" s="174"/>
      <c r="L891" s="174"/>
      <c r="M891" s="174"/>
      <c r="N891" s="174"/>
      <c r="O891" s="174"/>
      <c r="T891" s="182"/>
    </row>
    <row r="892">
      <c r="J892" s="454"/>
      <c r="K892" s="174"/>
      <c r="L892" s="174"/>
      <c r="M892" s="174"/>
      <c r="N892" s="174"/>
      <c r="O892" s="174"/>
      <c r="T892" s="182"/>
    </row>
    <row r="893">
      <c r="J893" s="454"/>
      <c r="K893" s="174"/>
      <c r="L893" s="174"/>
      <c r="M893" s="174"/>
      <c r="N893" s="174"/>
      <c r="O893" s="174"/>
      <c r="T893" s="182"/>
    </row>
    <row r="894">
      <c r="J894" s="454"/>
      <c r="K894" s="174"/>
      <c r="L894" s="174"/>
      <c r="M894" s="174"/>
      <c r="N894" s="174"/>
      <c r="O894" s="174"/>
      <c r="T894" s="182"/>
    </row>
    <row r="895">
      <c r="J895" s="454"/>
      <c r="K895" s="174"/>
      <c r="L895" s="174"/>
      <c r="M895" s="174"/>
      <c r="N895" s="174"/>
      <c r="O895" s="174"/>
      <c r="T895" s="182"/>
    </row>
    <row r="896">
      <c r="J896" s="454"/>
      <c r="K896" s="174"/>
      <c r="L896" s="174"/>
      <c r="M896" s="174"/>
      <c r="N896" s="174"/>
      <c r="O896" s="174"/>
      <c r="T896" s="182"/>
    </row>
    <row r="897">
      <c r="J897" s="454"/>
      <c r="K897" s="174"/>
      <c r="L897" s="174"/>
      <c r="M897" s="174"/>
      <c r="N897" s="174"/>
      <c r="O897" s="174"/>
      <c r="T897" s="182"/>
    </row>
    <row r="898">
      <c r="J898" s="454"/>
      <c r="K898" s="174"/>
      <c r="L898" s="174"/>
      <c r="M898" s="174"/>
      <c r="N898" s="174"/>
      <c r="O898" s="174"/>
      <c r="T898" s="182"/>
    </row>
    <row r="899">
      <c r="J899" s="454"/>
      <c r="K899" s="174"/>
      <c r="L899" s="174"/>
      <c r="M899" s="174"/>
      <c r="N899" s="174"/>
      <c r="O899" s="174"/>
      <c r="T899" s="182"/>
    </row>
    <row r="900">
      <c r="J900" s="454"/>
      <c r="K900" s="174"/>
      <c r="L900" s="174"/>
      <c r="M900" s="174"/>
      <c r="N900" s="174"/>
      <c r="O900" s="174"/>
      <c r="T900" s="182"/>
    </row>
    <row r="901">
      <c r="J901" s="454"/>
      <c r="K901" s="174"/>
      <c r="L901" s="174"/>
      <c r="M901" s="174"/>
      <c r="N901" s="174"/>
      <c r="O901" s="174"/>
      <c r="T901" s="182"/>
    </row>
    <row r="902">
      <c r="J902" s="454"/>
      <c r="K902" s="174"/>
      <c r="L902" s="174"/>
      <c r="M902" s="174"/>
      <c r="N902" s="174"/>
      <c r="O902" s="174"/>
      <c r="T902" s="182"/>
    </row>
    <row r="903">
      <c r="J903" s="454"/>
      <c r="K903" s="174"/>
      <c r="L903" s="174"/>
      <c r="M903" s="174"/>
      <c r="N903" s="174"/>
      <c r="O903" s="174"/>
      <c r="T903" s="182"/>
    </row>
    <row r="904">
      <c r="J904" s="454"/>
      <c r="K904" s="174"/>
      <c r="L904" s="174"/>
      <c r="M904" s="174"/>
      <c r="N904" s="174"/>
      <c r="O904" s="174"/>
      <c r="T904" s="182"/>
    </row>
    <row r="905">
      <c r="J905" s="454"/>
      <c r="K905" s="174"/>
      <c r="L905" s="174"/>
      <c r="M905" s="174"/>
      <c r="N905" s="174"/>
      <c r="O905" s="174"/>
      <c r="T905" s="182"/>
    </row>
    <row r="906">
      <c r="J906" s="454"/>
      <c r="K906" s="174"/>
      <c r="L906" s="174"/>
      <c r="M906" s="174"/>
      <c r="N906" s="174"/>
      <c r="O906" s="174"/>
      <c r="T906" s="182"/>
    </row>
    <row r="907">
      <c r="J907" s="454"/>
      <c r="K907" s="174"/>
      <c r="L907" s="174"/>
      <c r="M907" s="174"/>
      <c r="N907" s="174"/>
      <c r="O907" s="174"/>
      <c r="T907" s="182"/>
    </row>
    <row r="908">
      <c r="J908" s="454"/>
      <c r="K908" s="174"/>
      <c r="L908" s="174"/>
      <c r="M908" s="174"/>
      <c r="N908" s="174"/>
      <c r="O908" s="174"/>
      <c r="T908" s="182"/>
    </row>
    <row r="909">
      <c r="J909" s="454"/>
      <c r="K909" s="174"/>
      <c r="L909" s="174"/>
      <c r="M909" s="174"/>
      <c r="N909" s="174"/>
      <c r="O909" s="174"/>
      <c r="T909" s="182"/>
    </row>
    <row r="910">
      <c r="J910" s="454"/>
      <c r="K910" s="174"/>
      <c r="L910" s="174"/>
      <c r="M910" s="174"/>
      <c r="N910" s="174"/>
      <c r="O910" s="174"/>
      <c r="T910" s="182"/>
    </row>
    <row r="911">
      <c r="J911" s="454"/>
      <c r="K911" s="174"/>
      <c r="L911" s="174"/>
      <c r="M911" s="174"/>
      <c r="N911" s="174"/>
      <c r="O911" s="174"/>
      <c r="T911" s="182"/>
    </row>
    <row r="912">
      <c r="J912" s="454"/>
      <c r="K912" s="174"/>
      <c r="L912" s="174"/>
      <c r="M912" s="174"/>
      <c r="N912" s="174"/>
      <c r="O912" s="174"/>
      <c r="T912" s="182"/>
    </row>
    <row r="913">
      <c r="J913" s="454"/>
      <c r="K913" s="174"/>
      <c r="L913" s="174"/>
      <c r="M913" s="174"/>
      <c r="N913" s="174"/>
      <c r="O913" s="174"/>
      <c r="T913" s="182"/>
    </row>
    <row r="914">
      <c r="J914" s="454"/>
      <c r="K914" s="174"/>
      <c r="L914" s="174"/>
      <c r="M914" s="174"/>
      <c r="N914" s="174"/>
      <c r="O914" s="174"/>
      <c r="T914" s="182"/>
    </row>
    <row r="915">
      <c r="J915" s="454"/>
      <c r="K915" s="174"/>
      <c r="L915" s="174"/>
      <c r="M915" s="174"/>
      <c r="N915" s="174"/>
      <c r="O915" s="174"/>
      <c r="T915" s="182"/>
    </row>
    <row r="916">
      <c r="J916" s="454"/>
      <c r="K916" s="174"/>
      <c r="L916" s="174"/>
      <c r="M916" s="174"/>
      <c r="N916" s="174"/>
      <c r="O916" s="174"/>
      <c r="T916" s="182"/>
    </row>
    <row r="917">
      <c r="J917" s="454"/>
      <c r="K917" s="174"/>
      <c r="L917" s="174"/>
      <c r="M917" s="174"/>
      <c r="N917" s="174"/>
      <c r="O917" s="174"/>
      <c r="T917" s="182"/>
    </row>
    <row r="918">
      <c r="J918" s="454"/>
      <c r="K918" s="174"/>
      <c r="L918" s="174"/>
      <c r="M918" s="174"/>
      <c r="N918" s="174"/>
      <c r="O918" s="174"/>
      <c r="T918" s="182"/>
    </row>
    <row r="919">
      <c r="J919" s="454"/>
      <c r="K919" s="174"/>
      <c r="L919" s="174"/>
      <c r="M919" s="174"/>
      <c r="N919" s="174"/>
      <c r="O919" s="174"/>
      <c r="T919" s="182"/>
    </row>
    <row r="920">
      <c r="J920" s="454"/>
      <c r="K920" s="174"/>
      <c r="L920" s="174"/>
      <c r="M920" s="174"/>
      <c r="N920" s="174"/>
      <c r="O920" s="174"/>
      <c r="T920" s="182"/>
    </row>
    <row r="921">
      <c r="J921" s="454"/>
      <c r="K921" s="174"/>
      <c r="L921" s="174"/>
      <c r="M921" s="174"/>
      <c r="N921" s="174"/>
      <c r="O921" s="174"/>
      <c r="T921" s="182"/>
    </row>
    <row r="922">
      <c r="J922" s="454"/>
      <c r="K922" s="174"/>
      <c r="L922" s="174"/>
      <c r="M922" s="174"/>
      <c r="N922" s="174"/>
      <c r="O922" s="174"/>
      <c r="T922" s="182"/>
    </row>
    <row r="923">
      <c r="J923" s="454"/>
      <c r="K923" s="174"/>
      <c r="L923" s="174"/>
      <c r="M923" s="174"/>
      <c r="N923" s="174"/>
      <c r="O923" s="174"/>
      <c r="T923" s="182"/>
    </row>
    <row r="924">
      <c r="J924" s="454"/>
      <c r="K924" s="174"/>
      <c r="L924" s="174"/>
      <c r="M924" s="174"/>
      <c r="N924" s="174"/>
      <c r="O924" s="174"/>
      <c r="T924" s="182"/>
    </row>
    <row r="925">
      <c r="J925" s="454"/>
      <c r="K925" s="174"/>
      <c r="L925" s="174"/>
      <c r="M925" s="174"/>
      <c r="N925" s="174"/>
      <c r="O925" s="174"/>
      <c r="T925" s="182"/>
    </row>
    <row r="926">
      <c r="J926" s="454"/>
      <c r="K926" s="174"/>
      <c r="L926" s="174"/>
      <c r="M926" s="174"/>
      <c r="N926" s="174"/>
      <c r="O926" s="174"/>
      <c r="T926" s="182"/>
    </row>
    <row r="927">
      <c r="J927" s="454"/>
      <c r="K927" s="174"/>
      <c r="L927" s="174"/>
      <c r="M927" s="174"/>
      <c r="N927" s="174"/>
      <c r="O927" s="174"/>
      <c r="T927" s="182"/>
    </row>
    <row r="928">
      <c r="J928" s="454"/>
      <c r="K928" s="174"/>
      <c r="L928" s="174"/>
      <c r="M928" s="174"/>
      <c r="N928" s="174"/>
      <c r="O928" s="174"/>
      <c r="T928" s="182"/>
    </row>
    <row r="929">
      <c r="J929" s="454"/>
      <c r="K929" s="174"/>
      <c r="L929" s="174"/>
      <c r="M929" s="174"/>
      <c r="N929" s="174"/>
      <c r="O929" s="174"/>
      <c r="T929" s="182"/>
    </row>
    <row r="930">
      <c r="J930" s="454"/>
      <c r="K930" s="174"/>
      <c r="L930" s="174"/>
      <c r="M930" s="174"/>
      <c r="N930" s="174"/>
      <c r="O930" s="174"/>
      <c r="T930" s="182"/>
    </row>
    <row r="931">
      <c r="J931" s="454"/>
      <c r="K931" s="174"/>
      <c r="L931" s="174"/>
      <c r="M931" s="174"/>
      <c r="N931" s="174"/>
      <c r="O931" s="174"/>
      <c r="T931" s="182"/>
    </row>
    <row r="932">
      <c r="J932" s="454"/>
      <c r="K932" s="174"/>
      <c r="L932" s="174"/>
      <c r="M932" s="174"/>
      <c r="N932" s="174"/>
      <c r="O932" s="174"/>
      <c r="T932" s="182"/>
    </row>
    <row r="933">
      <c r="J933" s="454"/>
      <c r="K933" s="174"/>
      <c r="L933" s="174"/>
      <c r="M933" s="174"/>
      <c r="N933" s="174"/>
      <c r="O933" s="174"/>
      <c r="T933" s="182"/>
    </row>
    <row r="934">
      <c r="J934" s="454"/>
      <c r="K934" s="174"/>
      <c r="L934" s="174"/>
      <c r="M934" s="174"/>
      <c r="N934" s="174"/>
      <c r="O934" s="174"/>
      <c r="T934" s="182"/>
    </row>
    <row r="935">
      <c r="J935" s="454"/>
      <c r="K935" s="174"/>
      <c r="L935" s="174"/>
      <c r="M935" s="174"/>
      <c r="N935" s="174"/>
      <c r="O935" s="174"/>
      <c r="T935" s="182"/>
    </row>
    <row r="936">
      <c r="J936" s="454"/>
      <c r="K936" s="174"/>
      <c r="L936" s="174"/>
      <c r="M936" s="174"/>
      <c r="N936" s="174"/>
      <c r="O936" s="174"/>
      <c r="T936" s="182"/>
    </row>
    <row r="937">
      <c r="J937" s="454"/>
      <c r="K937" s="174"/>
      <c r="L937" s="174"/>
      <c r="M937" s="174"/>
      <c r="N937" s="174"/>
      <c r="O937" s="174"/>
      <c r="T937" s="182"/>
    </row>
    <row r="938">
      <c r="J938" s="454"/>
      <c r="K938" s="174"/>
      <c r="L938" s="174"/>
      <c r="M938" s="174"/>
      <c r="N938" s="174"/>
      <c r="O938" s="174"/>
      <c r="T938" s="182"/>
    </row>
    <row r="939">
      <c r="J939" s="454"/>
      <c r="K939" s="174"/>
      <c r="L939" s="174"/>
      <c r="M939" s="174"/>
      <c r="N939" s="174"/>
      <c r="O939" s="174"/>
      <c r="T939" s="182"/>
    </row>
    <row r="940">
      <c r="J940" s="454"/>
      <c r="K940" s="174"/>
      <c r="L940" s="174"/>
      <c r="M940" s="174"/>
      <c r="N940" s="174"/>
      <c r="O940" s="174"/>
      <c r="T940" s="182"/>
    </row>
    <row r="941">
      <c r="J941" s="454"/>
      <c r="K941" s="174"/>
      <c r="L941" s="174"/>
      <c r="M941" s="174"/>
      <c r="N941" s="174"/>
      <c r="O941" s="174"/>
      <c r="T941" s="182"/>
    </row>
    <row r="942">
      <c r="J942" s="454"/>
      <c r="K942" s="174"/>
      <c r="L942" s="174"/>
      <c r="M942" s="174"/>
      <c r="N942" s="174"/>
      <c r="O942" s="174"/>
      <c r="T942" s="182"/>
    </row>
    <row r="943">
      <c r="J943" s="454"/>
      <c r="K943" s="174"/>
      <c r="L943" s="174"/>
      <c r="M943" s="174"/>
      <c r="N943" s="174"/>
      <c r="O943" s="174"/>
      <c r="T943" s="182"/>
    </row>
    <row r="944">
      <c r="J944" s="454"/>
      <c r="K944" s="174"/>
      <c r="L944" s="174"/>
      <c r="M944" s="174"/>
      <c r="N944" s="174"/>
      <c r="O944" s="174"/>
      <c r="T944" s="182"/>
    </row>
    <row r="945">
      <c r="J945" s="454"/>
      <c r="K945" s="174"/>
      <c r="L945" s="174"/>
      <c r="M945" s="174"/>
      <c r="N945" s="174"/>
      <c r="O945" s="174"/>
      <c r="T945" s="182"/>
    </row>
    <row r="946">
      <c r="J946" s="454"/>
      <c r="K946" s="174"/>
      <c r="L946" s="174"/>
      <c r="M946" s="174"/>
      <c r="N946" s="174"/>
      <c r="O946" s="174"/>
      <c r="T946" s="182"/>
    </row>
    <row r="947">
      <c r="J947" s="454"/>
      <c r="K947" s="174"/>
      <c r="L947" s="174"/>
      <c r="M947" s="174"/>
      <c r="N947" s="174"/>
      <c r="O947" s="174"/>
      <c r="T947" s="182"/>
    </row>
    <row r="948">
      <c r="J948" s="454"/>
      <c r="K948" s="174"/>
      <c r="L948" s="174"/>
      <c r="M948" s="174"/>
      <c r="N948" s="174"/>
      <c r="O948" s="174"/>
      <c r="T948" s="182"/>
    </row>
    <row r="949">
      <c r="J949" s="454"/>
      <c r="K949" s="174"/>
      <c r="L949" s="174"/>
      <c r="M949" s="174"/>
      <c r="N949" s="174"/>
      <c r="O949" s="174"/>
      <c r="T949" s="182"/>
    </row>
    <row r="950">
      <c r="J950" s="454"/>
      <c r="K950" s="174"/>
      <c r="L950" s="174"/>
      <c r="M950" s="174"/>
      <c r="N950" s="174"/>
      <c r="O950" s="174"/>
      <c r="T950" s="182"/>
    </row>
    <row r="951">
      <c r="J951" s="454"/>
      <c r="K951" s="174"/>
      <c r="L951" s="174"/>
      <c r="M951" s="174"/>
      <c r="N951" s="174"/>
      <c r="O951" s="174"/>
      <c r="T951" s="182"/>
    </row>
    <row r="952">
      <c r="J952" s="454"/>
      <c r="K952" s="174"/>
      <c r="L952" s="174"/>
      <c r="M952" s="174"/>
      <c r="N952" s="174"/>
      <c r="O952" s="174"/>
      <c r="T952" s="182"/>
    </row>
    <row r="953">
      <c r="J953" s="454"/>
      <c r="K953" s="174"/>
      <c r="L953" s="174"/>
      <c r="M953" s="174"/>
      <c r="N953" s="174"/>
      <c r="O953" s="174"/>
      <c r="T953" s="182"/>
    </row>
    <row r="954">
      <c r="J954" s="454"/>
      <c r="K954" s="174"/>
      <c r="L954" s="174"/>
      <c r="M954" s="174"/>
      <c r="N954" s="174"/>
      <c r="O954" s="174"/>
      <c r="T954" s="182"/>
    </row>
    <row r="955">
      <c r="J955" s="454"/>
      <c r="K955" s="174"/>
      <c r="L955" s="174"/>
      <c r="M955" s="174"/>
      <c r="N955" s="174"/>
      <c r="O955" s="174"/>
      <c r="T955" s="182"/>
    </row>
    <row r="956">
      <c r="J956" s="454"/>
      <c r="K956" s="174"/>
      <c r="L956" s="174"/>
      <c r="M956" s="174"/>
      <c r="N956" s="174"/>
      <c r="O956" s="174"/>
      <c r="T956" s="182"/>
    </row>
    <row r="957">
      <c r="J957" s="454"/>
      <c r="K957" s="174"/>
      <c r="L957" s="174"/>
      <c r="M957" s="174"/>
      <c r="N957" s="174"/>
      <c r="O957" s="174"/>
      <c r="T957" s="182"/>
    </row>
    <row r="958">
      <c r="J958" s="454"/>
      <c r="K958" s="174"/>
      <c r="L958" s="174"/>
      <c r="M958" s="174"/>
      <c r="N958" s="174"/>
      <c r="O958" s="174"/>
      <c r="T958" s="182"/>
    </row>
    <row r="959">
      <c r="J959" s="454"/>
      <c r="K959" s="174"/>
      <c r="L959" s="174"/>
      <c r="M959" s="174"/>
      <c r="N959" s="174"/>
      <c r="O959" s="174"/>
      <c r="T959" s="182"/>
    </row>
    <row r="960">
      <c r="J960" s="454"/>
      <c r="K960" s="174"/>
      <c r="L960" s="174"/>
      <c r="M960" s="174"/>
      <c r="N960" s="174"/>
      <c r="O960" s="174"/>
      <c r="T960" s="182"/>
    </row>
    <row r="961">
      <c r="J961" s="454"/>
      <c r="K961" s="174"/>
      <c r="L961" s="174"/>
      <c r="M961" s="174"/>
      <c r="N961" s="174"/>
      <c r="O961" s="174"/>
      <c r="T961" s="182"/>
    </row>
    <row r="962">
      <c r="J962" s="454"/>
      <c r="K962" s="174"/>
      <c r="L962" s="174"/>
      <c r="M962" s="174"/>
      <c r="N962" s="174"/>
      <c r="O962" s="174"/>
      <c r="T962" s="182"/>
    </row>
    <row r="963">
      <c r="J963" s="454"/>
      <c r="K963" s="174"/>
      <c r="L963" s="174"/>
      <c r="M963" s="174"/>
      <c r="N963" s="174"/>
      <c r="O963" s="174"/>
      <c r="T963" s="182"/>
    </row>
    <row r="964">
      <c r="J964" s="454"/>
      <c r="K964" s="174"/>
      <c r="L964" s="174"/>
      <c r="M964" s="174"/>
      <c r="N964" s="174"/>
      <c r="O964" s="174"/>
      <c r="T964" s="182"/>
    </row>
    <row r="965">
      <c r="J965" s="454"/>
      <c r="K965" s="174"/>
      <c r="L965" s="174"/>
      <c r="M965" s="174"/>
      <c r="N965" s="174"/>
      <c r="O965" s="174"/>
      <c r="T965" s="182"/>
    </row>
    <row r="966">
      <c r="J966" s="454"/>
      <c r="K966" s="174"/>
      <c r="L966" s="174"/>
      <c r="M966" s="174"/>
      <c r="N966" s="174"/>
      <c r="O966" s="174"/>
      <c r="T966" s="182"/>
    </row>
    <row r="967">
      <c r="J967" s="454"/>
      <c r="K967" s="174"/>
      <c r="L967" s="174"/>
      <c r="M967" s="174"/>
      <c r="N967" s="174"/>
      <c r="O967" s="174"/>
      <c r="T967" s="182"/>
    </row>
    <row r="968">
      <c r="J968" s="454"/>
      <c r="K968" s="174"/>
      <c r="L968" s="174"/>
      <c r="M968" s="174"/>
      <c r="N968" s="174"/>
      <c r="O968" s="174"/>
      <c r="T968" s="182"/>
    </row>
    <row r="969">
      <c r="J969" s="454"/>
      <c r="K969" s="174"/>
      <c r="L969" s="174"/>
      <c r="M969" s="174"/>
      <c r="N969" s="174"/>
      <c r="O969" s="174"/>
      <c r="T969" s="182"/>
    </row>
    <row r="970">
      <c r="J970" s="454"/>
      <c r="K970" s="174"/>
      <c r="L970" s="174"/>
      <c r="M970" s="174"/>
      <c r="N970" s="174"/>
      <c r="O970" s="174"/>
      <c r="T970" s="182"/>
    </row>
    <row r="971">
      <c r="J971" s="454"/>
      <c r="K971" s="174"/>
      <c r="L971" s="174"/>
      <c r="M971" s="174"/>
      <c r="N971" s="174"/>
      <c r="O971" s="174"/>
      <c r="T971" s="182"/>
    </row>
    <row r="972">
      <c r="J972" s="454"/>
      <c r="K972" s="174"/>
      <c r="L972" s="174"/>
      <c r="M972" s="174"/>
      <c r="N972" s="174"/>
      <c r="O972" s="174"/>
      <c r="T972" s="182"/>
    </row>
    <row r="973">
      <c r="J973" s="454"/>
      <c r="K973" s="174"/>
      <c r="L973" s="174"/>
      <c r="M973" s="174"/>
      <c r="N973" s="174"/>
      <c r="O973" s="174"/>
      <c r="T973" s="182"/>
    </row>
    <row r="974">
      <c r="J974" s="454"/>
      <c r="K974" s="174"/>
      <c r="L974" s="174"/>
      <c r="M974" s="174"/>
      <c r="N974" s="174"/>
      <c r="O974" s="174"/>
      <c r="T974" s="182"/>
    </row>
    <row r="975">
      <c r="J975" s="454"/>
      <c r="K975" s="174"/>
      <c r="L975" s="174"/>
      <c r="M975" s="174"/>
      <c r="N975" s="174"/>
      <c r="O975" s="174"/>
      <c r="T975" s="182"/>
    </row>
    <row r="976">
      <c r="J976" s="454"/>
      <c r="K976" s="174"/>
      <c r="L976" s="174"/>
      <c r="M976" s="174"/>
      <c r="N976" s="174"/>
      <c r="O976" s="174"/>
      <c r="T976" s="182"/>
    </row>
    <row r="977">
      <c r="J977" s="454"/>
      <c r="K977" s="174"/>
      <c r="L977" s="174"/>
      <c r="M977" s="174"/>
      <c r="N977" s="174"/>
      <c r="O977" s="174"/>
      <c r="T977" s="182"/>
    </row>
    <row r="978">
      <c r="J978" s="454"/>
      <c r="K978" s="174"/>
      <c r="L978" s="174"/>
      <c r="M978" s="174"/>
      <c r="N978" s="174"/>
      <c r="O978" s="174"/>
      <c r="T978" s="182"/>
    </row>
    <row r="979">
      <c r="J979" s="454"/>
      <c r="K979" s="174"/>
      <c r="L979" s="174"/>
      <c r="M979" s="174"/>
      <c r="N979" s="174"/>
      <c r="O979" s="174"/>
      <c r="T979" s="182"/>
    </row>
    <row r="980">
      <c r="J980" s="454"/>
      <c r="K980" s="174"/>
      <c r="L980" s="174"/>
      <c r="M980" s="174"/>
      <c r="N980" s="174"/>
      <c r="O980" s="174"/>
      <c r="T980" s="182"/>
    </row>
    <row r="981">
      <c r="J981" s="454"/>
      <c r="K981" s="174"/>
      <c r="L981" s="174"/>
      <c r="M981" s="174"/>
      <c r="N981" s="174"/>
      <c r="O981" s="174"/>
      <c r="T981" s="182"/>
    </row>
    <row r="982">
      <c r="J982" s="454"/>
      <c r="K982" s="174"/>
      <c r="L982" s="174"/>
      <c r="M982" s="174"/>
      <c r="N982" s="174"/>
      <c r="O982" s="174"/>
      <c r="T982" s="182"/>
    </row>
    <row r="983">
      <c r="J983" s="454"/>
      <c r="K983" s="174"/>
      <c r="L983" s="174"/>
      <c r="M983" s="174"/>
      <c r="N983" s="174"/>
      <c r="O983" s="174"/>
      <c r="T983" s="182"/>
    </row>
    <row r="984">
      <c r="J984" s="454"/>
      <c r="K984" s="174"/>
      <c r="L984" s="174"/>
      <c r="M984" s="174"/>
      <c r="N984" s="174"/>
      <c r="O984" s="174"/>
      <c r="T984" s="182"/>
    </row>
    <row r="985">
      <c r="J985" s="454"/>
      <c r="K985" s="174"/>
      <c r="L985" s="174"/>
      <c r="M985" s="174"/>
      <c r="N985" s="174"/>
      <c r="O985" s="174"/>
      <c r="T985" s="182"/>
    </row>
    <row r="986">
      <c r="J986" s="454"/>
      <c r="K986" s="174"/>
      <c r="L986" s="174"/>
      <c r="M986" s="174"/>
      <c r="N986" s="174"/>
      <c r="O986" s="174"/>
      <c r="T986" s="182"/>
    </row>
    <row r="987">
      <c r="J987" s="454"/>
      <c r="K987" s="174"/>
      <c r="L987" s="174"/>
      <c r="M987" s="174"/>
      <c r="N987" s="174"/>
      <c r="O987" s="174"/>
      <c r="T987" s="182"/>
    </row>
    <row r="988">
      <c r="J988" s="454"/>
      <c r="K988" s="174"/>
      <c r="L988" s="174"/>
      <c r="M988" s="174"/>
      <c r="N988" s="174"/>
      <c r="O988" s="174"/>
      <c r="T988" s="182"/>
    </row>
    <row r="989">
      <c r="J989" s="454"/>
      <c r="K989" s="174"/>
      <c r="L989" s="174"/>
      <c r="M989" s="174"/>
      <c r="N989" s="174"/>
      <c r="O989" s="174"/>
      <c r="T989" s="182"/>
    </row>
    <row r="990">
      <c r="J990" s="454"/>
      <c r="K990" s="174"/>
      <c r="L990" s="174"/>
      <c r="M990" s="174"/>
      <c r="N990" s="174"/>
      <c r="O990" s="174"/>
      <c r="T990" s="182"/>
    </row>
    <row r="991">
      <c r="J991" s="454"/>
      <c r="K991" s="174"/>
      <c r="L991" s="174"/>
      <c r="M991" s="174"/>
      <c r="N991" s="174"/>
      <c r="O991" s="174"/>
      <c r="T991" s="182"/>
    </row>
    <row r="992">
      <c r="J992" s="454"/>
      <c r="K992" s="174"/>
      <c r="L992" s="174"/>
      <c r="M992" s="174"/>
      <c r="N992" s="174"/>
      <c r="O992" s="174"/>
      <c r="T992" s="182"/>
    </row>
    <row r="993">
      <c r="J993" s="454"/>
      <c r="K993" s="174"/>
      <c r="L993" s="174"/>
      <c r="M993" s="174"/>
      <c r="N993" s="174"/>
      <c r="O993" s="174"/>
      <c r="T993" s="182"/>
    </row>
    <row r="994">
      <c r="J994" s="454"/>
      <c r="K994" s="174"/>
      <c r="L994" s="174"/>
      <c r="M994" s="174"/>
      <c r="N994" s="174"/>
      <c r="O994" s="174"/>
      <c r="T994" s="182"/>
    </row>
    <row r="995">
      <c r="J995" s="454"/>
      <c r="K995" s="174"/>
      <c r="L995" s="174"/>
      <c r="M995" s="174"/>
      <c r="N995" s="174"/>
      <c r="O995" s="174"/>
      <c r="T995" s="182"/>
    </row>
    <row r="996">
      <c r="J996" s="454"/>
      <c r="K996" s="174"/>
      <c r="L996" s="174"/>
      <c r="M996" s="174"/>
      <c r="N996" s="174"/>
      <c r="O996" s="174"/>
      <c r="T996" s="182"/>
    </row>
    <row r="997">
      <c r="J997" s="454"/>
      <c r="K997" s="174"/>
      <c r="L997" s="174"/>
      <c r="M997" s="174"/>
      <c r="N997" s="174"/>
      <c r="O997" s="174"/>
      <c r="T997" s="182"/>
    </row>
    <row r="998">
      <c r="J998" s="454"/>
      <c r="K998" s="174"/>
      <c r="L998" s="174"/>
      <c r="M998" s="174"/>
      <c r="N998" s="174"/>
      <c r="O998" s="174"/>
      <c r="T998" s="182"/>
    </row>
  </sheetData>
  <dataValidations>
    <dataValidation type="list" allowBlank="1" showErrorMessage="1" sqref="T2:T998">
      <formula1>"SIMRAN,AMIRUN,ANJALI,DHAVAL"</formula1>
    </dataValidation>
    <dataValidation type="list" allowBlank="1" showErrorMessage="1" sqref="O2:O998">
      <formula1>"MANUAL,TRACING"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6" max="6" width="15.25"/>
  </cols>
  <sheetData>
    <row r="1">
      <c r="A1" s="189" t="s">
        <v>1414</v>
      </c>
      <c r="B1" s="176" t="s">
        <v>848</v>
      </c>
      <c r="C1" s="176" t="s">
        <v>849</v>
      </c>
      <c r="D1" s="176" t="s">
        <v>850</v>
      </c>
      <c r="E1" s="176" t="s">
        <v>851</v>
      </c>
      <c r="F1" s="176" t="s">
        <v>852</v>
      </c>
      <c r="G1" s="176" t="s">
        <v>3</v>
      </c>
      <c r="H1" s="176" t="s">
        <v>4</v>
      </c>
      <c r="I1" s="455" t="s">
        <v>6</v>
      </c>
      <c r="J1" s="456" t="s">
        <v>7</v>
      </c>
      <c r="K1" s="456" t="s">
        <v>8</v>
      </c>
      <c r="L1" s="456" t="s">
        <v>9</v>
      </c>
      <c r="M1" s="456" t="s">
        <v>10</v>
      </c>
      <c r="N1" s="456" t="s">
        <v>11</v>
      </c>
      <c r="O1" s="455" t="s">
        <v>12</v>
      </c>
      <c r="P1" s="456" t="s">
        <v>13</v>
      </c>
      <c r="Q1" s="456" t="s">
        <v>14</v>
      </c>
      <c r="R1" s="457" t="s">
        <v>16</v>
      </c>
      <c r="S1" s="455" t="s">
        <v>15</v>
      </c>
      <c r="T1" s="458" t="s">
        <v>5</v>
      </c>
    </row>
    <row r="2">
      <c r="A2" s="459">
        <v>227571.0</v>
      </c>
      <c r="B2" s="412" t="s">
        <v>82</v>
      </c>
      <c r="C2" s="412">
        <v>53.0</v>
      </c>
      <c r="D2" s="412">
        <v>37.0</v>
      </c>
      <c r="E2" s="412">
        <v>25.0</v>
      </c>
      <c r="F2" s="413">
        <v>0.676</v>
      </c>
      <c r="G2" s="412" t="s">
        <v>17</v>
      </c>
      <c r="H2" s="413">
        <v>0.568</v>
      </c>
      <c r="I2" s="412">
        <v>50.3</v>
      </c>
      <c r="J2" s="412">
        <v>41.96</v>
      </c>
      <c r="K2" s="412">
        <v>153.16</v>
      </c>
      <c r="L2" s="412">
        <v>151.95</v>
      </c>
      <c r="M2" s="253" t="s">
        <v>1489</v>
      </c>
      <c r="N2" s="412">
        <v>50.5</v>
      </c>
      <c r="O2" s="412">
        <v>42.2</v>
      </c>
      <c r="P2" s="412">
        <v>153.89</v>
      </c>
      <c r="Q2" s="412">
        <v>152.71</v>
      </c>
      <c r="R2" s="253" t="s">
        <v>20</v>
      </c>
      <c r="S2" s="293"/>
      <c r="T2" s="294" t="s">
        <v>855</v>
      </c>
    </row>
    <row r="3">
      <c r="A3" s="460">
        <v>234765.0</v>
      </c>
      <c r="B3" s="417" t="s">
        <v>1525</v>
      </c>
      <c r="C3" s="417">
        <v>34.0</v>
      </c>
      <c r="D3" s="417">
        <v>29.0</v>
      </c>
      <c r="E3" s="417">
        <v>18.0</v>
      </c>
      <c r="F3" s="418">
        <v>0.621</v>
      </c>
      <c r="G3" s="417" t="s">
        <v>17</v>
      </c>
      <c r="H3" s="418">
        <v>0.483</v>
      </c>
      <c r="I3" s="417">
        <v>55.1</v>
      </c>
      <c r="J3" s="417">
        <v>38.97</v>
      </c>
      <c r="K3" s="417">
        <v>160.1</v>
      </c>
      <c r="L3" s="417">
        <v>160.43</v>
      </c>
      <c r="M3" s="253" t="s">
        <v>1489</v>
      </c>
      <c r="N3" s="417">
        <v>55.31</v>
      </c>
      <c r="O3" s="417">
        <v>39.2</v>
      </c>
      <c r="P3" s="417">
        <v>160.8</v>
      </c>
      <c r="Q3" s="417">
        <v>161.32</v>
      </c>
      <c r="R3" s="253" t="s">
        <v>20</v>
      </c>
      <c r="S3" s="296"/>
      <c r="T3" s="297" t="s">
        <v>855</v>
      </c>
    </row>
    <row r="4">
      <c r="A4" s="459">
        <v>146613.0</v>
      </c>
      <c r="B4" s="412" t="s">
        <v>1526</v>
      </c>
      <c r="C4" s="412">
        <v>178.0</v>
      </c>
      <c r="D4" s="412">
        <v>170.0</v>
      </c>
      <c r="E4" s="412">
        <v>14.0</v>
      </c>
      <c r="F4" s="413">
        <v>0.082</v>
      </c>
      <c r="G4" s="412" t="s">
        <v>32</v>
      </c>
      <c r="H4" s="413">
        <v>0.018</v>
      </c>
      <c r="I4" s="412">
        <v>50.58</v>
      </c>
      <c r="J4" s="412">
        <v>45.97</v>
      </c>
      <c r="K4" s="412">
        <v>156.75</v>
      </c>
      <c r="L4" s="412">
        <v>157.2</v>
      </c>
      <c r="M4" s="253" t="s">
        <v>1489</v>
      </c>
      <c r="N4" s="412">
        <v>50.37</v>
      </c>
      <c r="O4" s="412">
        <v>45.77</v>
      </c>
      <c r="P4" s="412">
        <v>156.1</v>
      </c>
      <c r="Q4" s="412">
        <v>156.44</v>
      </c>
      <c r="R4" s="253" t="s">
        <v>20</v>
      </c>
      <c r="S4" s="293"/>
      <c r="T4" s="294" t="s">
        <v>855</v>
      </c>
    </row>
    <row r="5">
      <c r="A5" s="460">
        <v>225336.0</v>
      </c>
      <c r="B5" s="417" t="s">
        <v>257</v>
      </c>
      <c r="C5" s="417">
        <v>24.0</v>
      </c>
      <c r="D5" s="417">
        <v>23.0</v>
      </c>
      <c r="E5" s="417">
        <v>11.0</v>
      </c>
      <c r="F5" s="418">
        <v>0.478</v>
      </c>
      <c r="G5" s="417" t="s">
        <v>17</v>
      </c>
      <c r="H5" s="418">
        <v>0.391</v>
      </c>
      <c r="I5" s="417">
        <v>47.69</v>
      </c>
      <c r="J5" s="417">
        <v>41.42</v>
      </c>
      <c r="K5" s="417">
        <v>144.46</v>
      </c>
      <c r="L5" s="417">
        <v>144.86</v>
      </c>
      <c r="M5" s="253" t="s">
        <v>1489</v>
      </c>
      <c r="N5" s="417">
        <v>47.9</v>
      </c>
      <c r="O5" s="417">
        <v>41.62</v>
      </c>
      <c r="P5" s="417">
        <v>145.12</v>
      </c>
      <c r="Q5" s="417">
        <v>145.47</v>
      </c>
      <c r="R5" s="253" t="s">
        <v>20</v>
      </c>
      <c r="S5" s="296"/>
      <c r="T5" s="297" t="s">
        <v>855</v>
      </c>
    </row>
    <row r="6">
      <c r="A6" s="459">
        <v>227609.0</v>
      </c>
      <c r="B6" s="412" t="s">
        <v>1527</v>
      </c>
      <c r="C6" s="412">
        <v>169.0</v>
      </c>
      <c r="D6" s="412">
        <v>166.0</v>
      </c>
      <c r="E6" s="412">
        <v>11.0</v>
      </c>
      <c r="F6" s="413">
        <v>0.066</v>
      </c>
      <c r="G6" s="412" t="s">
        <v>17</v>
      </c>
      <c r="H6" s="461"/>
      <c r="I6" s="412">
        <v>49.87</v>
      </c>
      <c r="J6" s="412">
        <v>38.93</v>
      </c>
      <c r="K6" s="412">
        <v>146.92</v>
      </c>
      <c r="L6" s="412">
        <v>147.16</v>
      </c>
      <c r="M6" s="253" t="s">
        <v>19</v>
      </c>
      <c r="N6" s="412">
        <v>50.16</v>
      </c>
      <c r="O6" s="412">
        <v>39.68</v>
      </c>
      <c r="P6" s="412">
        <v>148.36</v>
      </c>
      <c r="Q6" s="412">
        <v>148.36</v>
      </c>
      <c r="R6" s="253" t="s">
        <v>20</v>
      </c>
      <c r="S6" s="293"/>
      <c r="T6" s="294" t="s">
        <v>855</v>
      </c>
    </row>
    <row r="7">
      <c r="A7" s="460">
        <v>134949.0</v>
      </c>
      <c r="B7" s="417" t="s">
        <v>36</v>
      </c>
      <c r="C7" s="417">
        <v>30.0</v>
      </c>
      <c r="D7" s="417">
        <v>23.0</v>
      </c>
      <c r="E7" s="417">
        <v>9.0</v>
      </c>
      <c r="F7" s="418">
        <v>0.391</v>
      </c>
      <c r="G7" s="419"/>
      <c r="H7" s="462"/>
      <c r="I7" s="419"/>
      <c r="J7" s="419"/>
      <c r="K7" s="419"/>
      <c r="L7" s="419"/>
      <c r="M7" s="253"/>
      <c r="N7" s="419"/>
      <c r="O7" s="419"/>
      <c r="P7" s="419"/>
      <c r="Q7" s="419"/>
      <c r="R7" s="253"/>
      <c r="S7" s="296"/>
      <c r="T7" s="297" t="s">
        <v>943</v>
      </c>
    </row>
    <row r="8">
      <c r="A8" s="459">
        <v>134949.0</v>
      </c>
      <c r="B8" s="412" t="s">
        <v>1313</v>
      </c>
      <c r="C8" s="412">
        <v>50.0</v>
      </c>
      <c r="D8" s="412">
        <v>41.0</v>
      </c>
      <c r="E8" s="412">
        <v>9.0</v>
      </c>
      <c r="F8" s="413">
        <v>0.22</v>
      </c>
      <c r="G8" s="414"/>
      <c r="H8" s="414"/>
      <c r="I8" s="414"/>
      <c r="J8" s="414"/>
      <c r="K8" s="414"/>
      <c r="L8" s="414"/>
      <c r="M8" s="253"/>
      <c r="N8" s="414"/>
      <c r="O8" s="414"/>
      <c r="P8" s="414"/>
      <c r="Q8" s="414"/>
      <c r="R8" s="253"/>
      <c r="S8" s="293"/>
      <c r="T8" s="297" t="s">
        <v>943</v>
      </c>
    </row>
    <row r="9">
      <c r="A9" s="460">
        <v>241933.0</v>
      </c>
      <c r="B9" s="417" t="s">
        <v>1528</v>
      </c>
      <c r="C9" s="417">
        <v>134.0</v>
      </c>
      <c r="D9" s="417">
        <v>128.0</v>
      </c>
      <c r="E9" s="417">
        <v>9.0</v>
      </c>
      <c r="F9" s="418">
        <v>0.07</v>
      </c>
      <c r="G9" s="417" t="s">
        <v>1529</v>
      </c>
      <c r="H9" s="419"/>
      <c r="I9" s="419"/>
      <c r="J9" s="419"/>
      <c r="K9" s="419"/>
      <c r="L9" s="419"/>
      <c r="M9" s="253"/>
      <c r="N9" s="419"/>
      <c r="O9" s="419"/>
      <c r="P9" s="419"/>
      <c r="Q9" s="419"/>
      <c r="R9" s="253"/>
      <c r="S9" s="296"/>
      <c r="T9" s="297" t="s">
        <v>855</v>
      </c>
    </row>
    <row r="10">
      <c r="A10" s="459">
        <v>224841.0</v>
      </c>
      <c r="B10" s="412" t="s">
        <v>1019</v>
      </c>
      <c r="C10" s="412">
        <v>95.0</v>
      </c>
      <c r="D10" s="412">
        <v>88.0</v>
      </c>
      <c r="E10" s="412">
        <v>8.0</v>
      </c>
      <c r="F10" s="413">
        <v>0.091</v>
      </c>
      <c r="G10" s="412" t="s">
        <v>32</v>
      </c>
      <c r="H10" s="412"/>
      <c r="I10" s="412">
        <v>49.9</v>
      </c>
      <c r="J10" s="412">
        <v>46.16</v>
      </c>
      <c r="K10" s="412">
        <v>154.75</v>
      </c>
      <c r="L10" s="412">
        <v>154.89</v>
      </c>
      <c r="M10" s="253" t="s">
        <v>1489</v>
      </c>
      <c r="N10" s="412">
        <v>49.71</v>
      </c>
      <c r="O10" s="412">
        <v>45.95</v>
      </c>
      <c r="P10" s="412">
        <v>154.0</v>
      </c>
      <c r="Q10" s="412">
        <v>153.76</v>
      </c>
      <c r="R10" s="253" t="s">
        <v>20</v>
      </c>
      <c r="S10" s="293"/>
      <c r="T10" s="294" t="s">
        <v>855</v>
      </c>
    </row>
    <row r="11">
      <c r="A11" s="460">
        <v>221172.0</v>
      </c>
      <c r="B11" s="417" t="s">
        <v>1530</v>
      </c>
      <c r="C11" s="417">
        <v>106.0</v>
      </c>
      <c r="D11" s="417">
        <v>104.0</v>
      </c>
      <c r="E11" s="417">
        <v>8.0</v>
      </c>
      <c r="F11" s="418">
        <v>0.077</v>
      </c>
      <c r="G11" s="412" t="s">
        <v>32</v>
      </c>
      <c r="H11" s="419"/>
      <c r="I11" s="417">
        <v>52.7</v>
      </c>
      <c r="J11" s="417">
        <v>37.82</v>
      </c>
      <c r="K11" s="417">
        <v>151.46</v>
      </c>
      <c r="L11" s="417">
        <v>151.59</v>
      </c>
      <c r="M11" s="253" t="s">
        <v>1489</v>
      </c>
      <c r="N11" s="417">
        <v>52.6</v>
      </c>
      <c r="O11" s="417">
        <v>37.76</v>
      </c>
      <c r="P11" s="417">
        <v>151.06</v>
      </c>
      <c r="Q11" s="417">
        <v>150.86</v>
      </c>
      <c r="R11" s="253" t="s">
        <v>20</v>
      </c>
      <c r="S11" s="296"/>
      <c r="T11" s="297" t="s">
        <v>855</v>
      </c>
    </row>
    <row r="12">
      <c r="A12" s="459">
        <v>229137.0</v>
      </c>
      <c r="B12" s="412" t="s">
        <v>538</v>
      </c>
      <c r="C12" s="412">
        <v>148.0</v>
      </c>
      <c r="D12" s="412">
        <v>134.0</v>
      </c>
      <c r="E12" s="412">
        <v>8.0</v>
      </c>
      <c r="F12" s="413">
        <v>0.06</v>
      </c>
      <c r="G12" s="412" t="s">
        <v>1529</v>
      </c>
      <c r="H12" s="414"/>
      <c r="I12" s="414"/>
      <c r="J12" s="414"/>
      <c r="K12" s="414"/>
      <c r="L12" s="414"/>
      <c r="M12" s="253"/>
      <c r="N12" s="414"/>
      <c r="O12" s="414"/>
      <c r="P12" s="414"/>
      <c r="Q12" s="414"/>
      <c r="R12" s="253"/>
      <c r="S12" s="293"/>
      <c r="T12" s="294" t="s">
        <v>855</v>
      </c>
    </row>
    <row r="13">
      <c r="A13" s="460">
        <v>143018.0</v>
      </c>
      <c r="B13" s="417" t="s">
        <v>1354</v>
      </c>
      <c r="C13" s="417">
        <v>43.0</v>
      </c>
      <c r="D13" s="417">
        <v>42.0</v>
      </c>
      <c r="E13" s="417">
        <v>7.0</v>
      </c>
      <c r="F13" s="418">
        <v>0.167</v>
      </c>
      <c r="G13" s="417" t="s">
        <v>323</v>
      </c>
      <c r="H13" s="418">
        <v>0.139</v>
      </c>
      <c r="I13" s="419"/>
      <c r="J13" s="419"/>
      <c r="K13" s="419"/>
      <c r="L13" s="419"/>
      <c r="M13" s="253"/>
      <c r="N13" s="419"/>
      <c r="O13" s="419"/>
      <c r="P13" s="419"/>
      <c r="Q13" s="419"/>
      <c r="R13" s="253"/>
      <c r="S13" s="296"/>
      <c r="T13" s="297" t="s">
        <v>943</v>
      </c>
    </row>
    <row r="14">
      <c r="A14" s="459">
        <v>134826.0</v>
      </c>
      <c r="B14" s="412" t="s">
        <v>1531</v>
      </c>
      <c r="C14" s="412">
        <v>45.0</v>
      </c>
      <c r="D14" s="412">
        <v>43.0</v>
      </c>
      <c r="E14" s="412">
        <v>7.0</v>
      </c>
      <c r="F14" s="413">
        <v>0.163</v>
      </c>
      <c r="G14" s="414"/>
      <c r="H14" s="414"/>
      <c r="I14" s="414"/>
      <c r="J14" s="414"/>
      <c r="K14" s="414"/>
      <c r="L14" s="414"/>
      <c r="M14" s="253"/>
      <c r="N14" s="414"/>
      <c r="O14" s="414"/>
      <c r="P14" s="414"/>
      <c r="Q14" s="414"/>
      <c r="R14" s="253"/>
      <c r="S14" s="293"/>
      <c r="T14" s="294" t="s">
        <v>855</v>
      </c>
    </row>
    <row r="15">
      <c r="A15" s="460">
        <v>142997.0</v>
      </c>
      <c r="B15" s="417" t="s">
        <v>1532</v>
      </c>
      <c r="C15" s="417">
        <v>79.0</v>
      </c>
      <c r="D15" s="417">
        <v>77.0</v>
      </c>
      <c r="E15" s="417">
        <v>7.0</v>
      </c>
      <c r="F15" s="418">
        <v>0.091</v>
      </c>
      <c r="G15" s="417" t="s">
        <v>1533</v>
      </c>
      <c r="H15" s="419"/>
      <c r="I15" s="419"/>
      <c r="J15" s="419"/>
      <c r="K15" s="419"/>
      <c r="L15" s="419"/>
      <c r="M15" s="253"/>
      <c r="N15" s="419"/>
      <c r="O15" s="419"/>
      <c r="P15" s="419"/>
      <c r="Q15" s="419"/>
      <c r="R15" s="253"/>
      <c r="S15" s="296"/>
      <c r="T15" s="297" t="s">
        <v>943</v>
      </c>
    </row>
    <row r="16">
      <c r="A16" s="459">
        <v>219363.0</v>
      </c>
      <c r="B16" s="412" t="s">
        <v>1534</v>
      </c>
      <c r="C16" s="412">
        <v>118.0</v>
      </c>
      <c r="D16" s="412">
        <v>109.0</v>
      </c>
      <c r="E16" s="412">
        <v>7.0</v>
      </c>
      <c r="F16" s="413">
        <v>0.064</v>
      </c>
      <c r="G16" s="412" t="s">
        <v>22</v>
      </c>
      <c r="H16" s="414"/>
      <c r="I16" s="414"/>
      <c r="J16" s="414"/>
      <c r="K16" s="414"/>
      <c r="L16" s="414"/>
      <c r="M16" s="253"/>
      <c r="N16" s="414"/>
      <c r="O16" s="414"/>
      <c r="P16" s="414"/>
      <c r="Q16" s="414"/>
      <c r="R16" s="253"/>
      <c r="S16" s="293"/>
      <c r="T16" s="294" t="s">
        <v>943</v>
      </c>
    </row>
    <row r="17">
      <c r="A17" s="460">
        <v>235326.0</v>
      </c>
      <c r="B17" s="417" t="s">
        <v>1535</v>
      </c>
      <c r="C17" s="417">
        <v>118.0</v>
      </c>
      <c r="D17" s="417">
        <v>114.0</v>
      </c>
      <c r="E17" s="417">
        <v>7.0</v>
      </c>
      <c r="F17" s="418">
        <v>0.061</v>
      </c>
      <c r="G17" s="417" t="s">
        <v>17</v>
      </c>
      <c r="H17" s="419"/>
      <c r="I17" s="417">
        <v>52.76</v>
      </c>
      <c r="J17" s="417">
        <v>42.97</v>
      </c>
      <c r="K17" s="417">
        <v>160.95</v>
      </c>
      <c r="L17" s="417">
        <v>160.87</v>
      </c>
      <c r="M17" s="253" t="s">
        <v>1489</v>
      </c>
      <c r="N17" s="417">
        <v>53.09</v>
      </c>
      <c r="O17" s="417">
        <v>43.21</v>
      </c>
      <c r="P17" s="417">
        <v>161.7</v>
      </c>
      <c r="Q17" s="417">
        <v>161.67</v>
      </c>
      <c r="R17" s="253" t="s">
        <v>20</v>
      </c>
      <c r="S17" s="296"/>
      <c r="T17" s="297" t="s">
        <v>855</v>
      </c>
    </row>
    <row r="18">
      <c r="A18" s="459">
        <v>137971.0</v>
      </c>
      <c r="B18" s="412" t="s">
        <v>1536</v>
      </c>
      <c r="C18" s="412">
        <v>121.0</v>
      </c>
      <c r="D18" s="412">
        <v>118.0</v>
      </c>
      <c r="E18" s="412">
        <v>7.0</v>
      </c>
      <c r="F18" s="413">
        <v>0.059</v>
      </c>
      <c r="G18" s="412" t="s">
        <v>1533</v>
      </c>
      <c r="H18" s="414"/>
      <c r="I18" s="414"/>
      <c r="J18" s="414"/>
      <c r="K18" s="414"/>
      <c r="L18" s="414"/>
      <c r="M18" s="253"/>
      <c r="N18" s="414"/>
      <c r="O18" s="414"/>
      <c r="P18" s="414"/>
      <c r="Q18" s="414"/>
      <c r="R18" s="253"/>
      <c r="S18" s="293"/>
      <c r="T18" s="294" t="s">
        <v>855</v>
      </c>
    </row>
    <row r="19">
      <c r="A19" s="460">
        <v>241119.0</v>
      </c>
      <c r="B19" s="417" t="s">
        <v>1537</v>
      </c>
      <c r="C19" s="417">
        <v>19.0</v>
      </c>
      <c r="D19" s="417">
        <v>17.0</v>
      </c>
      <c r="E19" s="417">
        <v>6.0</v>
      </c>
      <c r="F19" s="418">
        <v>0.353</v>
      </c>
      <c r="G19" s="417" t="s">
        <v>1529</v>
      </c>
      <c r="H19" s="419"/>
      <c r="I19" s="419"/>
      <c r="J19" s="419"/>
      <c r="K19" s="419"/>
      <c r="L19" s="419"/>
      <c r="M19" s="253"/>
      <c r="N19" s="419"/>
      <c r="O19" s="419"/>
      <c r="P19" s="419"/>
      <c r="Q19" s="419"/>
      <c r="R19" s="253"/>
      <c r="S19" s="296"/>
      <c r="T19" s="297" t="s">
        <v>855</v>
      </c>
    </row>
    <row r="20">
      <c r="A20" s="459">
        <v>245975.0</v>
      </c>
      <c r="B20" s="412" t="s">
        <v>743</v>
      </c>
      <c r="C20" s="412">
        <v>28.0</v>
      </c>
      <c r="D20" s="412">
        <v>28.0</v>
      </c>
      <c r="E20" s="412">
        <v>6.0</v>
      </c>
      <c r="F20" s="413">
        <v>0.214</v>
      </c>
      <c r="G20" s="412" t="s">
        <v>32</v>
      </c>
      <c r="H20" s="414"/>
      <c r="I20" s="412">
        <v>53.5</v>
      </c>
      <c r="J20" s="412">
        <v>47.11</v>
      </c>
      <c r="K20" s="412">
        <v>164.81</v>
      </c>
      <c r="L20" s="412">
        <v>165.26</v>
      </c>
      <c r="M20" s="253" t="s">
        <v>1489</v>
      </c>
      <c r="N20" s="412">
        <v>53.3</v>
      </c>
      <c r="O20" s="412">
        <v>46.91</v>
      </c>
      <c r="P20" s="412">
        <v>164.14</v>
      </c>
      <c r="Q20" s="412">
        <v>164.45</v>
      </c>
      <c r="R20" s="253" t="s">
        <v>20</v>
      </c>
      <c r="S20" s="293"/>
      <c r="T20" s="294" t="s">
        <v>855</v>
      </c>
    </row>
    <row r="21">
      <c r="A21" s="460">
        <v>241189.0</v>
      </c>
      <c r="B21" s="417" t="s">
        <v>1488</v>
      </c>
      <c r="C21" s="417">
        <v>37.0</v>
      </c>
      <c r="D21" s="417">
        <v>33.0</v>
      </c>
      <c r="E21" s="417">
        <v>6.0</v>
      </c>
      <c r="F21" s="418">
        <v>0.182</v>
      </c>
      <c r="G21" s="419"/>
      <c r="H21" s="419"/>
      <c r="I21" s="419"/>
      <c r="J21" s="419"/>
      <c r="K21" s="419"/>
      <c r="L21" s="419"/>
      <c r="M21" s="253"/>
      <c r="N21" s="419"/>
      <c r="O21" s="419"/>
      <c r="P21" s="419"/>
      <c r="Q21" s="419"/>
      <c r="R21" s="253"/>
      <c r="S21" s="296"/>
      <c r="T21" s="297" t="s">
        <v>855</v>
      </c>
    </row>
    <row r="22">
      <c r="A22" s="459">
        <v>239839.0</v>
      </c>
      <c r="B22" s="412" t="s">
        <v>91</v>
      </c>
      <c r="C22" s="412">
        <v>47.0</v>
      </c>
      <c r="D22" s="412">
        <v>36.0</v>
      </c>
      <c r="E22" s="412">
        <v>6.0</v>
      </c>
      <c r="F22" s="413">
        <v>0.167</v>
      </c>
      <c r="G22" s="414"/>
      <c r="H22" s="414"/>
      <c r="I22" s="414"/>
      <c r="J22" s="414"/>
      <c r="K22" s="414"/>
      <c r="L22" s="414"/>
      <c r="M22" s="253"/>
      <c r="N22" s="414"/>
      <c r="O22" s="414"/>
      <c r="P22" s="414"/>
      <c r="Q22" s="414"/>
      <c r="R22" s="253"/>
      <c r="S22" s="293"/>
      <c r="T22" s="294" t="s">
        <v>855</v>
      </c>
    </row>
    <row r="23">
      <c r="A23" s="460">
        <v>220126.0</v>
      </c>
      <c r="B23" s="417" t="s">
        <v>1127</v>
      </c>
      <c r="C23" s="417">
        <v>47.0</v>
      </c>
      <c r="D23" s="417">
        <v>42.0</v>
      </c>
      <c r="E23" s="417">
        <v>6.0</v>
      </c>
      <c r="F23" s="418">
        <v>0.143</v>
      </c>
      <c r="G23" s="419"/>
      <c r="H23" s="419"/>
      <c r="I23" s="419"/>
      <c r="J23" s="419"/>
      <c r="K23" s="419"/>
      <c r="L23" s="419"/>
      <c r="M23" s="253"/>
      <c r="N23" s="419"/>
      <c r="O23" s="419"/>
      <c r="P23" s="419"/>
      <c r="Q23" s="419"/>
      <c r="R23" s="253"/>
      <c r="S23" s="296"/>
      <c r="T23" s="297" t="s">
        <v>855</v>
      </c>
    </row>
    <row r="24">
      <c r="A24" s="459">
        <v>224849.0</v>
      </c>
      <c r="B24" s="412" t="s">
        <v>1374</v>
      </c>
      <c r="C24" s="412">
        <v>83.0</v>
      </c>
      <c r="D24" s="412">
        <v>66.0</v>
      </c>
      <c r="E24" s="412">
        <v>6.0</v>
      </c>
      <c r="F24" s="413">
        <v>0.091</v>
      </c>
      <c r="G24" s="414"/>
      <c r="H24" s="414"/>
      <c r="I24" s="414"/>
      <c r="J24" s="414"/>
      <c r="K24" s="414"/>
      <c r="L24" s="414"/>
      <c r="M24" s="253"/>
      <c r="N24" s="414"/>
      <c r="O24" s="414"/>
      <c r="P24" s="414"/>
      <c r="Q24" s="414"/>
      <c r="R24" s="253"/>
      <c r="S24" s="293"/>
      <c r="T24" s="294" t="s">
        <v>855</v>
      </c>
    </row>
    <row r="25">
      <c r="A25" s="460">
        <v>151889.0</v>
      </c>
      <c r="B25" s="417" t="s">
        <v>81</v>
      </c>
      <c r="C25" s="417">
        <v>13.0</v>
      </c>
      <c r="D25" s="417">
        <v>12.0</v>
      </c>
      <c r="E25" s="417">
        <v>5.0</v>
      </c>
      <c r="F25" s="418">
        <v>0.417</v>
      </c>
      <c r="G25" s="419"/>
      <c r="H25" s="419"/>
      <c r="I25" s="419"/>
      <c r="J25" s="419"/>
      <c r="K25" s="419"/>
      <c r="L25" s="419"/>
      <c r="M25" s="253"/>
      <c r="N25" s="419"/>
      <c r="O25" s="419"/>
      <c r="P25" s="419"/>
      <c r="Q25" s="419"/>
      <c r="R25" s="253"/>
      <c r="S25" s="296"/>
      <c r="T25" s="297" t="s">
        <v>855</v>
      </c>
    </row>
    <row r="26">
      <c r="A26" s="459">
        <v>218966.0</v>
      </c>
      <c r="B26" s="412" t="s">
        <v>1159</v>
      </c>
      <c r="C26" s="412">
        <v>14.0</v>
      </c>
      <c r="D26" s="412">
        <v>12.0</v>
      </c>
      <c r="E26" s="412">
        <v>5.0</v>
      </c>
      <c r="F26" s="413">
        <v>0.417</v>
      </c>
      <c r="G26" s="414"/>
      <c r="H26" s="414"/>
      <c r="I26" s="414"/>
      <c r="J26" s="414"/>
      <c r="K26" s="414"/>
      <c r="L26" s="414"/>
      <c r="M26" s="253"/>
      <c r="N26" s="414"/>
      <c r="O26" s="414"/>
      <c r="P26" s="414"/>
      <c r="Q26" s="414"/>
      <c r="R26" s="253"/>
      <c r="S26" s="293"/>
      <c r="T26" s="294" t="s">
        <v>855</v>
      </c>
    </row>
    <row r="27">
      <c r="A27" s="460">
        <v>225336.0</v>
      </c>
      <c r="B27" s="417" t="s">
        <v>138</v>
      </c>
      <c r="C27" s="417">
        <v>16.0</v>
      </c>
      <c r="D27" s="417">
        <v>16.0</v>
      </c>
      <c r="E27" s="417">
        <v>5.0</v>
      </c>
      <c r="F27" s="418">
        <v>0.313</v>
      </c>
      <c r="G27" s="419"/>
      <c r="H27" s="419"/>
      <c r="I27" s="419"/>
      <c r="J27" s="419"/>
      <c r="K27" s="419"/>
      <c r="L27" s="419"/>
      <c r="M27" s="253"/>
      <c r="N27" s="419"/>
      <c r="O27" s="419"/>
      <c r="P27" s="419"/>
      <c r="Q27" s="419"/>
      <c r="R27" s="253"/>
      <c r="S27" s="296"/>
      <c r="T27" s="297" t="s">
        <v>855</v>
      </c>
    </row>
    <row r="28">
      <c r="A28" s="459">
        <v>224849.0</v>
      </c>
      <c r="B28" s="412" t="s">
        <v>1538</v>
      </c>
      <c r="C28" s="412">
        <v>20.0</v>
      </c>
      <c r="D28" s="412">
        <v>18.0</v>
      </c>
      <c r="E28" s="412">
        <v>5.0</v>
      </c>
      <c r="F28" s="413">
        <v>0.278</v>
      </c>
      <c r="G28" s="414"/>
      <c r="H28" s="414"/>
      <c r="I28" s="414"/>
      <c r="J28" s="414"/>
      <c r="K28" s="414"/>
      <c r="L28" s="414"/>
      <c r="M28" s="253"/>
      <c r="N28" s="414"/>
      <c r="O28" s="414"/>
      <c r="P28" s="414"/>
      <c r="Q28" s="414"/>
      <c r="R28" s="253"/>
      <c r="S28" s="293"/>
      <c r="T28" s="294" t="s">
        <v>855</v>
      </c>
    </row>
    <row r="29">
      <c r="A29" s="460">
        <v>146653.0</v>
      </c>
      <c r="B29" s="417" t="s">
        <v>1190</v>
      </c>
      <c r="C29" s="417">
        <v>21.0</v>
      </c>
      <c r="D29" s="417">
        <v>19.0</v>
      </c>
      <c r="E29" s="417">
        <v>5.0</v>
      </c>
      <c r="F29" s="418">
        <v>0.263</v>
      </c>
      <c r="G29" s="419"/>
      <c r="H29" s="419"/>
      <c r="I29" s="419"/>
      <c r="J29" s="419"/>
      <c r="K29" s="419"/>
      <c r="L29" s="419"/>
      <c r="M29" s="253"/>
      <c r="N29" s="419"/>
      <c r="O29" s="419"/>
      <c r="P29" s="419"/>
      <c r="Q29" s="419"/>
      <c r="R29" s="253"/>
      <c r="S29" s="296"/>
      <c r="T29" s="297" t="s">
        <v>855</v>
      </c>
    </row>
    <row r="30">
      <c r="A30" s="459">
        <v>134951.0</v>
      </c>
      <c r="B30" s="412" t="s">
        <v>1306</v>
      </c>
      <c r="C30" s="412">
        <v>29.0</v>
      </c>
      <c r="D30" s="412">
        <v>20.0</v>
      </c>
      <c r="E30" s="412">
        <v>5.0</v>
      </c>
      <c r="F30" s="413">
        <v>0.25</v>
      </c>
      <c r="G30" s="414"/>
      <c r="H30" s="414"/>
      <c r="I30" s="414"/>
      <c r="J30" s="414"/>
      <c r="K30" s="414"/>
      <c r="L30" s="414"/>
      <c r="M30" s="253"/>
      <c r="N30" s="414"/>
      <c r="O30" s="414"/>
      <c r="P30" s="414"/>
      <c r="Q30" s="414"/>
      <c r="R30" s="253"/>
      <c r="S30" s="293"/>
      <c r="T30" s="294" t="s">
        <v>855</v>
      </c>
    </row>
    <row r="31">
      <c r="A31" s="460">
        <v>225336.0</v>
      </c>
      <c r="B31" s="417" t="s">
        <v>182</v>
      </c>
      <c r="C31" s="417">
        <v>27.0</v>
      </c>
      <c r="D31" s="417">
        <v>25.0</v>
      </c>
      <c r="E31" s="417">
        <v>5.0</v>
      </c>
      <c r="F31" s="418">
        <v>0.2</v>
      </c>
      <c r="G31" s="419"/>
      <c r="H31" s="419"/>
      <c r="I31" s="419"/>
      <c r="J31" s="419"/>
      <c r="K31" s="419"/>
      <c r="L31" s="419"/>
      <c r="M31" s="253"/>
      <c r="N31" s="419"/>
      <c r="O31" s="419"/>
      <c r="P31" s="419"/>
      <c r="Q31" s="419"/>
      <c r="R31" s="253"/>
      <c r="S31" s="296"/>
      <c r="T31" s="297" t="s">
        <v>855</v>
      </c>
    </row>
    <row r="32">
      <c r="A32" s="459">
        <v>241117.0</v>
      </c>
      <c r="B32" s="412" t="s">
        <v>1516</v>
      </c>
      <c r="C32" s="412">
        <v>59.0</v>
      </c>
      <c r="D32" s="412">
        <v>56.0</v>
      </c>
      <c r="E32" s="412">
        <v>5.0</v>
      </c>
      <c r="F32" s="413">
        <v>0.089</v>
      </c>
      <c r="G32" s="414"/>
      <c r="H32" s="414"/>
      <c r="I32" s="414"/>
      <c r="J32" s="414"/>
      <c r="K32" s="414"/>
      <c r="L32" s="414"/>
      <c r="M32" s="253"/>
      <c r="N32" s="414"/>
      <c r="O32" s="414"/>
      <c r="P32" s="414"/>
      <c r="Q32" s="414"/>
      <c r="R32" s="253"/>
      <c r="S32" s="293"/>
      <c r="T32" s="294" t="s">
        <v>855</v>
      </c>
    </row>
    <row r="33">
      <c r="A33" s="460">
        <v>221174.0</v>
      </c>
      <c r="B33" s="417" t="s">
        <v>1539</v>
      </c>
      <c r="C33" s="417">
        <v>70.0</v>
      </c>
      <c r="D33" s="417">
        <v>68.0</v>
      </c>
      <c r="E33" s="417">
        <v>5.0</v>
      </c>
      <c r="F33" s="418">
        <v>0.074</v>
      </c>
      <c r="G33" s="419"/>
      <c r="H33" s="419"/>
      <c r="I33" s="419"/>
      <c r="J33" s="419"/>
      <c r="K33" s="419"/>
      <c r="L33" s="419"/>
      <c r="M33" s="253"/>
      <c r="N33" s="419"/>
      <c r="O33" s="419"/>
      <c r="P33" s="419"/>
      <c r="Q33" s="419"/>
      <c r="R33" s="253"/>
      <c r="S33" s="296"/>
      <c r="T33" s="297" t="s">
        <v>855</v>
      </c>
    </row>
    <row r="34">
      <c r="A34" s="459">
        <v>220595.0</v>
      </c>
      <c r="B34" s="412" t="s">
        <v>1540</v>
      </c>
      <c r="C34" s="412">
        <v>86.0</v>
      </c>
      <c r="D34" s="412">
        <v>80.0</v>
      </c>
      <c r="E34" s="412">
        <v>5.0</v>
      </c>
      <c r="F34" s="413">
        <v>0.063</v>
      </c>
      <c r="G34" s="414"/>
      <c r="H34" s="414"/>
      <c r="I34" s="414"/>
      <c r="J34" s="414"/>
      <c r="K34" s="414"/>
      <c r="L34" s="414"/>
      <c r="M34" s="253"/>
      <c r="N34" s="414"/>
      <c r="O34" s="414"/>
      <c r="P34" s="414"/>
      <c r="Q34" s="414"/>
      <c r="R34" s="253"/>
      <c r="S34" s="293"/>
      <c r="T34" s="294" t="s">
        <v>943</v>
      </c>
    </row>
    <row r="35">
      <c r="A35" s="460">
        <v>137971.0</v>
      </c>
      <c r="B35" s="417" t="s">
        <v>1175</v>
      </c>
      <c r="C35" s="417">
        <v>83.0</v>
      </c>
      <c r="D35" s="417">
        <v>81.0</v>
      </c>
      <c r="E35" s="417">
        <v>5.0</v>
      </c>
      <c r="F35" s="418">
        <v>0.062</v>
      </c>
      <c r="G35" s="419"/>
      <c r="H35" s="419"/>
      <c r="I35" s="419"/>
      <c r="J35" s="419"/>
      <c r="K35" s="419"/>
      <c r="L35" s="419"/>
      <c r="M35" s="253"/>
      <c r="N35" s="296"/>
      <c r="O35" s="296"/>
      <c r="P35" s="296"/>
      <c r="Q35" s="296"/>
      <c r="R35" s="253"/>
      <c r="S35" s="296"/>
      <c r="T35" s="297" t="s">
        <v>855</v>
      </c>
    </row>
    <row r="36">
      <c r="A36" s="174"/>
      <c r="B36" s="174"/>
    </row>
  </sheetData>
  <dataValidations>
    <dataValidation type="list" allowBlank="1" showErrorMessage="1" sqref="M2:M35">
      <formula1>"MANUALLY,TRACING"</formula1>
    </dataValidation>
    <dataValidation type="list" allowBlank="1" showErrorMessage="1" sqref="R2:R35">
      <formula1>"AMIRUN,DHAVAL,DIPANSHU"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75"/>
  </cols>
  <sheetData>
    <row r="1">
      <c r="A1" s="463" t="s">
        <v>1414</v>
      </c>
      <c r="B1" s="457" t="s">
        <v>1415</v>
      </c>
      <c r="C1" s="457" t="s">
        <v>848</v>
      </c>
      <c r="D1" s="457" t="s">
        <v>849</v>
      </c>
      <c r="E1" s="457" t="s">
        <v>850</v>
      </c>
      <c r="F1" s="457" t="s">
        <v>851</v>
      </c>
      <c r="G1" s="457" t="s">
        <v>852</v>
      </c>
      <c r="H1" s="457" t="s">
        <v>3</v>
      </c>
      <c r="I1" s="457" t="s">
        <v>4</v>
      </c>
      <c r="J1" s="455" t="s">
        <v>6</v>
      </c>
      <c r="K1" s="456" t="s">
        <v>7</v>
      </c>
      <c r="L1" s="456" t="s">
        <v>8</v>
      </c>
      <c r="M1" s="456" t="s">
        <v>9</v>
      </c>
      <c r="N1" s="456" t="s">
        <v>10</v>
      </c>
      <c r="O1" s="456" t="s">
        <v>11</v>
      </c>
      <c r="P1" s="455" t="s">
        <v>12</v>
      </c>
      <c r="Q1" s="456" t="s">
        <v>13</v>
      </c>
      <c r="R1" s="456" t="s">
        <v>14</v>
      </c>
      <c r="S1" s="457" t="s">
        <v>16</v>
      </c>
      <c r="T1" s="455" t="s">
        <v>15</v>
      </c>
      <c r="U1" s="464" t="s">
        <v>853</v>
      </c>
      <c r="V1" s="465"/>
      <c r="W1" s="465"/>
      <c r="X1" s="465"/>
    </row>
    <row r="2">
      <c r="A2" s="411">
        <v>228997.0</v>
      </c>
      <c r="B2" s="253" t="s">
        <v>1541</v>
      </c>
      <c r="C2" s="253" t="s">
        <v>48</v>
      </c>
      <c r="D2" s="254">
        <v>368.0</v>
      </c>
      <c r="E2" s="254">
        <v>349.0</v>
      </c>
      <c r="F2" s="254">
        <v>22.0</v>
      </c>
      <c r="G2" s="255">
        <v>0.063</v>
      </c>
      <c r="H2" s="253" t="s">
        <v>32</v>
      </c>
      <c r="I2" s="253">
        <v>2.9</v>
      </c>
      <c r="J2" s="412">
        <v>52.73</v>
      </c>
      <c r="K2" s="412">
        <v>36.42</v>
      </c>
      <c r="L2" s="412">
        <v>151.74</v>
      </c>
      <c r="M2" s="412">
        <v>151.74</v>
      </c>
      <c r="N2" s="414"/>
      <c r="O2" s="412">
        <v>52.5</v>
      </c>
      <c r="P2" s="412">
        <v>36.22</v>
      </c>
      <c r="Q2" s="412">
        <v>151.04</v>
      </c>
      <c r="R2" s="412">
        <v>150.83</v>
      </c>
      <c r="S2" s="293"/>
      <c r="T2" s="253" t="s">
        <v>746</v>
      </c>
      <c r="U2" s="415" t="s">
        <v>855</v>
      </c>
      <c r="V2" s="318"/>
      <c r="W2" s="318"/>
      <c r="X2" s="318"/>
    </row>
    <row r="3">
      <c r="A3" s="416">
        <v>143018.0</v>
      </c>
      <c r="B3" s="256" t="s">
        <v>1355</v>
      </c>
      <c r="C3" s="256" t="s">
        <v>1354</v>
      </c>
      <c r="D3" s="257">
        <v>103.0</v>
      </c>
      <c r="E3" s="257">
        <v>94.0</v>
      </c>
      <c r="F3" s="257">
        <v>16.0</v>
      </c>
      <c r="G3" s="258">
        <v>0.17</v>
      </c>
      <c r="H3" s="256" t="s">
        <v>323</v>
      </c>
      <c r="I3" s="296"/>
      <c r="J3" s="417" t="s">
        <v>1542</v>
      </c>
      <c r="K3" s="419"/>
      <c r="L3" s="417"/>
      <c r="M3" s="419"/>
      <c r="N3" s="419"/>
      <c r="O3" s="419"/>
      <c r="P3" s="419"/>
      <c r="Q3" s="419"/>
      <c r="R3" s="419"/>
      <c r="S3" s="296"/>
      <c r="T3" s="253"/>
      <c r="U3" s="420" t="s">
        <v>943</v>
      </c>
      <c r="V3" s="318"/>
      <c r="W3" s="318"/>
      <c r="X3" s="318"/>
    </row>
    <row r="4">
      <c r="A4" s="411">
        <v>234796.0</v>
      </c>
      <c r="B4" s="253" t="s">
        <v>1543</v>
      </c>
      <c r="C4" s="253" t="s">
        <v>47</v>
      </c>
      <c r="D4" s="254">
        <v>31.0</v>
      </c>
      <c r="E4" s="254">
        <v>30.0</v>
      </c>
      <c r="F4" s="254">
        <v>16.0</v>
      </c>
      <c r="G4" s="255">
        <v>0.533</v>
      </c>
      <c r="H4" s="253" t="s">
        <v>17</v>
      </c>
      <c r="I4" s="293"/>
      <c r="J4" s="253">
        <v>49.81</v>
      </c>
      <c r="K4" s="412">
        <v>47.29</v>
      </c>
      <c r="L4" s="412">
        <v>158.13</v>
      </c>
      <c r="M4" s="412">
        <v>158.24</v>
      </c>
      <c r="N4" s="414"/>
      <c r="O4" s="412">
        <v>50.2</v>
      </c>
      <c r="P4" s="412">
        <v>47.4</v>
      </c>
      <c r="Q4" s="412">
        <v>158.99</v>
      </c>
      <c r="R4" s="412">
        <v>158.98</v>
      </c>
      <c r="S4" s="293"/>
      <c r="T4" s="253" t="s">
        <v>746</v>
      </c>
      <c r="U4" s="415" t="s">
        <v>855</v>
      </c>
      <c r="V4" s="318"/>
      <c r="W4" s="318"/>
      <c r="X4" s="318"/>
    </row>
    <row r="5">
      <c r="A5" s="411">
        <v>219825.0</v>
      </c>
      <c r="B5" s="253" t="s">
        <v>1544</v>
      </c>
      <c r="C5" s="253" t="s">
        <v>559</v>
      </c>
      <c r="D5" s="254">
        <v>190.0</v>
      </c>
      <c r="E5" s="254">
        <v>177.0</v>
      </c>
      <c r="F5" s="254">
        <v>14.0</v>
      </c>
      <c r="G5" s="255">
        <v>0.079</v>
      </c>
      <c r="H5" s="253" t="s">
        <v>32</v>
      </c>
      <c r="I5" s="293"/>
      <c r="J5" s="417">
        <v>55.36</v>
      </c>
      <c r="K5" s="417">
        <v>37.61</v>
      </c>
      <c r="L5" s="417">
        <v>157.26</v>
      </c>
      <c r="M5" s="417">
        <v>157.07</v>
      </c>
      <c r="N5" s="414"/>
      <c r="O5" s="412">
        <v>55.16</v>
      </c>
      <c r="P5" s="412">
        <v>37.4</v>
      </c>
      <c r="Q5" s="412">
        <v>156.35</v>
      </c>
      <c r="R5" s="412">
        <v>156.01</v>
      </c>
      <c r="S5" s="293"/>
      <c r="T5" s="253" t="s">
        <v>746</v>
      </c>
      <c r="U5" s="415" t="s">
        <v>855</v>
      </c>
      <c r="V5" s="318"/>
      <c r="W5" s="318"/>
      <c r="X5" s="318"/>
    </row>
    <row r="6">
      <c r="A6" s="416">
        <v>221282.0</v>
      </c>
      <c r="B6" s="256" t="s">
        <v>1545</v>
      </c>
      <c r="C6" s="256" t="s">
        <v>1546</v>
      </c>
      <c r="D6" s="257">
        <v>114.0</v>
      </c>
      <c r="E6" s="257">
        <v>109.0</v>
      </c>
      <c r="F6" s="257">
        <v>13.0</v>
      </c>
      <c r="G6" s="258">
        <v>0.119</v>
      </c>
      <c r="H6" s="253" t="s">
        <v>32</v>
      </c>
      <c r="I6" s="296"/>
      <c r="J6" s="417">
        <v>54.57</v>
      </c>
      <c r="K6" s="417">
        <v>41.98</v>
      </c>
      <c r="L6" s="417">
        <v>162.17</v>
      </c>
      <c r="M6" s="417">
        <v>162.27</v>
      </c>
      <c r="N6" s="419"/>
      <c r="O6" s="417">
        <v>54.37</v>
      </c>
      <c r="P6" s="417">
        <v>41.7</v>
      </c>
      <c r="Q6" s="417">
        <v>161.16</v>
      </c>
      <c r="R6" s="417">
        <v>161.07</v>
      </c>
      <c r="S6" s="296"/>
      <c r="T6" s="253" t="s">
        <v>746</v>
      </c>
      <c r="U6" s="420" t="s">
        <v>855</v>
      </c>
      <c r="V6" s="318"/>
      <c r="W6" s="318"/>
      <c r="X6" s="318"/>
    </row>
    <row r="7">
      <c r="A7" s="411">
        <v>241079.0</v>
      </c>
      <c r="B7" s="253" t="s">
        <v>1547</v>
      </c>
      <c r="C7" s="253" t="s">
        <v>1548</v>
      </c>
      <c r="D7" s="254">
        <v>16.0</v>
      </c>
      <c r="E7" s="254">
        <v>16.0</v>
      </c>
      <c r="F7" s="254">
        <v>13.0</v>
      </c>
      <c r="G7" s="255">
        <v>0.813</v>
      </c>
      <c r="H7" s="253" t="s">
        <v>32</v>
      </c>
      <c r="I7" s="293"/>
      <c r="J7" s="412">
        <v>55.15</v>
      </c>
      <c r="K7" s="412">
        <v>34.79</v>
      </c>
      <c r="L7" s="412">
        <v>149.57</v>
      </c>
      <c r="M7" s="412">
        <v>149.55</v>
      </c>
      <c r="N7" s="414"/>
      <c r="O7" s="412">
        <v>54.98</v>
      </c>
      <c r="P7" s="412">
        <v>34.59</v>
      </c>
      <c r="Q7" s="412">
        <v>148.84</v>
      </c>
      <c r="R7" s="412">
        <v>148.9</v>
      </c>
      <c r="S7" s="293"/>
      <c r="T7" s="253" t="s">
        <v>746</v>
      </c>
      <c r="U7" s="415" t="s">
        <v>855</v>
      </c>
      <c r="V7" s="318"/>
      <c r="W7" s="318"/>
      <c r="X7" s="318"/>
    </row>
    <row r="8">
      <c r="A8" s="416">
        <v>146653.0</v>
      </c>
      <c r="B8" s="256" t="s">
        <v>1549</v>
      </c>
      <c r="C8" s="256" t="s">
        <v>296</v>
      </c>
      <c r="D8" s="257">
        <v>176.0</v>
      </c>
      <c r="E8" s="257">
        <v>166.0</v>
      </c>
      <c r="F8" s="257">
        <v>12.0</v>
      </c>
      <c r="G8" s="258">
        <v>0.072</v>
      </c>
      <c r="H8" s="256" t="s">
        <v>1529</v>
      </c>
      <c r="I8" s="296"/>
      <c r="J8" s="419"/>
      <c r="K8" s="419"/>
      <c r="L8" s="419"/>
      <c r="M8" s="419"/>
      <c r="N8" s="419"/>
      <c r="O8" s="419"/>
      <c r="P8" s="419"/>
      <c r="Q8" s="419"/>
      <c r="R8" s="419"/>
      <c r="S8" s="296"/>
      <c r="T8" s="253"/>
      <c r="U8" s="420" t="s">
        <v>855</v>
      </c>
      <c r="V8" s="318"/>
      <c r="W8" s="318"/>
      <c r="X8" s="318"/>
    </row>
    <row r="9">
      <c r="A9" s="411">
        <v>149022.0</v>
      </c>
      <c r="B9" s="253" t="s">
        <v>1550</v>
      </c>
      <c r="C9" s="253" t="s">
        <v>1194</v>
      </c>
      <c r="D9" s="254">
        <v>218.0</v>
      </c>
      <c r="E9" s="254">
        <v>206.0</v>
      </c>
      <c r="F9" s="254">
        <v>12.0</v>
      </c>
      <c r="G9" s="255">
        <v>0.058</v>
      </c>
      <c r="H9" s="253" t="s">
        <v>17</v>
      </c>
      <c r="I9" s="293"/>
      <c r="J9" s="412">
        <v>51.74</v>
      </c>
      <c r="K9" s="412">
        <v>41.65</v>
      </c>
      <c r="L9" s="412">
        <v>153.91</v>
      </c>
      <c r="M9" s="412">
        <v>153.91</v>
      </c>
      <c r="N9" s="414"/>
      <c r="O9" s="412">
        <v>51.95</v>
      </c>
      <c r="P9" s="412">
        <v>41.9</v>
      </c>
      <c r="Q9" s="412">
        <v>154.67</v>
      </c>
      <c r="R9" s="412">
        <v>154.75</v>
      </c>
      <c r="S9" s="293"/>
      <c r="T9" s="253" t="s">
        <v>746</v>
      </c>
      <c r="U9" s="415" t="s">
        <v>855</v>
      </c>
      <c r="V9" s="318"/>
      <c r="W9" s="318"/>
      <c r="X9" s="318"/>
    </row>
    <row r="10">
      <c r="A10" s="416">
        <v>207671.0</v>
      </c>
      <c r="B10" s="256" t="s">
        <v>1551</v>
      </c>
      <c r="C10" s="256" t="s">
        <v>1178</v>
      </c>
      <c r="D10" s="257">
        <v>147.0</v>
      </c>
      <c r="E10" s="257">
        <v>139.0</v>
      </c>
      <c r="F10" s="257">
        <v>12.0</v>
      </c>
      <c r="G10" s="258">
        <v>0.086</v>
      </c>
      <c r="H10" s="256" t="s">
        <v>17</v>
      </c>
      <c r="I10" s="296"/>
      <c r="J10" s="417">
        <v>51.38</v>
      </c>
      <c r="K10" s="417">
        <v>43.84</v>
      </c>
      <c r="L10" s="417">
        <v>155.77</v>
      </c>
      <c r="M10" s="417">
        <v>155.6</v>
      </c>
      <c r="N10" s="419"/>
      <c r="O10" s="417">
        <v>51.61</v>
      </c>
      <c r="P10" s="417">
        <v>44.1</v>
      </c>
      <c r="Q10" s="417">
        <v>156.49</v>
      </c>
      <c r="R10" s="417">
        <v>156.73</v>
      </c>
      <c r="S10" s="296"/>
      <c r="T10" s="253" t="s">
        <v>746</v>
      </c>
      <c r="U10" s="420" t="s">
        <v>855</v>
      </c>
      <c r="V10" s="318"/>
      <c r="W10" s="318"/>
      <c r="X10" s="318"/>
    </row>
    <row r="11">
      <c r="A11" s="411">
        <v>227571.0</v>
      </c>
      <c r="B11" s="253" t="s">
        <v>1333</v>
      </c>
      <c r="C11" s="253" t="s">
        <v>82</v>
      </c>
      <c r="D11" s="254">
        <v>52.0</v>
      </c>
      <c r="E11" s="254">
        <v>46.0</v>
      </c>
      <c r="F11" s="254">
        <v>12.0</v>
      </c>
      <c r="G11" s="255">
        <v>0.261</v>
      </c>
      <c r="H11" s="253" t="s">
        <v>17</v>
      </c>
      <c r="I11" s="466">
        <v>0.224</v>
      </c>
      <c r="J11" s="414"/>
      <c r="K11" s="414"/>
      <c r="L11" s="414"/>
      <c r="M11" s="414"/>
      <c r="N11" s="414"/>
      <c r="O11" s="414"/>
      <c r="P11" s="414"/>
      <c r="Q11" s="414"/>
      <c r="R11" s="414"/>
      <c r="S11" s="293"/>
      <c r="T11" s="253"/>
      <c r="U11" s="415" t="s">
        <v>855</v>
      </c>
      <c r="V11" s="318"/>
      <c r="W11" s="318"/>
      <c r="X11" s="318"/>
    </row>
    <row r="12">
      <c r="A12" s="416">
        <v>210433.0</v>
      </c>
      <c r="B12" s="256" t="s">
        <v>1552</v>
      </c>
      <c r="C12" s="256" t="s">
        <v>417</v>
      </c>
      <c r="D12" s="257">
        <v>150.0</v>
      </c>
      <c r="E12" s="257">
        <v>140.0</v>
      </c>
      <c r="F12" s="257">
        <v>10.0</v>
      </c>
      <c r="G12" s="258">
        <v>0.071</v>
      </c>
      <c r="H12" s="256" t="s">
        <v>1529</v>
      </c>
      <c r="I12" s="296"/>
      <c r="J12" s="419"/>
      <c r="K12" s="419"/>
      <c r="L12" s="419"/>
      <c r="M12" s="419"/>
      <c r="N12" s="419"/>
      <c r="O12" s="419"/>
      <c r="P12" s="419"/>
      <c r="Q12" s="419"/>
      <c r="R12" s="419"/>
      <c r="S12" s="296"/>
      <c r="T12" s="253"/>
      <c r="U12" s="420" t="s">
        <v>855</v>
      </c>
      <c r="V12" s="318"/>
      <c r="W12" s="318"/>
      <c r="X12" s="318"/>
    </row>
    <row r="13">
      <c r="A13" s="411">
        <v>228743.0</v>
      </c>
      <c r="B13" s="253" t="s">
        <v>1553</v>
      </c>
      <c r="C13" s="253" t="s">
        <v>1124</v>
      </c>
      <c r="D13" s="254">
        <v>90.0</v>
      </c>
      <c r="E13" s="254">
        <v>79.0</v>
      </c>
      <c r="F13" s="254">
        <v>10.0</v>
      </c>
      <c r="G13" s="255">
        <v>0.127</v>
      </c>
      <c r="H13" s="253" t="s">
        <v>32</v>
      </c>
      <c r="I13" s="293"/>
      <c r="J13" s="412">
        <v>52.47</v>
      </c>
      <c r="K13" s="412">
        <v>44.06</v>
      </c>
      <c r="L13" s="412">
        <v>162.05</v>
      </c>
      <c r="M13" s="412">
        <v>162.66</v>
      </c>
      <c r="N13" s="414"/>
      <c r="O13" s="412">
        <v>52.28</v>
      </c>
      <c r="P13" s="412">
        <v>43.9</v>
      </c>
      <c r="Q13" s="412">
        <v>161.36</v>
      </c>
      <c r="R13" s="412">
        <v>161.08</v>
      </c>
      <c r="S13" s="293"/>
      <c r="T13" s="253" t="s">
        <v>746</v>
      </c>
      <c r="U13" s="415" t="s">
        <v>855</v>
      </c>
      <c r="V13" s="318"/>
      <c r="W13" s="318"/>
      <c r="X13" s="318"/>
    </row>
    <row r="14">
      <c r="A14" s="416">
        <v>143447.0</v>
      </c>
      <c r="B14" s="256" t="s">
        <v>1554</v>
      </c>
      <c r="C14" s="256" t="s">
        <v>1555</v>
      </c>
      <c r="D14" s="257">
        <v>124.0</v>
      </c>
      <c r="E14" s="257">
        <v>120.0</v>
      </c>
      <c r="F14" s="257">
        <v>9.0</v>
      </c>
      <c r="G14" s="258">
        <v>0.075</v>
      </c>
      <c r="H14" s="256" t="s">
        <v>32</v>
      </c>
      <c r="I14" s="296"/>
      <c r="J14" s="417">
        <v>53.4</v>
      </c>
      <c r="K14" s="417">
        <v>38.43</v>
      </c>
      <c r="L14" s="417">
        <v>154.1</v>
      </c>
      <c r="M14" s="417">
        <v>153.97</v>
      </c>
      <c r="N14" s="419"/>
      <c r="O14" s="417">
        <v>53.2</v>
      </c>
      <c r="P14" s="417">
        <v>38.15</v>
      </c>
      <c r="Q14" s="417">
        <v>153.27</v>
      </c>
      <c r="R14" s="417">
        <v>153.25</v>
      </c>
      <c r="S14" s="296"/>
      <c r="T14" s="253" t="s">
        <v>746</v>
      </c>
      <c r="U14" s="420" t="s">
        <v>855</v>
      </c>
      <c r="V14" s="318"/>
      <c r="W14" s="318"/>
      <c r="X14" s="318"/>
    </row>
    <row r="15">
      <c r="A15" s="411">
        <v>207671.0</v>
      </c>
      <c r="B15" s="253" t="s">
        <v>1556</v>
      </c>
      <c r="C15" s="253" t="s">
        <v>1557</v>
      </c>
      <c r="D15" s="254">
        <v>24.0</v>
      </c>
      <c r="E15" s="254">
        <v>24.0</v>
      </c>
      <c r="F15" s="254">
        <v>8.0</v>
      </c>
      <c r="G15" s="255">
        <v>0.333</v>
      </c>
      <c r="H15" s="253" t="s">
        <v>17</v>
      </c>
      <c r="I15" s="253">
        <v>29.2</v>
      </c>
      <c r="J15" s="412">
        <v>51.2</v>
      </c>
      <c r="K15" s="412">
        <v>43.6</v>
      </c>
      <c r="L15" s="412">
        <v>155.66</v>
      </c>
      <c r="M15" s="412">
        <v>155.65</v>
      </c>
      <c r="N15" s="414"/>
      <c r="O15" s="412">
        <v>51.41</v>
      </c>
      <c r="P15" s="412">
        <v>43.9</v>
      </c>
      <c r="Q15" s="412">
        <v>156.47</v>
      </c>
      <c r="R15" s="412">
        <v>156.47</v>
      </c>
      <c r="S15" s="293"/>
      <c r="T15" s="253" t="s">
        <v>746</v>
      </c>
      <c r="U15" s="415" t="s">
        <v>855</v>
      </c>
      <c r="V15" s="318"/>
      <c r="W15" s="318"/>
      <c r="X15" s="318"/>
    </row>
    <row r="16">
      <c r="A16" s="416">
        <v>220126.0</v>
      </c>
      <c r="B16" s="256" t="s">
        <v>1558</v>
      </c>
      <c r="C16" s="256" t="s">
        <v>21</v>
      </c>
      <c r="D16" s="257">
        <v>177.0</v>
      </c>
      <c r="E16" s="257">
        <v>145.0</v>
      </c>
      <c r="F16" s="257">
        <v>8.0</v>
      </c>
      <c r="G16" s="258">
        <v>0.055</v>
      </c>
      <c r="H16" s="256" t="s">
        <v>32</v>
      </c>
      <c r="I16" s="467">
        <v>0.032</v>
      </c>
      <c r="J16" s="417">
        <v>53.34</v>
      </c>
      <c r="K16" s="417">
        <v>32.2</v>
      </c>
      <c r="L16" s="417">
        <v>147.97</v>
      </c>
      <c r="M16" s="417">
        <v>147.21</v>
      </c>
      <c r="N16" s="419"/>
      <c r="O16" s="417">
        <v>53.2</v>
      </c>
      <c r="P16" s="417">
        <v>31.95</v>
      </c>
      <c r="Q16" s="417">
        <v>147.28</v>
      </c>
      <c r="R16" s="417">
        <v>146.99</v>
      </c>
      <c r="S16" s="296"/>
      <c r="T16" s="253" t="s">
        <v>746</v>
      </c>
      <c r="U16" s="420" t="s">
        <v>855</v>
      </c>
      <c r="V16" s="318"/>
      <c r="W16" s="318"/>
      <c r="X16" s="318"/>
    </row>
    <row r="17">
      <c r="A17" s="411">
        <v>218966.0</v>
      </c>
      <c r="B17" s="253" t="s">
        <v>1559</v>
      </c>
      <c r="C17" s="253" t="s">
        <v>1159</v>
      </c>
      <c r="D17" s="254">
        <v>21.0</v>
      </c>
      <c r="E17" s="254">
        <v>20.0</v>
      </c>
      <c r="F17" s="254">
        <v>7.0</v>
      </c>
      <c r="G17" s="255">
        <v>0.35</v>
      </c>
      <c r="H17" s="253" t="s">
        <v>32</v>
      </c>
      <c r="I17" s="253">
        <v>13.0</v>
      </c>
      <c r="J17" s="412">
        <v>51.98</v>
      </c>
      <c r="K17" s="412">
        <v>38.99</v>
      </c>
      <c r="L17" s="412">
        <v>145.43</v>
      </c>
      <c r="M17" s="412">
        <v>146.17</v>
      </c>
      <c r="N17" s="414"/>
      <c r="O17" s="412">
        <v>51.7</v>
      </c>
      <c r="P17" s="412">
        <v>38.71</v>
      </c>
      <c r="Q17" s="412">
        <v>144.33</v>
      </c>
      <c r="R17" s="412">
        <v>145.15</v>
      </c>
      <c r="S17" s="293"/>
      <c r="T17" s="253" t="s">
        <v>746</v>
      </c>
      <c r="U17" s="415" t="s">
        <v>855</v>
      </c>
      <c r="V17" s="318"/>
      <c r="W17" s="318"/>
      <c r="X17" s="318"/>
    </row>
    <row r="18">
      <c r="A18" s="416">
        <v>234796.0</v>
      </c>
      <c r="B18" s="256" t="s">
        <v>1560</v>
      </c>
      <c r="C18" s="256" t="s">
        <v>53</v>
      </c>
      <c r="D18" s="257">
        <v>31.0</v>
      </c>
      <c r="E18" s="257">
        <v>11.0</v>
      </c>
      <c r="F18" s="257">
        <v>7.0</v>
      </c>
      <c r="G18" s="258">
        <v>0.636</v>
      </c>
      <c r="H18" s="256" t="s">
        <v>17</v>
      </c>
      <c r="I18" s="256">
        <v>63.6</v>
      </c>
      <c r="J18" s="417">
        <v>50.46</v>
      </c>
      <c r="K18" s="417">
        <v>46.51</v>
      </c>
      <c r="L18" s="417">
        <v>157.78</v>
      </c>
      <c r="M18" s="417">
        <v>157.82</v>
      </c>
      <c r="N18" s="419"/>
      <c r="O18" s="417">
        <v>50.71</v>
      </c>
      <c r="P18" s="417">
        <v>46.8</v>
      </c>
      <c r="Q18" s="417">
        <v>158.54</v>
      </c>
      <c r="R18" s="417">
        <v>158.31</v>
      </c>
      <c r="S18" s="296"/>
      <c r="T18" s="253" t="s">
        <v>746</v>
      </c>
      <c r="U18" s="420" t="s">
        <v>855</v>
      </c>
      <c r="V18" s="318"/>
      <c r="W18" s="318"/>
      <c r="X18" s="318"/>
    </row>
    <row r="19">
      <c r="A19" s="411">
        <v>236141.0</v>
      </c>
      <c r="B19" s="253" t="s">
        <v>1406</v>
      </c>
      <c r="C19" s="253" t="s">
        <v>325</v>
      </c>
      <c r="D19" s="254">
        <v>125.0</v>
      </c>
      <c r="E19" s="254">
        <v>120.0</v>
      </c>
      <c r="F19" s="254">
        <v>7.0</v>
      </c>
      <c r="G19" s="255">
        <v>0.058</v>
      </c>
      <c r="H19" s="253" t="s">
        <v>32</v>
      </c>
      <c r="I19" s="253">
        <v>2.9</v>
      </c>
      <c r="J19" s="443">
        <v>53.5</v>
      </c>
      <c r="K19" s="443">
        <v>41.52</v>
      </c>
      <c r="L19" s="443">
        <v>157.98</v>
      </c>
      <c r="M19" s="443">
        <v>158.1</v>
      </c>
      <c r="N19" s="414"/>
      <c r="O19" s="443">
        <v>53.7</v>
      </c>
      <c r="P19" s="443">
        <v>41.71</v>
      </c>
      <c r="Q19" s="443">
        <v>158.12</v>
      </c>
      <c r="R19" s="443">
        <v>158.14</v>
      </c>
      <c r="S19" s="293"/>
      <c r="T19" s="253" t="s">
        <v>746</v>
      </c>
      <c r="U19" s="415" t="s">
        <v>855</v>
      </c>
      <c r="V19" s="318"/>
      <c r="W19" s="318"/>
      <c r="X19" s="318"/>
    </row>
    <row r="20">
      <c r="A20" s="416">
        <v>236913.0</v>
      </c>
      <c r="B20" s="256" t="s">
        <v>1561</v>
      </c>
      <c r="C20" s="256" t="s">
        <v>60</v>
      </c>
      <c r="D20" s="257">
        <v>19.0</v>
      </c>
      <c r="E20" s="257">
        <v>16.0</v>
      </c>
      <c r="F20" s="257">
        <v>7.0</v>
      </c>
      <c r="G20" s="258">
        <v>0.438</v>
      </c>
      <c r="H20" s="256" t="s">
        <v>17</v>
      </c>
      <c r="I20" s="256">
        <v>47.4</v>
      </c>
      <c r="J20" s="417">
        <v>52.37</v>
      </c>
      <c r="K20" s="417">
        <v>40.43</v>
      </c>
      <c r="L20" s="417">
        <v>156.72</v>
      </c>
      <c r="M20" s="417">
        <v>156.76</v>
      </c>
      <c r="N20" s="419"/>
      <c r="O20" s="417">
        <v>52.66</v>
      </c>
      <c r="P20" s="417">
        <v>40.7</v>
      </c>
      <c r="Q20" s="417">
        <v>157.63</v>
      </c>
      <c r="R20" s="417">
        <v>157.62</v>
      </c>
      <c r="S20" s="296"/>
      <c r="T20" s="253" t="s">
        <v>746</v>
      </c>
      <c r="U20" s="420" t="s">
        <v>855</v>
      </c>
      <c r="V20" s="318"/>
      <c r="W20" s="318"/>
      <c r="X20" s="318"/>
    </row>
    <row r="21">
      <c r="A21" s="411">
        <v>134949.0</v>
      </c>
      <c r="B21" s="253" t="s">
        <v>1562</v>
      </c>
      <c r="C21" s="253" t="s">
        <v>1563</v>
      </c>
      <c r="D21" s="254">
        <v>60.0</v>
      </c>
      <c r="E21" s="254">
        <v>55.0</v>
      </c>
      <c r="F21" s="254">
        <v>6.0</v>
      </c>
      <c r="G21" s="255">
        <v>0.109</v>
      </c>
      <c r="H21" s="253" t="s">
        <v>32</v>
      </c>
      <c r="I21" s="253">
        <v>4.8</v>
      </c>
      <c r="J21" s="414"/>
      <c r="K21" s="414"/>
      <c r="L21" s="414"/>
      <c r="M21" s="414"/>
      <c r="N21" s="414"/>
      <c r="O21" s="414"/>
      <c r="P21" s="414"/>
      <c r="Q21" s="414"/>
      <c r="R21" s="414"/>
      <c r="S21" s="293"/>
      <c r="T21" s="253"/>
      <c r="U21" s="415" t="s">
        <v>1519</v>
      </c>
      <c r="V21" s="318"/>
      <c r="W21" s="318"/>
      <c r="X21" s="318"/>
    </row>
    <row r="22">
      <c r="A22" s="416">
        <v>213180.0</v>
      </c>
      <c r="B22" s="256" t="s">
        <v>1564</v>
      </c>
      <c r="C22" s="256" t="s">
        <v>1565</v>
      </c>
      <c r="D22" s="257">
        <v>54.0</v>
      </c>
      <c r="E22" s="257">
        <v>56.0</v>
      </c>
      <c r="F22" s="257">
        <v>6.0</v>
      </c>
      <c r="G22" s="258">
        <v>0.107</v>
      </c>
      <c r="H22" s="256" t="s">
        <v>32</v>
      </c>
      <c r="I22" s="256">
        <v>5.4</v>
      </c>
      <c r="J22" s="417">
        <v>59.2</v>
      </c>
      <c r="K22" s="417">
        <v>39.55</v>
      </c>
      <c r="L22" s="417">
        <v>161.85</v>
      </c>
      <c r="M22" s="417">
        <v>161.99</v>
      </c>
      <c r="N22" s="419"/>
      <c r="O22" s="417">
        <v>58.89</v>
      </c>
      <c r="P22" s="417">
        <v>39.3</v>
      </c>
      <c r="Q22" s="417">
        <v>160.55</v>
      </c>
      <c r="R22" s="417">
        <v>160.48</v>
      </c>
      <c r="S22" s="296"/>
      <c r="T22" s="253" t="s">
        <v>746</v>
      </c>
      <c r="U22" s="420" t="s">
        <v>855</v>
      </c>
      <c r="V22" s="318"/>
      <c r="W22" s="318"/>
      <c r="X22" s="318"/>
    </row>
    <row r="23">
      <c r="A23" s="411">
        <v>234765.0</v>
      </c>
      <c r="B23" s="253" t="s">
        <v>1566</v>
      </c>
      <c r="C23" s="253" t="s">
        <v>1525</v>
      </c>
      <c r="D23" s="254">
        <v>27.0</v>
      </c>
      <c r="E23" s="254">
        <v>23.0</v>
      </c>
      <c r="F23" s="254">
        <v>6.0</v>
      </c>
      <c r="G23" s="255">
        <v>0.261</v>
      </c>
      <c r="H23" s="253" t="s">
        <v>17</v>
      </c>
      <c r="I23" s="253">
        <v>16.7</v>
      </c>
      <c r="J23" s="412">
        <v>55.31</v>
      </c>
      <c r="K23" s="412">
        <v>39.2</v>
      </c>
      <c r="L23" s="412">
        <v>160.8</v>
      </c>
      <c r="M23" s="412">
        <v>161.32</v>
      </c>
      <c r="N23" s="414"/>
      <c r="O23" s="412">
        <v>55.52</v>
      </c>
      <c r="P23" s="412">
        <v>39.4</v>
      </c>
      <c r="Q23" s="412">
        <v>161.47</v>
      </c>
      <c r="R23" s="412">
        <v>162.17</v>
      </c>
      <c r="S23" s="293"/>
      <c r="T23" s="253" t="s">
        <v>746</v>
      </c>
      <c r="U23" s="415" t="s">
        <v>855</v>
      </c>
      <c r="V23" s="318"/>
      <c r="W23" s="318"/>
      <c r="X23" s="318"/>
    </row>
    <row r="24">
      <c r="A24" s="416">
        <v>236095.0</v>
      </c>
      <c r="B24" s="256" t="s">
        <v>1567</v>
      </c>
      <c r="C24" s="256" t="s">
        <v>1568</v>
      </c>
      <c r="D24" s="257">
        <v>9.0</v>
      </c>
      <c r="E24" s="257">
        <v>8.0</v>
      </c>
      <c r="F24" s="257">
        <v>6.0</v>
      </c>
      <c r="G24" s="258">
        <v>0.75</v>
      </c>
      <c r="H24" s="256" t="s">
        <v>17</v>
      </c>
      <c r="I24" s="256">
        <v>66.7</v>
      </c>
      <c r="J24" s="417">
        <v>49.57</v>
      </c>
      <c r="K24" s="417">
        <v>42.29</v>
      </c>
      <c r="L24" s="417">
        <v>149.58</v>
      </c>
      <c r="M24" s="417">
        <v>149.78</v>
      </c>
      <c r="N24" s="419"/>
      <c r="O24" s="417">
        <v>49.38</v>
      </c>
      <c r="P24" s="417">
        <v>42.21</v>
      </c>
      <c r="Q24" s="417">
        <v>149.14</v>
      </c>
      <c r="R24" s="417">
        <v>148.87</v>
      </c>
      <c r="S24" s="296"/>
      <c r="T24" s="253" t="s">
        <v>746</v>
      </c>
      <c r="U24" s="420" t="s">
        <v>855</v>
      </c>
      <c r="V24" s="318"/>
      <c r="W24" s="318"/>
      <c r="X24" s="318"/>
    </row>
    <row r="25">
      <c r="A25" s="411">
        <v>213180.0</v>
      </c>
      <c r="B25" s="253" t="s">
        <v>1569</v>
      </c>
      <c r="C25" s="253" t="s">
        <v>1570</v>
      </c>
      <c r="D25" s="254">
        <v>31.0</v>
      </c>
      <c r="E25" s="254">
        <v>25.0</v>
      </c>
      <c r="F25" s="254">
        <v>5.0</v>
      </c>
      <c r="G25" s="255">
        <v>0.2</v>
      </c>
      <c r="H25" s="253" t="s">
        <v>32</v>
      </c>
      <c r="I25" s="253">
        <v>5.4</v>
      </c>
      <c r="J25" s="412">
        <v>60.07</v>
      </c>
      <c r="K25" s="412">
        <v>39.99</v>
      </c>
      <c r="L25" s="412">
        <v>163.43</v>
      </c>
      <c r="M25" s="412">
        <v>162.37</v>
      </c>
      <c r="N25" s="414"/>
      <c r="O25" s="412">
        <v>59.89</v>
      </c>
      <c r="P25" s="412">
        <v>39.8</v>
      </c>
      <c r="Q25" s="412">
        <v>162.83</v>
      </c>
      <c r="R25" s="412">
        <v>162.38</v>
      </c>
      <c r="S25" s="293"/>
      <c r="T25" s="253" t="s">
        <v>746</v>
      </c>
      <c r="U25" s="415" t="s">
        <v>855</v>
      </c>
      <c r="V25" s="318"/>
      <c r="W25" s="318"/>
      <c r="X25" s="318"/>
    </row>
    <row r="26">
      <c r="A26" s="416">
        <v>223232.0</v>
      </c>
      <c r="B26" s="256" t="s">
        <v>1327</v>
      </c>
      <c r="C26" s="256" t="s">
        <v>1326</v>
      </c>
      <c r="D26" s="257">
        <v>50.0</v>
      </c>
      <c r="E26" s="257">
        <v>49.0</v>
      </c>
      <c r="F26" s="257">
        <v>5.0</v>
      </c>
      <c r="G26" s="258">
        <v>0.102</v>
      </c>
      <c r="H26" s="256" t="s">
        <v>32</v>
      </c>
      <c r="I26" s="256">
        <v>5.7</v>
      </c>
      <c r="J26" s="417">
        <v>50.04</v>
      </c>
      <c r="K26" s="417">
        <v>44.09</v>
      </c>
      <c r="L26" s="417">
        <v>151.56</v>
      </c>
      <c r="M26" s="417">
        <v>151.44</v>
      </c>
      <c r="N26" s="419"/>
      <c r="O26" s="417">
        <v>49.9</v>
      </c>
      <c r="P26" s="417">
        <v>43.8</v>
      </c>
      <c r="Q26" s="417">
        <v>150.89</v>
      </c>
      <c r="R26" s="417">
        <v>150.83</v>
      </c>
      <c r="S26" s="296"/>
      <c r="T26" s="253" t="s">
        <v>746</v>
      </c>
      <c r="U26" s="420" t="s">
        <v>855</v>
      </c>
      <c r="V26" s="318"/>
      <c r="W26" s="318"/>
      <c r="X26" s="318"/>
    </row>
    <row r="27">
      <c r="A27" s="411">
        <v>223232.0</v>
      </c>
      <c r="B27" s="253" t="s">
        <v>1571</v>
      </c>
      <c r="C27" s="253" t="s">
        <v>1572</v>
      </c>
      <c r="D27" s="254">
        <v>57.0</v>
      </c>
      <c r="E27" s="254">
        <v>52.0</v>
      </c>
      <c r="F27" s="254">
        <v>5.0</v>
      </c>
      <c r="G27" s="255">
        <v>0.096</v>
      </c>
      <c r="H27" s="253" t="s">
        <v>32</v>
      </c>
      <c r="I27" s="253">
        <v>7.0</v>
      </c>
      <c r="J27" s="412">
        <v>50.24</v>
      </c>
      <c r="K27" s="412">
        <v>44.06</v>
      </c>
      <c r="L27" s="412">
        <v>151.84</v>
      </c>
      <c r="M27" s="412">
        <v>151.8</v>
      </c>
      <c r="N27" s="414"/>
      <c r="O27" s="412">
        <v>50.15</v>
      </c>
      <c r="P27" s="412">
        <v>43.9</v>
      </c>
      <c r="Q27" s="412">
        <v>151.32</v>
      </c>
      <c r="R27" s="412">
        <v>151.52</v>
      </c>
      <c r="S27" s="293"/>
      <c r="T27" s="253" t="s">
        <v>746</v>
      </c>
      <c r="U27" s="415" t="s">
        <v>855</v>
      </c>
      <c r="V27" s="318"/>
      <c r="W27" s="318"/>
      <c r="X27" s="318"/>
    </row>
    <row r="28">
      <c r="A28" s="416">
        <v>224848.0</v>
      </c>
      <c r="B28" s="256" t="s">
        <v>1573</v>
      </c>
      <c r="C28" s="256" t="s">
        <v>1574</v>
      </c>
      <c r="D28" s="257">
        <v>80.0</v>
      </c>
      <c r="E28" s="257">
        <v>75.0</v>
      </c>
      <c r="F28" s="257">
        <v>5.0</v>
      </c>
      <c r="G28" s="258">
        <v>0.067</v>
      </c>
      <c r="H28" s="256" t="s">
        <v>32</v>
      </c>
      <c r="I28" s="256">
        <v>4.7</v>
      </c>
      <c r="J28" s="417">
        <v>54.16</v>
      </c>
      <c r="K28" s="417">
        <v>42.46</v>
      </c>
      <c r="L28" s="417">
        <v>161.5</v>
      </c>
      <c r="M28" s="417">
        <v>161.5</v>
      </c>
      <c r="N28" s="419"/>
      <c r="O28" s="417">
        <v>53.97</v>
      </c>
      <c r="P28" s="417">
        <v>42.26</v>
      </c>
      <c r="Q28" s="417">
        <v>160.78</v>
      </c>
      <c r="R28" s="417">
        <v>160.55</v>
      </c>
      <c r="S28" s="296"/>
      <c r="T28" s="253" t="s">
        <v>746</v>
      </c>
      <c r="U28" s="420" t="s">
        <v>855</v>
      </c>
      <c r="V28" s="318"/>
      <c r="W28" s="318"/>
      <c r="X28" s="318"/>
    </row>
    <row r="29">
      <c r="A29" s="411">
        <v>225336.0</v>
      </c>
      <c r="B29" s="253" t="s">
        <v>1575</v>
      </c>
      <c r="C29" s="253" t="s">
        <v>209</v>
      </c>
      <c r="D29" s="254">
        <v>27.0</v>
      </c>
      <c r="E29" s="254">
        <v>26.0</v>
      </c>
      <c r="F29" s="254">
        <v>5.0</v>
      </c>
      <c r="G29" s="255">
        <v>0.192</v>
      </c>
      <c r="H29" s="253" t="s">
        <v>32</v>
      </c>
      <c r="I29" s="253">
        <v>11.5</v>
      </c>
      <c r="J29" s="412">
        <v>47.77</v>
      </c>
      <c r="K29" s="412">
        <v>40.82</v>
      </c>
      <c r="L29" s="412">
        <v>143.57</v>
      </c>
      <c r="M29" s="412">
        <v>143.96</v>
      </c>
      <c r="N29" s="419"/>
      <c r="O29" s="412">
        <v>47.57</v>
      </c>
      <c r="P29" s="412">
        <v>40.62</v>
      </c>
      <c r="Q29" s="412">
        <v>142.9</v>
      </c>
      <c r="R29" s="412">
        <v>142.74</v>
      </c>
      <c r="S29" s="293"/>
      <c r="T29" s="253" t="s">
        <v>746</v>
      </c>
      <c r="U29" s="415" t="s">
        <v>855</v>
      </c>
      <c r="V29" s="318"/>
      <c r="W29" s="318"/>
      <c r="X29" s="318"/>
    </row>
    <row r="30">
      <c r="A30" s="416">
        <v>225336.0</v>
      </c>
      <c r="B30" s="256" t="s">
        <v>1337</v>
      </c>
      <c r="C30" s="256" t="s">
        <v>260</v>
      </c>
      <c r="D30" s="257">
        <v>8.0</v>
      </c>
      <c r="E30" s="257">
        <v>7.0</v>
      </c>
      <c r="F30" s="257">
        <v>5.0</v>
      </c>
      <c r="G30" s="258">
        <v>0.714</v>
      </c>
      <c r="H30" s="256" t="s">
        <v>17</v>
      </c>
      <c r="I30" s="256">
        <v>75.0</v>
      </c>
      <c r="J30" s="417">
        <v>47.6</v>
      </c>
      <c r="K30" s="417">
        <v>41.24</v>
      </c>
      <c r="L30" s="417">
        <v>143.99</v>
      </c>
      <c r="M30" s="417">
        <v>144.44</v>
      </c>
      <c r="N30" s="419"/>
      <c r="O30" s="417">
        <v>47.8</v>
      </c>
      <c r="P30" s="417">
        <v>41.6</v>
      </c>
      <c r="Q30" s="417">
        <v>144.89</v>
      </c>
      <c r="R30" s="417">
        <v>144.9</v>
      </c>
      <c r="S30" s="296"/>
      <c r="T30" s="253" t="s">
        <v>746</v>
      </c>
      <c r="U30" s="420" t="s">
        <v>855</v>
      </c>
      <c r="V30" s="318"/>
      <c r="W30" s="318"/>
      <c r="X30" s="318"/>
    </row>
    <row r="31">
      <c r="A31" s="411">
        <v>234796.0</v>
      </c>
      <c r="B31" s="253" t="s">
        <v>1576</v>
      </c>
      <c r="C31" s="253" t="s">
        <v>1126</v>
      </c>
      <c r="D31" s="254">
        <v>8.0</v>
      </c>
      <c r="E31" s="254">
        <v>5.0</v>
      </c>
      <c r="F31" s="254">
        <v>5.0</v>
      </c>
      <c r="G31" s="255">
        <v>1.0</v>
      </c>
      <c r="H31" s="253" t="s">
        <v>32</v>
      </c>
      <c r="I31" s="253">
        <v>60.0</v>
      </c>
      <c r="J31" s="412">
        <v>50.27</v>
      </c>
      <c r="K31" s="412">
        <v>46.97</v>
      </c>
      <c r="L31" s="412">
        <v>158.18</v>
      </c>
      <c r="M31" s="412">
        <v>158.22</v>
      </c>
      <c r="N31" s="419"/>
      <c r="O31" s="412">
        <v>50.09</v>
      </c>
      <c r="P31" s="412">
        <v>46.7</v>
      </c>
      <c r="Q31" s="412">
        <v>157.32</v>
      </c>
      <c r="R31" s="412">
        <v>157.36</v>
      </c>
      <c r="S31" s="293"/>
      <c r="T31" s="253" t="s">
        <v>746</v>
      </c>
      <c r="U31" s="415" t="s">
        <v>855</v>
      </c>
      <c r="V31" s="318"/>
      <c r="W31" s="318"/>
      <c r="X31" s="318"/>
    </row>
    <row r="32">
      <c r="A32" s="416">
        <v>235309.0</v>
      </c>
      <c r="B32" s="256" t="s">
        <v>1577</v>
      </c>
      <c r="C32" s="256" t="s">
        <v>1578</v>
      </c>
      <c r="D32" s="257">
        <v>38.0</v>
      </c>
      <c r="E32" s="257">
        <v>37.0</v>
      </c>
      <c r="F32" s="257">
        <v>5.0</v>
      </c>
      <c r="G32" s="258">
        <v>0.135</v>
      </c>
      <c r="H32" s="256" t="s">
        <v>32</v>
      </c>
      <c r="I32" s="256">
        <v>2.5</v>
      </c>
      <c r="J32" s="417">
        <v>55.44</v>
      </c>
      <c r="K32" s="417">
        <v>45.63</v>
      </c>
      <c r="L32" s="417">
        <v>167.72</v>
      </c>
      <c r="M32" s="417">
        <v>167.72</v>
      </c>
      <c r="N32" s="419"/>
      <c r="O32" s="417">
        <v>55.2</v>
      </c>
      <c r="P32" s="417">
        <v>45.41</v>
      </c>
      <c r="Q32" s="417">
        <v>166.91</v>
      </c>
      <c r="R32" s="417">
        <v>166.82</v>
      </c>
      <c r="S32" s="296"/>
      <c r="T32" s="253" t="s">
        <v>746</v>
      </c>
      <c r="U32" s="420" t="s">
        <v>855</v>
      </c>
      <c r="V32" s="318"/>
      <c r="W32" s="318"/>
      <c r="X32" s="318"/>
    </row>
    <row r="33">
      <c r="A33" s="411">
        <v>239026.0</v>
      </c>
      <c r="B33" s="253" t="s">
        <v>1579</v>
      </c>
      <c r="C33" s="253" t="s">
        <v>1580</v>
      </c>
      <c r="D33" s="254">
        <v>57.0</v>
      </c>
      <c r="E33" s="254">
        <v>56.0</v>
      </c>
      <c r="F33" s="254">
        <v>5.0</v>
      </c>
      <c r="G33" s="255">
        <v>0.089</v>
      </c>
      <c r="H33" s="253" t="s">
        <v>32</v>
      </c>
      <c r="I33" s="253">
        <v>5.9</v>
      </c>
      <c r="J33" s="412">
        <v>53.06</v>
      </c>
      <c r="K33" s="412">
        <v>36.84</v>
      </c>
      <c r="L33" s="412">
        <v>152.02</v>
      </c>
      <c r="M33" s="412">
        <v>152.19</v>
      </c>
      <c r="N33" s="414"/>
      <c r="O33" s="412">
        <v>52.9</v>
      </c>
      <c r="P33" s="412">
        <v>36.7</v>
      </c>
      <c r="Q33" s="412">
        <v>151.53</v>
      </c>
      <c r="R33" s="412">
        <v>153.45</v>
      </c>
      <c r="S33" s="293"/>
      <c r="T33" s="253" t="s">
        <v>746</v>
      </c>
      <c r="U33" s="415" t="s">
        <v>855</v>
      </c>
      <c r="V33" s="318"/>
      <c r="W33" s="318"/>
      <c r="X33" s="318"/>
    </row>
    <row r="34">
      <c r="A34" s="416">
        <v>241119.0</v>
      </c>
      <c r="B34" s="256" t="s">
        <v>1581</v>
      </c>
      <c r="C34" s="256" t="s">
        <v>1537</v>
      </c>
      <c r="D34" s="257">
        <v>35.0</v>
      </c>
      <c r="E34" s="257">
        <v>28.0</v>
      </c>
      <c r="F34" s="257">
        <v>5.0</v>
      </c>
      <c r="G34" s="258">
        <v>0.179</v>
      </c>
      <c r="H34" s="256" t="s">
        <v>32</v>
      </c>
      <c r="I34" s="256">
        <v>6.7</v>
      </c>
      <c r="J34" s="417">
        <v>55.73</v>
      </c>
      <c r="K34" s="417">
        <v>39.0</v>
      </c>
      <c r="L34" s="417">
        <v>163.53</v>
      </c>
      <c r="M34" s="417">
        <v>163.98</v>
      </c>
      <c r="N34" s="419"/>
      <c r="O34" s="417">
        <v>55.51</v>
      </c>
      <c r="P34" s="417">
        <v>38.9</v>
      </c>
      <c r="Q34" s="417">
        <v>38.9</v>
      </c>
      <c r="R34" s="417">
        <v>161.9</v>
      </c>
      <c r="S34" s="296"/>
      <c r="T34" s="253" t="s">
        <v>746</v>
      </c>
      <c r="U34" s="420" t="s">
        <v>855</v>
      </c>
      <c r="V34" s="318"/>
      <c r="W34" s="318"/>
      <c r="X34" s="318"/>
    </row>
    <row r="35">
      <c r="A35" s="411">
        <v>241386.0</v>
      </c>
      <c r="B35" s="253" t="s">
        <v>1582</v>
      </c>
      <c r="C35" s="253" t="s">
        <v>1583</v>
      </c>
      <c r="D35" s="254">
        <v>39.0</v>
      </c>
      <c r="E35" s="254">
        <v>38.0</v>
      </c>
      <c r="F35" s="254">
        <v>5.0</v>
      </c>
      <c r="G35" s="255">
        <v>0.132</v>
      </c>
      <c r="H35" s="253" t="s">
        <v>32</v>
      </c>
      <c r="I35" s="253">
        <v>2.6</v>
      </c>
      <c r="J35" s="412">
        <v>51.83</v>
      </c>
      <c r="K35" s="412">
        <v>39.84</v>
      </c>
      <c r="L35" s="412">
        <v>150.92</v>
      </c>
      <c r="M35" s="412">
        <v>151.14</v>
      </c>
      <c r="N35" s="414"/>
      <c r="O35" s="412">
        <v>51.6</v>
      </c>
      <c r="P35" s="412">
        <v>39.6</v>
      </c>
      <c r="Q35" s="412">
        <v>149.97</v>
      </c>
      <c r="R35" s="412">
        <v>150.29</v>
      </c>
      <c r="S35" s="293"/>
      <c r="T35" s="253" t="s">
        <v>746</v>
      </c>
      <c r="U35" s="415" t="s">
        <v>855</v>
      </c>
      <c r="V35" s="318"/>
      <c r="W35" s="318"/>
      <c r="X35" s="318"/>
    </row>
    <row r="36">
      <c r="A36" s="416">
        <v>242697.0</v>
      </c>
      <c r="B36" s="256" t="s">
        <v>1584</v>
      </c>
      <c r="C36" s="256" t="s">
        <v>1585</v>
      </c>
      <c r="D36" s="257">
        <v>21.0</v>
      </c>
      <c r="E36" s="257">
        <v>20.0</v>
      </c>
      <c r="F36" s="257">
        <v>5.0</v>
      </c>
      <c r="G36" s="258">
        <v>0.25</v>
      </c>
      <c r="H36" s="256" t="s">
        <v>32</v>
      </c>
      <c r="I36" s="256">
        <v>19.0</v>
      </c>
      <c r="J36" s="417">
        <v>60.11</v>
      </c>
      <c r="K36" s="417">
        <v>48.51</v>
      </c>
      <c r="L36" s="417">
        <v>177.43</v>
      </c>
      <c r="M36" s="417">
        <v>177.85</v>
      </c>
      <c r="N36" s="419"/>
      <c r="O36" s="417">
        <v>59.9</v>
      </c>
      <c r="P36" s="417">
        <v>48.39</v>
      </c>
      <c r="Q36" s="417">
        <v>176.76</v>
      </c>
      <c r="R36" s="417">
        <v>176.88</v>
      </c>
      <c r="S36" s="296"/>
      <c r="T36" s="253" t="s">
        <v>746</v>
      </c>
      <c r="U36" s="420" t="s">
        <v>855</v>
      </c>
      <c r="V36" s="318"/>
      <c r="W36" s="318"/>
      <c r="X36" s="318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88"/>
    <col customWidth="1" min="20" max="20" width="26.75"/>
  </cols>
  <sheetData>
    <row r="1">
      <c r="A1" s="463" t="s">
        <v>1414</v>
      </c>
      <c r="B1" s="457" t="s">
        <v>1415</v>
      </c>
      <c r="C1" s="457" t="s">
        <v>848</v>
      </c>
      <c r="D1" s="457" t="s">
        <v>849</v>
      </c>
      <c r="E1" s="457" t="s">
        <v>850</v>
      </c>
      <c r="F1" s="457" t="s">
        <v>851</v>
      </c>
      <c r="G1" s="457" t="s">
        <v>852</v>
      </c>
      <c r="H1" s="457" t="s">
        <v>3</v>
      </c>
      <c r="I1" s="457" t="s">
        <v>4</v>
      </c>
      <c r="J1" s="455" t="s">
        <v>6</v>
      </c>
      <c r="K1" s="456" t="s">
        <v>7</v>
      </c>
      <c r="L1" s="456" t="s">
        <v>8</v>
      </c>
      <c r="M1" s="456" t="s">
        <v>9</v>
      </c>
      <c r="N1" s="456" t="s">
        <v>10</v>
      </c>
      <c r="O1" s="456" t="s">
        <v>11</v>
      </c>
      <c r="P1" s="455" t="s">
        <v>12</v>
      </c>
      <c r="Q1" s="456" t="s">
        <v>13</v>
      </c>
      <c r="R1" s="456" t="s">
        <v>14</v>
      </c>
      <c r="S1" s="457" t="s">
        <v>16</v>
      </c>
      <c r="T1" s="455" t="s">
        <v>15</v>
      </c>
      <c r="U1" s="464" t="s">
        <v>853</v>
      </c>
    </row>
    <row r="2">
      <c r="A2" s="459">
        <v>149022.0</v>
      </c>
      <c r="B2" s="412" t="s">
        <v>1550</v>
      </c>
      <c r="C2" s="412" t="s">
        <v>1194</v>
      </c>
      <c r="D2" s="412">
        <v>487.0</v>
      </c>
      <c r="E2" s="412">
        <v>456.0</v>
      </c>
      <c r="F2" s="412">
        <v>23.0</v>
      </c>
      <c r="G2" s="413">
        <v>0.05</v>
      </c>
      <c r="H2" s="253" t="s">
        <v>17</v>
      </c>
      <c r="I2" s="253">
        <v>3.3</v>
      </c>
      <c r="J2" s="412">
        <v>51.95</v>
      </c>
      <c r="K2" s="412">
        <v>41.9</v>
      </c>
      <c r="L2" s="412">
        <v>154.67</v>
      </c>
      <c r="M2" s="412">
        <v>154.75</v>
      </c>
      <c r="N2" s="414"/>
      <c r="O2" s="412">
        <v>51.98</v>
      </c>
      <c r="P2" s="412">
        <v>41.96</v>
      </c>
      <c r="Q2" s="412">
        <v>154.67</v>
      </c>
      <c r="R2" s="412">
        <v>154.75</v>
      </c>
      <c r="S2" s="183" t="s">
        <v>543</v>
      </c>
      <c r="T2" s="293"/>
      <c r="U2" s="415" t="s">
        <v>855</v>
      </c>
      <c r="V2" s="182" t="str">
        <f>VLOOKUP(C:C,'1-7 AUG'!C:C,1,0)</f>
        <v>#N/A</v>
      </c>
    </row>
    <row r="3">
      <c r="A3" s="460">
        <v>231942.0</v>
      </c>
      <c r="B3" s="417" t="s">
        <v>1586</v>
      </c>
      <c r="C3" s="417" t="s">
        <v>68</v>
      </c>
      <c r="D3" s="417">
        <v>269.0</v>
      </c>
      <c r="E3" s="417">
        <v>266.0</v>
      </c>
      <c r="F3" s="417">
        <v>23.0</v>
      </c>
      <c r="G3" s="418">
        <v>0.086</v>
      </c>
      <c r="H3" s="256" t="s">
        <v>17</v>
      </c>
      <c r="I3" s="256">
        <v>8.1</v>
      </c>
      <c r="J3" s="417">
        <v>51.16</v>
      </c>
      <c r="K3" s="417">
        <v>43.49</v>
      </c>
      <c r="L3" s="417">
        <v>155.32</v>
      </c>
      <c r="M3" s="417">
        <v>154.94</v>
      </c>
      <c r="N3" s="419"/>
      <c r="O3" s="417">
        <v>51.23</v>
      </c>
      <c r="P3" s="417">
        <v>43.49</v>
      </c>
      <c r="Q3" s="417">
        <v>155.32</v>
      </c>
      <c r="R3" s="417">
        <v>154.94</v>
      </c>
      <c r="S3" s="183" t="s">
        <v>543</v>
      </c>
      <c r="T3" s="296"/>
      <c r="U3" s="420" t="s">
        <v>855</v>
      </c>
    </row>
    <row r="4">
      <c r="A4" s="459">
        <v>201100.0</v>
      </c>
      <c r="B4" s="412" t="s">
        <v>1587</v>
      </c>
      <c r="C4" s="412" t="s">
        <v>59</v>
      </c>
      <c r="D4" s="412">
        <v>238.0</v>
      </c>
      <c r="E4" s="412">
        <v>227.0</v>
      </c>
      <c r="F4" s="412">
        <v>22.0</v>
      </c>
      <c r="G4" s="413">
        <v>0.097</v>
      </c>
      <c r="H4" s="253" t="s">
        <v>32</v>
      </c>
      <c r="I4" s="253">
        <v>2.2</v>
      </c>
      <c r="J4" s="412">
        <v>52.34</v>
      </c>
      <c r="K4" s="412">
        <v>40.48</v>
      </c>
      <c r="L4" s="412">
        <v>156.68</v>
      </c>
      <c r="M4" s="412">
        <v>156.73</v>
      </c>
      <c r="N4" s="414"/>
      <c r="O4" s="412">
        <v>52.32</v>
      </c>
      <c r="P4" s="412">
        <v>40.46</v>
      </c>
      <c r="Q4" s="412">
        <v>156.68</v>
      </c>
      <c r="R4" s="412">
        <v>156.73</v>
      </c>
      <c r="S4" s="183" t="s">
        <v>543</v>
      </c>
      <c r="T4" s="293"/>
      <c r="U4" s="415" t="s">
        <v>855</v>
      </c>
    </row>
    <row r="5">
      <c r="A5" s="460">
        <v>225336.0</v>
      </c>
      <c r="B5" s="417" t="s">
        <v>1348</v>
      </c>
      <c r="C5" s="417" t="s">
        <v>138</v>
      </c>
      <c r="D5" s="417">
        <v>33.0</v>
      </c>
      <c r="E5" s="417">
        <v>31.0</v>
      </c>
      <c r="F5" s="417">
        <v>21.0</v>
      </c>
      <c r="G5" s="418">
        <v>0.677</v>
      </c>
      <c r="H5" s="256" t="s">
        <v>17</v>
      </c>
      <c r="I5" s="256">
        <v>28.1</v>
      </c>
      <c r="J5" s="417">
        <v>47.39</v>
      </c>
      <c r="K5" s="417">
        <v>41.61</v>
      </c>
      <c r="L5" s="417">
        <v>144.52</v>
      </c>
      <c r="M5" s="417">
        <v>144.52</v>
      </c>
      <c r="N5" s="419"/>
      <c r="O5" s="417">
        <v>47.42</v>
      </c>
      <c r="P5" s="417">
        <v>41.65</v>
      </c>
      <c r="Q5" s="417">
        <v>144.52</v>
      </c>
      <c r="R5" s="417">
        <v>144.52</v>
      </c>
      <c r="S5" s="183" t="s">
        <v>543</v>
      </c>
      <c r="T5" s="296"/>
      <c r="U5" s="420" t="s">
        <v>855</v>
      </c>
    </row>
    <row r="6">
      <c r="A6" s="459">
        <v>241117.0</v>
      </c>
      <c r="B6" s="412" t="s">
        <v>1588</v>
      </c>
      <c r="C6" s="412" t="s">
        <v>1589</v>
      </c>
      <c r="D6" s="412">
        <v>125.0</v>
      </c>
      <c r="E6" s="412">
        <v>115.0</v>
      </c>
      <c r="F6" s="412">
        <v>21.0</v>
      </c>
      <c r="G6" s="413">
        <v>0.183</v>
      </c>
      <c r="H6" s="253" t="s">
        <v>32</v>
      </c>
      <c r="I6" s="253">
        <v>13.3</v>
      </c>
      <c r="J6" s="412">
        <v>55.09</v>
      </c>
      <c r="K6" s="412">
        <v>36.32</v>
      </c>
      <c r="L6" s="412">
        <v>154.84</v>
      </c>
      <c r="M6" s="412">
        <v>154.69</v>
      </c>
      <c r="N6" s="414"/>
      <c r="O6" s="412">
        <v>54.88</v>
      </c>
      <c r="P6" s="412">
        <v>36.3</v>
      </c>
      <c r="Q6" s="412">
        <v>154.84</v>
      </c>
      <c r="R6" s="412">
        <v>154.69</v>
      </c>
      <c r="S6" s="183" t="s">
        <v>543</v>
      </c>
      <c r="T6" s="293"/>
      <c r="U6" s="415" t="s">
        <v>855</v>
      </c>
    </row>
    <row r="7">
      <c r="A7" s="460">
        <v>241119.0</v>
      </c>
      <c r="B7" s="417" t="s">
        <v>1590</v>
      </c>
      <c r="C7" s="417" t="s">
        <v>1591</v>
      </c>
      <c r="D7" s="417">
        <v>92.0</v>
      </c>
      <c r="E7" s="417">
        <v>88.0</v>
      </c>
      <c r="F7" s="417">
        <v>21.0</v>
      </c>
      <c r="G7" s="418">
        <v>0.239</v>
      </c>
      <c r="H7" s="256" t="s">
        <v>32</v>
      </c>
      <c r="I7" s="256">
        <v>12.6</v>
      </c>
      <c r="J7" s="417">
        <v>55.84</v>
      </c>
      <c r="K7" s="417">
        <v>39.21</v>
      </c>
      <c r="L7" s="417">
        <v>164.06</v>
      </c>
      <c r="M7" s="417">
        <v>164.32</v>
      </c>
      <c r="N7" s="419"/>
      <c r="O7" s="417">
        <v>55.72</v>
      </c>
      <c r="P7" s="417">
        <v>39.19</v>
      </c>
      <c r="Q7" s="417">
        <v>162.89</v>
      </c>
      <c r="R7" s="417">
        <v>163.25</v>
      </c>
      <c r="S7" s="183" t="s">
        <v>543</v>
      </c>
      <c r="T7" s="296"/>
      <c r="U7" s="420" t="s">
        <v>855</v>
      </c>
    </row>
    <row r="8">
      <c r="A8" s="459">
        <v>143018.0</v>
      </c>
      <c r="B8" s="412" t="s">
        <v>1355</v>
      </c>
      <c r="C8" s="412" t="s">
        <v>1354</v>
      </c>
      <c r="D8" s="412">
        <v>197.0</v>
      </c>
      <c r="E8" s="412">
        <v>186.0</v>
      </c>
      <c r="F8" s="412">
        <v>20.0</v>
      </c>
      <c r="G8" s="413">
        <v>0.108</v>
      </c>
      <c r="H8" s="253" t="s">
        <v>1317</v>
      </c>
      <c r="I8" s="253" t="s">
        <v>1592</v>
      </c>
      <c r="J8" s="412" t="s">
        <v>796</v>
      </c>
      <c r="K8" s="468"/>
      <c r="L8" s="468"/>
      <c r="M8" s="468"/>
      <c r="N8" s="468"/>
      <c r="O8" s="468"/>
      <c r="P8" s="468"/>
      <c r="Q8" s="468"/>
      <c r="R8" s="468"/>
      <c r="S8" s="183" t="s">
        <v>90</v>
      </c>
      <c r="T8" s="253" t="s">
        <v>1593</v>
      </c>
      <c r="U8" s="415" t="s">
        <v>943</v>
      </c>
    </row>
    <row r="9">
      <c r="A9" s="460">
        <v>243271.0</v>
      </c>
      <c r="B9" s="417" t="s">
        <v>1594</v>
      </c>
      <c r="C9" s="417" t="s">
        <v>1131</v>
      </c>
      <c r="D9" s="417">
        <v>259.0</v>
      </c>
      <c r="E9" s="417">
        <v>235.0</v>
      </c>
      <c r="F9" s="417">
        <v>19.0</v>
      </c>
      <c r="G9" s="418">
        <v>0.081</v>
      </c>
      <c r="H9" s="256" t="s">
        <v>32</v>
      </c>
      <c r="I9" s="256">
        <v>4.5</v>
      </c>
      <c r="J9" s="417">
        <v>53.34</v>
      </c>
      <c r="K9" s="417">
        <v>39.69</v>
      </c>
      <c r="L9" s="417">
        <v>155.62</v>
      </c>
      <c r="M9" s="417">
        <v>155.54</v>
      </c>
      <c r="N9" s="419"/>
      <c r="O9" s="417">
        <v>53.25</v>
      </c>
      <c r="P9" s="417">
        <v>39.68</v>
      </c>
      <c r="Q9" s="417">
        <v>155.47</v>
      </c>
      <c r="R9" s="417">
        <v>155.56</v>
      </c>
      <c r="S9" s="183" t="s">
        <v>543</v>
      </c>
      <c r="T9" s="296"/>
      <c r="U9" s="420" t="s">
        <v>855</v>
      </c>
    </row>
    <row r="10">
      <c r="A10" s="459">
        <v>134951.0</v>
      </c>
      <c r="B10" s="412" t="s">
        <v>1309</v>
      </c>
      <c r="C10" s="412" t="s">
        <v>1306</v>
      </c>
      <c r="D10" s="412">
        <v>85.0</v>
      </c>
      <c r="E10" s="412">
        <v>76.0</v>
      </c>
      <c r="F10" s="412">
        <v>15.0</v>
      </c>
      <c r="G10" s="413">
        <v>0.197</v>
      </c>
      <c r="H10" s="253" t="s">
        <v>32</v>
      </c>
      <c r="I10" s="253">
        <v>4.8</v>
      </c>
      <c r="J10" s="412">
        <v>56.21</v>
      </c>
      <c r="K10" s="412">
        <v>45.23</v>
      </c>
      <c r="L10" s="412">
        <v>169.49</v>
      </c>
      <c r="M10" s="412">
        <v>169.49</v>
      </c>
      <c r="N10" s="414"/>
      <c r="O10" s="412">
        <v>56.17</v>
      </c>
      <c r="P10" s="412">
        <v>45.19</v>
      </c>
      <c r="Q10" s="412">
        <v>169.37</v>
      </c>
      <c r="R10" s="412">
        <v>169.37</v>
      </c>
      <c r="S10" s="183" t="s">
        <v>543</v>
      </c>
      <c r="T10" s="293"/>
      <c r="U10" s="415" t="s">
        <v>855</v>
      </c>
    </row>
    <row r="11">
      <c r="A11" s="460">
        <v>146653.0</v>
      </c>
      <c r="B11" s="417" t="s">
        <v>1595</v>
      </c>
      <c r="C11" s="417" t="s">
        <v>1190</v>
      </c>
      <c r="D11" s="417">
        <v>107.0</v>
      </c>
      <c r="E11" s="417">
        <v>105.0</v>
      </c>
      <c r="F11" s="417">
        <v>14.0</v>
      </c>
      <c r="G11" s="418">
        <v>0.133</v>
      </c>
      <c r="H11" s="256" t="s">
        <v>17</v>
      </c>
      <c r="I11" s="256">
        <v>8.0</v>
      </c>
      <c r="J11" s="417">
        <v>50.66</v>
      </c>
      <c r="K11" s="417">
        <v>36.22</v>
      </c>
      <c r="L11" s="417">
        <v>146.61</v>
      </c>
      <c r="M11" s="417">
        <v>147.01</v>
      </c>
      <c r="N11" s="419"/>
      <c r="O11" s="417">
        <v>50.72</v>
      </c>
      <c r="P11" s="417">
        <v>36.36</v>
      </c>
      <c r="Q11" s="417">
        <v>146.87</v>
      </c>
      <c r="R11" s="417">
        <v>146.94</v>
      </c>
      <c r="S11" s="183" t="s">
        <v>543</v>
      </c>
      <c r="T11" s="296"/>
      <c r="U11" s="420" t="s">
        <v>855</v>
      </c>
    </row>
    <row r="12">
      <c r="A12" s="459">
        <v>137971.0</v>
      </c>
      <c r="B12" s="412" t="s">
        <v>1096</v>
      </c>
      <c r="C12" s="412" t="s">
        <v>473</v>
      </c>
      <c r="D12" s="412">
        <v>245.0</v>
      </c>
      <c r="E12" s="412">
        <v>234.0</v>
      </c>
      <c r="F12" s="412">
        <v>13.0</v>
      </c>
      <c r="G12" s="413">
        <v>0.056</v>
      </c>
      <c r="H12" s="253" t="s">
        <v>32</v>
      </c>
      <c r="I12" s="253">
        <v>3.4</v>
      </c>
      <c r="J12" s="412">
        <v>52.59</v>
      </c>
      <c r="K12" s="412">
        <v>44.15</v>
      </c>
      <c r="L12" s="412">
        <v>157.34</v>
      </c>
      <c r="M12" s="412">
        <v>157.08</v>
      </c>
      <c r="N12" s="414"/>
      <c r="O12" s="412">
        <v>52.19</v>
      </c>
      <c r="P12" s="412">
        <v>43.76</v>
      </c>
      <c r="Q12" s="412">
        <v>156.41</v>
      </c>
      <c r="R12" s="412">
        <v>156.36</v>
      </c>
      <c r="S12" s="183" t="s">
        <v>543</v>
      </c>
      <c r="T12" s="293"/>
      <c r="U12" s="415" t="s">
        <v>855</v>
      </c>
    </row>
    <row r="13">
      <c r="A13" s="460">
        <v>213182.0</v>
      </c>
      <c r="B13" s="417" t="s">
        <v>1596</v>
      </c>
      <c r="C13" s="417" t="s">
        <v>1118</v>
      </c>
      <c r="D13" s="417">
        <v>120.0</v>
      </c>
      <c r="E13" s="417">
        <v>112.0</v>
      </c>
      <c r="F13" s="417">
        <v>13.0</v>
      </c>
      <c r="G13" s="418">
        <v>0.116</v>
      </c>
      <c r="H13" s="256" t="s">
        <v>32</v>
      </c>
      <c r="I13" s="256">
        <v>7.6</v>
      </c>
      <c r="J13" s="417">
        <v>55.34</v>
      </c>
      <c r="K13" s="417">
        <v>39.58</v>
      </c>
      <c r="L13" s="417">
        <v>160.82</v>
      </c>
      <c r="M13" s="417">
        <v>161.26</v>
      </c>
      <c r="N13" s="419"/>
      <c r="O13" s="417">
        <v>54.87</v>
      </c>
      <c r="P13" s="417">
        <v>39.42</v>
      </c>
      <c r="Q13" s="417">
        <v>160.5</v>
      </c>
      <c r="R13" s="417">
        <v>159.93</v>
      </c>
      <c r="S13" s="183" t="s">
        <v>543</v>
      </c>
      <c r="T13" s="296"/>
      <c r="U13" s="420" t="s">
        <v>855</v>
      </c>
    </row>
    <row r="14">
      <c r="A14" s="459">
        <v>221282.0</v>
      </c>
      <c r="B14" s="412" t="s">
        <v>1545</v>
      </c>
      <c r="C14" s="412" t="s">
        <v>1546</v>
      </c>
      <c r="D14" s="412">
        <v>99.0</v>
      </c>
      <c r="E14" s="412">
        <v>92.0</v>
      </c>
      <c r="F14" s="412">
        <v>12.0</v>
      </c>
      <c r="G14" s="413">
        <v>0.13</v>
      </c>
      <c r="H14" s="253" t="s">
        <v>32</v>
      </c>
      <c r="I14" s="253">
        <v>6.7</v>
      </c>
      <c r="J14" s="412">
        <v>54.06</v>
      </c>
      <c r="K14" s="412">
        <v>42.65</v>
      </c>
      <c r="L14" s="412">
        <v>160.49</v>
      </c>
      <c r="M14" s="412">
        <v>160.49</v>
      </c>
      <c r="N14" s="414"/>
      <c r="O14" s="412">
        <v>53.93</v>
      </c>
      <c r="P14" s="412">
        <v>42.51</v>
      </c>
      <c r="Q14" s="412">
        <v>160.09</v>
      </c>
      <c r="R14" s="412">
        <v>160.09</v>
      </c>
      <c r="S14" s="183" t="s">
        <v>543</v>
      </c>
      <c r="T14" s="293"/>
      <c r="U14" s="415" t="s">
        <v>855</v>
      </c>
    </row>
    <row r="15">
      <c r="A15" s="460">
        <v>227571.0</v>
      </c>
      <c r="B15" s="417" t="s">
        <v>1333</v>
      </c>
      <c r="C15" s="417" t="s">
        <v>82</v>
      </c>
      <c r="D15" s="417">
        <v>57.0</v>
      </c>
      <c r="E15" s="417">
        <v>54.0</v>
      </c>
      <c r="F15" s="417">
        <v>12.0</v>
      </c>
      <c r="G15" s="418">
        <v>0.222</v>
      </c>
      <c r="H15" s="256" t="s">
        <v>17</v>
      </c>
      <c r="I15" s="256">
        <v>36.7</v>
      </c>
      <c r="J15" s="417">
        <v>49.96</v>
      </c>
      <c r="K15" s="417">
        <v>39.05</v>
      </c>
      <c r="L15" s="417">
        <v>153.7</v>
      </c>
      <c r="M15" s="417">
        <v>153.56</v>
      </c>
      <c r="N15" s="419"/>
      <c r="O15" s="417">
        <v>50.55</v>
      </c>
      <c r="P15" s="417">
        <v>42.73</v>
      </c>
      <c r="Q15" s="417">
        <v>153.89</v>
      </c>
      <c r="R15" s="417">
        <v>152.71</v>
      </c>
      <c r="S15" s="183" t="s">
        <v>90</v>
      </c>
      <c r="T15" s="296"/>
      <c r="U15" s="420" t="s">
        <v>855</v>
      </c>
    </row>
    <row r="16">
      <c r="A16" s="459">
        <v>241119.0</v>
      </c>
      <c r="B16" s="412" t="s">
        <v>1597</v>
      </c>
      <c r="C16" s="412" t="s">
        <v>163</v>
      </c>
      <c r="D16" s="412">
        <v>97.0</v>
      </c>
      <c r="E16" s="412">
        <v>93.0</v>
      </c>
      <c r="F16" s="412">
        <v>12.0</v>
      </c>
      <c r="G16" s="413">
        <v>0.129</v>
      </c>
      <c r="H16" s="253" t="s">
        <v>32</v>
      </c>
      <c r="I16" s="253">
        <v>8.8</v>
      </c>
      <c r="J16" s="412">
        <v>55.56</v>
      </c>
      <c r="K16" s="412">
        <v>39.6</v>
      </c>
      <c r="L16" s="412">
        <v>163.58</v>
      </c>
      <c r="M16" s="412">
        <v>163.02</v>
      </c>
      <c r="N16" s="414"/>
      <c r="O16" s="412">
        <v>55.48</v>
      </c>
      <c r="P16" s="412">
        <v>39.54</v>
      </c>
      <c r="Q16" s="412">
        <v>163.36</v>
      </c>
      <c r="R16" s="412">
        <v>162.79</v>
      </c>
      <c r="S16" s="183" t="s">
        <v>90</v>
      </c>
      <c r="T16" s="293"/>
      <c r="U16" s="415" t="s">
        <v>855</v>
      </c>
    </row>
    <row r="17">
      <c r="A17" s="460">
        <v>234780.0</v>
      </c>
      <c r="B17" s="417" t="s">
        <v>1598</v>
      </c>
      <c r="C17" s="417" t="s">
        <v>1599</v>
      </c>
      <c r="D17" s="417">
        <v>160.0</v>
      </c>
      <c r="E17" s="417">
        <v>148.0</v>
      </c>
      <c r="F17" s="417">
        <v>11.0</v>
      </c>
      <c r="G17" s="418">
        <v>0.074</v>
      </c>
      <c r="H17" s="256" t="s">
        <v>32</v>
      </c>
      <c r="I17" s="256">
        <v>6.7</v>
      </c>
      <c r="J17" s="417">
        <v>50.62</v>
      </c>
      <c r="K17" s="417">
        <v>43.84</v>
      </c>
      <c r="L17" s="417">
        <v>155.57</v>
      </c>
      <c r="M17" s="417">
        <v>155.4</v>
      </c>
      <c r="N17" s="419"/>
      <c r="O17" s="417">
        <v>50.59</v>
      </c>
      <c r="P17" s="417">
        <v>43.8</v>
      </c>
      <c r="Q17" s="417">
        <v>155.45</v>
      </c>
      <c r="R17" s="417">
        <v>155.33</v>
      </c>
      <c r="S17" s="183" t="s">
        <v>543</v>
      </c>
      <c r="T17" s="296"/>
      <c r="U17" s="420" t="s">
        <v>855</v>
      </c>
    </row>
    <row r="18">
      <c r="A18" s="459">
        <v>241115.0</v>
      </c>
      <c r="B18" s="412" t="s">
        <v>1600</v>
      </c>
      <c r="C18" s="412" t="s">
        <v>1142</v>
      </c>
      <c r="D18" s="412">
        <v>78.0</v>
      </c>
      <c r="E18" s="412">
        <v>77.0</v>
      </c>
      <c r="F18" s="412">
        <v>10.0</v>
      </c>
      <c r="G18" s="413">
        <v>0.13</v>
      </c>
      <c r="H18" s="253" t="s">
        <v>32</v>
      </c>
      <c r="I18" s="253">
        <v>10.3</v>
      </c>
      <c r="J18" s="412">
        <v>55.16</v>
      </c>
      <c r="K18" s="412">
        <v>34.74</v>
      </c>
      <c r="L18" s="412">
        <v>149.73</v>
      </c>
      <c r="M18" s="412">
        <v>149.6</v>
      </c>
      <c r="N18" s="414"/>
      <c r="O18" s="412">
        <v>55.12</v>
      </c>
      <c r="P18" s="412">
        <v>34.58</v>
      </c>
      <c r="Q18" s="412">
        <v>149.57</v>
      </c>
      <c r="R18" s="412">
        <v>149.0</v>
      </c>
      <c r="S18" s="183" t="s">
        <v>543</v>
      </c>
      <c r="T18" s="293"/>
      <c r="U18" s="415" t="s">
        <v>855</v>
      </c>
    </row>
    <row r="19">
      <c r="A19" s="460">
        <v>239839.0</v>
      </c>
      <c r="B19" s="417" t="s">
        <v>1323</v>
      </c>
      <c r="C19" s="417" t="s">
        <v>91</v>
      </c>
      <c r="D19" s="417">
        <v>49.0</v>
      </c>
      <c r="E19" s="417">
        <v>41.0</v>
      </c>
      <c r="F19" s="417">
        <v>9.0</v>
      </c>
      <c r="G19" s="418">
        <v>0.22</v>
      </c>
      <c r="H19" s="256" t="s">
        <v>32</v>
      </c>
      <c r="I19" s="256">
        <v>6.7</v>
      </c>
      <c r="J19" s="417">
        <v>53.51</v>
      </c>
      <c r="K19" s="417">
        <v>35.85</v>
      </c>
      <c r="L19" s="417">
        <v>153.28</v>
      </c>
      <c r="M19" s="417">
        <v>153.26</v>
      </c>
      <c r="N19" s="419"/>
      <c r="O19" s="417">
        <v>53.45</v>
      </c>
      <c r="P19" s="417">
        <v>35.79</v>
      </c>
      <c r="Q19" s="417">
        <v>153.17</v>
      </c>
      <c r="R19" s="417">
        <v>153.16</v>
      </c>
      <c r="S19" s="183" t="s">
        <v>543</v>
      </c>
      <c r="T19" s="296"/>
      <c r="U19" s="420" t="s">
        <v>855</v>
      </c>
    </row>
    <row r="20">
      <c r="A20" s="459">
        <v>241092.0</v>
      </c>
      <c r="B20" s="412" t="s">
        <v>1601</v>
      </c>
      <c r="C20" s="412" t="s">
        <v>1602</v>
      </c>
      <c r="D20" s="412">
        <v>35.0</v>
      </c>
      <c r="E20" s="412">
        <v>33.0</v>
      </c>
      <c r="F20" s="412">
        <v>9.0</v>
      </c>
      <c r="G20" s="413">
        <v>0.273</v>
      </c>
      <c r="H20" s="253" t="s">
        <v>32</v>
      </c>
      <c r="I20" s="253">
        <v>18.2</v>
      </c>
      <c r="J20" s="412">
        <v>53.86</v>
      </c>
      <c r="K20" s="412">
        <v>43.63</v>
      </c>
      <c r="L20" s="412">
        <v>160.54</v>
      </c>
      <c r="M20" s="412">
        <v>160.17</v>
      </c>
      <c r="N20" s="414"/>
      <c r="O20" s="412">
        <v>53.76</v>
      </c>
      <c r="P20" s="412">
        <v>43.42</v>
      </c>
      <c r="Q20" s="412">
        <v>160.4</v>
      </c>
      <c r="R20" s="412">
        <v>159.87</v>
      </c>
      <c r="S20" s="183" t="s">
        <v>543</v>
      </c>
      <c r="T20" s="293"/>
      <c r="U20" s="415" t="s">
        <v>855</v>
      </c>
    </row>
    <row r="21">
      <c r="A21" s="460">
        <v>234791.0</v>
      </c>
      <c r="B21" s="417" t="s">
        <v>1603</v>
      </c>
      <c r="C21" s="417" t="s">
        <v>1604</v>
      </c>
      <c r="D21" s="417">
        <v>103.0</v>
      </c>
      <c r="E21" s="417">
        <v>95.0</v>
      </c>
      <c r="F21" s="417">
        <v>8.0</v>
      </c>
      <c r="G21" s="418">
        <v>0.084</v>
      </c>
      <c r="H21" s="256" t="s">
        <v>17</v>
      </c>
      <c r="I21" s="256">
        <v>6.4</v>
      </c>
      <c r="J21" s="417">
        <v>50.03</v>
      </c>
      <c r="K21" s="417">
        <v>42.29</v>
      </c>
      <c r="L21" s="417">
        <v>149.54</v>
      </c>
      <c r="M21" s="417">
        <v>149.43</v>
      </c>
      <c r="N21" s="419"/>
      <c r="O21" s="417">
        <v>50.13</v>
      </c>
      <c r="P21" s="417">
        <v>42.38</v>
      </c>
      <c r="Q21" s="417">
        <v>149.71</v>
      </c>
      <c r="R21" s="417">
        <v>149.76</v>
      </c>
      <c r="S21" s="183" t="s">
        <v>543</v>
      </c>
      <c r="T21" s="296"/>
      <c r="U21" s="420" t="s">
        <v>855</v>
      </c>
    </row>
    <row r="22">
      <c r="A22" s="459">
        <v>235135.0</v>
      </c>
      <c r="B22" s="412" t="s">
        <v>1605</v>
      </c>
      <c r="C22" s="412" t="s">
        <v>1606</v>
      </c>
      <c r="D22" s="412">
        <v>116.0</v>
      </c>
      <c r="E22" s="412">
        <v>106.0</v>
      </c>
      <c r="F22" s="412">
        <v>8.0</v>
      </c>
      <c r="G22" s="413">
        <v>0.075</v>
      </c>
      <c r="H22" s="253" t="s">
        <v>32</v>
      </c>
      <c r="I22" s="253">
        <v>6.4</v>
      </c>
      <c r="J22" s="412">
        <v>54.31</v>
      </c>
      <c r="K22" s="412">
        <v>46.28</v>
      </c>
      <c r="L22" s="412">
        <v>166.44</v>
      </c>
      <c r="M22" s="412">
        <v>166.38</v>
      </c>
      <c r="N22" s="414"/>
      <c r="O22" s="412">
        <v>54.18</v>
      </c>
      <c r="P22" s="412">
        <v>45.93</v>
      </c>
      <c r="Q22" s="412">
        <v>166.16</v>
      </c>
      <c r="R22" s="412">
        <v>165.77</v>
      </c>
      <c r="S22" s="183" t="s">
        <v>543</v>
      </c>
      <c r="T22" s="293"/>
      <c r="U22" s="415" t="s">
        <v>855</v>
      </c>
    </row>
    <row r="23">
      <c r="A23" s="460">
        <v>241094.0</v>
      </c>
      <c r="B23" s="417" t="s">
        <v>1607</v>
      </c>
      <c r="C23" s="417" t="s">
        <v>1608</v>
      </c>
      <c r="D23" s="417">
        <v>114.0</v>
      </c>
      <c r="E23" s="417">
        <v>111.0</v>
      </c>
      <c r="F23" s="417">
        <v>8.0</v>
      </c>
      <c r="G23" s="418">
        <v>0.072</v>
      </c>
      <c r="H23" s="256" t="s">
        <v>32</v>
      </c>
      <c r="I23" s="256">
        <v>4.5</v>
      </c>
      <c r="J23" s="417">
        <v>54.36</v>
      </c>
      <c r="K23" s="417">
        <v>45.46</v>
      </c>
      <c r="L23" s="417">
        <v>160.1</v>
      </c>
      <c r="M23" s="417">
        <v>160.5</v>
      </c>
      <c r="N23" s="419"/>
      <c r="O23" s="417">
        <v>54.32</v>
      </c>
      <c r="P23" s="417">
        <v>45.27</v>
      </c>
      <c r="Q23" s="417">
        <v>160.1</v>
      </c>
      <c r="R23" s="417">
        <v>160.5</v>
      </c>
      <c r="S23" s="183" t="s">
        <v>543</v>
      </c>
      <c r="T23" s="296"/>
      <c r="U23" s="420" t="s">
        <v>855</v>
      </c>
    </row>
    <row r="24">
      <c r="A24" s="459">
        <v>241112.0</v>
      </c>
      <c r="B24" s="412" t="s">
        <v>1609</v>
      </c>
      <c r="C24" s="412" t="s">
        <v>1610</v>
      </c>
      <c r="D24" s="412">
        <v>140.0</v>
      </c>
      <c r="E24" s="412">
        <v>135.0</v>
      </c>
      <c r="F24" s="412">
        <v>8.0</v>
      </c>
      <c r="G24" s="413">
        <v>0.059</v>
      </c>
      <c r="H24" s="253" t="s">
        <v>32</v>
      </c>
      <c r="I24" s="253">
        <v>3.0</v>
      </c>
      <c r="J24" s="412">
        <v>54.09</v>
      </c>
      <c r="K24" s="412">
        <v>37.46</v>
      </c>
      <c r="L24" s="141">
        <v>151.21</v>
      </c>
      <c r="M24" s="412">
        <v>151.21</v>
      </c>
      <c r="N24" s="414"/>
      <c r="O24" s="412">
        <v>54.05</v>
      </c>
      <c r="P24" s="412">
        <v>37.42</v>
      </c>
      <c r="Q24" s="412">
        <v>151.21</v>
      </c>
      <c r="R24" s="412">
        <v>151.21</v>
      </c>
      <c r="S24" s="183" t="s">
        <v>543</v>
      </c>
      <c r="T24" s="293"/>
      <c r="U24" s="415" t="s">
        <v>855</v>
      </c>
    </row>
    <row r="25">
      <c r="A25" s="460">
        <v>207481.0</v>
      </c>
      <c r="B25" s="417" t="s">
        <v>1611</v>
      </c>
      <c r="C25" s="417" t="s">
        <v>1612</v>
      </c>
      <c r="D25" s="417">
        <v>109.0</v>
      </c>
      <c r="E25" s="417">
        <v>111.0</v>
      </c>
      <c r="F25" s="417">
        <v>7.0</v>
      </c>
      <c r="G25" s="418">
        <v>0.063</v>
      </c>
      <c r="H25" s="256" t="s">
        <v>17</v>
      </c>
      <c r="I25" s="256">
        <v>6.3</v>
      </c>
      <c r="J25" s="417">
        <v>50.99</v>
      </c>
      <c r="K25" s="417">
        <v>42.86</v>
      </c>
      <c r="L25" s="417">
        <v>154.05</v>
      </c>
      <c r="M25" s="417">
        <v>153.69</v>
      </c>
      <c r="N25" s="419"/>
      <c r="O25" s="417">
        <v>51.08</v>
      </c>
      <c r="P25" s="417">
        <v>42.92</v>
      </c>
      <c r="Q25" s="417">
        <v>154.22</v>
      </c>
      <c r="R25" s="417">
        <v>154.22</v>
      </c>
      <c r="S25" s="183" t="s">
        <v>90</v>
      </c>
      <c r="T25" s="296"/>
      <c r="U25" s="420" t="s">
        <v>855</v>
      </c>
    </row>
    <row r="26">
      <c r="A26" s="459">
        <v>213180.0</v>
      </c>
      <c r="B26" s="412" t="s">
        <v>1613</v>
      </c>
      <c r="C26" s="412" t="s">
        <v>1614</v>
      </c>
      <c r="D26" s="412">
        <v>32.0</v>
      </c>
      <c r="E26" s="412">
        <v>28.0</v>
      </c>
      <c r="F26" s="412">
        <v>6.0</v>
      </c>
      <c r="G26" s="413">
        <v>0.214</v>
      </c>
      <c r="H26" s="253" t="s">
        <v>32</v>
      </c>
      <c r="I26" s="253">
        <v>6.4</v>
      </c>
      <c r="J26" s="412">
        <v>59.38</v>
      </c>
      <c r="K26" s="412">
        <v>39.25</v>
      </c>
      <c r="L26" s="412">
        <v>161.77</v>
      </c>
      <c r="M26" s="412">
        <v>162.07</v>
      </c>
      <c r="N26" s="414"/>
      <c r="O26" s="412">
        <v>59.31</v>
      </c>
      <c r="P26" s="412">
        <v>39.18</v>
      </c>
      <c r="Q26" s="412">
        <v>161.25</v>
      </c>
      <c r="R26" s="412">
        <v>161.25</v>
      </c>
      <c r="S26" s="183" t="s">
        <v>90</v>
      </c>
      <c r="T26" s="293"/>
      <c r="U26" s="415" t="s">
        <v>855</v>
      </c>
    </row>
    <row r="27">
      <c r="A27" s="460">
        <v>222135.0</v>
      </c>
      <c r="B27" s="417" t="s">
        <v>1615</v>
      </c>
      <c r="C27" s="417" t="s">
        <v>1151</v>
      </c>
      <c r="D27" s="417">
        <v>27.0</v>
      </c>
      <c r="E27" s="417">
        <v>27.0</v>
      </c>
      <c r="F27" s="417">
        <v>6.0</v>
      </c>
      <c r="G27" s="418">
        <v>0.222</v>
      </c>
      <c r="H27" s="256" t="s">
        <v>32</v>
      </c>
      <c r="I27" s="256">
        <v>6.4</v>
      </c>
      <c r="J27" s="417">
        <v>55.35</v>
      </c>
      <c r="K27" s="417">
        <v>34.53</v>
      </c>
      <c r="L27" s="417">
        <v>156.83</v>
      </c>
      <c r="M27" s="417">
        <v>157.08</v>
      </c>
      <c r="N27" s="419"/>
      <c r="O27" s="417">
        <v>55.29</v>
      </c>
      <c r="P27" s="417">
        <v>34.48</v>
      </c>
      <c r="Q27" s="417">
        <v>156.39</v>
      </c>
      <c r="R27" s="417">
        <v>156.39</v>
      </c>
      <c r="S27" s="183" t="s">
        <v>90</v>
      </c>
      <c r="T27" s="296"/>
      <c r="U27" s="420" t="s">
        <v>855</v>
      </c>
    </row>
    <row r="28">
      <c r="A28" s="459">
        <v>225336.0</v>
      </c>
      <c r="B28" s="412" t="s">
        <v>1616</v>
      </c>
      <c r="C28" s="412" t="s">
        <v>1128</v>
      </c>
      <c r="D28" s="412">
        <v>32.0</v>
      </c>
      <c r="E28" s="412">
        <v>24.0</v>
      </c>
      <c r="F28" s="412">
        <v>6.0</v>
      </c>
      <c r="G28" s="413">
        <v>0.25</v>
      </c>
      <c r="H28" s="253" t="s">
        <v>17</v>
      </c>
      <c r="I28" s="253">
        <v>15.8</v>
      </c>
      <c r="J28" s="412">
        <v>47.33</v>
      </c>
      <c r="K28" s="412">
        <v>41.41</v>
      </c>
      <c r="L28" s="412">
        <v>144.07</v>
      </c>
      <c r="M28" s="412">
        <v>144.62</v>
      </c>
      <c r="N28" s="414"/>
      <c r="O28" s="412">
        <v>48.07</v>
      </c>
      <c r="P28" s="412">
        <v>41.45</v>
      </c>
      <c r="Q28" s="412">
        <v>145.29</v>
      </c>
      <c r="R28" s="412">
        <v>144.69</v>
      </c>
      <c r="S28" s="183" t="s">
        <v>90</v>
      </c>
      <c r="T28" s="293"/>
      <c r="U28" s="415" t="s">
        <v>855</v>
      </c>
    </row>
    <row r="29">
      <c r="A29" s="460">
        <v>238918.0</v>
      </c>
      <c r="B29" s="417" t="s">
        <v>1617</v>
      </c>
      <c r="C29" s="417" t="s">
        <v>1618</v>
      </c>
      <c r="D29" s="417">
        <v>119.0</v>
      </c>
      <c r="E29" s="417">
        <v>110.0</v>
      </c>
      <c r="F29" s="417">
        <v>6.0</v>
      </c>
      <c r="G29" s="418">
        <v>0.055</v>
      </c>
      <c r="H29" s="256" t="s">
        <v>32</v>
      </c>
      <c r="I29" s="256">
        <v>4.3</v>
      </c>
      <c r="J29" s="417">
        <v>55.2</v>
      </c>
      <c r="K29" s="417">
        <v>45.08</v>
      </c>
      <c r="L29" s="417">
        <v>166.11</v>
      </c>
      <c r="M29" s="417">
        <v>166.21</v>
      </c>
      <c r="N29" s="419"/>
      <c r="O29" s="417">
        <v>55.13</v>
      </c>
      <c r="P29" s="417">
        <v>45.0</v>
      </c>
      <c r="Q29" s="417">
        <v>165.74</v>
      </c>
      <c r="R29" s="417">
        <v>165.74</v>
      </c>
      <c r="S29" s="183" t="s">
        <v>90</v>
      </c>
      <c r="T29" s="296"/>
      <c r="U29" s="420" t="s">
        <v>855</v>
      </c>
    </row>
    <row r="30">
      <c r="A30" s="459">
        <v>241935.0</v>
      </c>
      <c r="B30" s="412" t="s">
        <v>1619</v>
      </c>
      <c r="C30" s="412" t="s">
        <v>1620</v>
      </c>
      <c r="D30" s="412">
        <v>31.0</v>
      </c>
      <c r="E30" s="412">
        <v>26.0</v>
      </c>
      <c r="F30" s="412">
        <v>6.0</v>
      </c>
      <c r="G30" s="413">
        <v>0.231</v>
      </c>
      <c r="H30" s="310" t="s">
        <v>32</v>
      </c>
      <c r="I30" s="253">
        <v>16.7</v>
      </c>
      <c r="J30" s="412">
        <v>52.27</v>
      </c>
      <c r="K30" s="412">
        <v>39.27</v>
      </c>
      <c r="L30" s="412">
        <v>152.46</v>
      </c>
      <c r="M30" s="412">
        <v>152.59</v>
      </c>
      <c r="N30" s="414"/>
      <c r="O30" s="412">
        <v>52.04</v>
      </c>
      <c r="P30" s="412">
        <v>38.93</v>
      </c>
      <c r="Q30" s="412">
        <v>151.97</v>
      </c>
      <c r="R30" s="412">
        <v>151.88</v>
      </c>
      <c r="S30" s="183" t="s">
        <v>90</v>
      </c>
      <c r="T30" s="293"/>
      <c r="U30" s="415" t="s">
        <v>855</v>
      </c>
    </row>
    <row r="31">
      <c r="A31" s="460">
        <v>147021.0</v>
      </c>
      <c r="B31" s="417" t="s">
        <v>1621</v>
      </c>
      <c r="C31" s="417" t="s">
        <v>1622</v>
      </c>
      <c r="D31" s="417">
        <v>69.0</v>
      </c>
      <c r="E31" s="417">
        <v>66.0</v>
      </c>
      <c r="F31" s="417">
        <v>5.0</v>
      </c>
      <c r="G31" s="418">
        <v>0.076</v>
      </c>
      <c r="H31" s="256" t="s">
        <v>32</v>
      </c>
      <c r="I31" s="256">
        <v>5.1</v>
      </c>
      <c r="J31" s="417">
        <v>57.05</v>
      </c>
      <c r="K31" s="417">
        <v>45.93</v>
      </c>
      <c r="L31" s="417">
        <v>170.35</v>
      </c>
      <c r="M31" s="417">
        <v>170.67</v>
      </c>
      <c r="N31" s="419"/>
      <c r="O31" s="417">
        <v>56.85</v>
      </c>
      <c r="P31" s="417">
        <v>45.76</v>
      </c>
      <c r="Q31" s="417">
        <v>169.61</v>
      </c>
      <c r="R31" s="417">
        <v>169.93</v>
      </c>
      <c r="S31" s="183" t="s">
        <v>90</v>
      </c>
      <c r="T31" s="296"/>
      <c r="U31" s="420" t="s">
        <v>855</v>
      </c>
    </row>
    <row r="32">
      <c r="A32" s="459">
        <v>150583.0</v>
      </c>
      <c r="B32" s="412" t="s">
        <v>1623</v>
      </c>
      <c r="C32" s="412" t="s">
        <v>1624</v>
      </c>
      <c r="D32" s="412">
        <v>81.0</v>
      </c>
      <c r="E32" s="412">
        <v>77.0</v>
      </c>
      <c r="F32" s="412">
        <v>5.0</v>
      </c>
      <c r="G32" s="413">
        <v>0.065</v>
      </c>
      <c r="H32" s="253" t="s">
        <v>32</v>
      </c>
      <c r="I32" s="253">
        <v>3.0</v>
      </c>
      <c r="J32" s="412">
        <v>55.61</v>
      </c>
      <c r="K32" s="412">
        <v>41.45</v>
      </c>
      <c r="L32" s="412">
        <v>164.29</v>
      </c>
      <c r="M32" s="412">
        <v>164.02</v>
      </c>
      <c r="N32" s="414"/>
      <c r="O32" s="412">
        <v>55.51</v>
      </c>
      <c r="P32" s="412">
        <v>40.87</v>
      </c>
      <c r="Q32" s="412">
        <v>163.99</v>
      </c>
      <c r="R32" s="412">
        <v>162.6</v>
      </c>
      <c r="S32" s="183" t="s">
        <v>90</v>
      </c>
      <c r="T32" s="293"/>
      <c r="U32" s="415" t="s">
        <v>855</v>
      </c>
    </row>
    <row r="33">
      <c r="A33" s="460">
        <v>207551.0</v>
      </c>
      <c r="B33" s="417" t="s">
        <v>1625</v>
      </c>
      <c r="C33" s="417" t="s">
        <v>1147</v>
      </c>
      <c r="D33" s="417">
        <v>61.0</v>
      </c>
      <c r="E33" s="417">
        <v>60.0</v>
      </c>
      <c r="F33" s="417">
        <v>5.0</v>
      </c>
      <c r="G33" s="418">
        <v>0.083</v>
      </c>
      <c r="H33" s="256" t="s">
        <v>32</v>
      </c>
      <c r="I33" s="256">
        <v>3.7</v>
      </c>
      <c r="J33" s="417">
        <v>56.8</v>
      </c>
      <c r="K33" s="417">
        <v>37.42</v>
      </c>
      <c r="L33" s="417">
        <v>160.04</v>
      </c>
      <c r="M33" s="417">
        <v>159.65</v>
      </c>
      <c r="N33" s="419"/>
      <c r="O33" s="417">
        <v>56.75</v>
      </c>
      <c r="P33" s="417">
        <v>37.19</v>
      </c>
      <c r="Q33" s="417">
        <v>159.63</v>
      </c>
      <c r="R33" s="417">
        <v>158.76</v>
      </c>
      <c r="S33" s="183" t="s">
        <v>90</v>
      </c>
      <c r="T33" s="296"/>
      <c r="U33" s="420" t="s">
        <v>855</v>
      </c>
    </row>
    <row r="34">
      <c r="A34" s="459">
        <v>213180.0</v>
      </c>
      <c r="B34" s="412" t="s">
        <v>1626</v>
      </c>
      <c r="C34" s="412" t="s">
        <v>1627</v>
      </c>
      <c r="D34" s="412">
        <v>27.0</v>
      </c>
      <c r="E34" s="412">
        <v>25.0</v>
      </c>
      <c r="F34" s="412">
        <v>5.0</v>
      </c>
      <c r="G34" s="413">
        <v>0.2</v>
      </c>
      <c r="H34" s="253" t="s">
        <v>32</v>
      </c>
      <c r="I34" s="253">
        <v>7.1</v>
      </c>
      <c r="J34" s="412">
        <v>59.33</v>
      </c>
      <c r="K34" s="412">
        <v>39.55</v>
      </c>
      <c r="L34" s="412">
        <v>161.82</v>
      </c>
      <c r="M34" s="412">
        <v>162.08</v>
      </c>
      <c r="N34" s="414"/>
      <c r="O34" s="412">
        <v>59.27</v>
      </c>
      <c r="P34" s="412">
        <v>39.5</v>
      </c>
      <c r="Q34" s="412">
        <v>161.39</v>
      </c>
      <c r="R34" s="412">
        <v>161.39</v>
      </c>
      <c r="S34" s="183" t="s">
        <v>90</v>
      </c>
      <c r="T34" s="293"/>
      <c r="U34" s="415" t="s">
        <v>855</v>
      </c>
    </row>
    <row r="35">
      <c r="A35" s="460">
        <v>219825.0</v>
      </c>
      <c r="B35" s="417" t="s">
        <v>1544</v>
      </c>
      <c r="C35" s="417" t="s">
        <v>559</v>
      </c>
      <c r="D35" s="417">
        <v>101.0</v>
      </c>
      <c r="E35" s="417">
        <v>95.0</v>
      </c>
      <c r="F35" s="417">
        <v>5.0</v>
      </c>
      <c r="G35" s="418">
        <v>0.053</v>
      </c>
      <c r="H35" s="256" t="s">
        <v>32</v>
      </c>
      <c r="I35" s="256">
        <v>3.7</v>
      </c>
      <c r="J35" s="310">
        <v>55.16</v>
      </c>
      <c r="K35" s="310">
        <v>37.4</v>
      </c>
      <c r="L35" s="417">
        <v>156.35</v>
      </c>
      <c r="M35" s="417">
        <v>156.01</v>
      </c>
      <c r="N35" s="419"/>
      <c r="O35" s="417">
        <v>55.11</v>
      </c>
      <c r="P35" s="417">
        <v>37.3</v>
      </c>
      <c r="Q35" s="417">
        <v>156.11</v>
      </c>
      <c r="R35" s="417">
        <v>156.02</v>
      </c>
      <c r="S35" s="183" t="s">
        <v>90</v>
      </c>
      <c r="T35" s="296"/>
      <c r="U35" s="420" t="s">
        <v>855</v>
      </c>
    </row>
    <row r="36">
      <c r="A36" s="459">
        <v>222900.0</v>
      </c>
      <c r="B36" s="412" t="s">
        <v>1628</v>
      </c>
      <c r="C36" s="412" t="s">
        <v>1629</v>
      </c>
      <c r="D36" s="412">
        <v>68.0</v>
      </c>
      <c r="E36" s="412">
        <v>64.0</v>
      </c>
      <c r="F36" s="412">
        <v>5.0</v>
      </c>
      <c r="G36" s="413">
        <v>0.078</v>
      </c>
      <c r="H36" s="253" t="s">
        <v>17</v>
      </c>
      <c r="I36" s="253">
        <v>4.8</v>
      </c>
      <c r="J36" s="412">
        <v>54.86</v>
      </c>
      <c r="K36" s="412">
        <v>42.09</v>
      </c>
      <c r="L36" s="412">
        <v>164.05</v>
      </c>
      <c r="M36" s="412">
        <v>164.15</v>
      </c>
      <c r="N36" s="414"/>
      <c r="O36" s="412">
        <v>54.9</v>
      </c>
      <c r="P36" s="412">
        <v>42.16</v>
      </c>
      <c r="Q36" s="412">
        <v>164.25</v>
      </c>
      <c r="R36" s="412">
        <v>164.18</v>
      </c>
      <c r="S36" s="183" t="s">
        <v>90</v>
      </c>
      <c r="T36" s="293"/>
      <c r="U36" s="415" t="s">
        <v>855</v>
      </c>
    </row>
    <row r="37">
      <c r="A37" s="460">
        <v>227450.0</v>
      </c>
      <c r="B37" s="417" t="s">
        <v>1630</v>
      </c>
      <c r="C37" s="417" t="s">
        <v>65</v>
      </c>
      <c r="D37" s="417">
        <v>98.0</v>
      </c>
      <c r="E37" s="417">
        <v>95.0</v>
      </c>
      <c r="F37" s="417">
        <v>5.0</v>
      </c>
      <c r="G37" s="418">
        <v>0.053</v>
      </c>
      <c r="H37" s="256" t="s">
        <v>32</v>
      </c>
      <c r="I37" s="256">
        <v>2.7</v>
      </c>
      <c r="J37" s="417" t="s">
        <v>1631</v>
      </c>
      <c r="K37" s="468"/>
      <c r="L37" s="468"/>
      <c r="M37" s="468"/>
      <c r="N37" s="468"/>
      <c r="O37" s="468"/>
      <c r="P37" s="468"/>
      <c r="Q37" s="468"/>
      <c r="R37" s="468"/>
      <c r="S37" s="183" t="s">
        <v>90</v>
      </c>
      <c r="T37" s="417"/>
      <c r="U37" s="420" t="s">
        <v>855</v>
      </c>
    </row>
    <row r="38">
      <c r="A38" s="459">
        <v>234765.0</v>
      </c>
      <c r="B38" s="412" t="s">
        <v>1566</v>
      </c>
      <c r="C38" s="412" t="s">
        <v>1525</v>
      </c>
      <c r="D38" s="412">
        <v>28.0</v>
      </c>
      <c r="E38" s="412">
        <v>23.0</v>
      </c>
      <c r="F38" s="412">
        <v>5.0</v>
      </c>
      <c r="G38" s="413">
        <v>0.217</v>
      </c>
      <c r="H38" s="253" t="s">
        <v>1632</v>
      </c>
      <c r="I38" s="253" t="s">
        <v>1633</v>
      </c>
      <c r="J38" s="412" t="s">
        <v>796</v>
      </c>
      <c r="K38" s="468"/>
      <c r="L38" s="468"/>
      <c r="M38" s="468"/>
      <c r="N38" s="468"/>
      <c r="O38" s="468"/>
      <c r="P38" s="468"/>
      <c r="Q38" s="468"/>
      <c r="R38" s="468"/>
      <c r="S38" s="183" t="s">
        <v>90</v>
      </c>
      <c r="T38" s="253" t="s">
        <v>1593</v>
      </c>
      <c r="U38" s="415" t="s">
        <v>855</v>
      </c>
    </row>
    <row r="39">
      <c r="A39" s="460">
        <v>234796.0</v>
      </c>
      <c r="B39" s="417" t="s">
        <v>1576</v>
      </c>
      <c r="C39" s="417" t="s">
        <v>1126</v>
      </c>
      <c r="D39" s="417">
        <v>9.0</v>
      </c>
      <c r="E39" s="417">
        <v>7.0</v>
      </c>
      <c r="F39" s="417">
        <v>5.0</v>
      </c>
      <c r="G39" s="418">
        <v>0.714</v>
      </c>
      <c r="H39" s="256" t="s">
        <v>32</v>
      </c>
      <c r="I39" s="256">
        <v>65.1</v>
      </c>
      <c r="J39" s="417">
        <v>50.09</v>
      </c>
      <c r="K39" s="417">
        <v>46.7</v>
      </c>
      <c r="L39" s="417">
        <v>157.32</v>
      </c>
      <c r="M39" s="417">
        <v>157.36</v>
      </c>
      <c r="N39" s="419"/>
      <c r="O39" s="417">
        <v>50.05</v>
      </c>
      <c r="P39" s="417">
        <v>46.65</v>
      </c>
      <c r="Q39" s="417">
        <v>157.19</v>
      </c>
      <c r="R39" s="417">
        <v>157.36</v>
      </c>
      <c r="S39" s="183" t="s">
        <v>90</v>
      </c>
      <c r="T39" s="296"/>
      <c r="U39" s="420" t="s">
        <v>855</v>
      </c>
    </row>
    <row r="40">
      <c r="A40" s="459">
        <v>238662.0</v>
      </c>
      <c r="B40" s="412" t="s">
        <v>1634</v>
      </c>
      <c r="C40" s="412" t="s">
        <v>1635</v>
      </c>
      <c r="D40" s="412">
        <v>99.0</v>
      </c>
      <c r="E40" s="412">
        <v>86.0</v>
      </c>
      <c r="F40" s="412">
        <v>5.0</v>
      </c>
      <c r="G40" s="413">
        <v>0.058</v>
      </c>
      <c r="H40" s="253" t="s">
        <v>32</v>
      </c>
      <c r="I40" s="253">
        <v>2.2</v>
      </c>
      <c r="J40" s="412">
        <v>51.3</v>
      </c>
      <c r="K40" s="412">
        <v>32.62</v>
      </c>
      <c r="L40" s="412">
        <v>139.92</v>
      </c>
      <c r="M40" s="412">
        <v>139.77</v>
      </c>
      <c r="N40" s="414"/>
      <c r="O40" s="412">
        <v>51.26</v>
      </c>
      <c r="P40" s="412">
        <v>32.58</v>
      </c>
      <c r="Q40" s="412">
        <v>139.67</v>
      </c>
      <c r="R40" s="412">
        <v>139.67</v>
      </c>
      <c r="S40" s="183" t="s">
        <v>90</v>
      </c>
      <c r="T40" s="293"/>
      <c r="U40" s="415" t="s">
        <v>855</v>
      </c>
    </row>
    <row r="41">
      <c r="A41" s="460">
        <v>241386.0</v>
      </c>
      <c r="B41" s="417" t="s">
        <v>1582</v>
      </c>
      <c r="C41" s="417" t="s">
        <v>1583</v>
      </c>
      <c r="D41" s="417">
        <v>47.0</v>
      </c>
      <c r="E41" s="417">
        <v>40.0</v>
      </c>
      <c r="F41" s="417">
        <v>5.0</v>
      </c>
      <c r="G41" s="418">
        <v>0.125</v>
      </c>
      <c r="H41" s="256" t="s">
        <v>32</v>
      </c>
      <c r="I41" s="256">
        <v>4.1</v>
      </c>
      <c r="J41" s="417">
        <v>51.69</v>
      </c>
      <c r="K41" s="417">
        <v>39.8</v>
      </c>
      <c r="L41" s="417">
        <v>149.97</v>
      </c>
      <c r="M41" s="417">
        <v>150.29</v>
      </c>
      <c r="N41" s="419"/>
      <c r="O41" s="417">
        <v>51.6</v>
      </c>
      <c r="P41" s="417">
        <v>39.6</v>
      </c>
      <c r="Q41" s="417">
        <v>149.98</v>
      </c>
      <c r="R41" s="417">
        <v>149.83</v>
      </c>
      <c r="S41" s="183" t="s">
        <v>90</v>
      </c>
      <c r="T41" s="296"/>
      <c r="U41" s="420" t="s">
        <v>855</v>
      </c>
    </row>
    <row r="42">
      <c r="S42" s="318"/>
    </row>
  </sheetData>
  <mergeCells count="3">
    <mergeCell ref="J8:R8"/>
    <mergeCell ref="J37:R37"/>
    <mergeCell ref="J38:R38"/>
  </mergeCells>
  <dataValidations>
    <dataValidation type="list" allowBlank="1" showErrorMessage="1" sqref="S2:S41">
      <formula1>"GITANJALI,AMIRUN,DEEPANSHU,DHAVAL,ADITI"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75"/>
    <col hidden="1" min="4" max="7" width="12.63"/>
    <col customWidth="1" min="8" max="8" width="22.5"/>
    <col customWidth="1" min="20" max="20" width="34.13"/>
  </cols>
  <sheetData>
    <row r="1">
      <c r="A1" s="463" t="s">
        <v>1414</v>
      </c>
      <c r="B1" s="457" t="s">
        <v>1415</v>
      </c>
      <c r="C1" s="457" t="s">
        <v>848</v>
      </c>
      <c r="D1" s="457" t="s">
        <v>849</v>
      </c>
      <c r="E1" s="457" t="s">
        <v>850</v>
      </c>
      <c r="F1" s="457" t="s">
        <v>851</v>
      </c>
      <c r="G1" s="457" t="s">
        <v>852</v>
      </c>
      <c r="H1" s="457" t="s">
        <v>3</v>
      </c>
      <c r="I1" s="457" t="s">
        <v>4</v>
      </c>
      <c r="J1" s="455" t="s">
        <v>6</v>
      </c>
      <c r="K1" s="456" t="s">
        <v>7</v>
      </c>
      <c r="L1" s="456" t="s">
        <v>8</v>
      </c>
      <c r="M1" s="456" t="s">
        <v>9</v>
      </c>
      <c r="N1" s="456" t="s">
        <v>10</v>
      </c>
      <c r="O1" s="456" t="s">
        <v>11</v>
      </c>
      <c r="P1" s="455" t="s">
        <v>12</v>
      </c>
      <c r="Q1" s="456" t="s">
        <v>13</v>
      </c>
      <c r="R1" s="456" t="s">
        <v>14</v>
      </c>
      <c r="S1" s="457" t="s">
        <v>16</v>
      </c>
      <c r="T1" s="455" t="s">
        <v>15</v>
      </c>
      <c r="U1" s="464" t="s">
        <v>1416</v>
      </c>
      <c r="V1" s="465"/>
      <c r="W1" s="465"/>
      <c r="X1" s="465"/>
      <c r="Y1" s="465"/>
    </row>
    <row r="2">
      <c r="A2" s="194">
        <v>241115.0</v>
      </c>
      <c r="B2" s="183" t="s">
        <v>1636</v>
      </c>
      <c r="C2" s="152" t="s">
        <v>1637</v>
      </c>
      <c r="D2" s="152">
        <v>193.0</v>
      </c>
      <c r="E2" s="152">
        <v>188.0</v>
      </c>
      <c r="F2" s="152">
        <v>10.0</v>
      </c>
      <c r="G2" s="447">
        <v>0.053</v>
      </c>
      <c r="H2" s="152" t="s">
        <v>32</v>
      </c>
      <c r="I2" s="152">
        <v>5.0</v>
      </c>
      <c r="J2" s="152">
        <v>55.41</v>
      </c>
      <c r="K2" s="152">
        <v>34.62</v>
      </c>
      <c r="L2" s="152">
        <v>149.68</v>
      </c>
      <c r="M2" s="152">
        <v>149.75</v>
      </c>
      <c r="N2" s="450"/>
      <c r="O2" s="152">
        <v>55.2</v>
      </c>
      <c r="P2" s="152">
        <v>34.4</v>
      </c>
      <c r="Q2" s="152">
        <v>148.8</v>
      </c>
      <c r="R2" s="152">
        <v>148.91</v>
      </c>
      <c r="S2" s="183" t="s">
        <v>20</v>
      </c>
      <c r="T2" s="196"/>
      <c r="U2" s="197" t="s">
        <v>855</v>
      </c>
      <c r="V2" s="318" t="str">
        <f>VLOOKUP(C:C,'1-7 AUG'!C:C,1,0)</f>
        <v>#N/A</v>
      </c>
      <c r="W2" s="318"/>
      <c r="X2" s="318"/>
      <c r="Y2" s="318"/>
    </row>
    <row r="3">
      <c r="A3" s="469">
        <v>148157.0</v>
      </c>
      <c r="B3" s="268" t="s">
        <v>1638</v>
      </c>
      <c r="C3" s="470" t="s">
        <v>1639</v>
      </c>
      <c r="D3" s="470">
        <v>134.0</v>
      </c>
      <c r="E3" s="470">
        <v>130.0</v>
      </c>
      <c r="F3" s="470">
        <v>10.0</v>
      </c>
      <c r="G3" s="471">
        <v>0.077</v>
      </c>
      <c r="H3" s="470" t="s">
        <v>32</v>
      </c>
      <c r="I3" s="470">
        <v>4.9</v>
      </c>
      <c r="J3" s="470">
        <v>50.43</v>
      </c>
      <c r="K3" s="470">
        <v>45.36</v>
      </c>
      <c r="L3" s="470">
        <v>152.9</v>
      </c>
      <c r="M3" s="470">
        <v>152.72</v>
      </c>
      <c r="N3" s="472"/>
      <c r="O3" s="470">
        <v>50.2</v>
      </c>
      <c r="P3" s="470">
        <v>45.16</v>
      </c>
      <c r="Q3" s="470">
        <v>152.21</v>
      </c>
      <c r="R3" s="470">
        <v>152.02</v>
      </c>
      <c r="S3" s="183" t="s">
        <v>20</v>
      </c>
      <c r="T3" s="285"/>
      <c r="U3" s="473" t="s">
        <v>855</v>
      </c>
      <c r="V3" s="318" t="str">
        <f>VLOOKUP(C:C,'1-7 AUG'!C:C,1,0)</f>
        <v>#N/A</v>
      </c>
      <c r="W3" s="318"/>
      <c r="X3" s="318"/>
      <c r="Y3" s="318"/>
    </row>
    <row r="4">
      <c r="A4" s="474">
        <v>238524.0</v>
      </c>
      <c r="B4" s="264" t="s">
        <v>1640</v>
      </c>
      <c r="C4" s="475" t="s">
        <v>1641</v>
      </c>
      <c r="D4" s="475">
        <v>97.0</v>
      </c>
      <c r="E4" s="475">
        <v>87.0</v>
      </c>
      <c r="F4" s="475">
        <v>10.0</v>
      </c>
      <c r="G4" s="476">
        <v>0.115</v>
      </c>
      <c r="H4" s="475" t="s">
        <v>32</v>
      </c>
      <c r="I4" s="475">
        <v>1.9</v>
      </c>
      <c r="J4" s="477"/>
      <c r="K4" s="477"/>
      <c r="L4" s="477"/>
      <c r="M4" s="477"/>
      <c r="N4" s="477"/>
      <c r="O4" s="477"/>
      <c r="P4" s="477"/>
      <c r="Q4" s="477"/>
      <c r="R4" s="477"/>
      <c r="S4" s="196"/>
      <c r="T4" s="264" t="s">
        <v>1642</v>
      </c>
      <c r="U4" s="478" t="s">
        <v>855</v>
      </c>
      <c r="V4" s="318" t="str">
        <f>VLOOKUP(C:C,'1-7 AUG'!C:C,1,0)</f>
        <v>#N/A</v>
      </c>
      <c r="W4" s="318"/>
      <c r="X4" s="318"/>
      <c r="Y4" s="318"/>
    </row>
    <row r="5">
      <c r="A5" s="469">
        <v>237932.0</v>
      </c>
      <c r="B5" s="268" t="s">
        <v>1336</v>
      </c>
      <c r="C5" s="470" t="s">
        <v>116</v>
      </c>
      <c r="D5" s="470">
        <v>11.0</v>
      </c>
      <c r="E5" s="470">
        <v>11.0</v>
      </c>
      <c r="F5" s="470">
        <v>10.0</v>
      </c>
      <c r="G5" s="471">
        <v>0.909</v>
      </c>
      <c r="H5" s="470" t="s">
        <v>17</v>
      </c>
      <c r="I5" s="470">
        <v>90.0</v>
      </c>
      <c r="J5" s="470">
        <v>47.09</v>
      </c>
      <c r="K5" s="470">
        <v>43.2</v>
      </c>
      <c r="L5" s="470">
        <v>145.77</v>
      </c>
      <c r="M5" s="470">
        <v>146.14</v>
      </c>
      <c r="N5" s="472"/>
      <c r="O5" s="470">
        <v>47.31</v>
      </c>
      <c r="P5" s="470">
        <v>43.4</v>
      </c>
      <c r="Q5" s="470">
        <v>146.43</v>
      </c>
      <c r="R5" s="470">
        <v>146.95</v>
      </c>
      <c r="S5" s="183" t="s">
        <v>20</v>
      </c>
      <c r="T5" s="285"/>
      <c r="U5" s="473" t="s">
        <v>855</v>
      </c>
      <c r="V5" s="318" t="str">
        <f>VLOOKUP(C:C,'1-7 AUG'!C:C,1,0)</f>
        <v>237932.IRJ127B2C0000347</v>
      </c>
      <c r="W5" s="318"/>
      <c r="X5" s="318"/>
      <c r="Y5" s="318"/>
    </row>
    <row r="6">
      <c r="A6" s="474">
        <v>245903.0</v>
      </c>
      <c r="B6" s="264" t="s">
        <v>1643</v>
      </c>
      <c r="C6" s="475" t="s">
        <v>1644</v>
      </c>
      <c r="D6" s="475">
        <v>186.0</v>
      </c>
      <c r="E6" s="475">
        <v>180.0</v>
      </c>
      <c r="F6" s="475">
        <v>9.0</v>
      </c>
      <c r="G6" s="476">
        <v>0.05</v>
      </c>
      <c r="H6" s="475" t="s">
        <v>32</v>
      </c>
      <c r="I6" s="475">
        <v>3.1</v>
      </c>
      <c r="J6" s="475">
        <v>56.43</v>
      </c>
      <c r="K6" s="475">
        <v>43.46</v>
      </c>
      <c r="L6" s="475">
        <v>166.01</v>
      </c>
      <c r="M6" s="475">
        <v>166.28</v>
      </c>
      <c r="N6" s="477"/>
      <c r="O6" s="475">
        <v>56.2</v>
      </c>
      <c r="P6" s="475">
        <v>43.26</v>
      </c>
      <c r="Q6" s="475">
        <v>165.28</v>
      </c>
      <c r="R6" s="475">
        <v>165.39</v>
      </c>
      <c r="S6" s="183" t="s">
        <v>20</v>
      </c>
      <c r="T6" s="283"/>
      <c r="U6" s="478" t="s">
        <v>855</v>
      </c>
      <c r="V6" s="318" t="str">
        <f>VLOOKUP(C:C,'1-7 AUG'!C:C,1,0)</f>
        <v>#N/A</v>
      </c>
      <c r="W6" s="318"/>
      <c r="X6" s="318"/>
      <c r="Y6" s="318"/>
    </row>
    <row r="7">
      <c r="A7" s="469">
        <v>221176.0</v>
      </c>
      <c r="B7" s="268" t="s">
        <v>1645</v>
      </c>
      <c r="C7" s="470" t="s">
        <v>314</v>
      </c>
      <c r="D7" s="470">
        <v>169.0</v>
      </c>
      <c r="E7" s="470">
        <v>166.0</v>
      </c>
      <c r="F7" s="470">
        <v>9.0</v>
      </c>
      <c r="G7" s="471">
        <v>0.054</v>
      </c>
      <c r="H7" s="470" t="s">
        <v>32</v>
      </c>
      <c r="I7" s="470">
        <v>3.8</v>
      </c>
      <c r="J7" s="470">
        <v>51.85</v>
      </c>
      <c r="K7" s="470">
        <v>41.35</v>
      </c>
      <c r="L7" s="470">
        <v>156.35</v>
      </c>
      <c r="M7" s="470">
        <v>156.2</v>
      </c>
      <c r="N7" s="472"/>
      <c r="O7" s="470">
        <v>51.65</v>
      </c>
      <c r="P7" s="470">
        <v>41.1</v>
      </c>
      <c r="Q7" s="470">
        <v>156.06</v>
      </c>
      <c r="R7" s="470">
        <v>156.24</v>
      </c>
      <c r="S7" s="183" t="s">
        <v>20</v>
      </c>
      <c r="T7" s="285"/>
      <c r="U7" s="473" t="s">
        <v>855</v>
      </c>
      <c r="V7" s="318" t="str">
        <f>VLOOKUP(C:C,'1-7 AUG'!C:C,1,0)</f>
        <v>#N/A</v>
      </c>
      <c r="W7" s="318"/>
      <c r="X7" s="318"/>
      <c r="Y7" s="318"/>
    </row>
    <row r="8">
      <c r="A8" s="469">
        <v>245905.0</v>
      </c>
      <c r="B8" s="268" t="s">
        <v>1643</v>
      </c>
      <c r="C8" s="470" t="s">
        <v>341</v>
      </c>
      <c r="D8" s="470">
        <v>96.0</v>
      </c>
      <c r="E8" s="470">
        <v>94.0</v>
      </c>
      <c r="F8" s="470">
        <v>9.0</v>
      </c>
      <c r="G8" s="471">
        <v>0.096</v>
      </c>
      <c r="H8" s="470" t="s">
        <v>32</v>
      </c>
      <c r="I8" s="470">
        <v>6.8</v>
      </c>
      <c r="J8" s="470">
        <v>58.63</v>
      </c>
      <c r="K8" s="470">
        <v>37.82</v>
      </c>
      <c r="L8" s="470">
        <v>163.85</v>
      </c>
      <c r="M8" s="470">
        <v>163.92</v>
      </c>
      <c r="N8" s="472"/>
      <c r="O8" s="470">
        <v>58.43</v>
      </c>
      <c r="P8" s="470">
        <v>37.6</v>
      </c>
      <c r="Q8" s="470">
        <v>163.11</v>
      </c>
      <c r="R8" s="470">
        <v>163.21</v>
      </c>
      <c r="S8" s="183" t="s">
        <v>20</v>
      </c>
      <c r="T8" s="285"/>
      <c r="U8" s="473" t="s">
        <v>855</v>
      </c>
      <c r="V8" s="318" t="str">
        <f>VLOOKUP(C:C,'1-7 AUG'!C:C,1,0)</f>
        <v>#N/A</v>
      </c>
      <c r="W8" s="318"/>
      <c r="X8" s="318"/>
      <c r="Y8" s="318"/>
    </row>
    <row r="9">
      <c r="A9" s="474">
        <v>234794.0</v>
      </c>
      <c r="B9" s="264" t="s">
        <v>1646</v>
      </c>
      <c r="C9" s="475" t="s">
        <v>1647</v>
      </c>
      <c r="D9" s="475">
        <v>87.0</v>
      </c>
      <c r="E9" s="475">
        <v>86.0</v>
      </c>
      <c r="F9" s="475">
        <v>9.0</v>
      </c>
      <c r="G9" s="476">
        <v>0.105</v>
      </c>
      <c r="H9" s="475" t="s">
        <v>32</v>
      </c>
      <c r="I9" s="475">
        <v>6.3</v>
      </c>
      <c r="J9" s="475">
        <v>51.88</v>
      </c>
      <c r="K9" s="475">
        <v>43.87</v>
      </c>
      <c r="L9" s="475">
        <v>155.23</v>
      </c>
      <c r="M9" s="475">
        <v>155.4</v>
      </c>
      <c r="N9" s="477"/>
      <c r="O9" s="475">
        <v>51.68</v>
      </c>
      <c r="P9" s="475">
        <v>43.65</v>
      </c>
      <c r="Q9" s="475">
        <v>154.43</v>
      </c>
      <c r="R9" s="475">
        <v>154.55</v>
      </c>
      <c r="S9" s="183" t="s">
        <v>20</v>
      </c>
      <c r="T9" s="283"/>
      <c r="U9" s="478" t="s">
        <v>855</v>
      </c>
      <c r="V9" s="318" t="str">
        <f>VLOOKUP(C:C,'1-7 AUG'!C:C,1,0)</f>
        <v>#N/A</v>
      </c>
      <c r="W9" s="318"/>
      <c r="X9" s="318"/>
      <c r="Y9" s="318"/>
    </row>
    <row r="10">
      <c r="A10" s="469">
        <v>242912.0</v>
      </c>
      <c r="B10" s="268" t="s">
        <v>1648</v>
      </c>
      <c r="C10" s="470" t="s">
        <v>1649</v>
      </c>
      <c r="D10" s="470">
        <v>79.0</v>
      </c>
      <c r="E10" s="470">
        <v>76.0</v>
      </c>
      <c r="F10" s="470">
        <v>9.0</v>
      </c>
      <c r="G10" s="471">
        <v>0.118</v>
      </c>
      <c r="H10" s="470" t="s">
        <v>32</v>
      </c>
      <c r="I10" s="470">
        <v>7.1</v>
      </c>
      <c r="J10" s="470">
        <v>56.37</v>
      </c>
      <c r="K10" s="470">
        <v>41.22</v>
      </c>
      <c r="L10" s="470">
        <v>165.83</v>
      </c>
      <c r="M10" s="470">
        <v>165.83</v>
      </c>
      <c r="N10" s="472"/>
      <c r="O10" s="470">
        <v>56.17</v>
      </c>
      <c r="P10" s="470">
        <v>41.06</v>
      </c>
      <c r="Q10" s="470">
        <v>165.18</v>
      </c>
      <c r="R10" s="470">
        <v>164.89</v>
      </c>
      <c r="S10" s="183" t="s">
        <v>20</v>
      </c>
      <c r="T10" s="285"/>
      <c r="U10" s="473" t="s">
        <v>855</v>
      </c>
      <c r="V10" s="318" t="str">
        <f>VLOOKUP(C:C,'1-7 AUG'!C:C,1,0)</f>
        <v>#N/A</v>
      </c>
      <c r="W10" s="318"/>
      <c r="X10" s="318"/>
      <c r="Y10" s="318"/>
    </row>
    <row r="11">
      <c r="A11" s="474">
        <v>219545.0</v>
      </c>
      <c r="B11" s="264" t="s">
        <v>1650</v>
      </c>
      <c r="C11" s="475" t="s">
        <v>198</v>
      </c>
      <c r="D11" s="475">
        <v>60.0</v>
      </c>
      <c r="E11" s="475">
        <v>59.0</v>
      </c>
      <c r="F11" s="475">
        <v>9.0</v>
      </c>
      <c r="G11" s="476">
        <v>0.153</v>
      </c>
      <c r="H11" s="475" t="s">
        <v>32</v>
      </c>
      <c r="I11" s="475">
        <v>13.2</v>
      </c>
      <c r="J11" s="475">
        <v>51.33</v>
      </c>
      <c r="K11" s="475">
        <v>31.13</v>
      </c>
      <c r="L11" s="475">
        <v>140.98</v>
      </c>
      <c r="M11" s="475">
        <v>141.55</v>
      </c>
      <c r="N11" s="477"/>
      <c r="O11" s="475">
        <v>51.09</v>
      </c>
      <c r="P11" s="475">
        <v>30.95</v>
      </c>
      <c r="Q11" s="475">
        <v>140.3</v>
      </c>
      <c r="R11" s="475">
        <v>140.88</v>
      </c>
      <c r="S11" s="183" t="s">
        <v>20</v>
      </c>
      <c r="T11" s="283"/>
      <c r="U11" s="478" t="s">
        <v>855</v>
      </c>
      <c r="V11" s="318" t="str">
        <f>VLOOKUP(C:C,'1-7 AUG'!C:C,1,0)</f>
        <v>#N/A</v>
      </c>
      <c r="W11" s="318"/>
      <c r="X11" s="318"/>
      <c r="Y11" s="318"/>
    </row>
    <row r="12">
      <c r="A12" s="479">
        <v>241113.0</v>
      </c>
      <c r="B12" s="264" t="s">
        <v>1651</v>
      </c>
      <c r="C12" s="475" t="s">
        <v>1652</v>
      </c>
      <c r="D12" s="475">
        <v>142.0</v>
      </c>
      <c r="E12" s="475">
        <v>137.0</v>
      </c>
      <c r="F12" s="475">
        <v>8.0</v>
      </c>
      <c r="G12" s="476">
        <v>0.058</v>
      </c>
      <c r="H12" s="475" t="s">
        <v>32</v>
      </c>
      <c r="I12" s="475">
        <v>3.4</v>
      </c>
      <c r="J12" s="475">
        <v>54.22</v>
      </c>
      <c r="K12" s="475">
        <v>37.5</v>
      </c>
      <c r="L12" s="475">
        <v>151.53</v>
      </c>
      <c r="M12" s="475">
        <v>151.35</v>
      </c>
      <c r="N12" s="477"/>
      <c r="O12" s="475">
        <v>54.2</v>
      </c>
      <c r="P12" s="475">
        <v>37.3</v>
      </c>
      <c r="Q12" s="475">
        <v>151.19</v>
      </c>
      <c r="R12" s="475">
        <v>150.64</v>
      </c>
      <c r="S12" s="183" t="s">
        <v>20</v>
      </c>
      <c r="T12" s="283"/>
      <c r="U12" s="478" t="s">
        <v>855</v>
      </c>
      <c r="V12" s="318" t="str">
        <f>VLOOKUP(C:C,'1-7 AUG'!C:C,1,0)</f>
        <v>#N/A</v>
      </c>
      <c r="W12" s="318"/>
      <c r="X12" s="318"/>
      <c r="Y12" s="318"/>
    </row>
    <row r="13">
      <c r="A13" s="479">
        <v>241119.0</v>
      </c>
      <c r="B13" s="264" t="s">
        <v>1653</v>
      </c>
      <c r="C13" s="475" t="s">
        <v>1654</v>
      </c>
      <c r="D13" s="475">
        <v>114.0</v>
      </c>
      <c r="E13" s="475">
        <v>113.0</v>
      </c>
      <c r="F13" s="475">
        <v>8.0</v>
      </c>
      <c r="G13" s="476">
        <v>0.071</v>
      </c>
      <c r="H13" s="475" t="s">
        <v>32</v>
      </c>
      <c r="I13" s="475">
        <v>6.7</v>
      </c>
      <c r="J13" s="475">
        <v>55.77</v>
      </c>
      <c r="K13" s="475">
        <v>39.01</v>
      </c>
      <c r="L13" s="475">
        <v>162.61</v>
      </c>
      <c r="M13" s="475">
        <v>162.66</v>
      </c>
      <c r="N13" s="477"/>
      <c r="O13" s="475">
        <v>55.51</v>
      </c>
      <c r="P13" s="475">
        <v>38.9</v>
      </c>
      <c r="Q13" s="475">
        <v>161.96</v>
      </c>
      <c r="R13" s="475">
        <v>162.13</v>
      </c>
      <c r="S13" s="183" t="s">
        <v>20</v>
      </c>
      <c r="T13" s="283"/>
      <c r="U13" s="478" t="s">
        <v>855</v>
      </c>
      <c r="V13" s="318" t="str">
        <f>VLOOKUP(C:C,'1-7 AUG'!C:C,1,0)</f>
        <v>#N/A</v>
      </c>
      <c r="W13" s="318"/>
      <c r="X13" s="318"/>
      <c r="Y13" s="318"/>
    </row>
    <row r="14">
      <c r="A14" s="474">
        <v>219197.0</v>
      </c>
      <c r="B14" s="264" t="s">
        <v>1655</v>
      </c>
      <c r="C14" s="475" t="s">
        <v>1656</v>
      </c>
      <c r="D14" s="475">
        <v>120.0</v>
      </c>
      <c r="E14" s="475">
        <v>111.0</v>
      </c>
      <c r="F14" s="475">
        <v>7.0</v>
      </c>
      <c r="G14" s="476">
        <v>0.063</v>
      </c>
      <c r="H14" s="475" t="s">
        <v>32</v>
      </c>
      <c r="I14" s="475">
        <v>1.4</v>
      </c>
      <c r="J14" s="475">
        <v>52.55</v>
      </c>
      <c r="K14" s="475">
        <v>32.21</v>
      </c>
      <c r="L14" s="475">
        <v>143.76</v>
      </c>
      <c r="M14" s="475">
        <v>143.76</v>
      </c>
      <c r="N14" s="477"/>
      <c r="O14" s="475">
        <v>52.45</v>
      </c>
      <c r="P14" s="475">
        <v>32.1</v>
      </c>
      <c r="Q14" s="475">
        <v>143.35</v>
      </c>
      <c r="R14" s="475">
        <v>143.36</v>
      </c>
      <c r="S14" s="183" t="s">
        <v>20</v>
      </c>
      <c r="T14" s="283"/>
      <c r="U14" s="478" t="s">
        <v>943</v>
      </c>
      <c r="V14" s="318" t="str">
        <f>VLOOKUP(C:C,'1-7 AUG'!C:C,1,0)</f>
        <v>#N/A</v>
      </c>
      <c r="W14" s="318"/>
      <c r="X14" s="318"/>
      <c r="Y14" s="318"/>
    </row>
    <row r="15">
      <c r="A15" s="474">
        <v>239173.0</v>
      </c>
      <c r="B15" s="264" t="s">
        <v>1657</v>
      </c>
      <c r="C15" s="475" t="s">
        <v>1658</v>
      </c>
      <c r="D15" s="475">
        <v>77.0</v>
      </c>
      <c r="E15" s="475">
        <v>73.0</v>
      </c>
      <c r="F15" s="475">
        <v>7.0</v>
      </c>
      <c r="G15" s="476">
        <v>0.096</v>
      </c>
      <c r="H15" s="475" t="s">
        <v>32</v>
      </c>
      <c r="I15" s="475">
        <v>8.0</v>
      </c>
      <c r="J15" s="475">
        <v>52.66</v>
      </c>
      <c r="K15" s="475">
        <v>38.07</v>
      </c>
      <c r="L15" s="475">
        <v>151.95</v>
      </c>
      <c r="M15" s="475">
        <v>151.95</v>
      </c>
      <c r="N15" s="477"/>
      <c r="O15" s="475">
        <v>52.62</v>
      </c>
      <c r="P15" s="475">
        <v>38.04</v>
      </c>
      <c r="Q15" s="475">
        <v>151.95</v>
      </c>
      <c r="R15" s="475">
        <v>151.95</v>
      </c>
      <c r="S15" s="183" t="s">
        <v>20</v>
      </c>
      <c r="T15" s="283"/>
      <c r="U15" s="478" t="s">
        <v>855</v>
      </c>
      <c r="V15" s="318" t="str">
        <f>VLOOKUP(C:C,'1-7 AUG'!C:C,1,0)</f>
        <v>#N/A</v>
      </c>
      <c r="W15" s="318"/>
      <c r="X15" s="318"/>
      <c r="Y15" s="318"/>
    </row>
    <row r="16">
      <c r="A16" s="474">
        <v>241120.0</v>
      </c>
      <c r="B16" s="264" t="s">
        <v>1659</v>
      </c>
      <c r="C16" s="475" t="s">
        <v>1660</v>
      </c>
      <c r="D16" s="475">
        <v>68.0</v>
      </c>
      <c r="E16" s="475">
        <v>64.0</v>
      </c>
      <c r="F16" s="475">
        <v>7.0</v>
      </c>
      <c r="G16" s="476">
        <v>0.109</v>
      </c>
      <c r="H16" s="475" t="s">
        <v>32</v>
      </c>
      <c r="I16" s="475">
        <v>9.0</v>
      </c>
      <c r="J16" s="475">
        <v>56.0</v>
      </c>
      <c r="K16" s="475">
        <v>39.42</v>
      </c>
      <c r="L16" s="475">
        <v>163.99</v>
      </c>
      <c r="M16" s="475">
        <v>164.11</v>
      </c>
      <c r="N16" s="477"/>
      <c r="O16" s="475">
        <v>55.89</v>
      </c>
      <c r="P16" s="475">
        <v>39.2</v>
      </c>
      <c r="Q16" s="475">
        <v>163.43</v>
      </c>
      <c r="R16" s="475">
        <v>163.36</v>
      </c>
      <c r="S16" s="183" t="s">
        <v>20</v>
      </c>
      <c r="T16" s="283"/>
      <c r="U16" s="478" t="s">
        <v>855</v>
      </c>
      <c r="V16" s="318" t="str">
        <f>VLOOKUP(C:C,'1-7 AUG'!C:C,1,0)</f>
        <v>#N/A</v>
      </c>
      <c r="W16" s="318"/>
      <c r="X16" s="318"/>
      <c r="Y16" s="318"/>
    </row>
    <row r="17">
      <c r="A17" s="474">
        <v>223230.0</v>
      </c>
      <c r="B17" s="264" t="s">
        <v>1490</v>
      </c>
      <c r="C17" s="475" t="s">
        <v>1016</v>
      </c>
      <c r="D17" s="475">
        <v>39.0</v>
      </c>
      <c r="E17" s="475">
        <v>41.0</v>
      </c>
      <c r="F17" s="475">
        <v>7.0</v>
      </c>
      <c r="G17" s="476">
        <v>0.171</v>
      </c>
      <c r="H17" s="475" t="s">
        <v>17</v>
      </c>
      <c r="I17" s="475">
        <v>11.6</v>
      </c>
      <c r="J17" s="475">
        <v>47.95</v>
      </c>
      <c r="K17" s="475">
        <v>41.81</v>
      </c>
      <c r="L17" s="475">
        <v>144.67</v>
      </c>
      <c r="M17" s="475">
        <v>144.32</v>
      </c>
      <c r="N17" s="477"/>
      <c r="O17" s="475">
        <v>48.2</v>
      </c>
      <c r="P17" s="475">
        <v>42.05</v>
      </c>
      <c r="Q17" s="475">
        <v>145.46</v>
      </c>
      <c r="R17" s="475">
        <v>145.13</v>
      </c>
      <c r="S17" s="183" t="s">
        <v>20</v>
      </c>
      <c r="T17" s="283"/>
      <c r="U17" s="478" t="s">
        <v>855</v>
      </c>
      <c r="V17" s="318" t="str">
        <f>VLOOKUP(C:C,'1-7 AUG'!C:C,1,0)</f>
        <v>#N/A</v>
      </c>
      <c r="W17" s="318"/>
      <c r="X17" s="318"/>
      <c r="Y17" s="318"/>
    </row>
    <row r="18">
      <c r="A18" s="469">
        <v>241114.0</v>
      </c>
      <c r="B18" s="268" t="s">
        <v>1661</v>
      </c>
      <c r="C18" s="470" t="s">
        <v>1662</v>
      </c>
      <c r="D18" s="470">
        <v>43.0</v>
      </c>
      <c r="E18" s="470">
        <v>39.0</v>
      </c>
      <c r="F18" s="470">
        <v>7.0</v>
      </c>
      <c r="G18" s="471">
        <v>0.179</v>
      </c>
      <c r="H18" s="470" t="s">
        <v>32</v>
      </c>
      <c r="I18" s="470">
        <v>12.7</v>
      </c>
      <c r="J18" s="470">
        <v>55.34</v>
      </c>
      <c r="K18" s="470">
        <v>34.63</v>
      </c>
      <c r="L18" s="470">
        <v>149.47</v>
      </c>
      <c r="M18" s="470">
        <v>150.04</v>
      </c>
      <c r="N18" s="472"/>
      <c r="O18" s="470">
        <v>55.1</v>
      </c>
      <c r="P18" s="470">
        <v>34.44</v>
      </c>
      <c r="Q18" s="470">
        <v>148.53</v>
      </c>
      <c r="R18" s="470">
        <v>148.94</v>
      </c>
      <c r="S18" s="183" t="s">
        <v>20</v>
      </c>
      <c r="T18" s="285"/>
      <c r="U18" s="473" t="s">
        <v>855</v>
      </c>
      <c r="V18" s="318" t="str">
        <f>VLOOKUP(C:C,'1-7 AUG'!C:C,1,0)</f>
        <v>#N/A</v>
      </c>
      <c r="W18" s="318"/>
      <c r="X18" s="318"/>
      <c r="Y18" s="318"/>
    </row>
    <row r="19">
      <c r="A19" s="474">
        <v>242206.0</v>
      </c>
      <c r="B19" s="264" t="s">
        <v>1663</v>
      </c>
      <c r="C19" s="475" t="s">
        <v>119</v>
      </c>
      <c r="D19" s="475">
        <v>37.0</v>
      </c>
      <c r="E19" s="475">
        <v>35.0</v>
      </c>
      <c r="F19" s="475">
        <v>7.0</v>
      </c>
      <c r="G19" s="476">
        <v>0.2</v>
      </c>
      <c r="H19" s="475" t="s">
        <v>32</v>
      </c>
      <c r="I19" s="475">
        <v>11.3</v>
      </c>
      <c r="J19" s="475">
        <v>56.73</v>
      </c>
      <c r="K19" s="475">
        <v>36.31</v>
      </c>
      <c r="L19" s="475">
        <v>158.32</v>
      </c>
      <c r="M19" s="475">
        <v>157.81</v>
      </c>
      <c r="N19" s="477"/>
      <c r="O19" s="475">
        <v>56.5</v>
      </c>
      <c r="P19" s="475">
        <v>36.11</v>
      </c>
      <c r="Q19" s="475">
        <v>157.52</v>
      </c>
      <c r="R19" s="475">
        <v>156.69</v>
      </c>
      <c r="S19" s="183" t="s">
        <v>20</v>
      </c>
      <c r="T19" s="283"/>
      <c r="U19" s="478" t="s">
        <v>855</v>
      </c>
      <c r="V19" s="318" t="str">
        <f>VLOOKUP(C:C,'1-7 AUG'!C:C,1,0)</f>
        <v>#N/A</v>
      </c>
      <c r="W19" s="318"/>
      <c r="X19" s="318"/>
      <c r="Y19" s="318"/>
    </row>
    <row r="20">
      <c r="A20" s="479">
        <v>241117.0</v>
      </c>
      <c r="B20" s="268" t="s">
        <v>1664</v>
      </c>
      <c r="C20" s="470" t="s">
        <v>1665</v>
      </c>
      <c r="D20" s="470">
        <v>28.0</v>
      </c>
      <c r="E20" s="470">
        <v>27.0</v>
      </c>
      <c r="F20" s="470">
        <v>7.0</v>
      </c>
      <c r="G20" s="471">
        <v>0.259</v>
      </c>
      <c r="H20" s="470" t="s">
        <v>32</v>
      </c>
      <c r="I20" s="470">
        <v>15.4</v>
      </c>
      <c r="J20" s="470">
        <v>54.78</v>
      </c>
      <c r="K20" s="470">
        <v>36.63</v>
      </c>
      <c r="L20" s="470">
        <v>154.87</v>
      </c>
      <c r="M20" s="470">
        <v>155.01</v>
      </c>
      <c r="N20" s="472"/>
      <c r="O20" s="470">
        <v>54.6</v>
      </c>
      <c r="P20" s="470">
        <v>36.4</v>
      </c>
      <c r="Q20" s="470">
        <v>154.22</v>
      </c>
      <c r="R20" s="470">
        <v>154.23</v>
      </c>
      <c r="S20" s="183" t="s">
        <v>20</v>
      </c>
      <c r="T20" s="285"/>
      <c r="U20" s="473" t="s">
        <v>855</v>
      </c>
      <c r="V20" s="318" t="str">
        <f>VLOOKUP(C:C,'1-7 AUG'!C:C,1,0)</f>
        <v>#N/A</v>
      </c>
      <c r="W20" s="318"/>
      <c r="X20" s="318"/>
      <c r="Y20" s="318"/>
    </row>
    <row r="21">
      <c r="A21" s="474">
        <v>235136.0</v>
      </c>
      <c r="B21" s="264" t="s">
        <v>1666</v>
      </c>
      <c r="C21" s="475" t="s">
        <v>1667</v>
      </c>
      <c r="D21" s="475">
        <v>109.0</v>
      </c>
      <c r="E21" s="475">
        <v>103.0</v>
      </c>
      <c r="F21" s="475">
        <v>6.0</v>
      </c>
      <c r="G21" s="476">
        <v>0.058</v>
      </c>
      <c r="H21" s="475" t="s">
        <v>32</v>
      </c>
      <c r="I21" s="475">
        <v>3.8</v>
      </c>
      <c r="J21" s="475">
        <v>54.32</v>
      </c>
      <c r="K21" s="475">
        <v>46.15</v>
      </c>
      <c r="L21" s="475">
        <v>166.74</v>
      </c>
      <c r="M21" s="475">
        <v>166.43</v>
      </c>
      <c r="N21" s="477"/>
      <c r="O21" s="475">
        <v>54.18</v>
      </c>
      <c r="P21" s="475">
        <v>46.04</v>
      </c>
      <c r="Q21" s="475">
        <v>166.37</v>
      </c>
      <c r="R21" s="475">
        <v>166.26</v>
      </c>
      <c r="S21" s="183" t="s">
        <v>90</v>
      </c>
      <c r="T21" s="283"/>
      <c r="U21" s="478" t="s">
        <v>855</v>
      </c>
      <c r="V21" s="318" t="str">
        <f>VLOOKUP(C:C,'1-7 AUG'!C:C,1,0)</f>
        <v>#N/A</v>
      </c>
      <c r="W21" s="318"/>
      <c r="X21" s="318"/>
      <c r="Y21" s="318"/>
    </row>
    <row r="22">
      <c r="A22" s="474">
        <v>210178.0</v>
      </c>
      <c r="B22" s="264" t="s">
        <v>1668</v>
      </c>
      <c r="C22" s="475" t="s">
        <v>1669</v>
      </c>
      <c r="D22" s="475">
        <v>95.0</v>
      </c>
      <c r="E22" s="475">
        <v>94.0</v>
      </c>
      <c r="F22" s="475">
        <v>6.0</v>
      </c>
      <c r="G22" s="476">
        <v>0.064</v>
      </c>
      <c r="H22" s="475" t="s">
        <v>32</v>
      </c>
      <c r="I22" s="475">
        <v>6.3</v>
      </c>
      <c r="J22" s="475">
        <v>56.92</v>
      </c>
      <c r="K22" s="475">
        <v>37.36</v>
      </c>
      <c r="L22" s="475">
        <v>159.97</v>
      </c>
      <c r="M22" s="475">
        <v>159.98</v>
      </c>
      <c r="N22" s="477"/>
      <c r="O22" s="475">
        <v>56.7</v>
      </c>
      <c r="P22" s="475">
        <v>37.16</v>
      </c>
      <c r="Q22" s="475">
        <v>159.25</v>
      </c>
      <c r="R22" s="475">
        <v>159.14</v>
      </c>
      <c r="S22" s="183" t="s">
        <v>20</v>
      </c>
      <c r="T22" s="283"/>
      <c r="U22" s="478" t="s">
        <v>855</v>
      </c>
      <c r="V22" s="318" t="str">
        <f>VLOOKUP(C:C,'1-7 AUG'!C:C,1,0)</f>
        <v>#N/A</v>
      </c>
      <c r="W22" s="318"/>
      <c r="X22" s="318"/>
      <c r="Y22" s="318"/>
    </row>
    <row r="23">
      <c r="A23" s="469">
        <v>211293.0</v>
      </c>
      <c r="B23" s="268" t="s">
        <v>1670</v>
      </c>
      <c r="C23" s="470" t="s">
        <v>1671</v>
      </c>
      <c r="D23" s="470">
        <v>93.0</v>
      </c>
      <c r="E23" s="470">
        <v>90.0</v>
      </c>
      <c r="F23" s="470">
        <v>6.0</v>
      </c>
      <c r="G23" s="471">
        <v>0.067</v>
      </c>
      <c r="H23" s="470" t="s">
        <v>32</v>
      </c>
      <c r="I23" s="470">
        <v>6.6</v>
      </c>
      <c r="J23" s="470">
        <v>56.4</v>
      </c>
      <c r="K23" s="470">
        <v>43.02</v>
      </c>
      <c r="L23" s="470">
        <v>165.43</v>
      </c>
      <c r="M23" s="470">
        <v>165.53</v>
      </c>
      <c r="N23" s="472"/>
      <c r="O23" s="470">
        <v>56.21</v>
      </c>
      <c r="P23" s="470">
        <v>42.9</v>
      </c>
      <c r="Q23" s="470">
        <v>164.62</v>
      </c>
      <c r="R23" s="470">
        <v>164.65</v>
      </c>
      <c r="S23" s="183" t="s">
        <v>20</v>
      </c>
      <c r="T23" s="285"/>
      <c r="U23" s="473" t="s">
        <v>855</v>
      </c>
      <c r="V23" s="318" t="str">
        <f>VLOOKUP(C:C,'1-7 AUG'!C:C,1,0)</f>
        <v>#N/A</v>
      </c>
      <c r="W23" s="318"/>
      <c r="X23" s="318"/>
      <c r="Y23" s="318"/>
    </row>
    <row r="24">
      <c r="A24" s="474">
        <v>219834.0</v>
      </c>
      <c r="B24" s="264" t="s">
        <v>1672</v>
      </c>
      <c r="C24" s="475" t="s">
        <v>1673</v>
      </c>
      <c r="D24" s="475">
        <v>88.0</v>
      </c>
      <c r="E24" s="475">
        <v>85.0</v>
      </c>
      <c r="F24" s="475">
        <v>6.0</v>
      </c>
      <c r="G24" s="476">
        <v>0.071</v>
      </c>
      <c r="H24" s="475" t="s">
        <v>32</v>
      </c>
      <c r="I24" s="475">
        <v>2.2</v>
      </c>
      <c r="J24" s="475">
        <v>53.73</v>
      </c>
      <c r="K24" s="475">
        <v>39.9</v>
      </c>
      <c r="L24" s="475">
        <v>159.51</v>
      </c>
      <c r="M24" s="475">
        <v>159.7</v>
      </c>
      <c r="N24" s="477"/>
      <c r="O24" s="475">
        <v>53.51</v>
      </c>
      <c r="P24" s="475">
        <v>39.7</v>
      </c>
      <c r="Q24" s="475">
        <v>158.6</v>
      </c>
      <c r="R24" s="475">
        <v>158.75</v>
      </c>
      <c r="S24" s="183" t="s">
        <v>20</v>
      </c>
      <c r="T24" s="283"/>
      <c r="U24" s="478" t="s">
        <v>855</v>
      </c>
      <c r="V24" s="318" t="str">
        <f>VLOOKUP(C:C,'1-7 AUG'!C:C,1,0)</f>
        <v>#N/A</v>
      </c>
      <c r="W24" s="318"/>
      <c r="X24" s="318"/>
      <c r="Y24" s="318"/>
    </row>
    <row r="25">
      <c r="A25" s="469">
        <v>241958.0</v>
      </c>
      <c r="B25" s="268" t="s">
        <v>1674</v>
      </c>
      <c r="C25" s="470" t="s">
        <v>524</v>
      </c>
      <c r="D25" s="470">
        <v>86.0</v>
      </c>
      <c r="E25" s="470">
        <v>85.0</v>
      </c>
      <c r="F25" s="470">
        <v>6.0</v>
      </c>
      <c r="G25" s="471">
        <v>0.071</v>
      </c>
      <c r="H25" s="470" t="s">
        <v>32</v>
      </c>
      <c r="I25" s="470">
        <v>4.8</v>
      </c>
      <c r="J25" s="470">
        <v>54.13</v>
      </c>
      <c r="K25" s="470">
        <v>36.68</v>
      </c>
      <c r="L25" s="470">
        <v>156.03</v>
      </c>
      <c r="M25" s="470">
        <v>156.25</v>
      </c>
      <c r="N25" s="472"/>
      <c r="O25" s="470">
        <v>53.9</v>
      </c>
      <c r="P25" s="470">
        <v>36.48</v>
      </c>
      <c r="Q25" s="470">
        <v>155.33</v>
      </c>
      <c r="R25" s="470">
        <v>155.47</v>
      </c>
      <c r="S25" s="183" t="s">
        <v>20</v>
      </c>
      <c r="T25" s="285"/>
      <c r="U25" s="473" t="s">
        <v>855</v>
      </c>
      <c r="V25" s="318" t="str">
        <f>VLOOKUP(C:C,'1-7 AUG'!C:C,1,0)</f>
        <v>#N/A</v>
      </c>
      <c r="W25" s="318"/>
      <c r="X25" s="318"/>
      <c r="Y25" s="318"/>
    </row>
    <row r="26">
      <c r="A26" s="474">
        <v>215403.0</v>
      </c>
      <c r="B26" s="264" t="s">
        <v>1675</v>
      </c>
      <c r="C26" s="475" t="s">
        <v>72</v>
      </c>
      <c r="D26" s="475">
        <v>86.0</v>
      </c>
      <c r="E26" s="475">
        <v>84.0</v>
      </c>
      <c r="F26" s="475">
        <v>6.0</v>
      </c>
      <c r="G26" s="476">
        <v>0.071</v>
      </c>
      <c r="H26" s="475" t="s">
        <v>17</v>
      </c>
      <c r="I26" s="475">
        <v>4.4</v>
      </c>
      <c r="J26" s="141">
        <v>53.26</v>
      </c>
      <c r="K26" s="141">
        <v>38.11</v>
      </c>
      <c r="L26" s="141">
        <v>150.52</v>
      </c>
      <c r="M26" s="141">
        <v>150.49</v>
      </c>
      <c r="N26" s="477"/>
      <c r="O26" s="141">
        <v>53.4</v>
      </c>
      <c r="P26" s="141">
        <v>38.2</v>
      </c>
      <c r="Q26" s="141">
        <v>150.69</v>
      </c>
      <c r="R26" s="141">
        <v>150.64</v>
      </c>
      <c r="S26" s="183" t="s">
        <v>90</v>
      </c>
      <c r="T26" s="283"/>
      <c r="U26" s="478" t="s">
        <v>855</v>
      </c>
      <c r="V26" s="318" t="str">
        <f>VLOOKUP(C:C,'1-7 AUG'!C:C,1,0)</f>
        <v>#N/A</v>
      </c>
      <c r="W26" s="318"/>
      <c r="X26" s="318"/>
      <c r="Y26" s="318"/>
    </row>
    <row r="27">
      <c r="A27" s="474">
        <v>236092.0</v>
      </c>
      <c r="B27" s="264" t="s">
        <v>1676</v>
      </c>
      <c r="C27" s="264" t="s">
        <v>1677</v>
      </c>
      <c r="D27" s="475">
        <v>77.0</v>
      </c>
      <c r="E27" s="475">
        <v>74.0</v>
      </c>
      <c r="F27" s="475">
        <v>6.0</v>
      </c>
      <c r="G27" s="476">
        <v>0.081</v>
      </c>
      <c r="H27" s="475" t="s">
        <v>32</v>
      </c>
      <c r="I27" s="475">
        <v>10.8</v>
      </c>
      <c r="J27" s="475">
        <v>50.34</v>
      </c>
      <c r="K27" s="475">
        <v>43.02</v>
      </c>
      <c r="L27" s="475">
        <v>151.92</v>
      </c>
      <c r="M27" s="475">
        <v>151.92</v>
      </c>
      <c r="N27" s="477"/>
      <c r="O27" s="475">
        <v>50.14</v>
      </c>
      <c r="P27" s="475">
        <v>42.9</v>
      </c>
      <c r="Q27" s="475">
        <v>151.41</v>
      </c>
      <c r="R27" s="475">
        <v>151.18</v>
      </c>
      <c r="S27" s="183" t="s">
        <v>20</v>
      </c>
      <c r="T27" s="283"/>
      <c r="U27" s="478" t="s">
        <v>855</v>
      </c>
      <c r="V27" s="318" t="str">
        <f>VLOOKUP(C:C,'1-7 AUG'!C:C,1,0)</f>
        <v>#N/A</v>
      </c>
      <c r="W27" s="318"/>
      <c r="X27" s="318"/>
      <c r="Y27" s="318"/>
    </row>
    <row r="28">
      <c r="A28" s="469">
        <v>229215.0</v>
      </c>
      <c r="B28" s="268" t="s">
        <v>1678</v>
      </c>
      <c r="C28" s="268" t="s">
        <v>1679</v>
      </c>
      <c r="D28" s="470">
        <v>63.0</v>
      </c>
      <c r="E28" s="470">
        <v>66.0</v>
      </c>
      <c r="F28" s="470">
        <v>6.0</v>
      </c>
      <c r="G28" s="471">
        <v>0.091</v>
      </c>
      <c r="H28" s="470" t="s">
        <v>392</v>
      </c>
      <c r="I28" s="470">
        <v>8.9</v>
      </c>
      <c r="J28" s="472"/>
      <c r="K28" s="472"/>
      <c r="L28" s="472"/>
      <c r="M28" s="472"/>
      <c r="N28" s="472"/>
      <c r="O28" s="472"/>
      <c r="P28" s="472"/>
      <c r="Q28" s="472"/>
      <c r="R28" s="472"/>
      <c r="S28" s="196"/>
      <c r="T28" s="285"/>
      <c r="U28" s="473" t="s">
        <v>861</v>
      </c>
      <c r="V28" s="318" t="str">
        <f>VLOOKUP(C:C,'1-7 AUG'!C:C,1,0)</f>
        <v>#N/A</v>
      </c>
      <c r="W28" s="318"/>
      <c r="X28" s="318"/>
      <c r="Y28" s="318"/>
    </row>
    <row r="29">
      <c r="A29" s="474">
        <v>218967.0</v>
      </c>
      <c r="B29" s="264" t="s">
        <v>1680</v>
      </c>
      <c r="C29" s="264" t="s">
        <v>1681</v>
      </c>
      <c r="D29" s="475">
        <v>48.0</v>
      </c>
      <c r="E29" s="475">
        <v>46.0</v>
      </c>
      <c r="F29" s="475">
        <v>6.0</v>
      </c>
      <c r="G29" s="476">
        <v>0.13</v>
      </c>
      <c r="H29" s="475" t="s">
        <v>32</v>
      </c>
      <c r="I29" s="475">
        <v>4.3</v>
      </c>
      <c r="J29" s="475">
        <v>50.52</v>
      </c>
      <c r="K29" s="475">
        <v>38.15</v>
      </c>
      <c r="L29" s="475">
        <v>141.47</v>
      </c>
      <c r="M29" s="475">
        <v>141.42</v>
      </c>
      <c r="N29" s="477"/>
      <c r="O29" s="475">
        <v>50.3</v>
      </c>
      <c r="P29" s="475">
        <v>37.95</v>
      </c>
      <c r="Q29" s="475">
        <v>140.84</v>
      </c>
      <c r="R29" s="475">
        <v>140.8</v>
      </c>
      <c r="S29" s="183" t="s">
        <v>20</v>
      </c>
      <c r="T29" s="283"/>
      <c r="U29" s="478" t="s">
        <v>855</v>
      </c>
      <c r="V29" s="318" t="str">
        <f>VLOOKUP(C:C,'1-7 AUG'!C:C,1,0)</f>
        <v>#N/A</v>
      </c>
      <c r="W29" s="318"/>
      <c r="X29" s="318"/>
      <c r="Y29" s="318"/>
    </row>
    <row r="30">
      <c r="A30" s="479">
        <v>241113.0</v>
      </c>
      <c r="B30" s="264" t="s">
        <v>1682</v>
      </c>
      <c r="C30" s="264" t="s">
        <v>1683</v>
      </c>
      <c r="D30" s="475">
        <v>38.0</v>
      </c>
      <c r="E30" s="475">
        <v>37.0</v>
      </c>
      <c r="F30" s="475">
        <v>6.0</v>
      </c>
      <c r="G30" s="476">
        <v>0.162</v>
      </c>
      <c r="H30" s="475" t="s">
        <v>32</v>
      </c>
      <c r="I30" s="475">
        <v>13.2</v>
      </c>
      <c r="J30" s="475">
        <v>54.51</v>
      </c>
      <c r="K30" s="475">
        <v>37.86</v>
      </c>
      <c r="L30" s="475">
        <v>152.87</v>
      </c>
      <c r="M30" s="475">
        <v>152.78</v>
      </c>
      <c r="N30" s="477"/>
      <c r="O30" s="475">
        <v>54.3</v>
      </c>
      <c r="P30" s="475">
        <v>37.59</v>
      </c>
      <c r="Q30" s="475">
        <v>152.15</v>
      </c>
      <c r="R30" s="475">
        <v>152.75</v>
      </c>
      <c r="S30" s="183" t="s">
        <v>20</v>
      </c>
      <c r="T30" s="283"/>
      <c r="U30" s="478" t="s">
        <v>855</v>
      </c>
      <c r="V30" s="318" t="str">
        <f>VLOOKUP(C:C,'1-7 AUG'!C:C,1,0)</f>
        <v>#N/A</v>
      </c>
      <c r="W30" s="318"/>
      <c r="X30" s="318"/>
      <c r="Y30" s="318"/>
    </row>
    <row r="31">
      <c r="A31" s="479">
        <v>241119.0</v>
      </c>
      <c r="B31" s="268" t="s">
        <v>1684</v>
      </c>
      <c r="C31" s="268" t="s">
        <v>1107</v>
      </c>
      <c r="D31" s="470">
        <v>37.0</v>
      </c>
      <c r="E31" s="470">
        <v>36.0</v>
      </c>
      <c r="F31" s="470">
        <v>6.0</v>
      </c>
      <c r="G31" s="471">
        <v>0.167</v>
      </c>
      <c r="H31" s="470" t="s">
        <v>32</v>
      </c>
      <c r="I31" s="470">
        <v>10.5</v>
      </c>
      <c r="J31" s="470">
        <v>56.5</v>
      </c>
      <c r="K31" s="470">
        <v>38.55</v>
      </c>
      <c r="L31" s="470">
        <v>164.35</v>
      </c>
      <c r="M31" s="470">
        <v>164.51</v>
      </c>
      <c r="N31" s="472"/>
      <c r="O31" s="470">
        <v>56.3</v>
      </c>
      <c r="P31" s="470">
        <v>38.41</v>
      </c>
      <c r="Q31" s="470">
        <v>162.74</v>
      </c>
      <c r="R31" s="470">
        <v>162.9</v>
      </c>
      <c r="S31" s="183" t="s">
        <v>20</v>
      </c>
      <c r="T31" s="285"/>
      <c r="U31" s="473" t="s">
        <v>855</v>
      </c>
      <c r="V31" s="318" t="str">
        <f>VLOOKUP(C:C,'1-7 AUG'!C:C,1,0)</f>
        <v>#N/A</v>
      </c>
      <c r="W31" s="318"/>
      <c r="X31" s="318"/>
      <c r="Y31" s="318"/>
    </row>
    <row r="32">
      <c r="A32" s="474">
        <v>234780.0</v>
      </c>
      <c r="B32" s="264" t="s">
        <v>1685</v>
      </c>
      <c r="C32" s="264" t="s">
        <v>1686</v>
      </c>
      <c r="D32" s="475">
        <v>97.0</v>
      </c>
      <c r="E32" s="475">
        <v>88.0</v>
      </c>
      <c r="F32" s="475">
        <v>5.0</v>
      </c>
      <c r="G32" s="476">
        <v>0.057</v>
      </c>
      <c r="H32" s="475" t="s">
        <v>32</v>
      </c>
      <c r="I32" s="475">
        <v>4.3</v>
      </c>
      <c r="J32" s="475">
        <v>50.32</v>
      </c>
      <c r="K32" s="475">
        <v>43.91</v>
      </c>
      <c r="L32" s="475">
        <v>154.94</v>
      </c>
      <c r="M32" s="475">
        <v>155.44</v>
      </c>
      <c r="N32" s="477"/>
      <c r="O32" s="475">
        <v>50.19</v>
      </c>
      <c r="P32" s="475">
        <v>43.7</v>
      </c>
      <c r="Q32" s="475">
        <v>154.33</v>
      </c>
      <c r="R32" s="475">
        <v>154.45</v>
      </c>
      <c r="S32" s="183" t="s">
        <v>20</v>
      </c>
      <c r="T32" s="283"/>
      <c r="U32" s="478" t="s">
        <v>855</v>
      </c>
      <c r="V32" s="318" t="str">
        <f>VLOOKUP(C:C,'1-7 AUG'!C:C,1,0)</f>
        <v>#N/A</v>
      </c>
      <c r="W32" s="318"/>
      <c r="X32" s="318"/>
      <c r="Y32" s="318"/>
    </row>
    <row r="33">
      <c r="A33" s="474">
        <v>207551.0</v>
      </c>
      <c r="B33" s="264" t="s">
        <v>1687</v>
      </c>
      <c r="C33" s="264" t="s">
        <v>1688</v>
      </c>
      <c r="D33" s="475">
        <v>81.0</v>
      </c>
      <c r="E33" s="475">
        <v>81.0</v>
      </c>
      <c r="F33" s="475">
        <v>5.0</v>
      </c>
      <c r="G33" s="476">
        <v>0.062</v>
      </c>
      <c r="H33" s="475" t="s">
        <v>32</v>
      </c>
      <c r="I33" s="475">
        <v>4.9</v>
      </c>
      <c r="J33" s="475">
        <v>56.79</v>
      </c>
      <c r="K33" s="475">
        <v>37.44</v>
      </c>
      <c r="L33" s="475">
        <v>159.86</v>
      </c>
      <c r="M33" s="475">
        <v>159.82</v>
      </c>
      <c r="N33" s="477"/>
      <c r="O33" s="475">
        <v>56.59</v>
      </c>
      <c r="P33" s="475">
        <v>37.2</v>
      </c>
      <c r="Q33" s="475">
        <v>159.13</v>
      </c>
      <c r="R33" s="475">
        <v>159.13</v>
      </c>
      <c r="S33" s="183" t="s">
        <v>20</v>
      </c>
      <c r="T33" s="283"/>
      <c r="U33" s="478" t="s">
        <v>855</v>
      </c>
      <c r="V33" s="318" t="str">
        <f>VLOOKUP(C:C,'1-7 AUG'!C:C,1,0)</f>
        <v>#N/A</v>
      </c>
      <c r="W33" s="318"/>
      <c r="X33" s="318"/>
      <c r="Y33" s="318"/>
    </row>
    <row r="34">
      <c r="A34" s="469">
        <v>238534.0</v>
      </c>
      <c r="B34" s="268" t="s">
        <v>1689</v>
      </c>
      <c r="C34" s="268" t="s">
        <v>1690</v>
      </c>
      <c r="D34" s="470">
        <v>53.0</v>
      </c>
      <c r="E34" s="470">
        <v>52.0</v>
      </c>
      <c r="F34" s="470">
        <v>5.0</v>
      </c>
      <c r="G34" s="471">
        <v>0.096</v>
      </c>
      <c r="H34" s="470" t="s">
        <v>32</v>
      </c>
      <c r="I34" s="480" t="s">
        <v>1691</v>
      </c>
      <c r="J34" s="470">
        <v>51.19</v>
      </c>
      <c r="K34" s="470">
        <v>36.84</v>
      </c>
      <c r="L34" s="470">
        <v>148.52</v>
      </c>
      <c r="M34" s="470">
        <v>148.65</v>
      </c>
      <c r="N34" s="472"/>
      <c r="O34" s="470">
        <v>51.12</v>
      </c>
      <c r="P34" s="470">
        <v>36.76</v>
      </c>
      <c r="Q34" s="470">
        <v>148.48</v>
      </c>
      <c r="R34" s="470">
        <v>148.62</v>
      </c>
      <c r="S34" s="183" t="s">
        <v>90</v>
      </c>
      <c r="T34" s="285"/>
      <c r="U34" s="473" t="s">
        <v>855</v>
      </c>
      <c r="V34" s="318" t="str">
        <f>VLOOKUP(C:C,'1-7 AUG'!C:C,1,0)</f>
        <v>#N/A</v>
      </c>
      <c r="W34" s="318"/>
      <c r="X34" s="318"/>
      <c r="Y34" s="318"/>
    </row>
    <row r="35">
      <c r="A35" s="474">
        <v>215983.0</v>
      </c>
      <c r="B35" s="264" t="s">
        <v>1692</v>
      </c>
      <c r="C35" s="264" t="s">
        <v>1113</v>
      </c>
      <c r="D35" s="475">
        <v>52.0</v>
      </c>
      <c r="E35" s="475">
        <v>51.0</v>
      </c>
      <c r="F35" s="475">
        <v>5.0</v>
      </c>
      <c r="G35" s="476">
        <v>0.098</v>
      </c>
      <c r="H35" s="475" t="s">
        <v>124</v>
      </c>
      <c r="I35" s="475">
        <v>7.14</v>
      </c>
      <c r="J35" s="477"/>
      <c r="K35" s="477"/>
      <c r="L35" s="477"/>
      <c r="M35" s="477"/>
      <c r="N35" s="477"/>
      <c r="O35" s="477"/>
      <c r="P35" s="477"/>
      <c r="Q35" s="477"/>
      <c r="R35" s="477"/>
      <c r="S35" s="183" t="s">
        <v>90</v>
      </c>
      <c r="T35" s="283"/>
      <c r="U35" s="478" t="s">
        <v>855</v>
      </c>
      <c r="V35" s="318" t="str">
        <f>VLOOKUP(C:C,'1-7 AUG'!C:C,1,0)</f>
        <v>#N/A</v>
      </c>
      <c r="W35" s="318"/>
      <c r="X35" s="318"/>
      <c r="Y35" s="318"/>
    </row>
    <row r="36">
      <c r="A36" s="469">
        <v>236983.0</v>
      </c>
      <c r="B36" s="268" t="s">
        <v>1693</v>
      </c>
      <c r="C36" s="268" t="s">
        <v>1694</v>
      </c>
      <c r="D36" s="470">
        <v>56.0</v>
      </c>
      <c r="E36" s="470">
        <v>51.0</v>
      </c>
      <c r="F36" s="470">
        <v>5.0</v>
      </c>
      <c r="G36" s="471">
        <v>0.098</v>
      </c>
      <c r="H36" s="470" t="s">
        <v>32</v>
      </c>
      <c r="I36" s="470">
        <v>6.1</v>
      </c>
      <c r="J36" s="470">
        <v>55.37</v>
      </c>
      <c r="K36" s="470">
        <v>34.62</v>
      </c>
      <c r="L36" s="470">
        <v>153.78</v>
      </c>
      <c r="M36" s="470">
        <v>153.78</v>
      </c>
      <c r="N36" s="472"/>
      <c r="O36" s="470">
        <v>55.31</v>
      </c>
      <c r="P36" s="470">
        <v>34.58</v>
      </c>
      <c r="Q36" s="470">
        <v>153.65</v>
      </c>
      <c r="R36" s="470">
        <v>153.65</v>
      </c>
      <c r="S36" s="183" t="s">
        <v>90</v>
      </c>
      <c r="T36" s="285"/>
      <c r="U36" s="473" t="s">
        <v>855</v>
      </c>
      <c r="V36" s="318" t="str">
        <f>VLOOKUP(C:C,'1-7 AUG'!C:C,1,0)</f>
        <v>#N/A</v>
      </c>
      <c r="W36" s="318"/>
      <c r="X36" s="318"/>
      <c r="Y36" s="318"/>
    </row>
    <row r="37">
      <c r="A37" s="474">
        <v>149278.0</v>
      </c>
      <c r="B37" s="264" t="s">
        <v>1695</v>
      </c>
      <c r="C37" s="264" t="s">
        <v>1696</v>
      </c>
      <c r="D37" s="475">
        <v>47.0</v>
      </c>
      <c r="E37" s="475">
        <v>47.0</v>
      </c>
      <c r="F37" s="475">
        <v>5.0</v>
      </c>
      <c r="G37" s="476">
        <v>0.106</v>
      </c>
      <c r="H37" s="475" t="s">
        <v>32</v>
      </c>
      <c r="I37" s="475">
        <v>10.3</v>
      </c>
      <c r="J37" s="475">
        <v>49.42</v>
      </c>
      <c r="K37" s="475">
        <v>43.2</v>
      </c>
      <c r="L37" s="475">
        <v>149.21</v>
      </c>
      <c r="M37" s="475">
        <v>148.65</v>
      </c>
      <c r="N37" s="477"/>
      <c r="O37" s="475">
        <v>49.13</v>
      </c>
      <c r="P37" s="475">
        <v>43.08</v>
      </c>
      <c r="Q37" s="475">
        <v>148.6</v>
      </c>
      <c r="R37" s="475">
        <v>148.69</v>
      </c>
      <c r="S37" s="183" t="s">
        <v>90</v>
      </c>
      <c r="T37" s="283"/>
      <c r="U37" s="478" t="s">
        <v>855</v>
      </c>
      <c r="V37" s="318" t="str">
        <f>VLOOKUP(C:C,'1-7 AUG'!C:C,1,0)</f>
        <v>#N/A</v>
      </c>
      <c r="W37" s="318"/>
      <c r="X37" s="318"/>
      <c r="Y37" s="318"/>
    </row>
    <row r="38">
      <c r="A38" s="469">
        <v>242911.0</v>
      </c>
      <c r="B38" s="268" t="s">
        <v>1697</v>
      </c>
      <c r="C38" s="268" t="s">
        <v>1698</v>
      </c>
      <c r="D38" s="470">
        <v>46.0</v>
      </c>
      <c r="E38" s="470">
        <v>45.0</v>
      </c>
      <c r="F38" s="470">
        <v>5.0</v>
      </c>
      <c r="G38" s="471">
        <v>0.111</v>
      </c>
      <c r="H38" s="470" t="s">
        <v>32</v>
      </c>
      <c r="I38" s="470">
        <v>5.9</v>
      </c>
      <c r="J38" s="470">
        <v>58.19</v>
      </c>
      <c r="K38" s="470">
        <v>47.02</v>
      </c>
      <c r="L38" s="470">
        <v>173.88</v>
      </c>
      <c r="M38" s="470">
        <v>173.99</v>
      </c>
      <c r="N38" s="472"/>
      <c r="O38" s="470">
        <v>58.13</v>
      </c>
      <c r="P38" s="470">
        <v>46.98</v>
      </c>
      <c r="Q38" s="470">
        <v>173.71</v>
      </c>
      <c r="R38" s="470">
        <v>173.71</v>
      </c>
      <c r="S38" s="183" t="s">
        <v>90</v>
      </c>
      <c r="T38" s="285"/>
      <c r="U38" s="473" t="s">
        <v>855</v>
      </c>
      <c r="V38" s="318" t="str">
        <f>VLOOKUP(C:C,'1-7 AUG'!C:C,1,0)</f>
        <v>#N/A</v>
      </c>
      <c r="W38" s="318"/>
      <c r="X38" s="318"/>
      <c r="Y38" s="318"/>
    </row>
    <row r="39">
      <c r="A39" s="481">
        <v>207671.0</v>
      </c>
      <c r="B39" s="482" t="s">
        <v>1699</v>
      </c>
      <c r="C39" s="482" t="s">
        <v>1700</v>
      </c>
      <c r="D39" s="483">
        <v>57.0</v>
      </c>
      <c r="E39" s="483">
        <v>44.0</v>
      </c>
      <c r="F39" s="483">
        <v>5.0</v>
      </c>
      <c r="G39" s="484">
        <v>0.114</v>
      </c>
      <c r="H39" s="483" t="s">
        <v>32</v>
      </c>
      <c r="I39" s="483">
        <v>1.7</v>
      </c>
      <c r="J39" s="485" t="s">
        <v>1701</v>
      </c>
      <c r="K39" s="486"/>
      <c r="L39" s="486"/>
      <c r="M39" s="486"/>
      <c r="N39" s="486"/>
      <c r="O39" s="486"/>
      <c r="P39" s="486"/>
      <c r="Q39" s="486"/>
      <c r="R39" s="486"/>
      <c r="S39" s="183" t="s">
        <v>90</v>
      </c>
      <c r="T39" s="487" t="s">
        <v>1701</v>
      </c>
      <c r="U39" s="488" t="s">
        <v>855</v>
      </c>
      <c r="V39" s="318" t="str">
        <f>VLOOKUP(C:C,'1-7 AUG'!C:C,1,0)</f>
        <v>#N/A</v>
      </c>
      <c r="W39" s="318"/>
      <c r="X39" s="318"/>
      <c r="Y39" s="318"/>
    </row>
    <row r="40">
      <c r="A40" s="474">
        <v>235299.0</v>
      </c>
      <c r="B40" s="264" t="s">
        <v>1702</v>
      </c>
      <c r="C40" s="264" t="s">
        <v>112</v>
      </c>
      <c r="D40" s="475">
        <v>44.0</v>
      </c>
      <c r="E40" s="475">
        <v>44.0</v>
      </c>
      <c r="F40" s="475">
        <v>5.0</v>
      </c>
      <c r="G40" s="476">
        <v>0.114</v>
      </c>
      <c r="H40" s="475" t="s">
        <v>1703</v>
      </c>
      <c r="I40" s="475">
        <v>6.0</v>
      </c>
      <c r="J40" s="475">
        <v>51.05</v>
      </c>
      <c r="K40" s="475">
        <v>40.93</v>
      </c>
      <c r="L40" s="475">
        <v>155.49</v>
      </c>
      <c r="M40" s="475">
        <v>155.52</v>
      </c>
      <c r="N40" s="477"/>
      <c r="O40" s="475">
        <v>51.14</v>
      </c>
      <c r="P40" s="475">
        <v>40.96</v>
      </c>
      <c r="Q40" s="475">
        <v>155.27</v>
      </c>
      <c r="R40" s="475">
        <v>155.43</v>
      </c>
      <c r="S40" s="183" t="s">
        <v>90</v>
      </c>
      <c r="T40" s="283"/>
      <c r="U40" s="478" t="s">
        <v>855</v>
      </c>
      <c r="V40" s="318" t="str">
        <f>VLOOKUP(C:C,'1-7 AUG'!C:C,1,0)</f>
        <v>#N/A</v>
      </c>
      <c r="W40" s="318"/>
      <c r="X40" s="318"/>
      <c r="Y40" s="318"/>
    </row>
    <row r="41">
      <c r="A41" s="479">
        <v>241117.0</v>
      </c>
      <c r="B41" s="264" t="s">
        <v>1661</v>
      </c>
      <c r="C41" s="264" t="s">
        <v>1110</v>
      </c>
      <c r="D41" s="475">
        <v>31.0</v>
      </c>
      <c r="E41" s="475">
        <v>33.0</v>
      </c>
      <c r="F41" s="475">
        <v>5.0</v>
      </c>
      <c r="G41" s="476">
        <v>0.152</v>
      </c>
      <c r="H41" s="475" t="s">
        <v>32</v>
      </c>
      <c r="I41" s="475">
        <v>6.7</v>
      </c>
      <c r="J41" s="141">
        <v>54.82</v>
      </c>
      <c r="K41" s="475">
        <v>36.63</v>
      </c>
      <c r="L41" s="475">
        <v>154.39</v>
      </c>
      <c r="M41" s="475">
        <v>155.16</v>
      </c>
      <c r="N41" s="477"/>
      <c r="O41" s="475">
        <v>54.57</v>
      </c>
      <c r="P41" s="141">
        <v>35.87</v>
      </c>
      <c r="Q41" s="475">
        <v>154.1</v>
      </c>
      <c r="R41" s="475">
        <v>153.37</v>
      </c>
      <c r="S41" s="183" t="s">
        <v>90</v>
      </c>
      <c r="T41" s="283"/>
      <c r="U41" s="478" t="s">
        <v>855</v>
      </c>
      <c r="V41" s="318" t="str">
        <f>VLOOKUP(C:C,'1-7 AUG'!C:C,1,0)</f>
        <v>#N/A</v>
      </c>
      <c r="W41" s="318"/>
      <c r="X41" s="318"/>
      <c r="Y41" s="318"/>
    </row>
    <row r="42">
      <c r="A42" s="318"/>
      <c r="B42" s="318"/>
      <c r="C42" s="318"/>
      <c r="D42" s="318"/>
      <c r="E42" s="318"/>
      <c r="F42" s="318"/>
      <c r="G42" s="318"/>
      <c r="H42" s="318"/>
      <c r="I42" s="318"/>
      <c r="J42" s="318"/>
      <c r="K42" s="318"/>
      <c r="L42" s="318"/>
      <c r="M42" s="318"/>
      <c r="N42" s="318"/>
      <c r="O42" s="318"/>
      <c r="P42" s="318"/>
      <c r="Q42" s="318"/>
      <c r="R42" s="318"/>
      <c r="S42" s="318"/>
      <c r="T42" s="318"/>
      <c r="U42" s="318"/>
      <c r="V42" s="318"/>
      <c r="W42" s="318"/>
      <c r="X42" s="318"/>
      <c r="Y42" s="318"/>
    </row>
  </sheetData>
  <mergeCells count="1">
    <mergeCell ref="J39:R39"/>
  </mergeCells>
  <dataValidations>
    <dataValidation type="list" allowBlank="1" showErrorMessage="1" sqref="S2:S41">
      <formula1>"GEETANJALI,AMIRUN,DEEPANSHU,DHAVAL,ADITI"</formula1>
    </dataValidation>
  </dataValidation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75"/>
    <col customWidth="1" min="3" max="3" width="21.88"/>
  </cols>
  <sheetData>
    <row r="1">
      <c r="A1" s="463" t="s">
        <v>1414</v>
      </c>
      <c r="B1" s="457" t="s">
        <v>1415</v>
      </c>
      <c r="C1" s="457" t="s">
        <v>848</v>
      </c>
      <c r="D1" s="457" t="s">
        <v>849</v>
      </c>
      <c r="E1" s="457" t="s">
        <v>850</v>
      </c>
      <c r="F1" s="457" t="s">
        <v>851</v>
      </c>
      <c r="G1" s="457" t="s">
        <v>852</v>
      </c>
      <c r="H1" s="457" t="s">
        <v>3</v>
      </c>
      <c r="I1" s="457" t="s">
        <v>4</v>
      </c>
      <c r="J1" s="455" t="s">
        <v>6</v>
      </c>
      <c r="K1" s="456" t="s">
        <v>7</v>
      </c>
      <c r="L1" s="456" t="s">
        <v>8</v>
      </c>
      <c r="M1" s="456" t="s">
        <v>9</v>
      </c>
      <c r="N1" s="456" t="s">
        <v>10</v>
      </c>
      <c r="O1" s="456" t="s">
        <v>11</v>
      </c>
      <c r="P1" s="455" t="s">
        <v>12</v>
      </c>
      <c r="Q1" s="456" t="s">
        <v>13</v>
      </c>
      <c r="R1" s="456" t="s">
        <v>14</v>
      </c>
      <c r="S1" s="457" t="s">
        <v>16</v>
      </c>
      <c r="T1" s="455" t="s">
        <v>15</v>
      </c>
      <c r="U1" s="464" t="s">
        <v>1416</v>
      </c>
      <c r="V1" s="174"/>
      <c r="W1" s="174"/>
      <c r="X1" s="174"/>
      <c r="Y1" s="174"/>
      <c r="Z1" s="174"/>
    </row>
    <row r="2">
      <c r="A2" s="489">
        <v>241079.0</v>
      </c>
      <c r="B2" s="489" t="s">
        <v>1704</v>
      </c>
      <c r="C2" s="489" t="s">
        <v>94</v>
      </c>
      <c r="D2" s="489">
        <v>16.0</v>
      </c>
      <c r="E2" s="489">
        <v>13.0</v>
      </c>
      <c r="F2" s="489">
        <v>12.0</v>
      </c>
      <c r="G2" s="490">
        <v>0.923</v>
      </c>
      <c r="H2" s="489" t="s">
        <v>17</v>
      </c>
      <c r="I2" s="490">
        <v>0.154</v>
      </c>
      <c r="J2" s="491">
        <v>53.51</v>
      </c>
      <c r="K2" s="491">
        <v>48.64</v>
      </c>
      <c r="L2" s="492">
        <v>163.13</v>
      </c>
      <c r="M2" s="492">
        <v>163.4</v>
      </c>
      <c r="N2" s="493"/>
      <c r="O2" s="492">
        <v>53.58</v>
      </c>
      <c r="P2" s="492">
        <v>48.89</v>
      </c>
      <c r="Q2" s="492">
        <v>163.34</v>
      </c>
      <c r="R2" s="492">
        <v>163.38</v>
      </c>
      <c r="S2" s="489" t="s">
        <v>90</v>
      </c>
      <c r="T2" s="494"/>
      <c r="U2" s="489" t="s">
        <v>855</v>
      </c>
      <c r="V2" s="174" t="str">
        <f>VLOOKUP(C:C,'1-7 AUG'!C:C,1,0)</f>
        <v>#N/A</v>
      </c>
      <c r="W2" s="174"/>
      <c r="X2" s="174"/>
      <c r="Y2" s="174"/>
      <c r="Z2" s="174"/>
    </row>
    <row r="3">
      <c r="A3" s="489">
        <v>207671.0</v>
      </c>
      <c r="B3" s="489" t="s">
        <v>1705</v>
      </c>
      <c r="C3" s="489" t="s">
        <v>1706</v>
      </c>
      <c r="D3" s="489">
        <v>19.0</v>
      </c>
      <c r="E3" s="489">
        <v>10.0</v>
      </c>
      <c r="F3" s="489">
        <v>8.0</v>
      </c>
      <c r="G3" s="490">
        <v>0.8</v>
      </c>
      <c r="H3" s="489" t="s">
        <v>32</v>
      </c>
      <c r="I3" s="490">
        <v>0.273</v>
      </c>
      <c r="J3" s="492" t="s">
        <v>1707</v>
      </c>
      <c r="K3" s="486"/>
      <c r="L3" s="486"/>
      <c r="M3" s="486"/>
      <c r="N3" s="486"/>
      <c r="O3" s="486"/>
      <c r="P3" s="486"/>
      <c r="Q3" s="486"/>
      <c r="R3" s="486"/>
      <c r="S3" s="489" t="s">
        <v>90</v>
      </c>
      <c r="T3" s="494"/>
      <c r="U3" s="489" t="s">
        <v>855</v>
      </c>
      <c r="V3" s="174" t="str">
        <f>VLOOKUP(C:C,'1-7 AUG'!C:C,1,0)</f>
        <v>#N/A</v>
      </c>
      <c r="W3" s="174"/>
      <c r="X3" s="174"/>
      <c r="Y3" s="174"/>
      <c r="Z3" s="174"/>
    </row>
    <row r="4">
      <c r="A4" s="489">
        <v>225341.0</v>
      </c>
      <c r="B4" s="489" t="s">
        <v>1708</v>
      </c>
      <c r="C4" s="489" t="s">
        <v>1709</v>
      </c>
      <c r="D4" s="489">
        <v>44.0</v>
      </c>
      <c r="E4" s="489">
        <v>38.0</v>
      </c>
      <c r="F4" s="489">
        <v>23.0</v>
      </c>
      <c r="G4" s="490">
        <v>0.605</v>
      </c>
      <c r="H4" s="489" t="s">
        <v>32</v>
      </c>
      <c r="I4" s="490">
        <v>0.316</v>
      </c>
      <c r="J4" s="492">
        <v>50.42</v>
      </c>
      <c r="K4" s="492">
        <v>37.83</v>
      </c>
      <c r="L4" s="492">
        <v>140.18</v>
      </c>
      <c r="M4" s="492">
        <v>140.56</v>
      </c>
      <c r="N4" s="493"/>
      <c r="O4" s="492">
        <v>49.97</v>
      </c>
      <c r="P4" s="492">
        <v>37.77</v>
      </c>
      <c r="Q4" s="492">
        <v>140.01</v>
      </c>
      <c r="R4" s="492">
        <v>139.51</v>
      </c>
      <c r="S4" s="489" t="s">
        <v>90</v>
      </c>
      <c r="T4" s="494"/>
      <c r="U4" s="489" t="s">
        <v>855</v>
      </c>
      <c r="V4" s="174" t="str">
        <f>VLOOKUP(C:C,'1-7 AUG'!C:C,1,0)</f>
        <v>#N/A</v>
      </c>
      <c r="W4" s="174"/>
      <c r="X4" s="174"/>
      <c r="Y4" s="174"/>
      <c r="Z4" s="174"/>
    </row>
    <row r="5">
      <c r="A5" s="489">
        <v>242206.0</v>
      </c>
      <c r="B5" s="489" t="s">
        <v>1663</v>
      </c>
      <c r="C5" s="489" t="s">
        <v>119</v>
      </c>
      <c r="D5" s="489">
        <v>54.0</v>
      </c>
      <c r="E5" s="489">
        <v>46.0</v>
      </c>
      <c r="F5" s="489">
        <v>25.0</v>
      </c>
      <c r="G5" s="490">
        <v>0.543</v>
      </c>
      <c r="H5" s="489" t="s">
        <v>32</v>
      </c>
      <c r="I5" s="490">
        <v>0.283</v>
      </c>
      <c r="J5" s="492">
        <v>56.5</v>
      </c>
      <c r="K5" s="492">
        <v>36.3</v>
      </c>
      <c r="L5" s="492">
        <v>157.52</v>
      </c>
      <c r="M5" s="492">
        <v>156.69</v>
      </c>
      <c r="N5" s="493"/>
      <c r="O5" s="492">
        <v>56.4</v>
      </c>
      <c r="P5" s="492">
        <v>36.11</v>
      </c>
      <c r="Q5" s="491">
        <v>157.35</v>
      </c>
      <c r="R5" s="492">
        <v>156.39</v>
      </c>
      <c r="S5" s="489" t="s">
        <v>90</v>
      </c>
      <c r="T5" s="494"/>
      <c r="U5" s="489" t="s">
        <v>855</v>
      </c>
      <c r="V5" s="174" t="str">
        <f>VLOOKUP(C:C,'1-7 AUG'!C:C,1,0)</f>
        <v>#N/A</v>
      </c>
      <c r="W5" s="174"/>
      <c r="X5" s="174"/>
      <c r="Y5" s="174"/>
      <c r="Z5" s="174"/>
    </row>
    <row r="6">
      <c r="A6" s="489">
        <v>239839.0</v>
      </c>
      <c r="B6" s="489" t="s">
        <v>1710</v>
      </c>
      <c r="C6" s="489" t="s">
        <v>184</v>
      </c>
      <c r="D6" s="489">
        <v>24.0</v>
      </c>
      <c r="E6" s="489">
        <v>23.0</v>
      </c>
      <c r="F6" s="489">
        <v>10.0</v>
      </c>
      <c r="G6" s="490">
        <v>0.435</v>
      </c>
      <c r="H6" s="489" t="s">
        <v>32</v>
      </c>
      <c r="I6" s="490">
        <v>0.348</v>
      </c>
      <c r="J6" s="495">
        <v>53.68</v>
      </c>
      <c r="K6" s="492">
        <v>35.89</v>
      </c>
      <c r="L6" s="492">
        <v>153.48</v>
      </c>
      <c r="M6" s="492">
        <v>153.4</v>
      </c>
      <c r="N6" s="493"/>
      <c r="O6" s="492">
        <v>53.57</v>
      </c>
      <c r="P6" s="492">
        <v>35.81</v>
      </c>
      <c r="Q6" s="492">
        <v>153.42</v>
      </c>
      <c r="R6" s="492">
        <v>153.07</v>
      </c>
      <c r="S6" s="489" t="s">
        <v>90</v>
      </c>
      <c r="T6" s="494"/>
      <c r="U6" s="489" t="s">
        <v>855</v>
      </c>
      <c r="V6" s="174" t="str">
        <f>VLOOKUP(C:C,'1-7 AUG'!C:C,1,0)</f>
        <v>#N/A</v>
      </c>
      <c r="W6" s="174"/>
      <c r="X6" s="174"/>
      <c r="Y6" s="174"/>
      <c r="Z6" s="174"/>
    </row>
    <row r="7">
      <c r="A7" s="489">
        <v>225336.0</v>
      </c>
      <c r="B7" s="489" t="s">
        <v>1348</v>
      </c>
      <c r="C7" s="489" t="s">
        <v>138</v>
      </c>
      <c r="D7" s="489">
        <v>59.0</v>
      </c>
      <c r="E7" s="489">
        <v>54.0</v>
      </c>
      <c r="F7" s="489">
        <v>20.0</v>
      </c>
      <c r="G7" s="490">
        <v>0.37</v>
      </c>
      <c r="H7" s="489" t="s">
        <v>32</v>
      </c>
      <c r="I7" s="490">
        <v>0.037</v>
      </c>
      <c r="J7" s="496">
        <v>47.42</v>
      </c>
      <c r="K7" s="496">
        <v>41.65</v>
      </c>
      <c r="L7" s="496">
        <v>144.62</v>
      </c>
      <c r="M7" s="496">
        <v>144.62</v>
      </c>
      <c r="N7" s="497"/>
      <c r="O7" s="496">
        <v>47.36</v>
      </c>
      <c r="P7" s="496">
        <v>41.58</v>
      </c>
      <c r="Q7" s="496">
        <v>144.41</v>
      </c>
      <c r="R7" s="496">
        <v>144.41</v>
      </c>
      <c r="S7" s="489" t="s">
        <v>90</v>
      </c>
      <c r="T7" s="494"/>
      <c r="U7" s="489" t="s">
        <v>855</v>
      </c>
      <c r="V7" s="174" t="str">
        <f>VLOOKUP(C:C,'1-7 AUG'!C:C,1,0)</f>
        <v>#N/A</v>
      </c>
      <c r="W7" s="174"/>
      <c r="X7" s="174"/>
      <c r="Y7" s="174"/>
      <c r="Z7" s="174"/>
    </row>
    <row r="8">
      <c r="A8" s="489">
        <v>239999.0</v>
      </c>
      <c r="B8" s="489" t="s">
        <v>1711</v>
      </c>
      <c r="C8" s="489" t="s">
        <v>582</v>
      </c>
      <c r="D8" s="489">
        <v>43.0</v>
      </c>
      <c r="E8" s="489">
        <v>41.0</v>
      </c>
      <c r="F8" s="489">
        <v>14.0</v>
      </c>
      <c r="G8" s="490">
        <v>0.341</v>
      </c>
      <c r="H8" s="489" t="s">
        <v>17</v>
      </c>
      <c r="I8" s="490">
        <v>0.028</v>
      </c>
      <c r="J8" s="496">
        <v>56.26</v>
      </c>
      <c r="K8" s="496">
        <v>45.03</v>
      </c>
      <c r="L8" s="496">
        <v>169.17</v>
      </c>
      <c r="M8" s="496">
        <v>169.17</v>
      </c>
      <c r="N8" s="497"/>
      <c r="O8" s="496">
        <v>56.32</v>
      </c>
      <c r="P8" s="496">
        <v>45.08</v>
      </c>
      <c r="Q8" s="496">
        <v>169.4</v>
      </c>
      <c r="R8" s="496">
        <v>169.4</v>
      </c>
      <c r="S8" s="489" t="s">
        <v>90</v>
      </c>
      <c r="T8" s="494"/>
      <c r="U8" s="489" t="s">
        <v>855</v>
      </c>
      <c r="V8" s="174" t="str">
        <f>VLOOKUP(C:C,'1-7 AUG'!C:C,1,0)</f>
        <v>#N/A</v>
      </c>
      <c r="W8" s="174"/>
      <c r="X8" s="174"/>
      <c r="Y8" s="174"/>
      <c r="Z8" s="174"/>
    </row>
    <row r="9">
      <c r="A9" s="489">
        <v>238757.0</v>
      </c>
      <c r="B9" s="489" t="s">
        <v>1712</v>
      </c>
      <c r="C9" s="489" t="s">
        <v>211</v>
      </c>
      <c r="D9" s="489">
        <v>28.0</v>
      </c>
      <c r="E9" s="489">
        <v>28.0</v>
      </c>
      <c r="F9" s="489">
        <v>9.0</v>
      </c>
      <c r="G9" s="490">
        <v>0.321</v>
      </c>
      <c r="H9" s="489" t="s">
        <v>32</v>
      </c>
      <c r="I9" s="490">
        <v>0.107</v>
      </c>
      <c r="J9" s="496">
        <v>54.46</v>
      </c>
      <c r="K9" s="496">
        <v>39.25</v>
      </c>
      <c r="L9" s="496">
        <v>156.4</v>
      </c>
      <c r="M9" s="496">
        <v>156.54</v>
      </c>
      <c r="N9" s="497"/>
      <c r="O9" s="496">
        <v>54.06</v>
      </c>
      <c r="P9" s="496">
        <v>39.13</v>
      </c>
      <c r="Q9" s="496">
        <v>155.65</v>
      </c>
      <c r="R9" s="496">
        <v>155.47</v>
      </c>
      <c r="S9" s="489" t="s">
        <v>90</v>
      </c>
      <c r="T9" s="494"/>
      <c r="U9" s="489" t="s">
        <v>855</v>
      </c>
      <c r="V9" s="174" t="str">
        <f>VLOOKUP(C:C,'1-7 AUG'!C:C,1,0)</f>
        <v>#N/A</v>
      </c>
      <c r="W9" s="174"/>
      <c r="X9" s="174"/>
      <c r="Y9" s="174"/>
      <c r="Z9" s="174"/>
    </row>
    <row r="10">
      <c r="A10" s="489">
        <v>239839.0</v>
      </c>
      <c r="B10" s="489" t="s">
        <v>1323</v>
      </c>
      <c r="C10" s="489" t="s">
        <v>91</v>
      </c>
      <c r="D10" s="489">
        <v>43.0</v>
      </c>
      <c r="E10" s="489">
        <v>34.0</v>
      </c>
      <c r="F10" s="489">
        <v>10.0</v>
      </c>
      <c r="G10" s="490">
        <v>0.294</v>
      </c>
      <c r="H10" s="489" t="s">
        <v>17</v>
      </c>
      <c r="I10" s="490">
        <v>0.157</v>
      </c>
      <c r="J10" s="496">
        <v>53.62</v>
      </c>
      <c r="K10" s="496">
        <v>36.13</v>
      </c>
      <c r="L10" s="496">
        <v>153.91</v>
      </c>
      <c r="M10" s="496">
        <v>153.91</v>
      </c>
      <c r="N10" s="497"/>
      <c r="O10" s="496">
        <v>53.71</v>
      </c>
      <c r="P10" s="496">
        <v>36.21</v>
      </c>
      <c r="Q10" s="496">
        <v>154.17</v>
      </c>
      <c r="R10" s="496">
        <v>154.17</v>
      </c>
      <c r="S10" s="489" t="s">
        <v>90</v>
      </c>
      <c r="T10" s="494"/>
      <c r="U10" s="489" t="s">
        <v>855</v>
      </c>
      <c r="V10" s="174" t="str">
        <f>VLOOKUP(C:C,'1-7 AUG'!C:C,1,0)</f>
        <v>#N/A</v>
      </c>
      <c r="W10" s="174"/>
      <c r="X10" s="174"/>
      <c r="Y10" s="174"/>
      <c r="Z10" s="174"/>
    </row>
    <row r="11">
      <c r="A11" s="489">
        <v>246233.0</v>
      </c>
      <c r="B11" s="489" t="s">
        <v>1713</v>
      </c>
      <c r="C11" s="489" t="s">
        <v>152</v>
      </c>
      <c r="D11" s="489">
        <v>98.0</v>
      </c>
      <c r="E11" s="489">
        <v>91.0</v>
      </c>
      <c r="F11" s="489">
        <v>23.0</v>
      </c>
      <c r="G11" s="490">
        <v>0.253</v>
      </c>
      <c r="H11" s="489" t="s">
        <v>17</v>
      </c>
      <c r="I11" s="490">
        <v>0.131</v>
      </c>
      <c r="J11" s="496">
        <v>53.96</v>
      </c>
      <c r="K11" s="496">
        <v>37.98</v>
      </c>
      <c r="L11" s="496">
        <v>154.51</v>
      </c>
      <c r="M11" s="496">
        <v>154.59</v>
      </c>
      <c r="N11" s="497"/>
      <c r="O11" s="496">
        <v>54.04</v>
      </c>
      <c r="P11" s="496">
        <v>38.13</v>
      </c>
      <c r="Q11" s="496">
        <v>154.75</v>
      </c>
      <c r="R11" s="496">
        <v>154.46</v>
      </c>
      <c r="S11" s="489" t="s">
        <v>90</v>
      </c>
      <c r="T11" s="494"/>
      <c r="U11" s="489" t="s">
        <v>855</v>
      </c>
      <c r="V11" s="174" t="str">
        <f>VLOOKUP(C:C,'1-7 AUG'!C:C,1,0)</f>
        <v>#N/A</v>
      </c>
      <c r="W11" s="174"/>
      <c r="X11" s="174"/>
      <c r="Y11" s="174"/>
      <c r="Z11" s="174"/>
    </row>
    <row r="12">
      <c r="A12" s="489">
        <v>234769.0</v>
      </c>
      <c r="B12" s="489" t="s">
        <v>1714</v>
      </c>
      <c r="C12" s="489" t="s">
        <v>83</v>
      </c>
      <c r="D12" s="489">
        <v>126.0</v>
      </c>
      <c r="E12" s="489">
        <v>111.0</v>
      </c>
      <c r="F12" s="489">
        <v>26.0</v>
      </c>
      <c r="G12" s="490">
        <v>0.234</v>
      </c>
      <c r="H12" s="489" t="s">
        <v>17</v>
      </c>
      <c r="I12" s="490">
        <v>0.102</v>
      </c>
      <c r="J12" s="492">
        <v>55.5</v>
      </c>
      <c r="K12" s="492">
        <v>39.45</v>
      </c>
      <c r="L12" s="492">
        <v>161.67</v>
      </c>
      <c r="M12" s="492">
        <v>161.82</v>
      </c>
      <c r="N12" s="493"/>
      <c r="O12" s="492">
        <v>55.6</v>
      </c>
      <c r="P12" s="492">
        <v>39.51</v>
      </c>
      <c r="Q12" s="492">
        <v>161.76</v>
      </c>
      <c r="R12" s="492">
        <v>162.08</v>
      </c>
      <c r="S12" s="489" t="s">
        <v>90</v>
      </c>
      <c r="T12" s="494"/>
      <c r="U12" s="489" t="s">
        <v>855</v>
      </c>
      <c r="V12" s="174" t="str">
        <f>VLOOKUP(C:C,'1-7 AUG'!C:C,1,0)</f>
        <v>#N/A</v>
      </c>
      <c r="W12" s="174"/>
      <c r="X12" s="174"/>
      <c r="Y12" s="174"/>
      <c r="Z12" s="174"/>
    </row>
    <row r="13">
      <c r="A13" s="489">
        <v>227035.0</v>
      </c>
      <c r="B13" s="489" t="s">
        <v>1333</v>
      </c>
      <c r="C13" s="489" t="s">
        <v>84</v>
      </c>
      <c r="D13" s="489">
        <v>115.0</v>
      </c>
      <c r="E13" s="489">
        <v>114.0</v>
      </c>
      <c r="F13" s="489">
        <v>25.0</v>
      </c>
      <c r="G13" s="490">
        <v>0.219</v>
      </c>
      <c r="H13" s="494"/>
      <c r="I13" s="490">
        <v>0.0</v>
      </c>
      <c r="J13" s="495" t="s">
        <v>796</v>
      </c>
      <c r="S13" s="489" t="s">
        <v>90</v>
      </c>
      <c r="T13" s="494"/>
      <c r="U13" s="489" t="s">
        <v>855</v>
      </c>
      <c r="V13" s="174" t="str">
        <f>VLOOKUP(C:C,'1-7 AUG'!C:C,1,0)</f>
        <v>#N/A</v>
      </c>
      <c r="W13" s="174"/>
      <c r="X13" s="174"/>
      <c r="Y13" s="174"/>
      <c r="Z13" s="174"/>
    </row>
    <row r="14">
      <c r="A14" s="489">
        <v>241119.0</v>
      </c>
      <c r="B14" s="489" t="s">
        <v>1684</v>
      </c>
      <c r="C14" s="489" t="s">
        <v>1107</v>
      </c>
      <c r="D14" s="489">
        <v>67.0</v>
      </c>
      <c r="E14" s="489">
        <v>55.0</v>
      </c>
      <c r="F14" s="489">
        <v>12.0</v>
      </c>
      <c r="G14" s="490">
        <v>0.218</v>
      </c>
      <c r="H14" s="489" t="s">
        <v>32</v>
      </c>
      <c r="I14" s="490">
        <v>0.164</v>
      </c>
      <c r="J14" s="496">
        <v>55.9</v>
      </c>
      <c r="K14" s="496">
        <v>38.81</v>
      </c>
      <c r="L14" s="496">
        <v>162.74</v>
      </c>
      <c r="M14" s="496">
        <v>162.9</v>
      </c>
      <c r="N14" s="497"/>
      <c r="O14" s="496">
        <v>56.3</v>
      </c>
      <c r="P14" s="496">
        <v>38.41</v>
      </c>
      <c r="Q14" s="496">
        <v>162.74</v>
      </c>
      <c r="R14" s="496">
        <v>162.95</v>
      </c>
      <c r="S14" s="489" t="s">
        <v>90</v>
      </c>
      <c r="T14" s="494"/>
      <c r="U14" s="489" t="s">
        <v>855</v>
      </c>
      <c r="V14" s="174" t="str">
        <f>VLOOKUP(C:C,'1-7 AUG'!C:C,1,0)</f>
        <v>#N/A</v>
      </c>
      <c r="W14" s="174"/>
      <c r="X14" s="174"/>
      <c r="Y14" s="174"/>
      <c r="Z14" s="174"/>
    </row>
    <row r="15">
      <c r="A15" s="489">
        <v>234804.0</v>
      </c>
      <c r="B15" s="489" t="s">
        <v>1715</v>
      </c>
      <c r="C15" s="489" t="s">
        <v>87</v>
      </c>
      <c r="D15" s="489">
        <v>166.0</v>
      </c>
      <c r="E15" s="489">
        <v>163.0</v>
      </c>
      <c r="F15" s="489">
        <v>35.0</v>
      </c>
      <c r="G15" s="490">
        <v>0.215</v>
      </c>
      <c r="H15" s="489" t="s">
        <v>17</v>
      </c>
      <c r="I15" s="490">
        <v>0.028</v>
      </c>
      <c r="J15" s="496">
        <v>50.36</v>
      </c>
      <c r="K15" s="496">
        <v>42.22</v>
      </c>
      <c r="L15" s="496">
        <v>150.28</v>
      </c>
      <c r="M15" s="496">
        <v>150.23</v>
      </c>
      <c r="N15" s="497"/>
      <c r="O15" s="496">
        <v>50.49</v>
      </c>
      <c r="P15" s="496">
        <v>42.27</v>
      </c>
      <c r="Q15" s="496">
        <v>150.37</v>
      </c>
      <c r="R15" s="496">
        <v>150.52</v>
      </c>
      <c r="S15" s="489" t="s">
        <v>90</v>
      </c>
      <c r="T15" s="494"/>
      <c r="U15" s="489" t="s">
        <v>855</v>
      </c>
      <c r="V15" s="174" t="str">
        <f>VLOOKUP(C:C,'1-7 AUG'!C:C,1,0)</f>
        <v>#N/A</v>
      </c>
      <c r="W15" s="174"/>
      <c r="X15" s="174"/>
      <c r="Y15" s="174"/>
      <c r="Z15" s="174"/>
    </row>
    <row r="16">
      <c r="A16" s="489">
        <v>241117.0</v>
      </c>
      <c r="B16" s="489" t="s">
        <v>1661</v>
      </c>
      <c r="C16" s="489" t="s">
        <v>1110</v>
      </c>
      <c r="D16" s="489">
        <v>51.0</v>
      </c>
      <c r="E16" s="489">
        <v>51.0</v>
      </c>
      <c r="F16" s="489">
        <v>10.0</v>
      </c>
      <c r="G16" s="490">
        <v>0.196</v>
      </c>
      <c r="H16" s="489" t="s">
        <v>32</v>
      </c>
      <c r="I16" s="490">
        <v>0.157</v>
      </c>
      <c r="J16" s="496">
        <v>54.57</v>
      </c>
      <c r="K16" s="496">
        <v>35.87</v>
      </c>
      <c r="L16" s="496">
        <v>154.1</v>
      </c>
      <c r="M16" s="496">
        <v>153.37</v>
      </c>
      <c r="N16" s="497"/>
      <c r="O16" s="496">
        <v>54.49</v>
      </c>
      <c r="P16" s="496">
        <v>35.79</v>
      </c>
      <c r="Q16" s="496">
        <v>153.83</v>
      </c>
      <c r="R16" s="496">
        <v>153.1</v>
      </c>
      <c r="S16" s="489" t="s">
        <v>90</v>
      </c>
      <c r="T16" s="494"/>
      <c r="U16" s="489" t="s">
        <v>855</v>
      </c>
      <c r="V16" s="174" t="str">
        <f>VLOOKUP(C:C,'1-7 AUG'!C:C,1,0)</f>
        <v>#N/A</v>
      </c>
      <c r="W16" s="174"/>
      <c r="X16" s="174"/>
      <c r="Y16" s="174"/>
      <c r="Z16" s="174"/>
    </row>
    <row r="17">
      <c r="A17" s="489">
        <v>247071.0</v>
      </c>
      <c r="B17" s="489" t="s">
        <v>1716</v>
      </c>
      <c r="C17" s="489" t="s">
        <v>1112</v>
      </c>
      <c r="D17" s="489">
        <v>114.0</v>
      </c>
      <c r="E17" s="489">
        <v>107.0</v>
      </c>
      <c r="F17" s="489">
        <v>18.0</v>
      </c>
      <c r="G17" s="490">
        <v>0.168</v>
      </c>
      <c r="H17" s="489" t="s">
        <v>32</v>
      </c>
      <c r="I17" s="490">
        <v>0.131</v>
      </c>
      <c r="J17" s="496">
        <v>53.35</v>
      </c>
      <c r="K17" s="496">
        <v>42.43</v>
      </c>
      <c r="L17" s="496">
        <v>157.89</v>
      </c>
      <c r="M17" s="496">
        <v>157.68</v>
      </c>
      <c r="N17" s="497"/>
      <c r="O17" s="496">
        <v>53.28</v>
      </c>
      <c r="P17" s="496">
        <v>42.36</v>
      </c>
      <c r="Q17" s="496">
        <v>157.69</v>
      </c>
      <c r="R17" s="496">
        <v>157.54</v>
      </c>
      <c r="S17" s="489" t="s">
        <v>90</v>
      </c>
      <c r="T17" s="494"/>
      <c r="U17" s="489" t="s">
        <v>855</v>
      </c>
      <c r="V17" s="174" t="str">
        <f>VLOOKUP(C:C,'1-7 AUG'!C:C,1,0)</f>
        <v>#N/A</v>
      </c>
      <c r="W17" s="174"/>
      <c r="X17" s="174"/>
      <c r="Y17" s="174"/>
      <c r="Z17" s="174"/>
    </row>
    <row r="18">
      <c r="A18" s="489">
        <v>246235.0</v>
      </c>
      <c r="B18" s="489" t="s">
        <v>1717</v>
      </c>
      <c r="C18" s="489" t="s">
        <v>1114</v>
      </c>
      <c r="D18" s="489">
        <v>53.0</v>
      </c>
      <c r="E18" s="489">
        <v>49.0</v>
      </c>
      <c r="F18" s="489">
        <v>8.0</v>
      </c>
      <c r="G18" s="490">
        <v>0.163</v>
      </c>
      <c r="H18" s="489" t="s">
        <v>32</v>
      </c>
      <c r="I18" s="490">
        <v>0.102</v>
      </c>
      <c r="J18" s="496">
        <v>52.66</v>
      </c>
      <c r="K18" s="496">
        <v>45.31</v>
      </c>
      <c r="L18" s="496">
        <v>159.0</v>
      </c>
      <c r="M18" s="496">
        <v>160.44</v>
      </c>
      <c r="N18" s="497"/>
      <c r="O18" s="496">
        <v>52.59</v>
      </c>
      <c r="P18" s="496">
        <v>45.27</v>
      </c>
      <c r="Q18" s="496">
        <v>158.76</v>
      </c>
      <c r="R18" s="496">
        <v>158.76</v>
      </c>
      <c r="S18" s="489" t="s">
        <v>90</v>
      </c>
      <c r="T18" s="494"/>
      <c r="U18" s="489" t="s">
        <v>855</v>
      </c>
      <c r="V18" s="174" t="str">
        <f>VLOOKUP(C:C,'1-7 AUG'!C:C,1,0)</f>
        <v>#N/A</v>
      </c>
      <c r="W18" s="174"/>
      <c r="X18" s="174"/>
      <c r="Y18" s="174"/>
      <c r="Z18" s="174"/>
    </row>
    <row r="19">
      <c r="A19" s="489">
        <v>246232.0</v>
      </c>
      <c r="B19" s="489" t="s">
        <v>1713</v>
      </c>
      <c r="C19" s="489" t="s">
        <v>169</v>
      </c>
      <c r="D19" s="489">
        <v>61.0</v>
      </c>
      <c r="E19" s="489">
        <v>55.0</v>
      </c>
      <c r="F19" s="489">
        <v>8.0</v>
      </c>
      <c r="G19" s="490">
        <v>0.145</v>
      </c>
      <c r="H19" s="489" t="s">
        <v>17</v>
      </c>
      <c r="I19" s="490">
        <v>0.083</v>
      </c>
      <c r="J19" s="496">
        <v>53.85</v>
      </c>
      <c r="K19" s="496">
        <v>35.89</v>
      </c>
      <c r="L19" s="496">
        <v>151.71</v>
      </c>
      <c r="M19" s="496">
        <v>151.71</v>
      </c>
      <c r="N19" s="497"/>
      <c r="O19" s="496">
        <v>53.91</v>
      </c>
      <c r="P19" s="496">
        <v>36.08</v>
      </c>
      <c r="Q19" s="496">
        <v>151.86</v>
      </c>
      <c r="R19" s="496">
        <v>151.78</v>
      </c>
      <c r="S19" s="489" t="s">
        <v>90</v>
      </c>
      <c r="T19" s="494"/>
      <c r="U19" s="489" t="s">
        <v>855</v>
      </c>
      <c r="V19" s="174" t="str">
        <f>VLOOKUP(C:C,'1-7 AUG'!C:C,1,0)</f>
        <v>#N/A</v>
      </c>
      <c r="W19" s="174"/>
      <c r="X19" s="174"/>
      <c r="Y19" s="174"/>
      <c r="Z19" s="174"/>
    </row>
    <row r="20">
      <c r="A20" s="489">
        <v>219545.0</v>
      </c>
      <c r="B20" s="489" t="s">
        <v>1650</v>
      </c>
      <c r="C20" s="489" t="s">
        <v>198</v>
      </c>
      <c r="D20" s="489">
        <v>77.0</v>
      </c>
      <c r="E20" s="489">
        <v>63.0</v>
      </c>
      <c r="F20" s="489">
        <v>9.0</v>
      </c>
      <c r="G20" s="490">
        <v>0.143</v>
      </c>
      <c r="H20" s="489" t="s">
        <v>32</v>
      </c>
      <c r="I20" s="490">
        <v>0.095</v>
      </c>
      <c r="J20" s="496">
        <v>51.3</v>
      </c>
      <c r="K20" s="496">
        <v>30.95</v>
      </c>
      <c r="L20" s="496">
        <v>140.3</v>
      </c>
      <c r="M20" s="496">
        <v>140.88</v>
      </c>
      <c r="N20" s="497"/>
      <c r="O20" s="496">
        <v>51.08</v>
      </c>
      <c r="P20" s="496">
        <v>30.85</v>
      </c>
      <c r="Q20" s="496">
        <v>140.13</v>
      </c>
      <c r="R20" s="496">
        <v>140.45</v>
      </c>
      <c r="S20" s="489" t="s">
        <v>90</v>
      </c>
      <c r="T20" s="494"/>
      <c r="U20" s="489" t="s">
        <v>855</v>
      </c>
      <c r="V20" s="174" t="str">
        <f>VLOOKUP(C:C,'1-7 AUG'!C:C,1,0)</f>
        <v>#N/A</v>
      </c>
      <c r="W20" s="174"/>
      <c r="X20" s="174"/>
      <c r="Y20" s="174"/>
      <c r="Z20" s="174"/>
    </row>
    <row r="21">
      <c r="A21" s="489">
        <v>146653.0</v>
      </c>
      <c r="B21" s="489" t="s">
        <v>1549</v>
      </c>
      <c r="C21" s="489" t="s">
        <v>296</v>
      </c>
      <c r="D21" s="489">
        <v>195.0</v>
      </c>
      <c r="E21" s="489">
        <v>186.0</v>
      </c>
      <c r="F21" s="489">
        <v>26.0</v>
      </c>
      <c r="G21" s="490">
        <v>0.14</v>
      </c>
      <c r="H21" s="489" t="s">
        <v>32</v>
      </c>
      <c r="I21" s="490">
        <v>0.027</v>
      </c>
      <c r="J21" s="496">
        <v>50.79</v>
      </c>
      <c r="K21" s="496">
        <v>36.29</v>
      </c>
      <c r="L21" s="496">
        <v>146.39</v>
      </c>
      <c r="M21" s="496">
        <v>146.92</v>
      </c>
      <c r="N21" s="497"/>
      <c r="O21" s="496">
        <v>50.53</v>
      </c>
      <c r="P21" s="496">
        <v>36.27</v>
      </c>
      <c r="Q21" s="496">
        <v>146.39</v>
      </c>
      <c r="R21" s="496">
        <v>146.43</v>
      </c>
      <c r="S21" s="489" t="s">
        <v>90</v>
      </c>
      <c r="T21" s="494"/>
      <c r="U21" s="489" t="s">
        <v>855</v>
      </c>
      <c r="V21" s="174" t="str">
        <f>VLOOKUP(C:C,'1-7 AUG'!C:C,1,0)</f>
        <v>#N/A</v>
      </c>
      <c r="W21" s="174"/>
      <c r="X21" s="174"/>
      <c r="Y21" s="174"/>
      <c r="Z21" s="174"/>
    </row>
    <row r="22">
      <c r="A22" s="489">
        <v>246227.0</v>
      </c>
      <c r="B22" s="489" t="s">
        <v>1718</v>
      </c>
      <c r="C22" s="489" t="s">
        <v>1102</v>
      </c>
      <c r="D22" s="489">
        <v>229.0</v>
      </c>
      <c r="E22" s="489">
        <v>216.0</v>
      </c>
      <c r="F22" s="489">
        <v>26.0</v>
      </c>
      <c r="G22" s="490">
        <v>0.12</v>
      </c>
      <c r="H22" s="489" t="s">
        <v>32</v>
      </c>
      <c r="I22" s="490">
        <v>0.074</v>
      </c>
      <c r="J22" s="496">
        <v>53.85</v>
      </c>
      <c r="K22" s="491">
        <v>41.25</v>
      </c>
      <c r="L22" s="496">
        <v>161.97</v>
      </c>
      <c r="M22" s="496">
        <v>162.45</v>
      </c>
      <c r="N22" s="497"/>
      <c r="O22" s="496">
        <v>53.6</v>
      </c>
      <c r="P22" s="496">
        <v>40.91</v>
      </c>
      <c r="Q22" s="496">
        <v>161.96</v>
      </c>
      <c r="R22" s="496">
        <v>161.34</v>
      </c>
      <c r="S22" s="489" t="s">
        <v>90</v>
      </c>
      <c r="T22" s="494"/>
      <c r="U22" s="489" t="s">
        <v>855</v>
      </c>
      <c r="V22" s="174" t="str">
        <f>VLOOKUP(C:C,'1-7 AUG'!C:C,1,0)</f>
        <v>#N/A</v>
      </c>
      <c r="W22" s="174"/>
      <c r="X22" s="174"/>
      <c r="Y22" s="174"/>
      <c r="Z22" s="174"/>
    </row>
    <row r="23">
      <c r="A23" s="489">
        <v>148524.0</v>
      </c>
      <c r="B23" s="489" t="s">
        <v>1719</v>
      </c>
      <c r="C23" s="489" t="s">
        <v>1103</v>
      </c>
      <c r="D23" s="489">
        <v>74.0</v>
      </c>
      <c r="E23" s="489">
        <v>67.0</v>
      </c>
      <c r="F23" s="489">
        <v>8.0</v>
      </c>
      <c r="G23" s="490">
        <v>0.119</v>
      </c>
      <c r="H23" s="489" t="s">
        <v>32</v>
      </c>
      <c r="I23" s="490">
        <v>0.075</v>
      </c>
      <c r="J23" s="496">
        <v>53.01</v>
      </c>
      <c r="K23" s="496">
        <v>36.62</v>
      </c>
      <c r="L23" s="496">
        <v>153.75</v>
      </c>
      <c r="M23" s="496">
        <v>153.86</v>
      </c>
      <c r="N23" s="497"/>
      <c r="O23" s="496">
        <v>52.97</v>
      </c>
      <c r="P23" s="496">
        <v>36.3</v>
      </c>
      <c r="Q23" s="496">
        <v>153.49</v>
      </c>
      <c r="R23" s="496">
        <v>153.06</v>
      </c>
      <c r="S23" s="489" t="s">
        <v>90</v>
      </c>
      <c r="T23" s="494"/>
      <c r="U23" s="489" t="s">
        <v>855</v>
      </c>
      <c r="V23" s="174" t="str">
        <f>VLOOKUP(C:C,'1-7 AUG'!C:C,1,0)</f>
        <v>#N/A</v>
      </c>
      <c r="W23" s="174"/>
      <c r="X23" s="174"/>
      <c r="Y23" s="174"/>
      <c r="Z23" s="174"/>
    </row>
    <row r="24">
      <c r="A24" s="489">
        <v>221282.0</v>
      </c>
      <c r="B24" s="489" t="s">
        <v>1087</v>
      </c>
      <c r="C24" s="489" t="s">
        <v>274</v>
      </c>
      <c r="D24" s="489">
        <v>99.0</v>
      </c>
      <c r="E24" s="489">
        <v>84.0</v>
      </c>
      <c r="F24" s="489">
        <v>10.0</v>
      </c>
      <c r="G24" s="490">
        <v>0.119</v>
      </c>
      <c r="H24" s="489" t="s">
        <v>32</v>
      </c>
      <c r="I24" s="490">
        <v>0.083</v>
      </c>
      <c r="J24" s="496">
        <v>54.64</v>
      </c>
      <c r="K24" s="496">
        <v>42.05</v>
      </c>
      <c r="L24" s="496">
        <v>162.19</v>
      </c>
      <c r="M24" s="496">
        <v>162.1</v>
      </c>
      <c r="N24" s="497"/>
      <c r="O24" s="496">
        <v>54.57</v>
      </c>
      <c r="P24" s="496">
        <v>41.91</v>
      </c>
      <c r="Q24" s="496">
        <v>162.05</v>
      </c>
      <c r="R24" s="496">
        <v>161.76</v>
      </c>
      <c r="S24" s="489" t="s">
        <v>90</v>
      </c>
      <c r="T24" s="494"/>
      <c r="U24" s="489" t="s">
        <v>855</v>
      </c>
      <c r="V24" s="174" t="str">
        <f>VLOOKUP(C:C,'1-7 AUG'!C:C,1,0)</f>
        <v>#N/A</v>
      </c>
      <c r="W24" s="174"/>
      <c r="X24" s="174"/>
      <c r="Y24" s="174"/>
      <c r="Z24" s="174"/>
    </row>
    <row r="25">
      <c r="A25" s="489">
        <v>241113.0</v>
      </c>
      <c r="B25" s="489" t="s">
        <v>1720</v>
      </c>
      <c r="C25" s="489" t="s">
        <v>1104</v>
      </c>
      <c r="D25" s="489">
        <v>132.0</v>
      </c>
      <c r="E25" s="489">
        <v>131.0</v>
      </c>
      <c r="F25" s="489">
        <v>15.0</v>
      </c>
      <c r="G25" s="490">
        <v>0.115</v>
      </c>
      <c r="H25" s="489" t="s">
        <v>32</v>
      </c>
      <c r="I25" s="490">
        <v>0.076</v>
      </c>
      <c r="J25" s="496">
        <v>54.43</v>
      </c>
      <c r="K25" s="496">
        <v>38.06</v>
      </c>
      <c r="L25" s="496">
        <v>152.84</v>
      </c>
      <c r="M25" s="496">
        <v>152.65</v>
      </c>
      <c r="N25" s="497"/>
      <c r="O25" s="496">
        <v>54.39</v>
      </c>
      <c r="P25" s="496">
        <v>38.0</v>
      </c>
      <c r="Q25" s="496">
        <v>152.78</v>
      </c>
      <c r="R25" s="496">
        <v>152.58</v>
      </c>
      <c r="S25" s="489" t="s">
        <v>90</v>
      </c>
      <c r="T25" s="494"/>
      <c r="U25" s="489" t="s">
        <v>855</v>
      </c>
      <c r="V25" s="174" t="str">
        <f>VLOOKUP(C:C,'1-7 AUG'!C:C,1,0)</f>
        <v>#N/A</v>
      </c>
      <c r="W25" s="174"/>
      <c r="X25" s="174"/>
      <c r="Y25" s="174"/>
      <c r="Z25" s="174"/>
    </row>
    <row r="26">
      <c r="A26" s="489">
        <v>210433.0</v>
      </c>
      <c r="B26" s="489" t="s">
        <v>1552</v>
      </c>
      <c r="C26" s="489" t="s">
        <v>417</v>
      </c>
      <c r="D26" s="489">
        <v>191.0</v>
      </c>
      <c r="E26" s="489">
        <v>181.0</v>
      </c>
      <c r="F26" s="489">
        <v>19.0</v>
      </c>
      <c r="G26" s="490">
        <v>0.105</v>
      </c>
      <c r="H26" s="489" t="s">
        <v>32</v>
      </c>
      <c r="I26" s="490">
        <v>0.077</v>
      </c>
      <c r="J26" s="496">
        <v>54.4</v>
      </c>
      <c r="K26" s="496">
        <v>38.0</v>
      </c>
      <c r="L26" s="496">
        <v>152.78</v>
      </c>
      <c r="M26" s="496">
        <v>152.78</v>
      </c>
      <c r="N26" s="497"/>
      <c r="O26" s="496">
        <v>54.32</v>
      </c>
      <c r="P26" s="496">
        <v>37.92</v>
      </c>
      <c r="Q26" s="496">
        <v>152.54</v>
      </c>
      <c r="R26" s="496">
        <v>152.37</v>
      </c>
      <c r="S26" s="489" t="s">
        <v>90</v>
      </c>
      <c r="T26" s="494"/>
      <c r="U26" s="489" t="s">
        <v>855</v>
      </c>
      <c r="V26" s="174" t="str">
        <f>VLOOKUP(C:C,'1-7 AUG'!C:C,1,0)</f>
        <v>#N/A</v>
      </c>
      <c r="W26" s="174"/>
      <c r="X26" s="174"/>
      <c r="Y26" s="174"/>
      <c r="Z26" s="174"/>
    </row>
    <row r="27">
      <c r="A27" s="489">
        <v>210433.0</v>
      </c>
      <c r="B27" s="489" t="s">
        <v>1721</v>
      </c>
      <c r="C27" s="489" t="s">
        <v>1105</v>
      </c>
      <c r="D27" s="489">
        <v>103.0</v>
      </c>
      <c r="E27" s="489">
        <v>88.0</v>
      </c>
      <c r="F27" s="489">
        <v>9.0</v>
      </c>
      <c r="G27" s="490">
        <v>0.102</v>
      </c>
      <c r="H27" s="489" t="s">
        <v>32</v>
      </c>
      <c r="I27" s="490">
        <v>0.08</v>
      </c>
      <c r="J27" s="491">
        <v>52.57</v>
      </c>
      <c r="K27" s="491">
        <v>34.87</v>
      </c>
      <c r="L27" s="491">
        <v>147.8</v>
      </c>
      <c r="M27" s="491">
        <v>147.52</v>
      </c>
      <c r="N27" s="498"/>
      <c r="O27" s="491">
        <v>52.17</v>
      </c>
      <c r="P27" s="491">
        <v>34.77</v>
      </c>
      <c r="Q27" s="491">
        <v>147.1</v>
      </c>
      <c r="R27" s="491">
        <v>147.37</v>
      </c>
      <c r="S27" s="489" t="s">
        <v>90</v>
      </c>
      <c r="T27" s="494"/>
      <c r="U27" s="489" t="s">
        <v>855</v>
      </c>
      <c r="V27" s="174" t="str">
        <f>VLOOKUP(C:C,'1-7 AUG'!C:C,1,0)</f>
        <v>#N/A</v>
      </c>
      <c r="W27" s="174"/>
      <c r="X27" s="174"/>
      <c r="Y27" s="174"/>
      <c r="Z27" s="174"/>
    </row>
    <row r="28">
      <c r="A28" s="489">
        <v>241854.0</v>
      </c>
      <c r="B28" s="489" t="s">
        <v>1722</v>
      </c>
      <c r="C28" s="489" t="s">
        <v>1106</v>
      </c>
      <c r="D28" s="489">
        <v>119.0</v>
      </c>
      <c r="E28" s="489">
        <v>118.0</v>
      </c>
      <c r="F28" s="489">
        <v>11.0</v>
      </c>
      <c r="G28" s="490">
        <v>0.093</v>
      </c>
      <c r="H28" s="489" t="s">
        <v>17</v>
      </c>
      <c r="I28" s="490">
        <v>0.025</v>
      </c>
      <c r="J28" s="496">
        <v>50.51</v>
      </c>
      <c r="K28" s="496">
        <v>40.05</v>
      </c>
      <c r="L28" s="496">
        <v>152.35</v>
      </c>
      <c r="M28" s="496">
        <v>152.7</v>
      </c>
      <c r="N28" s="497"/>
      <c r="O28" s="496">
        <v>50.81</v>
      </c>
      <c r="P28" s="496">
        <v>40.17</v>
      </c>
      <c r="Q28" s="496">
        <v>153.02</v>
      </c>
      <c r="R28" s="496">
        <v>153.4</v>
      </c>
      <c r="S28" s="489" t="s">
        <v>90</v>
      </c>
      <c r="T28" s="494"/>
      <c r="U28" s="489" t="s">
        <v>855</v>
      </c>
      <c r="V28" s="174" t="str">
        <f>VLOOKUP(C:C,'1-7 AUG'!C:C,1,0)</f>
        <v>#N/A</v>
      </c>
      <c r="W28" s="174"/>
      <c r="X28" s="174"/>
      <c r="Y28" s="174"/>
      <c r="Z28" s="174"/>
    </row>
    <row r="29">
      <c r="A29" s="489">
        <v>241124.0</v>
      </c>
      <c r="B29" s="489" t="s">
        <v>1723</v>
      </c>
      <c r="C29" s="489" t="s">
        <v>1108</v>
      </c>
      <c r="D29" s="489">
        <v>88.0</v>
      </c>
      <c r="E29" s="489">
        <v>87.0</v>
      </c>
      <c r="F29" s="489">
        <v>8.0</v>
      </c>
      <c r="G29" s="490">
        <v>0.092</v>
      </c>
      <c r="H29" s="489" t="s">
        <v>32</v>
      </c>
      <c r="I29" s="490">
        <v>0.057</v>
      </c>
      <c r="J29" s="495">
        <v>54.15</v>
      </c>
      <c r="K29" s="495">
        <v>48.37</v>
      </c>
      <c r="L29" s="491">
        <v>163.33</v>
      </c>
      <c r="M29" s="491">
        <v>163.33</v>
      </c>
      <c r="N29" s="499"/>
      <c r="O29" s="495">
        <v>54.1</v>
      </c>
      <c r="P29" s="495">
        <v>48.32</v>
      </c>
      <c r="Q29" s="495">
        <v>163.14</v>
      </c>
      <c r="R29" s="495">
        <v>162.99</v>
      </c>
      <c r="S29" s="489" t="s">
        <v>90</v>
      </c>
      <c r="T29" s="494"/>
      <c r="U29" s="489" t="s">
        <v>855</v>
      </c>
      <c r="V29" s="174" t="str">
        <f>VLOOKUP(C:C,'1-7 AUG'!C:C,1,0)</f>
        <v>#N/A</v>
      </c>
      <c r="W29" s="174"/>
      <c r="X29" s="174"/>
      <c r="Y29" s="174"/>
      <c r="Z29" s="174"/>
    </row>
    <row r="30">
      <c r="A30" s="489">
        <v>241089.0</v>
      </c>
      <c r="B30" s="489" t="s">
        <v>1724</v>
      </c>
      <c r="C30" s="489" t="s">
        <v>1109</v>
      </c>
      <c r="D30" s="489">
        <v>106.0</v>
      </c>
      <c r="E30" s="489">
        <v>98.0</v>
      </c>
      <c r="F30" s="489">
        <v>9.0</v>
      </c>
      <c r="G30" s="490">
        <v>0.092</v>
      </c>
      <c r="H30" s="489" t="s">
        <v>32</v>
      </c>
      <c r="I30" s="490">
        <v>0.071</v>
      </c>
      <c r="J30" s="495">
        <v>60.33</v>
      </c>
      <c r="K30" s="495">
        <v>48.94</v>
      </c>
      <c r="L30" s="495">
        <v>177.28</v>
      </c>
      <c r="M30" s="495">
        <v>177.46</v>
      </c>
      <c r="N30" s="499"/>
      <c r="O30" s="495">
        <v>59.93</v>
      </c>
      <c r="P30" s="495">
        <v>48.4</v>
      </c>
      <c r="Q30" s="495">
        <v>176.47</v>
      </c>
      <c r="R30" s="495">
        <v>176.4</v>
      </c>
      <c r="S30" s="489" t="s">
        <v>90</v>
      </c>
      <c r="T30" s="494"/>
      <c r="U30" s="489" t="s">
        <v>855</v>
      </c>
      <c r="V30" s="174" t="str">
        <f>VLOOKUP(C:C,'1-7 AUG'!C:C,1,0)</f>
        <v>#N/A</v>
      </c>
      <c r="W30" s="174"/>
      <c r="X30" s="174"/>
      <c r="Y30" s="174"/>
      <c r="Z30" s="174"/>
    </row>
    <row r="31">
      <c r="A31" s="489">
        <v>137971.0</v>
      </c>
      <c r="B31" s="489" t="s">
        <v>1725</v>
      </c>
      <c r="C31" s="489" t="s">
        <v>1111</v>
      </c>
      <c r="D31" s="489">
        <v>176.0</v>
      </c>
      <c r="E31" s="489">
        <v>176.0</v>
      </c>
      <c r="F31" s="489">
        <v>16.0</v>
      </c>
      <c r="G31" s="490">
        <v>0.091</v>
      </c>
      <c r="H31" s="489" t="s">
        <v>32</v>
      </c>
      <c r="I31" s="490">
        <v>0.073</v>
      </c>
      <c r="J31" s="495">
        <v>52.39</v>
      </c>
      <c r="K31" s="495">
        <v>44.03</v>
      </c>
      <c r="L31" s="495">
        <v>157.25</v>
      </c>
      <c r="M31" s="495">
        <v>157.06</v>
      </c>
      <c r="N31" s="499"/>
      <c r="O31" s="495">
        <v>52.24</v>
      </c>
      <c r="P31" s="495">
        <v>43.79</v>
      </c>
      <c r="Q31" s="495">
        <v>156.81</v>
      </c>
      <c r="R31" s="495">
        <v>156.52</v>
      </c>
      <c r="S31" s="489" t="s">
        <v>90</v>
      </c>
      <c r="T31" s="494"/>
      <c r="U31" s="489" t="s">
        <v>855</v>
      </c>
      <c r="V31" s="174" t="str">
        <f>VLOOKUP(C:C,'1-7 AUG'!C:C,1,0)</f>
        <v>#N/A</v>
      </c>
      <c r="W31" s="174"/>
      <c r="X31" s="174"/>
      <c r="Y31" s="174"/>
      <c r="Z31" s="174"/>
    </row>
    <row r="32">
      <c r="A32" s="489">
        <v>215983.0</v>
      </c>
      <c r="B32" s="489" t="s">
        <v>1692</v>
      </c>
      <c r="C32" s="489" t="s">
        <v>1113</v>
      </c>
      <c r="D32" s="489">
        <v>92.0</v>
      </c>
      <c r="E32" s="489">
        <v>91.0</v>
      </c>
      <c r="F32" s="489">
        <v>8.0</v>
      </c>
      <c r="G32" s="490">
        <v>0.088</v>
      </c>
      <c r="H32" s="489" t="s">
        <v>17</v>
      </c>
      <c r="I32" s="490">
        <v>0.056</v>
      </c>
      <c r="J32" s="495">
        <v>51.08</v>
      </c>
      <c r="K32" s="495">
        <v>39.76</v>
      </c>
      <c r="L32" s="495">
        <v>153.16</v>
      </c>
      <c r="M32" s="495">
        <v>153.18</v>
      </c>
      <c r="N32" s="499"/>
      <c r="O32" s="495">
        <v>51.12</v>
      </c>
      <c r="P32" s="495">
        <v>39.8</v>
      </c>
      <c r="Q32" s="495">
        <v>153.08</v>
      </c>
      <c r="R32" s="495">
        <v>152.99</v>
      </c>
      <c r="S32" s="489" t="s">
        <v>90</v>
      </c>
      <c r="T32" s="494"/>
      <c r="U32" s="489" t="s">
        <v>855</v>
      </c>
      <c r="V32" s="174" t="str">
        <f>VLOOKUP(C:C,'1-7 AUG'!C:C,1,0)</f>
        <v>#N/A</v>
      </c>
      <c r="W32" s="174"/>
      <c r="X32" s="174"/>
      <c r="Y32" s="174"/>
      <c r="Z32" s="174"/>
    </row>
    <row r="33">
      <c r="A33" s="489">
        <v>241185.0</v>
      </c>
      <c r="B33" s="489" t="s">
        <v>1726</v>
      </c>
      <c r="C33" s="489" t="s">
        <v>1115</v>
      </c>
      <c r="D33" s="489">
        <v>115.0</v>
      </c>
      <c r="E33" s="489">
        <v>115.0</v>
      </c>
      <c r="F33" s="489">
        <v>10.0</v>
      </c>
      <c r="G33" s="490">
        <v>0.087</v>
      </c>
      <c r="H33" s="489" t="s">
        <v>32</v>
      </c>
      <c r="I33" s="490">
        <v>0.009</v>
      </c>
      <c r="J33" s="495">
        <v>50.15</v>
      </c>
      <c r="K33" s="495">
        <v>39.47</v>
      </c>
      <c r="L33" s="495">
        <v>148.57</v>
      </c>
      <c r="M33" s="495">
        <v>148.77</v>
      </c>
      <c r="N33" s="499"/>
      <c r="O33" s="495">
        <v>50.1</v>
      </c>
      <c r="P33" s="495">
        <v>39.29</v>
      </c>
      <c r="Q33" s="495">
        <v>148.57</v>
      </c>
      <c r="R33" s="495">
        <v>148.39</v>
      </c>
      <c r="S33" s="489" t="s">
        <v>90</v>
      </c>
      <c r="T33" s="494"/>
      <c r="U33" s="489" t="s">
        <v>855</v>
      </c>
      <c r="V33" s="174" t="str">
        <f>VLOOKUP(C:C,'1-7 AUG'!C:C,1,0)</f>
        <v>#N/A</v>
      </c>
      <c r="W33" s="174"/>
      <c r="X33" s="174"/>
      <c r="Y33" s="174"/>
      <c r="Z33" s="174"/>
    </row>
    <row r="34">
      <c r="A34" s="489">
        <v>241386.0</v>
      </c>
      <c r="B34" s="489" t="s">
        <v>1722</v>
      </c>
      <c r="C34" s="489" t="s">
        <v>1116</v>
      </c>
      <c r="D34" s="489">
        <v>122.0</v>
      </c>
      <c r="E34" s="489">
        <v>120.0</v>
      </c>
      <c r="F34" s="489">
        <v>10.0</v>
      </c>
      <c r="G34" s="490">
        <v>0.083</v>
      </c>
      <c r="H34" s="489" t="s">
        <v>32</v>
      </c>
      <c r="I34" s="490">
        <v>0.025</v>
      </c>
      <c r="J34" s="495">
        <v>51.92</v>
      </c>
      <c r="K34" s="495">
        <v>40.11</v>
      </c>
      <c r="L34" s="495">
        <v>150.8</v>
      </c>
      <c r="M34" s="495">
        <v>151.09</v>
      </c>
      <c r="N34" s="499"/>
      <c r="O34" s="495">
        <v>51.77</v>
      </c>
      <c r="P34" s="495">
        <v>39.92</v>
      </c>
      <c r="Q34" s="495">
        <v>150.79</v>
      </c>
      <c r="R34" s="495">
        <v>150.53</v>
      </c>
      <c r="S34" s="489" t="s">
        <v>90</v>
      </c>
      <c r="T34" s="494"/>
      <c r="U34" s="489" t="s">
        <v>855</v>
      </c>
      <c r="V34" s="174" t="str">
        <f>VLOOKUP(C:C,'1-7 AUG'!C:C,1,0)</f>
        <v>#N/A</v>
      </c>
      <c r="W34" s="174"/>
      <c r="X34" s="174"/>
      <c r="Y34" s="174"/>
      <c r="Z34" s="174"/>
    </row>
    <row r="35">
      <c r="A35" s="489">
        <v>137971.0</v>
      </c>
      <c r="B35" s="489" t="s">
        <v>1727</v>
      </c>
      <c r="C35" s="489" t="s">
        <v>1117</v>
      </c>
      <c r="D35" s="489">
        <v>224.0</v>
      </c>
      <c r="E35" s="489">
        <v>220.0</v>
      </c>
      <c r="F35" s="489">
        <v>18.0</v>
      </c>
      <c r="G35" s="490">
        <v>0.082</v>
      </c>
      <c r="H35" s="489" t="s">
        <v>32</v>
      </c>
      <c r="I35" s="490">
        <v>0.059</v>
      </c>
      <c r="J35" s="491">
        <v>52.55</v>
      </c>
      <c r="K35" s="495">
        <v>44.0</v>
      </c>
      <c r="L35" s="495">
        <v>157.3</v>
      </c>
      <c r="M35" s="495">
        <v>157.43</v>
      </c>
      <c r="N35" s="499"/>
      <c r="O35" s="491">
        <v>52.4</v>
      </c>
      <c r="P35" s="495">
        <v>43.85</v>
      </c>
      <c r="Q35" s="495">
        <v>157.04</v>
      </c>
      <c r="R35" s="495">
        <v>157.21</v>
      </c>
      <c r="S35" s="489" t="s">
        <v>90</v>
      </c>
      <c r="T35" s="494"/>
      <c r="U35" s="489" t="s">
        <v>855</v>
      </c>
      <c r="V35" s="174" t="str">
        <f>VLOOKUP(C:C,'1-7 AUG'!C:C,1,0)</f>
        <v>#N/A</v>
      </c>
      <c r="W35" s="174"/>
      <c r="X35" s="174"/>
      <c r="Y35" s="174"/>
      <c r="Z35" s="174"/>
    </row>
    <row r="36">
      <c r="A36" s="489">
        <v>213182.0</v>
      </c>
      <c r="B36" s="489" t="s">
        <v>1596</v>
      </c>
      <c r="C36" s="489" t="s">
        <v>1118</v>
      </c>
      <c r="D36" s="489">
        <v>124.0</v>
      </c>
      <c r="E36" s="489">
        <v>111.0</v>
      </c>
      <c r="F36" s="489">
        <v>9.0</v>
      </c>
      <c r="G36" s="490">
        <v>0.081</v>
      </c>
      <c r="H36" s="489" t="s">
        <v>17</v>
      </c>
      <c r="I36" s="490">
        <v>0.053</v>
      </c>
      <c r="J36" s="495">
        <v>54.9</v>
      </c>
      <c r="K36" s="495">
        <v>39.56</v>
      </c>
      <c r="L36" s="495">
        <v>161.09</v>
      </c>
      <c r="M36" s="495">
        <v>160.98</v>
      </c>
      <c r="N36" s="499"/>
      <c r="O36" s="495">
        <v>54.9</v>
      </c>
      <c r="P36" s="495">
        <v>39.64</v>
      </c>
      <c r="Q36" s="495">
        <v>161.09</v>
      </c>
      <c r="R36" s="495">
        <v>160.89</v>
      </c>
      <c r="S36" s="489" t="s">
        <v>90</v>
      </c>
      <c r="T36" s="494"/>
      <c r="U36" s="489" t="s">
        <v>855</v>
      </c>
      <c r="V36" s="174" t="str">
        <f>VLOOKUP(C:C,'1-7 AUG'!C:C,1,0)</f>
        <v>#N/A</v>
      </c>
      <c r="W36" s="174"/>
      <c r="X36" s="174"/>
      <c r="Y36" s="174"/>
      <c r="Z36" s="174"/>
    </row>
    <row r="37">
      <c r="A37" s="489">
        <v>241100.0</v>
      </c>
      <c r="B37" s="489" t="s">
        <v>1728</v>
      </c>
      <c r="C37" s="489" t="s">
        <v>1729</v>
      </c>
      <c r="D37" s="489">
        <v>132.0</v>
      </c>
      <c r="E37" s="489">
        <v>126.0</v>
      </c>
      <c r="F37" s="489">
        <v>10.0</v>
      </c>
      <c r="G37" s="490">
        <v>0.079</v>
      </c>
      <c r="H37" s="489" t="s">
        <v>32</v>
      </c>
      <c r="I37" s="490">
        <v>0.056</v>
      </c>
      <c r="J37" s="489">
        <v>53.74</v>
      </c>
      <c r="K37" s="489">
        <v>42.41</v>
      </c>
      <c r="L37" s="489">
        <v>159.89</v>
      </c>
      <c r="M37" s="489">
        <v>160.2</v>
      </c>
      <c r="N37" s="494"/>
      <c r="O37" s="310">
        <v>53.7</v>
      </c>
      <c r="P37" s="489">
        <v>42.27</v>
      </c>
      <c r="Q37" s="489">
        <v>159.65</v>
      </c>
      <c r="R37" s="489">
        <v>159.72</v>
      </c>
      <c r="S37" s="489" t="s">
        <v>90</v>
      </c>
      <c r="T37" s="494"/>
      <c r="U37" s="489" t="s">
        <v>855</v>
      </c>
      <c r="V37" s="174" t="str">
        <f>VLOOKUP(C:C,'1-7 AUG'!C:C,1,0)</f>
        <v>#N/A</v>
      </c>
      <c r="W37" s="174"/>
      <c r="X37" s="174"/>
      <c r="Y37" s="174"/>
      <c r="Z37" s="494"/>
    </row>
    <row r="38">
      <c r="A38" s="489">
        <v>147022.0</v>
      </c>
      <c r="B38" s="489" t="s">
        <v>1621</v>
      </c>
      <c r="C38" s="489" t="s">
        <v>1146</v>
      </c>
      <c r="D38" s="489">
        <v>183.0</v>
      </c>
      <c r="E38" s="489">
        <v>177.0</v>
      </c>
      <c r="F38" s="489">
        <v>13.0</v>
      </c>
      <c r="G38" s="490">
        <v>0.073</v>
      </c>
      <c r="H38" s="489" t="s">
        <v>32</v>
      </c>
      <c r="I38" s="490">
        <v>0.056</v>
      </c>
      <c r="J38" s="489">
        <v>56.9</v>
      </c>
      <c r="K38" s="489">
        <v>46.05</v>
      </c>
      <c r="L38" s="489">
        <v>170.19</v>
      </c>
      <c r="M38" s="489">
        <v>170.39</v>
      </c>
      <c r="N38" s="494"/>
      <c r="O38" s="489">
        <v>56.72</v>
      </c>
      <c r="P38" s="489">
        <v>45.7</v>
      </c>
      <c r="Q38" s="489">
        <v>169.52</v>
      </c>
      <c r="R38" s="489">
        <v>169.44</v>
      </c>
      <c r="S38" s="489" t="s">
        <v>90</v>
      </c>
      <c r="T38" s="494"/>
      <c r="U38" s="489" t="s">
        <v>855</v>
      </c>
      <c r="V38" s="174" t="str">
        <f>VLOOKUP(C:C,'1-7 AUG'!C:C,1,0)</f>
        <v>#N/A</v>
      </c>
      <c r="W38" s="174"/>
      <c r="X38" s="174"/>
      <c r="Y38" s="174"/>
      <c r="Z38" s="174"/>
    </row>
    <row r="39">
      <c r="A39" s="489">
        <v>146653.0</v>
      </c>
      <c r="B39" s="489" t="s">
        <v>1730</v>
      </c>
      <c r="C39" s="489" t="s">
        <v>96</v>
      </c>
      <c r="D39" s="489">
        <v>291.0</v>
      </c>
      <c r="E39" s="489">
        <v>286.0</v>
      </c>
      <c r="F39" s="489">
        <v>21.0</v>
      </c>
      <c r="G39" s="490">
        <v>0.073</v>
      </c>
      <c r="H39" s="494"/>
      <c r="I39" s="490">
        <v>0.0</v>
      </c>
      <c r="J39" s="489" t="s">
        <v>796</v>
      </c>
      <c r="S39" s="489" t="s">
        <v>90</v>
      </c>
      <c r="T39" s="494"/>
      <c r="U39" s="489" t="s">
        <v>855</v>
      </c>
      <c r="V39" s="174" t="str">
        <f>VLOOKUP(C:C,'1-7 AUG'!C:C,1,0)</f>
        <v>#N/A</v>
      </c>
      <c r="W39" s="174"/>
      <c r="X39" s="174"/>
      <c r="Y39" s="174"/>
      <c r="Z39" s="174"/>
    </row>
    <row r="40">
      <c r="A40" s="489">
        <v>220577.0</v>
      </c>
      <c r="B40" s="489" t="s">
        <v>1731</v>
      </c>
      <c r="C40" s="489" t="s">
        <v>570</v>
      </c>
      <c r="D40" s="489">
        <v>166.0</v>
      </c>
      <c r="E40" s="489">
        <v>150.0</v>
      </c>
      <c r="F40" s="489">
        <v>11.0</v>
      </c>
      <c r="G40" s="490">
        <v>0.073</v>
      </c>
      <c r="H40" s="489" t="s">
        <v>32</v>
      </c>
      <c r="I40" s="490">
        <v>0.053</v>
      </c>
      <c r="J40" s="489">
        <v>53.91</v>
      </c>
      <c r="K40" s="489">
        <v>39.35</v>
      </c>
      <c r="L40" s="489">
        <v>156.23</v>
      </c>
      <c r="M40" s="489">
        <v>156.06</v>
      </c>
      <c r="N40" s="494"/>
      <c r="O40" s="489">
        <v>53.86</v>
      </c>
      <c r="P40" s="489">
        <v>39.16</v>
      </c>
      <c r="Q40" s="489">
        <v>155.95</v>
      </c>
      <c r="R40" s="489">
        <v>155.95</v>
      </c>
      <c r="S40" s="489" t="s">
        <v>90</v>
      </c>
      <c r="T40" s="494"/>
      <c r="U40" s="489" t="s">
        <v>855</v>
      </c>
      <c r="V40" s="174" t="str">
        <f>VLOOKUP(C:C,'1-7 AUG'!C:C,1,0)</f>
        <v>#N/A</v>
      </c>
      <c r="W40" s="174"/>
      <c r="X40" s="174"/>
      <c r="Y40" s="174"/>
      <c r="Z40" s="174"/>
    </row>
    <row r="41">
      <c r="A41" s="489">
        <v>204392.0</v>
      </c>
      <c r="B41" s="489" t="s">
        <v>1732</v>
      </c>
      <c r="C41" s="489" t="s">
        <v>1733</v>
      </c>
      <c r="D41" s="489">
        <v>151.0</v>
      </c>
      <c r="E41" s="489">
        <v>149.0</v>
      </c>
      <c r="F41" s="489">
        <v>10.0</v>
      </c>
      <c r="G41" s="490">
        <v>0.067</v>
      </c>
      <c r="H41" s="489" t="s">
        <v>17</v>
      </c>
      <c r="I41" s="490">
        <v>0.04</v>
      </c>
      <c r="J41" s="489">
        <v>44.37</v>
      </c>
      <c r="K41" s="489">
        <v>37.02</v>
      </c>
      <c r="L41" s="489">
        <v>130.73</v>
      </c>
      <c r="M41" s="489">
        <v>130.28</v>
      </c>
      <c r="N41" s="494"/>
      <c r="O41" s="489">
        <v>44.22</v>
      </c>
      <c r="P41" s="310">
        <v>36.98</v>
      </c>
      <c r="Q41" s="489">
        <v>130.68</v>
      </c>
      <c r="R41" s="489">
        <v>130.02</v>
      </c>
      <c r="S41" s="489" t="s">
        <v>90</v>
      </c>
      <c r="T41" s="494"/>
      <c r="U41" s="489" t="s">
        <v>855</v>
      </c>
      <c r="V41" s="174" t="str">
        <f>VLOOKUP(C:C,'1-7 AUG'!C:C,1,0)</f>
        <v>#N/A</v>
      </c>
      <c r="W41" s="174"/>
      <c r="X41" s="174"/>
      <c r="Y41" s="174"/>
      <c r="Z41" s="174"/>
    </row>
    <row r="42">
      <c r="A42" s="489">
        <v>234791.0</v>
      </c>
      <c r="B42" s="489" t="s">
        <v>1734</v>
      </c>
      <c r="C42" s="489" t="s">
        <v>1735</v>
      </c>
      <c r="D42" s="489">
        <v>298.0</v>
      </c>
      <c r="E42" s="489">
        <v>295.0</v>
      </c>
      <c r="F42" s="489">
        <v>17.0</v>
      </c>
      <c r="G42" s="490">
        <v>0.058</v>
      </c>
      <c r="H42" s="489" t="s">
        <v>32</v>
      </c>
      <c r="I42" s="490">
        <v>0.034</v>
      </c>
      <c r="J42" s="489">
        <v>50.18</v>
      </c>
      <c r="K42" s="489">
        <v>43.29</v>
      </c>
      <c r="L42" s="489">
        <v>150.98</v>
      </c>
      <c r="M42" s="489">
        <v>150.94</v>
      </c>
      <c r="N42" s="494"/>
      <c r="O42" s="489">
        <v>49.94</v>
      </c>
      <c r="P42" s="489">
        <v>42.98</v>
      </c>
      <c r="Q42" s="489">
        <v>150.54</v>
      </c>
      <c r="R42" s="489">
        <v>150.6</v>
      </c>
      <c r="S42" s="489" t="s">
        <v>90</v>
      </c>
      <c r="T42" s="494"/>
      <c r="U42" s="489" t="s">
        <v>855</v>
      </c>
      <c r="V42" s="174" t="str">
        <f>VLOOKUP(C:C,'1-7 AUG'!C:C,1,0)</f>
        <v>#N/A</v>
      </c>
      <c r="W42" s="174"/>
      <c r="X42" s="174"/>
      <c r="Y42" s="174"/>
      <c r="Z42" s="174"/>
    </row>
    <row r="43">
      <c r="A43" s="489">
        <v>151528.0</v>
      </c>
      <c r="B43" s="489" t="s">
        <v>1736</v>
      </c>
      <c r="C43" s="489" t="s">
        <v>1737</v>
      </c>
      <c r="D43" s="489">
        <v>190.0</v>
      </c>
      <c r="E43" s="489">
        <v>181.0</v>
      </c>
      <c r="F43" s="489">
        <v>10.0</v>
      </c>
      <c r="G43" s="490">
        <v>0.055</v>
      </c>
      <c r="H43" s="489" t="s">
        <v>32</v>
      </c>
      <c r="I43" s="490">
        <v>0.033</v>
      </c>
      <c r="J43" s="489">
        <v>51.83</v>
      </c>
      <c r="K43" s="489">
        <v>36.25</v>
      </c>
      <c r="L43" s="489">
        <v>149.79</v>
      </c>
      <c r="M43" s="489">
        <v>150.21</v>
      </c>
      <c r="N43" s="494"/>
      <c r="O43" s="489">
        <v>51.78</v>
      </c>
      <c r="P43" s="489">
        <v>35.62</v>
      </c>
      <c r="Q43" s="489">
        <v>149.58</v>
      </c>
      <c r="R43" s="489">
        <v>149.02</v>
      </c>
      <c r="S43" s="489" t="s">
        <v>90</v>
      </c>
      <c r="T43" s="494"/>
      <c r="U43" s="489" t="s">
        <v>855</v>
      </c>
      <c r="V43" s="174" t="str">
        <f>VLOOKUP(C:C,'1-7 AUG'!C:C,1,0)</f>
        <v>#N/A</v>
      </c>
      <c r="W43" s="174"/>
      <c r="X43" s="174"/>
      <c r="Y43" s="174"/>
      <c r="Z43" s="174"/>
    </row>
    <row r="44">
      <c r="A44" s="489">
        <v>243271.0</v>
      </c>
      <c r="B44" s="489" t="s">
        <v>1594</v>
      </c>
      <c r="C44" s="489" t="s">
        <v>1131</v>
      </c>
      <c r="D44" s="489">
        <v>240.0</v>
      </c>
      <c r="E44" s="489">
        <v>222.0</v>
      </c>
      <c r="F44" s="489">
        <v>12.0</v>
      </c>
      <c r="G44" s="490">
        <v>0.054</v>
      </c>
      <c r="H44" s="489" t="s">
        <v>32</v>
      </c>
      <c r="I44" s="490">
        <v>0.041</v>
      </c>
      <c r="J44" s="489">
        <v>53.26</v>
      </c>
      <c r="K44" s="489">
        <v>39.68</v>
      </c>
      <c r="L44" s="489">
        <v>155.47</v>
      </c>
      <c r="M44" s="489">
        <v>155.56</v>
      </c>
      <c r="N44" s="494"/>
      <c r="O44" s="489">
        <v>53.18</v>
      </c>
      <c r="P44" s="489">
        <v>39.6</v>
      </c>
      <c r="Q44" s="489">
        <v>155.18</v>
      </c>
      <c r="R44" s="489">
        <v>155.32</v>
      </c>
      <c r="S44" s="489" t="s">
        <v>90</v>
      </c>
      <c r="T44" s="494"/>
      <c r="U44" s="489" t="s">
        <v>855</v>
      </c>
      <c r="V44" s="174" t="str">
        <f>VLOOKUP(C:C,'1-7 AUG'!C:C,1,0)</f>
        <v>243271.LSK26060502-A8</v>
      </c>
      <c r="W44" s="174"/>
      <c r="X44" s="174"/>
      <c r="Y44" s="174"/>
      <c r="Z44" s="174"/>
    </row>
    <row r="45">
      <c r="A45" s="489">
        <v>227606.0</v>
      </c>
      <c r="B45" s="489" t="s">
        <v>1738</v>
      </c>
      <c r="C45" s="489" t="s">
        <v>99</v>
      </c>
      <c r="D45" s="489">
        <v>529.0</v>
      </c>
      <c r="E45" s="489">
        <v>500.0</v>
      </c>
      <c r="F45" s="489">
        <v>27.0</v>
      </c>
      <c r="G45" s="490">
        <v>0.054</v>
      </c>
      <c r="H45" s="489" t="s">
        <v>32</v>
      </c>
      <c r="I45" s="490">
        <v>0.04</v>
      </c>
      <c r="J45" s="489">
        <v>51.45</v>
      </c>
      <c r="K45" s="489">
        <v>34.45</v>
      </c>
      <c r="L45" s="489">
        <v>148.35</v>
      </c>
      <c r="M45" s="489">
        <v>148.05</v>
      </c>
      <c r="N45" s="494"/>
      <c r="O45" s="489">
        <v>51.3</v>
      </c>
      <c r="P45" s="489">
        <v>34.4</v>
      </c>
      <c r="Q45" s="489">
        <v>148.01</v>
      </c>
      <c r="R45" s="489">
        <v>147.94</v>
      </c>
      <c r="S45" s="489" t="s">
        <v>90</v>
      </c>
      <c r="T45" s="494"/>
      <c r="U45" s="489" t="s">
        <v>855</v>
      </c>
      <c r="V45" s="174" t="str">
        <f>VLOOKUP(C:C,'1-7 AUG'!C:C,1,0)</f>
        <v>#N/A</v>
      </c>
      <c r="W45" s="174"/>
      <c r="X45" s="174"/>
      <c r="Y45" s="174"/>
      <c r="Z45" s="174"/>
    </row>
    <row r="46">
      <c r="A46" s="489">
        <v>219754.0</v>
      </c>
      <c r="B46" s="489" t="s">
        <v>1739</v>
      </c>
      <c r="C46" s="489" t="s">
        <v>1740</v>
      </c>
      <c r="D46" s="489">
        <v>219.0</v>
      </c>
      <c r="E46" s="489">
        <v>209.0</v>
      </c>
      <c r="F46" s="489">
        <v>11.0</v>
      </c>
      <c r="G46" s="490">
        <v>0.053</v>
      </c>
      <c r="H46" s="494"/>
      <c r="I46" s="490">
        <v>0.0</v>
      </c>
      <c r="J46" s="489" t="s">
        <v>796</v>
      </c>
      <c r="S46" s="489" t="s">
        <v>90</v>
      </c>
      <c r="T46" s="494"/>
      <c r="U46" s="489" t="s">
        <v>855</v>
      </c>
      <c r="V46" s="174" t="str">
        <f>VLOOKUP(C:C,'1-7 AUG'!C:C,1,0)</f>
        <v>#N/A</v>
      </c>
      <c r="W46" s="174"/>
      <c r="X46" s="174"/>
      <c r="Y46" s="174"/>
      <c r="Z46" s="174"/>
    </row>
    <row r="47">
      <c r="A47" s="489">
        <v>245902.0</v>
      </c>
      <c r="B47" s="489" t="s">
        <v>1643</v>
      </c>
      <c r="C47" s="489" t="s">
        <v>1741</v>
      </c>
      <c r="D47" s="489">
        <v>185.0</v>
      </c>
      <c r="E47" s="489">
        <v>177.0</v>
      </c>
      <c r="F47" s="489">
        <v>9.0</v>
      </c>
      <c r="G47" s="490">
        <v>0.051</v>
      </c>
      <c r="H47" s="489" t="s">
        <v>32</v>
      </c>
      <c r="I47" s="490">
        <v>0.028</v>
      </c>
      <c r="J47" s="489">
        <v>56.55</v>
      </c>
      <c r="K47" s="489">
        <v>43.33</v>
      </c>
      <c r="L47" s="489">
        <v>165.81</v>
      </c>
      <c r="M47" s="489">
        <v>166.07</v>
      </c>
      <c r="N47" s="494"/>
      <c r="O47" s="489">
        <v>56.4</v>
      </c>
      <c r="P47" s="489">
        <v>43.12</v>
      </c>
      <c r="Q47" s="489">
        <v>165.5</v>
      </c>
      <c r="R47" s="489">
        <v>165.7</v>
      </c>
      <c r="S47" s="489" t="s">
        <v>90</v>
      </c>
      <c r="T47" s="494"/>
      <c r="U47" s="489" t="s">
        <v>855</v>
      </c>
      <c r="V47" s="174" t="str">
        <f>VLOOKUP(C:C,'1-7 AUG'!C:C,1,0)</f>
        <v>245902.FKS26210E</v>
      </c>
      <c r="W47" s="174"/>
      <c r="X47" s="174"/>
      <c r="Y47" s="174"/>
      <c r="Z47" s="174"/>
    </row>
    <row r="48">
      <c r="A48" s="500">
        <v>46245.54207688657</v>
      </c>
      <c r="B48" s="174"/>
      <c r="C48" s="141" t="s">
        <v>144</v>
      </c>
      <c r="D48" s="174"/>
      <c r="E48" s="174"/>
      <c r="F48" s="174"/>
      <c r="G48" s="174"/>
      <c r="H48" s="141" t="s">
        <v>17</v>
      </c>
      <c r="I48" s="141">
        <v>49.58</v>
      </c>
      <c r="J48" s="141">
        <v>49.58</v>
      </c>
      <c r="K48" s="141">
        <v>41.95</v>
      </c>
      <c r="L48" s="141">
        <v>148.89</v>
      </c>
      <c r="M48" s="141">
        <v>148.89</v>
      </c>
      <c r="N48" s="174"/>
      <c r="O48" s="141">
        <v>50.05</v>
      </c>
      <c r="P48" s="141">
        <v>42.56</v>
      </c>
      <c r="Q48" s="141">
        <v>150.89</v>
      </c>
      <c r="R48" s="141">
        <v>151.06</v>
      </c>
      <c r="S48" s="174"/>
      <c r="T48" s="174"/>
      <c r="U48" s="174"/>
      <c r="V48" s="174"/>
      <c r="W48" s="174"/>
      <c r="X48" s="174"/>
      <c r="Y48" s="174"/>
      <c r="Z48" s="174"/>
    </row>
    <row r="49">
      <c r="A49" s="174"/>
      <c r="B49" s="174"/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>
      <c r="A50" s="174"/>
      <c r="B50" s="174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>
      <c r="A51" s="17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>
      <c r="A52" s="174"/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>
      <c r="A53" s="174"/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>
      <c r="A54" s="174"/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>
      <c r="A55" s="174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>
      <c r="A56" s="174"/>
      <c r="B56" s="174"/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>
      <c r="A57" s="174"/>
      <c r="B57" s="174"/>
      <c r="C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>
      <c r="A58" s="174"/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>
      <c r="A59" s="174"/>
      <c r="B59" s="174"/>
      <c r="C59" s="174"/>
      <c r="D59" s="174"/>
      <c r="E59" s="174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>
      <c r="A60" s="174"/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>
      <c r="A61" s="174"/>
      <c r="B61" s="174"/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>
      <c r="A62" s="174"/>
      <c r="B62" s="174"/>
      <c r="C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>
      <c r="A63" s="174"/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>
      <c r="A64" s="174"/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>
      <c r="A65" s="174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>
      <c r="A66" s="174"/>
      <c r="B66" s="174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>
      <c r="A67" s="174"/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>
      <c r="A68" s="174"/>
      <c r="B68" s="174"/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>
      <c r="A69" s="174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>
      <c r="A70" s="174"/>
      <c r="B70" s="174"/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>
      <c r="A71" s="174"/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>
      <c r="A72" s="174"/>
      <c r="B72" s="174"/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>
      <c r="A73" s="174"/>
      <c r="B73" s="174"/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>
      <c r="A74" s="174"/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>
      <c r="A75" s="174"/>
      <c r="B75" s="174"/>
      <c r="C75" s="174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>
      <c r="A76" s="174"/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>
      <c r="A77" s="174"/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>
      <c r="A78" s="174"/>
      <c r="B78" s="174"/>
      <c r="C78" s="174"/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>
      <c r="A79" s="174"/>
      <c r="B79" s="174"/>
      <c r="C79" s="174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>
      <c r="A80" s="174"/>
      <c r="B80" s="174"/>
      <c r="C80" s="174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>
      <c r="A81" s="174"/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>
      <c r="A82" s="174"/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>
      <c r="A83" s="174"/>
      <c r="B83" s="174"/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>
      <c r="A84" s="174"/>
      <c r="B84" s="174"/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>
      <c r="A85" s="174"/>
      <c r="B85" s="174"/>
      <c r="C85" s="174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>
      <c r="A86" s="174"/>
      <c r="B86" s="174"/>
      <c r="C86" s="174"/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>
      <c r="A87" s="174"/>
      <c r="B87" s="174"/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>
      <c r="A88" s="174"/>
      <c r="B88" s="174"/>
      <c r="C88" s="174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>
      <c r="A89" s="174"/>
      <c r="B89" s="174"/>
      <c r="C89" s="174"/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>
      <c r="A90" s="174"/>
      <c r="B90" s="174"/>
      <c r="C90" s="174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>
      <c r="A91" s="174"/>
      <c r="B91" s="174"/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>
      <c r="A92" s="174"/>
      <c r="B92" s="174"/>
      <c r="C92" s="174"/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>
      <c r="A93" s="174"/>
      <c r="B93" s="174"/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>
      <c r="A94" s="174"/>
      <c r="B94" s="174"/>
      <c r="C94" s="174"/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>
      <c r="A95" s="174"/>
      <c r="B95" s="174"/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>
      <c r="A98" s="174"/>
      <c r="B98" s="174"/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>
      <c r="A99" s="174"/>
      <c r="B99" s="174"/>
      <c r="C99" s="174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>
      <c r="A100" s="174"/>
      <c r="B100" s="174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>
      <c r="A101" s="174"/>
      <c r="B101" s="174"/>
      <c r="C101" s="174"/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>
      <c r="A102" s="174"/>
      <c r="B102" s="174"/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>
      <c r="A103" s="174"/>
      <c r="B103" s="174"/>
      <c r="C103" s="174"/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>
      <c r="A104" s="174"/>
      <c r="B104" s="174"/>
      <c r="C104" s="174"/>
      <c r="D104" s="174"/>
      <c r="E104" s="174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>
      <c r="A105" s="174"/>
      <c r="B105" s="174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>
      <c r="A106" s="174"/>
      <c r="B106" s="174"/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>
      <c r="A107" s="174"/>
      <c r="B107" s="174"/>
      <c r="C107" s="174"/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>
      <c r="A108" s="174"/>
      <c r="B108" s="174"/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>
      <c r="A109" s="174"/>
      <c r="B109" s="174"/>
      <c r="C109" s="174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>
      <c r="A110" s="174"/>
      <c r="B110" s="174"/>
      <c r="C110" s="174"/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>
      <c r="A111" s="174"/>
      <c r="B111" s="174"/>
      <c r="C111" s="174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>
      <c r="A112" s="174"/>
      <c r="B112" s="174"/>
      <c r="C112" s="174"/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>
      <c r="A113" s="174"/>
      <c r="B113" s="174"/>
      <c r="C113" s="174"/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>
      <c r="A114" s="174"/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>
      <c r="A115" s="174"/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>
      <c r="A318" s="174"/>
      <c r="B318" s="174"/>
      <c r="C318" s="174"/>
      <c r="D318" s="174"/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>
      <c r="A319" s="174"/>
      <c r="B319" s="174"/>
      <c r="C319" s="174"/>
      <c r="D319" s="174"/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>
      <c r="A320" s="174"/>
      <c r="B320" s="174"/>
      <c r="C320" s="174"/>
      <c r="D320" s="174"/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>
      <c r="A321" s="174"/>
      <c r="B321" s="174"/>
      <c r="C321" s="174"/>
      <c r="D321" s="174"/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>
      <c r="A322" s="174"/>
      <c r="B322" s="174"/>
      <c r="C322" s="174"/>
      <c r="D322" s="174"/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>
      <c r="A323" s="174"/>
      <c r="B323" s="174"/>
      <c r="C323" s="174"/>
      <c r="D323" s="174"/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>
      <c r="A324" s="174"/>
      <c r="B324" s="174"/>
      <c r="C324" s="174"/>
      <c r="D324" s="174"/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>
      <c r="A325" s="174"/>
      <c r="B325" s="174"/>
      <c r="C325" s="174"/>
      <c r="D325" s="174"/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>
      <c r="A326" s="174"/>
      <c r="B326" s="174"/>
      <c r="C326" s="174"/>
      <c r="D326" s="174"/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>
      <c r="A327" s="174"/>
      <c r="B327" s="174"/>
      <c r="C327" s="174"/>
      <c r="D327" s="174"/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>
      <c r="A328" s="174"/>
      <c r="B328" s="174"/>
      <c r="C328" s="174"/>
      <c r="D328" s="174"/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>
      <c r="A329" s="174"/>
      <c r="B329" s="174"/>
      <c r="C329" s="174"/>
      <c r="D329" s="174"/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>
      <c r="A330" s="174"/>
      <c r="B330" s="174"/>
      <c r="C330" s="174"/>
      <c r="D330" s="174"/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>
      <c r="A331" s="174"/>
      <c r="B331" s="174"/>
      <c r="C331" s="174"/>
      <c r="D331" s="174"/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>
      <c r="A332" s="174"/>
      <c r="B332" s="174"/>
      <c r="C332" s="174"/>
      <c r="D332" s="174"/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>
      <c r="A333" s="174"/>
      <c r="B333" s="174"/>
      <c r="C333" s="174"/>
      <c r="D333" s="174"/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>
      <c r="A334" s="174"/>
      <c r="B334" s="174"/>
      <c r="C334" s="174"/>
      <c r="D334" s="174"/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>
      <c r="A335" s="174"/>
      <c r="B335" s="174"/>
      <c r="C335" s="174"/>
      <c r="D335" s="174"/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>
      <c r="A336" s="174"/>
      <c r="B336" s="174"/>
      <c r="C336" s="174"/>
      <c r="D336" s="174"/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>
      <c r="A337" s="174"/>
      <c r="B337" s="174"/>
      <c r="C337" s="174"/>
      <c r="D337" s="174"/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>
      <c r="A338" s="174"/>
      <c r="B338" s="174"/>
      <c r="C338" s="174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>
      <c r="A339" s="174"/>
      <c r="B339" s="174"/>
      <c r="C339" s="174"/>
      <c r="D339" s="174"/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>
      <c r="A340" s="174"/>
      <c r="B340" s="174"/>
      <c r="C340" s="174"/>
      <c r="D340" s="174"/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>
      <c r="A341" s="174"/>
      <c r="B341" s="174"/>
      <c r="C341" s="174"/>
      <c r="D341" s="174"/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>
      <c r="A342" s="174"/>
      <c r="B342" s="174"/>
      <c r="C342" s="174"/>
      <c r="D342" s="174"/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>
      <c r="A343" s="174"/>
      <c r="B343" s="174"/>
      <c r="C343" s="174"/>
      <c r="D343" s="174"/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>
      <c r="A344" s="174"/>
      <c r="B344" s="174"/>
      <c r="C344" s="174"/>
      <c r="D344" s="174"/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>
      <c r="A345" s="174"/>
      <c r="B345" s="174"/>
      <c r="C345" s="174"/>
      <c r="D345" s="174"/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>
      <c r="A346" s="174"/>
      <c r="B346" s="174"/>
      <c r="C346" s="174"/>
      <c r="D346" s="174"/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>
      <c r="A347" s="174"/>
      <c r="B347" s="174"/>
      <c r="C347" s="174"/>
      <c r="D347" s="174"/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>
      <c r="A348" s="174"/>
      <c r="B348" s="174"/>
      <c r="C348" s="174"/>
      <c r="D348" s="174"/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>
      <c r="A349" s="174"/>
      <c r="B349" s="174"/>
      <c r="C349" s="174"/>
      <c r="D349" s="174"/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>
      <c r="A350" s="174"/>
      <c r="B350" s="174"/>
      <c r="C350" s="174"/>
      <c r="D350" s="174"/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>
      <c r="A351" s="174"/>
      <c r="B351" s="174"/>
      <c r="C351" s="174"/>
      <c r="D351" s="174"/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>
      <c r="A352" s="174"/>
      <c r="B352" s="174"/>
      <c r="C352" s="174"/>
      <c r="D352" s="174"/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>
      <c r="A353" s="174"/>
      <c r="B353" s="174"/>
      <c r="C353" s="174"/>
      <c r="D353" s="174"/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>
      <c r="A354" s="174"/>
      <c r="B354" s="174"/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>
      <c r="A355" s="174"/>
      <c r="B355" s="174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>
      <c r="A356" s="174"/>
      <c r="B356" s="174"/>
      <c r="C356" s="174"/>
      <c r="D356" s="174"/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>
      <c r="A357" s="174"/>
      <c r="B357" s="174"/>
      <c r="C357" s="174"/>
      <c r="D357" s="174"/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>
      <c r="A358" s="174"/>
      <c r="B358" s="174"/>
      <c r="C358" s="174"/>
      <c r="D358" s="174"/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>
      <c r="A359" s="174"/>
      <c r="B359" s="174"/>
      <c r="C359" s="174"/>
      <c r="D359" s="174"/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>
      <c r="A360" s="174"/>
      <c r="B360" s="174"/>
      <c r="C360" s="174"/>
      <c r="D360" s="174"/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>
      <c r="A361" s="174"/>
      <c r="B361" s="174"/>
      <c r="C361" s="174"/>
      <c r="D361" s="174"/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>
      <c r="A362" s="174"/>
      <c r="B362" s="174"/>
      <c r="C362" s="174"/>
      <c r="D362" s="174"/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>
      <c r="A363" s="174"/>
      <c r="B363" s="174"/>
      <c r="C363" s="174"/>
      <c r="D363" s="174"/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>
      <c r="A364" s="174"/>
      <c r="B364" s="174"/>
      <c r="C364" s="174"/>
      <c r="D364" s="174"/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>
      <c r="A365" s="174"/>
      <c r="B365" s="174"/>
      <c r="C365" s="174"/>
      <c r="D365" s="174"/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>
      <c r="A366" s="174"/>
      <c r="B366" s="174"/>
      <c r="C366" s="174"/>
      <c r="D366" s="174"/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>
      <c r="A367" s="174"/>
      <c r="B367" s="174"/>
      <c r="C367" s="174"/>
      <c r="D367" s="174"/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>
      <c r="A368" s="174"/>
      <c r="B368" s="174"/>
      <c r="C368" s="174"/>
      <c r="D368" s="174"/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>
      <c r="A369" s="174"/>
      <c r="B369" s="174"/>
      <c r="C369" s="174"/>
      <c r="D369" s="174"/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>
      <c r="A370" s="174"/>
      <c r="B370" s="174"/>
      <c r="C370" s="174"/>
      <c r="D370" s="174"/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>
      <c r="A371" s="174"/>
      <c r="B371" s="174"/>
      <c r="C371" s="174"/>
      <c r="D371" s="174"/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>
      <c r="A372" s="174"/>
      <c r="B372" s="174"/>
      <c r="C372" s="174"/>
      <c r="D372" s="174"/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>
      <c r="A373" s="174"/>
      <c r="B373" s="174"/>
      <c r="C373" s="174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>
      <c r="A374" s="174"/>
      <c r="B374" s="174"/>
      <c r="C374" s="174"/>
      <c r="D374" s="174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>
      <c r="A375" s="174"/>
      <c r="B375" s="174"/>
      <c r="C375" s="174"/>
      <c r="D375" s="174"/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>
      <c r="A376" s="174"/>
      <c r="B376" s="174"/>
      <c r="C376" s="174"/>
      <c r="D376" s="174"/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>
      <c r="A377" s="174"/>
      <c r="B377" s="174"/>
      <c r="C377" s="174"/>
      <c r="D377" s="174"/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>
      <c r="A378" s="174"/>
      <c r="B378" s="174"/>
      <c r="C378" s="174"/>
      <c r="D378" s="174"/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>
      <c r="A379" s="174"/>
      <c r="B379" s="174"/>
      <c r="C379" s="174"/>
      <c r="D379" s="174"/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>
      <c r="A380" s="174"/>
      <c r="B380" s="174"/>
      <c r="C380" s="174"/>
      <c r="D380" s="174"/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>
      <c r="A381" s="174"/>
      <c r="B381" s="174"/>
      <c r="C381" s="174"/>
      <c r="D381" s="174"/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>
      <c r="A382" s="174"/>
      <c r="B382" s="174"/>
      <c r="C382" s="174"/>
      <c r="D382" s="174"/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>
      <c r="A383" s="174"/>
      <c r="B383" s="174"/>
      <c r="C383" s="174"/>
      <c r="D383" s="174"/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>
      <c r="A384" s="174"/>
      <c r="B384" s="174"/>
      <c r="C384" s="174"/>
      <c r="D384" s="174"/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>
      <c r="A385" s="174"/>
      <c r="B385" s="174"/>
      <c r="C385" s="174"/>
      <c r="D385" s="174"/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>
      <c r="A386" s="174"/>
      <c r="B386" s="174"/>
      <c r="C386" s="174"/>
      <c r="D386" s="174"/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>
      <c r="A387" s="174"/>
      <c r="B387" s="174"/>
      <c r="C387" s="174"/>
      <c r="D387" s="174"/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>
      <c r="A388" s="174"/>
      <c r="B388" s="174"/>
      <c r="C388" s="174"/>
      <c r="D388" s="174"/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>
      <c r="A389" s="174"/>
      <c r="B389" s="174"/>
      <c r="C389" s="174"/>
      <c r="D389" s="174"/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>
      <c r="A390" s="174"/>
      <c r="B390" s="174"/>
      <c r="C390" s="174"/>
      <c r="D390" s="174"/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>
      <c r="A391" s="174"/>
      <c r="B391" s="174"/>
      <c r="C391" s="174"/>
      <c r="D391" s="174"/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>
      <c r="A392" s="174"/>
      <c r="B392" s="174"/>
      <c r="C392" s="174"/>
      <c r="D392" s="174"/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>
      <c r="A393" s="174"/>
      <c r="B393" s="174"/>
      <c r="C393" s="174"/>
      <c r="D393" s="174"/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>
      <c r="A394" s="174"/>
      <c r="B394" s="174"/>
      <c r="C394" s="174"/>
      <c r="D394" s="174"/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>
      <c r="A395" s="174"/>
      <c r="B395" s="174"/>
      <c r="C395" s="174"/>
      <c r="D395" s="174"/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>
      <c r="A396" s="174"/>
      <c r="B396" s="174"/>
      <c r="C396" s="174"/>
      <c r="D396" s="174"/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>
      <c r="A397" s="174"/>
      <c r="B397" s="174"/>
      <c r="C397" s="174"/>
      <c r="D397" s="174"/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>
      <c r="A398" s="174"/>
      <c r="B398" s="174"/>
      <c r="C398" s="174"/>
      <c r="D398" s="174"/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>
      <c r="A399" s="174"/>
      <c r="B399" s="174"/>
      <c r="C399" s="174"/>
      <c r="D399" s="174"/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>
      <c r="A400" s="174"/>
      <c r="B400" s="174"/>
      <c r="C400" s="174"/>
      <c r="D400" s="174"/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>
      <c r="A401" s="174"/>
      <c r="B401" s="174"/>
      <c r="C401" s="174"/>
      <c r="D401" s="174"/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>
      <c r="A402" s="174"/>
      <c r="B402" s="174"/>
      <c r="C402" s="174"/>
      <c r="D402" s="174"/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>
      <c r="A403" s="174"/>
      <c r="B403" s="174"/>
      <c r="C403" s="174"/>
      <c r="D403" s="174"/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>
      <c r="A404" s="174"/>
      <c r="B404" s="174"/>
      <c r="C404" s="174"/>
      <c r="D404" s="174"/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>
      <c r="A405" s="174"/>
      <c r="B405" s="174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>
      <c r="A406" s="174"/>
      <c r="B406" s="174"/>
      <c r="C406" s="174"/>
      <c r="D406" s="174"/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>
      <c r="A407" s="174"/>
      <c r="B407" s="174"/>
      <c r="C407" s="174"/>
      <c r="D407" s="174"/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>
      <c r="A408" s="174"/>
      <c r="B408" s="174"/>
      <c r="C408" s="174"/>
      <c r="D408" s="174"/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>
      <c r="A409" s="174"/>
      <c r="B409" s="174"/>
      <c r="C409" s="174"/>
      <c r="D409" s="174"/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>
      <c r="A410" s="174"/>
      <c r="B410" s="174"/>
      <c r="C410" s="174"/>
      <c r="D410" s="174"/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>
      <c r="A411" s="174"/>
      <c r="B411" s="174"/>
      <c r="C411" s="174"/>
      <c r="D411" s="174"/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>
      <c r="A412" s="174"/>
      <c r="B412" s="174"/>
      <c r="C412" s="174"/>
      <c r="D412" s="174"/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>
      <c r="A413" s="174"/>
      <c r="B413" s="174"/>
      <c r="C413" s="174"/>
      <c r="D413" s="174"/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>
      <c r="A414" s="174"/>
      <c r="B414" s="174"/>
      <c r="C414" s="174"/>
      <c r="D414" s="174"/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>
      <c r="A415" s="174"/>
      <c r="B415" s="174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>
      <c r="A416" s="174"/>
      <c r="B416" s="174"/>
      <c r="C416" s="174"/>
      <c r="D416" s="174"/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>
      <c r="A417" s="174"/>
      <c r="B417" s="174"/>
      <c r="C417" s="174"/>
      <c r="D417" s="174"/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>
      <c r="A418" s="174"/>
      <c r="B418" s="174"/>
      <c r="C418" s="174"/>
      <c r="D418" s="174"/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>
      <c r="A419" s="174"/>
      <c r="B419" s="174"/>
      <c r="C419" s="174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>
      <c r="A420" s="174"/>
      <c r="B420" s="174"/>
      <c r="C420" s="174"/>
      <c r="D420" s="174"/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>
      <c r="A421" s="174"/>
      <c r="B421" s="174"/>
      <c r="C421" s="174"/>
      <c r="D421" s="174"/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>
      <c r="A422" s="174"/>
      <c r="B422" s="174"/>
      <c r="C422" s="174"/>
      <c r="D422" s="174"/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>
      <c r="A423" s="174"/>
      <c r="B423" s="174"/>
      <c r="C423" s="174"/>
      <c r="D423" s="174"/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>
      <c r="A424" s="174"/>
      <c r="B424" s="174"/>
      <c r="C424" s="174"/>
      <c r="D424" s="174"/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>
      <c r="A425" s="174"/>
      <c r="B425" s="174"/>
      <c r="C425" s="174"/>
      <c r="D425" s="174"/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>
      <c r="A426" s="174"/>
      <c r="B426" s="174"/>
      <c r="C426" s="174"/>
      <c r="D426" s="174"/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>
      <c r="A427" s="174"/>
      <c r="B427" s="174"/>
      <c r="C427" s="174"/>
      <c r="D427" s="174"/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>
      <c r="A428" s="174"/>
      <c r="B428" s="174"/>
      <c r="C428" s="174"/>
      <c r="D428" s="174"/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>
      <c r="A429" s="174"/>
      <c r="B429" s="174"/>
      <c r="C429" s="174"/>
      <c r="D429" s="174"/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>
      <c r="A430" s="174"/>
      <c r="B430" s="174"/>
      <c r="C430" s="174"/>
      <c r="D430" s="174"/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>
      <c r="A431" s="174"/>
      <c r="B431" s="174"/>
      <c r="C431" s="174"/>
      <c r="D431" s="174"/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>
      <c r="A432" s="174"/>
      <c r="B432" s="174"/>
      <c r="C432" s="174"/>
      <c r="D432" s="174"/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>
      <c r="A433" s="174"/>
      <c r="B433" s="174"/>
      <c r="C433" s="174"/>
      <c r="D433" s="174"/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>
      <c r="A434" s="174"/>
      <c r="B434" s="174"/>
      <c r="C434" s="174"/>
      <c r="D434" s="174"/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>
      <c r="A437" s="174"/>
      <c r="B437" s="174"/>
      <c r="C437" s="174"/>
      <c r="D437" s="174"/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>
      <c r="A438" s="174"/>
      <c r="B438" s="174"/>
      <c r="C438" s="174"/>
      <c r="D438" s="174"/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>
      <c r="A439" s="174"/>
      <c r="B439" s="174"/>
      <c r="C439" s="174"/>
      <c r="D439" s="174"/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>
      <c r="A440" s="174"/>
      <c r="B440" s="174"/>
      <c r="C440" s="174"/>
      <c r="D440" s="174"/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>
      <c r="A441" s="174"/>
      <c r="B441" s="174"/>
      <c r="C441" s="174"/>
      <c r="D441" s="174"/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>
      <c r="A442" s="174"/>
      <c r="B442" s="174"/>
      <c r="C442" s="174"/>
      <c r="D442" s="174"/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>
      <c r="A443" s="174"/>
      <c r="B443" s="174"/>
      <c r="C443" s="174"/>
      <c r="D443" s="174"/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>
      <c r="A444" s="174"/>
      <c r="B444" s="174"/>
      <c r="C444" s="174"/>
      <c r="D444" s="174"/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>
      <c r="A445" s="174"/>
      <c r="B445" s="174"/>
      <c r="C445" s="174"/>
      <c r="D445" s="174"/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>
      <c r="A446" s="174"/>
      <c r="B446" s="174"/>
      <c r="C446" s="174"/>
      <c r="D446" s="174"/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>
      <c r="A447" s="174"/>
      <c r="B447" s="174"/>
      <c r="C447" s="174"/>
      <c r="D447" s="174"/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>
      <c r="A448" s="174"/>
      <c r="B448" s="174"/>
      <c r="C448" s="174"/>
      <c r="D448" s="174"/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>
      <c r="A449" s="174"/>
      <c r="B449" s="174"/>
      <c r="C449" s="174"/>
      <c r="D449" s="174"/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>
      <c r="A450" s="174"/>
      <c r="B450" s="174"/>
      <c r="C450" s="174"/>
      <c r="D450" s="174"/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>
      <c r="A451" s="174"/>
      <c r="B451" s="174"/>
      <c r="C451" s="174"/>
      <c r="D451" s="174"/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>
      <c r="A452" s="174"/>
      <c r="B452" s="174"/>
      <c r="C452" s="174"/>
      <c r="D452" s="174"/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>
      <c r="A453" s="174"/>
      <c r="B453" s="174"/>
      <c r="C453" s="174"/>
      <c r="D453" s="174"/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>
      <c r="A454" s="174"/>
      <c r="B454" s="174"/>
      <c r="C454" s="174"/>
      <c r="D454" s="174"/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>
      <c r="A455" s="174"/>
      <c r="B455" s="174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>
      <c r="A456" s="174"/>
      <c r="B456" s="174"/>
      <c r="C456" s="174"/>
      <c r="D456" s="174"/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>
      <c r="A457" s="174"/>
      <c r="B457" s="174"/>
      <c r="C457" s="174"/>
      <c r="D457" s="174"/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>
      <c r="A458" s="174"/>
      <c r="B458" s="174"/>
      <c r="C458" s="174"/>
      <c r="D458" s="174"/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>
      <c r="A459" s="174"/>
      <c r="B459" s="174"/>
      <c r="C459" s="174"/>
      <c r="D459" s="174"/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>
      <c r="A460" s="174"/>
      <c r="B460" s="174"/>
      <c r="C460" s="174"/>
      <c r="D460" s="174"/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>
      <c r="A461" s="174"/>
      <c r="B461" s="174"/>
      <c r="C461" s="174"/>
      <c r="D461" s="174"/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>
      <c r="A462" s="174"/>
      <c r="B462" s="174"/>
      <c r="C462" s="174"/>
      <c r="D462" s="174"/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>
      <c r="A463" s="174"/>
      <c r="B463" s="174"/>
      <c r="C463" s="174"/>
      <c r="D463" s="174"/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>
      <c r="A464" s="174"/>
      <c r="B464" s="174"/>
      <c r="C464" s="174"/>
      <c r="D464" s="174"/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>
      <c r="A465" s="174"/>
      <c r="B465" s="174"/>
      <c r="C465" s="174"/>
      <c r="D465" s="174"/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>
      <c r="A466" s="174"/>
      <c r="B466" s="174"/>
      <c r="C466" s="174"/>
      <c r="D466" s="174"/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>
      <c r="A467" s="174"/>
      <c r="B467" s="174"/>
      <c r="C467" s="174"/>
      <c r="D467" s="174"/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>
      <c r="A468" s="174"/>
      <c r="B468" s="174"/>
      <c r="C468" s="174"/>
      <c r="D468" s="174"/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>
      <c r="A469" s="174"/>
      <c r="B469" s="174"/>
      <c r="C469" s="174"/>
      <c r="D469" s="174"/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>
      <c r="A470" s="174"/>
      <c r="B470" s="174"/>
      <c r="C470" s="174"/>
      <c r="D470" s="174"/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>
      <c r="A471" s="174"/>
      <c r="B471" s="174"/>
      <c r="C471" s="174"/>
      <c r="D471" s="174"/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>
      <c r="A472" s="174"/>
      <c r="B472" s="174"/>
      <c r="C472" s="174"/>
      <c r="D472" s="174"/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>
      <c r="A473" s="174"/>
      <c r="B473" s="174"/>
      <c r="C473" s="174"/>
      <c r="D473" s="174"/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>
      <c r="A474" s="174"/>
      <c r="B474" s="174"/>
      <c r="C474" s="174"/>
      <c r="D474" s="174"/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>
      <c r="A475" s="174"/>
      <c r="B475" s="174"/>
      <c r="C475" s="174"/>
      <c r="D475" s="174"/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>
      <c r="A476" s="174"/>
      <c r="B476" s="174"/>
      <c r="C476" s="174"/>
      <c r="D476" s="174"/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>
      <c r="A477" s="174"/>
      <c r="B477" s="174"/>
      <c r="C477" s="174"/>
      <c r="D477" s="174"/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>
      <c r="A478" s="174"/>
      <c r="B478" s="174"/>
      <c r="C478" s="174"/>
      <c r="D478" s="174"/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>
      <c r="A479" s="174"/>
      <c r="B479" s="174"/>
      <c r="C479" s="174"/>
      <c r="D479" s="174"/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>
      <c r="A480" s="174"/>
      <c r="B480" s="174"/>
      <c r="C480" s="174"/>
      <c r="D480" s="174"/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>
      <c r="A481" s="174"/>
      <c r="B481" s="174"/>
      <c r="C481" s="174"/>
      <c r="D481" s="174"/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>
      <c r="A482" s="174"/>
      <c r="B482" s="174"/>
      <c r="C482" s="174"/>
      <c r="D482" s="174"/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>
      <c r="A483" s="174"/>
      <c r="B483" s="174"/>
      <c r="C483" s="174"/>
      <c r="D483" s="174"/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>
      <c r="A484" s="174"/>
      <c r="B484" s="174"/>
      <c r="C484" s="174"/>
      <c r="D484" s="174"/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>
      <c r="A485" s="174"/>
      <c r="B485" s="174"/>
      <c r="C485" s="174"/>
      <c r="D485" s="174"/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>
      <c r="A486" s="174"/>
      <c r="B486" s="174"/>
      <c r="C486" s="174"/>
      <c r="D486" s="174"/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>
      <c r="A487" s="174"/>
      <c r="B487" s="174"/>
      <c r="C487" s="174"/>
      <c r="D487" s="174"/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>
      <c r="A488" s="174"/>
      <c r="B488" s="174"/>
      <c r="C488" s="174"/>
      <c r="D488" s="174"/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>
      <c r="A489" s="174"/>
      <c r="B489" s="174"/>
      <c r="C489" s="174"/>
      <c r="D489" s="174"/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>
      <c r="A490" s="174"/>
      <c r="B490" s="174"/>
      <c r="C490" s="174"/>
      <c r="D490" s="174"/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>
      <c r="A491" s="174"/>
      <c r="B491" s="174"/>
      <c r="C491" s="174"/>
      <c r="D491" s="174"/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>
      <c r="A492" s="174"/>
      <c r="B492" s="174"/>
      <c r="C492" s="174"/>
      <c r="D492" s="174"/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>
      <c r="A493" s="174"/>
      <c r="B493" s="174"/>
      <c r="C493" s="174"/>
      <c r="D493" s="174"/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>
      <c r="A494" s="174"/>
      <c r="B494" s="174"/>
      <c r="C494" s="174"/>
      <c r="D494" s="174"/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>
      <c r="A495" s="174"/>
      <c r="B495" s="174"/>
      <c r="C495" s="174"/>
      <c r="D495" s="174"/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>
      <c r="A496" s="174"/>
      <c r="B496" s="174"/>
      <c r="C496" s="174"/>
      <c r="D496" s="174"/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>
      <c r="A497" s="174"/>
      <c r="B497" s="174"/>
      <c r="C497" s="174"/>
      <c r="D497" s="174"/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>
      <c r="A498" s="174"/>
      <c r="B498" s="174"/>
      <c r="C498" s="174"/>
      <c r="D498" s="174"/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>
      <c r="A499" s="174"/>
      <c r="B499" s="174"/>
      <c r="C499" s="174"/>
      <c r="D499" s="174"/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>
      <c r="A500" s="174"/>
      <c r="B500" s="174"/>
      <c r="C500" s="174"/>
      <c r="D500" s="174"/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>
      <c r="A501" s="174"/>
      <c r="B501" s="174"/>
      <c r="C501" s="174"/>
      <c r="D501" s="174"/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>
      <c r="A502" s="174"/>
      <c r="B502" s="174"/>
      <c r="C502" s="174"/>
      <c r="D502" s="174"/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  <row r="503">
      <c r="A503" s="174"/>
      <c r="B503" s="174"/>
      <c r="C503" s="174"/>
      <c r="D503" s="174"/>
      <c r="E503" s="174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</row>
    <row r="504">
      <c r="A504" s="174"/>
      <c r="B504" s="174"/>
      <c r="C504" s="174"/>
      <c r="D504" s="174"/>
      <c r="E504" s="174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</row>
    <row r="505">
      <c r="A505" s="174"/>
      <c r="B505" s="174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</row>
    <row r="506">
      <c r="A506" s="174"/>
      <c r="B506" s="174"/>
      <c r="C506" s="174"/>
      <c r="D506" s="174"/>
      <c r="E506" s="174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</row>
    <row r="507">
      <c r="A507" s="174"/>
      <c r="B507" s="174"/>
      <c r="C507" s="174"/>
      <c r="D507" s="174"/>
      <c r="E507" s="174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</row>
    <row r="508">
      <c r="A508" s="174"/>
      <c r="B508" s="174"/>
      <c r="C508" s="174"/>
      <c r="D508" s="174"/>
      <c r="E508" s="174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</row>
    <row r="509">
      <c r="A509" s="174"/>
      <c r="B509" s="174"/>
      <c r="C509" s="174"/>
      <c r="D509" s="174"/>
      <c r="E509" s="174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</row>
    <row r="510">
      <c r="A510" s="174"/>
      <c r="B510" s="174"/>
      <c r="C510" s="174"/>
      <c r="D510" s="174"/>
      <c r="E510" s="174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</row>
    <row r="511">
      <c r="A511" s="174"/>
      <c r="B511" s="174"/>
      <c r="C511" s="174"/>
      <c r="D511" s="174"/>
      <c r="E511" s="174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</row>
    <row r="512">
      <c r="A512" s="174"/>
      <c r="B512" s="174"/>
      <c r="C512" s="174"/>
      <c r="D512" s="174"/>
      <c r="E512" s="174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</row>
    <row r="513">
      <c r="A513" s="174"/>
      <c r="B513" s="174"/>
      <c r="C513" s="174"/>
      <c r="D513" s="174"/>
      <c r="E513" s="174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</row>
    <row r="514">
      <c r="A514" s="174"/>
      <c r="B514" s="174"/>
      <c r="C514" s="174"/>
      <c r="D514" s="174"/>
      <c r="E514" s="174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</row>
    <row r="515">
      <c r="A515" s="174"/>
      <c r="B515" s="174"/>
      <c r="C515" s="174"/>
      <c r="D515" s="174"/>
      <c r="E515" s="174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</row>
    <row r="516">
      <c r="A516" s="174"/>
      <c r="B516" s="174"/>
      <c r="C516" s="174"/>
      <c r="D516" s="174"/>
      <c r="E516" s="174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</row>
    <row r="517">
      <c r="A517" s="174"/>
      <c r="B517" s="174"/>
      <c r="C517" s="174"/>
      <c r="D517" s="174"/>
      <c r="E517" s="174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</row>
    <row r="518">
      <c r="A518" s="174"/>
      <c r="B518" s="174"/>
      <c r="C518" s="174"/>
      <c r="D518" s="174"/>
      <c r="E518" s="174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</row>
    <row r="519">
      <c r="A519" s="174"/>
      <c r="B519" s="174"/>
      <c r="C519" s="174"/>
      <c r="D519" s="174"/>
      <c r="E519" s="174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</row>
    <row r="520">
      <c r="A520" s="174"/>
      <c r="B520" s="174"/>
      <c r="C520" s="174"/>
      <c r="D520" s="174"/>
      <c r="E520" s="174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</row>
    <row r="521">
      <c r="A521" s="174"/>
      <c r="B521" s="174"/>
      <c r="C521" s="174"/>
      <c r="D521" s="174"/>
      <c r="E521" s="174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</row>
    <row r="522">
      <c r="A522" s="174"/>
      <c r="B522" s="174"/>
      <c r="C522" s="174"/>
      <c r="D522" s="174"/>
      <c r="E522" s="174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</row>
    <row r="523">
      <c r="A523" s="174"/>
      <c r="B523" s="174"/>
      <c r="C523" s="174"/>
      <c r="D523" s="174"/>
      <c r="E523" s="174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</row>
    <row r="524">
      <c r="A524" s="174"/>
      <c r="B524" s="174"/>
      <c r="C524" s="174"/>
      <c r="D524" s="174"/>
      <c r="E524" s="174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</row>
    <row r="525">
      <c r="A525" s="174"/>
      <c r="B525" s="174"/>
      <c r="C525" s="174"/>
      <c r="D525" s="174"/>
      <c r="E525" s="174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</row>
    <row r="526">
      <c r="A526" s="174"/>
      <c r="B526" s="174"/>
      <c r="C526" s="174"/>
      <c r="D526" s="174"/>
      <c r="E526" s="174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</row>
    <row r="527">
      <c r="A527" s="174"/>
      <c r="B527" s="174"/>
      <c r="C527" s="174"/>
      <c r="D527" s="174"/>
      <c r="E527" s="174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</row>
    <row r="528">
      <c r="A528" s="174"/>
      <c r="B528" s="174"/>
      <c r="C528" s="174"/>
      <c r="D528" s="174"/>
      <c r="E528" s="174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</row>
    <row r="529">
      <c r="A529" s="174"/>
      <c r="B529" s="174"/>
      <c r="C529" s="174"/>
      <c r="D529" s="174"/>
      <c r="E529" s="174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</row>
    <row r="530">
      <c r="A530" s="174"/>
      <c r="B530" s="174"/>
      <c r="C530" s="174"/>
      <c r="D530" s="174"/>
      <c r="E530" s="174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</row>
    <row r="531">
      <c r="A531" s="174"/>
      <c r="B531" s="174"/>
      <c r="C531" s="174"/>
      <c r="D531" s="174"/>
      <c r="E531" s="174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</row>
    <row r="532">
      <c r="A532" s="174"/>
      <c r="B532" s="174"/>
      <c r="C532" s="174"/>
      <c r="D532" s="174"/>
      <c r="E532" s="174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</row>
    <row r="533">
      <c r="A533" s="174"/>
      <c r="B533" s="174"/>
      <c r="C533" s="174"/>
      <c r="D533" s="174"/>
      <c r="E533" s="174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</row>
    <row r="534">
      <c r="A534" s="174"/>
      <c r="B534" s="174"/>
      <c r="C534" s="174"/>
      <c r="D534" s="174"/>
      <c r="E534" s="174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</row>
    <row r="535">
      <c r="A535" s="174"/>
      <c r="B535" s="174"/>
      <c r="C535" s="174"/>
      <c r="D535" s="174"/>
      <c r="E535" s="174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</row>
    <row r="536">
      <c r="A536" s="174"/>
      <c r="B536" s="174"/>
      <c r="C536" s="174"/>
      <c r="D536" s="174"/>
      <c r="E536" s="174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</row>
    <row r="537">
      <c r="A537" s="174"/>
      <c r="B537" s="174"/>
      <c r="C537" s="174"/>
      <c r="D537" s="174"/>
      <c r="E537" s="174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</row>
    <row r="538">
      <c r="A538" s="174"/>
      <c r="B538" s="174"/>
      <c r="C538" s="174"/>
      <c r="D538" s="174"/>
      <c r="E538" s="174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</row>
    <row r="539">
      <c r="A539" s="174"/>
      <c r="B539" s="174"/>
      <c r="C539" s="174"/>
      <c r="D539" s="174"/>
      <c r="E539" s="174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</row>
    <row r="540">
      <c r="A540" s="174"/>
      <c r="B540" s="174"/>
      <c r="C540" s="174"/>
      <c r="D540" s="174"/>
      <c r="E540" s="174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</row>
    <row r="541">
      <c r="A541" s="174"/>
      <c r="B541" s="174"/>
      <c r="C541" s="174"/>
      <c r="D541" s="174"/>
      <c r="E541" s="174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</row>
    <row r="542">
      <c r="A542" s="174"/>
      <c r="B542" s="174"/>
      <c r="C542" s="174"/>
      <c r="D542" s="174"/>
      <c r="E542" s="174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</row>
    <row r="543">
      <c r="A543" s="174"/>
      <c r="B543" s="174"/>
      <c r="C543" s="174"/>
      <c r="D543" s="174"/>
      <c r="E543" s="174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</row>
    <row r="544">
      <c r="A544" s="174"/>
      <c r="B544" s="174"/>
      <c r="C544" s="174"/>
      <c r="D544" s="174"/>
      <c r="E544" s="174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</row>
    <row r="545">
      <c r="A545" s="174"/>
      <c r="B545" s="174"/>
      <c r="C545" s="174"/>
      <c r="D545" s="174"/>
      <c r="E545" s="174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</row>
    <row r="546">
      <c r="A546" s="174"/>
      <c r="B546" s="174"/>
      <c r="C546" s="174"/>
      <c r="D546" s="174"/>
      <c r="E546" s="174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</row>
    <row r="547">
      <c r="A547" s="174"/>
      <c r="B547" s="174"/>
      <c r="C547" s="174"/>
      <c r="D547" s="174"/>
      <c r="E547" s="174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</row>
    <row r="548">
      <c r="A548" s="174"/>
      <c r="B548" s="174"/>
      <c r="C548" s="174"/>
      <c r="D548" s="174"/>
      <c r="E548" s="174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</row>
    <row r="549">
      <c r="A549" s="174"/>
      <c r="B549" s="174"/>
      <c r="C549" s="174"/>
      <c r="D549" s="174"/>
      <c r="E549" s="174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</row>
    <row r="550">
      <c r="A550" s="174"/>
      <c r="B550" s="174"/>
      <c r="C550" s="174"/>
      <c r="D550" s="174"/>
      <c r="E550" s="174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</row>
    <row r="551">
      <c r="A551" s="174"/>
      <c r="B551" s="174"/>
      <c r="C551" s="174"/>
      <c r="D551" s="174"/>
      <c r="E551" s="174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</row>
    <row r="552">
      <c r="A552" s="174"/>
      <c r="B552" s="174"/>
      <c r="C552" s="174"/>
      <c r="D552" s="174"/>
      <c r="E552" s="174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</row>
    <row r="553">
      <c r="A553" s="174"/>
      <c r="B553" s="174"/>
      <c r="C553" s="174"/>
      <c r="D553" s="174"/>
      <c r="E553" s="174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</row>
    <row r="554">
      <c r="A554" s="174"/>
      <c r="B554" s="174"/>
      <c r="C554" s="174"/>
      <c r="D554" s="174"/>
      <c r="E554" s="174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</row>
    <row r="555">
      <c r="A555" s="174"/>
      <c r="B555" s="174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</row>
    <row r="556">
      <c r="A556" s="174"/>
      <c r="B556" s="174"/>
      <c r="C556" s="174"/>
      <c r="D556" s="174"/>
      <c r="E556" s="174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</row>
    <row r="557">
      <c r="A557" s="174"/>
      <c r="B557" s="174"/>
      <c r="C557" s="174"/>
      <c r="D557" s="174"/>
      <c r="E557" s="174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</row>
    <row r="558">
      <c r="A558" s="174"/>
      <c r="B558" s="174"/>
      <c r="C558" s="174"/>
      <c r="D558" s="174"/>
      <c r="E558" s="174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</row>
    <row r="559">
      <c r="A559" s="174"/>
      <c r="B559" s="174"/>
      <c r="C559" s="174"/>
      <c r="D559" s="174"/>
      <c r="E559" s="174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</row>
    <row r="560">
      <c r="A560" s="174"/>
      <c r="B560" s="174"/>
      <c r="C560" s="174"/>
      <c r="D560" s="174"/>
      <c r="E560" s="174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</row>
    <row r="561">
      <c r="A561" s="174"/>
      <c r="B561" s="174"/>
      <c r="C561" s="174"/>
      <c r="D561" s="174"/>
      <c r="E561" s="174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</row>
    <row r="562">
      <c r="A562" s="174"/>
      <c r="B562" s="174"/>
      <c r="C562" s="174"/>
      <c r="D562" s="174"/>
      <c r="E562" s="174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</row>
    <row r="563">
      <c r="A563" s="174"/>
      <c r="B563" s="174"/>
      <c r="C563" s="174"/>
      <c r="D563" s="174"/>
      <c r="E563" s="174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</row>
    <row r="564">
      <c r="A564" s="174"/>
      <c r="B564" s="174"/>
      <c r="C564" s="174"/>
      <c r="D564" s="174"/>
      <c r="E564" s="174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</row>
    <row r="565">
      <c r="A565" s="174"/>
      <c r="B565" s="174"/>
      <c r="C565" s="174"/>
      <c r="D565" s="174"/>
      <c r="E565" s="174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</row>
    <row r="566">
      <c r="A566" s="174"/>
      <c r="B566" s="174"/>
      <c r="C566" s="174"/>
      <c r="D566" s="174"/>
      <c r="E566" s="174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</row>
    <row r="567">
      <c r="A567" s="174"/>
      <c r="B567" s="174"/>
      <c r="C567" s="174"/>
      <c r="D567" s="174"/>
      <c r="E567" s="174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</row>
    <row r="568">
      <c r="A568" s="174"/>
      <c r="B568" s="174"/>
      <c r="C568" s="174"/>
      <c r="D568" s="174"/>
      <c r="E568" s="174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</row>
    <row r="569">
      <c r="A569" s="174"/>
      <c r="B569" s="174"/>
      <c r="C569" s="174"/>
      <c r="D569" s="174"/>
      <c r="E569" s="174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</row>
    <row r="570">
      <c r="A570" s="174"/>
      <c r="B570" s="174"/>
      <c r="C570" s="174"/>
      <c r="D570" s="174"/>
      <c r="E570" s="174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</row>
    <row r="571">
      <c r="A571" s="174"/>
      <c r="B571" s="174"/>
      <c r="C571" s="174"/>
      <c r="D571" s="174"/>
      <c r="E571" s="174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</row>
    <row r="572">
      <c r="A572" s="174"/>
      <c r="B572" s="174"/>
      <c r="C572" s="174"/>
      <c r="D572" s="174"/>
      <c r="E572" s="174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</row>
    <row r="573">
      <c r="A573" s="174"/>
      <c r="B573" s="174"/>
      <c r="C573" s="174"/>
      <c r="D573" s="174"/>
      <c r="E573" s="174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</row>
    <row r="574">
      <c r="A574" s="174"/>
      <c r="B574" s="174"/>
      <c r="C574" s="174"/>
      <c r="D574" s="174"/>
      <c r="E574" s="174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</row>
    <row r="575">
      <c r="A575" s="174"/>
      <c r="B575" s="174"/>
      <c r="C575" s="174"/>
      <c r="D575" s="174"/>
      <c r="E575" s="174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</row>
    <row r="576">
      <c r="A576" s="174"/>
      <c r="B576" s="174"/>
      <c r="C576" s="174"/>
      <c r="D576" s="174"/>
      <c r="E576" s="174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</row>
    <row r="577">
      <c r="A577" s="174"/>
      <c r="B577" s="174"/>
      <c r="C577" s="174"/>
      <c r="D577" s="174"/>
      <c r="E577" s="174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</row>
    <row r="578">
      <c r="A578" s="174"/>
      <c r="B578" s="174"/>
      <c r="C578" s="174"/>
      <c r="D578" s="174"/>
      <c r="E578" s="174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</row>
    <row r="579">
      <c r="A579" s="174"/>
      <c r="B579" s="174"/>
      <c r="C579" s="174"/>
      <c r="D579" s="174"/>
      <c r="E579" s="174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</row>
    <row r="580">
      <c r="A580" s="174"/>
      <c r="B580" s="174"/>
      <c r="C580" s="174"/>
      <c r="D580" s="174"/>
      <c r="E580" s="174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</row>
    <row r="581">
      <c r="A581" s="174"/>
      <c r="B581" s="174"/>
      <c r="C581" s="174"/>
      <c r="D581" s="174"/>
      <c r="E581" s="174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</row>
    <row r="582">
      <c r="A582" s="174"/>
      <c r="B582" s="174"/>
      <c r="C582" s="174"/>
      <c r="D582" s="174"/>
      <c r="E582" s="174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</row>
    <row r="583">
      <c r="A583" s="174"/>
      <c r="B583" s="174"/>
      <c r="C583" s="174"/>
      <c r="D583" s="174"/>
      <c r="E583" s="174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</row>
    <row r="584">
      <c r="A584" s="174"/>
      <c r="B584" s="174"/>
      <c r="C584" s="174"/>
      <c r="D584" s="174"/>
      <c r="E584" s="174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</row>
    <row r="585">
      <c r="A585" s="174"/>
      <c r="B585" s="174"/>
      <c r="C585" s="174"/>
      <c r="D585" s="174"/>
      <c r="E585" s="174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</row>
    <row r="586">
      <c r="A586" s="174"/>
      <c r="B586" s="174"/>
      <c r="C586" s="174"/>
      <c r="D586" s="174"/>
      <c r="E586" s="174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</row>
    <row r="587">
      <c r="A587" s="174"/>
      <c r="B587" s="174"/>
      <c r="C587" s="174"/>
      <c r="D587" s="174"/>
      <c r="E587" s="174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</row>
    <row r="588">
      <c r="A588" s="174"/>
      <c r="B588" s="174"/>
      <c r="C588" s="174"/>
      <c r="D588" s="174"/>
      <c r="E588" s="174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</row>
    <row r="589">
      <c r="A589" s="174"/>
      <c r="B589" s="174"/>
      <c r="C589" s="174"/>
      <c r="D589" s="174"/>
      <c r="E589" s="174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</row>
    <row r="590">
      <c r="A590" s="174"/>
      <c r="B590" s="174"/>
      <c r="C590" s="174"/>
      <c r="D590" s="174"/>
      <c r="E590" s="174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</row>
    <row r="591">
      <c r="A591" s="174"/>
      <c r="B591" s="174"/>
      <c r="C591" s="174"/>
      <c r="D591" s="174"/>
      <c r="E591" s="174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</row>
    <row r="592">
      <c r="A592" s="174"/>
      <c r="B592" s="174"/>
      <c r="C592" s="174"/>
      <c r="D592" s="174"/>
      <c r="E592" s="174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</row>
    <row r="593">
      <c r="A593" s="174"/>
      <c r="B593" s="174"/>
      <c r="C593" s="174"/>
      <c r="D593" s="174"/>
      <c r="E593" s="174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</row>
    <row r="594">
      <c r="A594" s="174"/>
      <c r="B594" s="174"/>
      <c r="C594" s="174"/>
      <c r="D594" s="174"/>
      <c r="E594" s="174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</row>
    <row r="595">
      <c r="A595" s="174"/>
      <c r="B595" s="174"/>
      <c r="C595" s="174"/>
      <c r="D595" s="174"/>
      <c r="E595" s="174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</row>
    <row r="596">
      <c r="A596" s="174"/>
      <c r="B596" s="174"/>
      <c r="C596" s="174"/>
      <c r="D596" s="174"/>
      <c r="E596" s="174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</row>
    <row r="597">
      <c r="A597" s="174"/>
      <c r="B597" s="174"/>
      <c r="C597" s="174"/>
      <c r="D597" s="174"/>
      <c r="E597" s="174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</row>
    <row r="598">
      <c r="A598" s="174"/>
      <c r="B598" s="174"/>
      <c r="C598" s="174"/>
      <c r="D598" s="174"/>
      <c r="E598" s="174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</row>
    <row r="599">
      <c r="A599" s="174"/>
      <c r="B599" s="174"/>
      <c r="C599" s="174"/>
      <c r="D599" s="174"/>
      <c r="E599" s="174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</row>
    <row r="600">
      <c r="A600" s="174"/>
      <c r="B600" s="174"/>
      <c r="C600" s="174"/>
      <c r="D600" s="174"/>
      <c r="E600" s="174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</row>
    <row r="601">
      <c r="A601" s="174"/>
      <c r="B601" s="174"/>
      <c r="C601" s="174"/>
      <c r="D601" s="174"/>
      <c r="E601" s="174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</row>
    <row r="602">
      <c r="A602" s="174"/>
      <c r="B602" s="174"/>
      <c r="C602" s="174"/>
      <c r="D602" s="174"/>
      <c r="E602" s="174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</row>
    <row r="603">
      <c r="A603" s="174"/>
      <c r="B603" s="174"/>
      <c r="C603" s="174"/>
      <c r="D603" s="174"/>
      <c r="E603" s="174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</row>
    <row r="604">
      <c r="A604" s="174"/>
      <c r="B604" s="174"/>
      <c r="C604" s="174"/>
      <c r="D604" s="174"/>
      <c r="E604" s="174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</row>
    <row r="605">
      <c r="A605" s="174"/>
      <c r="B605" s="174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</row>
    <row r="606">
      <c r="A606" s="174"/>
      <c r="B606" s="174"/>
      <c r="C606" s="174"/>
      <c r="D606" s="174"/>
      <c r="E606" s="174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</row>
    <row r="607">
      <c r="A607" s="174"/>
      <c r="B607" s="174"/>
      <c r="C607" s="174"/>
      <c r="D607" s="174"/>
      <c r="E607" s="174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</row>
    <row r="608">
      <c r="A608" s="174"/>
      <c r="B608" s="174"/>
      <c r="C608" s="174"/>
      <c r="D608" s="174"/>
      <c r="E608" s="174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</row>
    <row r="609">
      <c r="A609" s="174"/>
      <c r="B609" s="174"/>
      <c r="C609" s="174"/>
      <c r="D609" s="174"/>
      <c r="E609" s="174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</row>
    <row r="610">
      <c r="A610" s="174"/>
      <c r="B610" s="174"/>
      <c r="C610" s="174"/>
      <c r="D610" s="174"/>
      <c r="E610" s="174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</row>
    <row r="611">
      <c r="A611" s="174"/>
      <c r="B611" s="174"/>
      <c r="C611" s="174"/>
      <c r="D611" s="174"/>
      <c r="E611" s="174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</row>
    <row r="612">
      <c r="A612" s="174"/>
      <c r="B612" s="174"/>
      <c r="C612" s="174"/>
      <c r="D612" s="174"/>
      <c r="E612" s="174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</row>
    <row r="613">
      <c r="A613" s="174"/>
      <c r="B613" s="174"/>
      <c r="C613" s="174"/>
      <c r="D613" s="174"/>
      <c r="E613" s="174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</row>
    <row r="614">
      <c r="A614" s="174"/>
      <c r="B614" s="174"/>
      <c r="C614" s="174"/>
      <c r="D614" s="174"/>
      <c r="E614" s="174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</row>
    <row r="615">
      <c r="A615" s="174"/>
      <c r="B615" s="174"/>
      <c r="C615" s="174"/>
      <c r="D615" s="174"/>
      <c r="E615" s="174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</row>
    <row r="616">
      <c r="A616" s="174"/>
      <c r="B616" s="174"/>
      <c r="C616" s="174"/>
      <c r="D616" s="174"/>
      <c r="E616" s="174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</row>
    <row r="617">
      <c r="A617" s="174"/>
      <c r="B617" s="174"/>
      <c r="C617" s="174"/>
      <c r="D617" s="174"/>
      <c r="E617" s="174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</row>
    <row r="618">
      <c r="A618" s="174"/>
      <c r="B618" s="174"/>
      <c r="C618" s="174"/>
      <c r="D618" s="174"/>
      <c r="E618" s="174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</row>
    <row r="619">
      <c r="A619" s="174"/>
      <c r="B619" s="174"/>
      <c r="C619" s="174"/>
      <c r="D619" s="174"/>
      <c r="E619" s="174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</row>
    <row r="620">
      <c r="A620" s="174"/>
      <c r="B620" s="174"/>
      <c r="C620" s="174"/>
      <c r="D620" s="174"/>
      <c r="E620" s="174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</row>
    <row r="621">
      <c r="A621" s="174"/>
      <c r="B621" s="174"/>
      <c r="C621" s="174"/>
      <c r="D621" s="174"/>
      <c r="E621" s="174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</row>
    <row r="622">
      <c r="A622" s="174"/>
      <c r="B622" s="174"/>
      <c r="C622" s="174"/>
      <c r="D622" s="174"/>
      <c r="E622" s="174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</row>
    <row r="623">
      <c r="A623" s="174"/>
      <c r="B623" s="174"/>
      <c r="C623" s="174"/>
      <c r="D623" s="174"/>
      <c r="E623" s="174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</row>
    <row r="624">
      <c r="A624" s="174"/>
      <c r="B624" s="174"/>
      <c r="C624" s="174"/>
      <c r="D624" s="174"/>
      <c r="E624" s="174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</row>
    <row r="625">
      <c r="A625" s="174"/>
      <c r="B625" s="174"/>
      <c r="C625" s="174"/>
      <c r="D625" s="174"/>
      <c r="E625" s="174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</row>
    <row r="626">
      <c r="A626" s="174"/>
      <c r="B626" s="174"/>
      <c r="C626" s="174"/>
      <c r="D626" s="174"/>
      <c r="E626" s="174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</row>
    <row r="627">
      <c r="A627" s="174"/>
      <c r="B627" s="174"/>
      <c r="C627" s="174"/>
      <c r="D627" s="174"/>
      <c r="E627" s="174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</row>
    <row r="628">
      <c r="A628" s="174"/>
      <c r="B628" s="174"/>
      <c r="C628" s="174"/>
      <c r="D628" s="174"/>
      <c r="E628" s="174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</row>
    <row r="629">
      <c r="A629" s="174"/>
      <c r="B629" s="174"/>
      <c r="C629" s="174"/>
      <c r="D629" s="174"/>
      <c r="E629" s="174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</row>
    <row r="630">
      <c r="A630" s="174"/>
      <c r="B630" s="174"/>
      <c r="C630" s="174"/>
      <c r="D630" s="174"/>
      <c r="E630" s="174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</row>
    <row r="631">
      <c r="A631" s="174"/>
      <c r="B631" s="174"/>
      <c r="C631" s="174"/>
      <c r="D631" s="174"/>
      <c r="E631" s="174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</row>
    <row r="632">
      <c r="A632" s="174"/>
      <c r="B632" s="174"/>
      <c r="C632" s="174"/>
      <c r="D632" s="174"/>
      <c r="E632" s="174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</row>
    <row r="633">
      <c r="A633" s="174"/>
      <c r="B633" s="174"/>
      <c r="C633" s="174"/>
      <c r="D633" s="174"/>
      <c r="E633" s="174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</row>
    <row r="634">
      <c r="A634" s="174"/>
      <c r="B634" s="174"/>
      <c r="C634" s="174"/>
      <c r="D634" s="174"/>
      <c r="E634" s="174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</row>
    <row r="635">
      <c r="A635" s="174"/>
      <c r="B635" s="174"/>
      <c r="C635" s="174"/>
      <c r="D635" s="174"/>
      <c r="E635" s="174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</row>
    <row r="636">
      <c r="A636" s="174"/>
      <c r="B636" s="174"/>
      <c r="C636" s="174"/>
      <c r="D636" s="174"/>
      <c r="E636" s="174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</row>
    <row r="637">
      <c r="A637" s="174"/>
      <c r="B637" s="174"/>
      <c r="C637" s="174"/>
      <c r="D637" s="174"/>
      <c r="E637" s="174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</row>
    <row r="638">
      <c r="A638" s="174"/>
      <c r="B638" s="174"/>
      <c r="C638" s="174"/>
      <c r="D638" s="174"/>
      <c r="E638" s="174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</row>
    <row r="639">
      <c r="A639" s="174"/>
      <c r="B639" s="174"/>
      <c r="C639" s="174"/>
      <c r="D639" s="174"/>
      <c r="E639" s="174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</row>
    <row r="640">
      <c r="A640" s="174"/>
      <c r="B640" s="174"/>
      <c r="C640" s="174"/>
      <c r="D640" s="174"/>
      <c r="E640" s="174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</row>
    <row r="641">
      <c r="A641" s="174"/>
      <c r="B641" s="174"/>
      <c r="C641" s="174"/>
      <c r="D641" s="174"/>
      <c r="E641" s="174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</row>
    <row r="642">
      <c r="A642" s="174"/>
      <c r="B642" s="174"/>
      <c r="C642" s="174"/>
      <c r="D642" s="174"/>
      <c r="E642" s="174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</row>
    <row r="643">
      <c r="A643" s="174"/>
      <c r="B643" s="174"/>
      <c r="C643" s="174"/>
      <c r="D643" s="174"/>
      <c r="E643" s="174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</row>
    <row r="644">
      <c r="A644" s="174"/>
      <c r="B644" s="174"/>
      <c r="C644" s="174"/>
      <c r="D644" s="174"/>
      <c r="E644" s="174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</row>
    <row r="645">
      <c r="A645" s="174"/>
      <c r="B645" s="174"/>
      <c r="C645" s="174"/>
      <c r="D645" s="174"/>
      <c r="E645" s="174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</row>
    <row r="646">
      <c r="A646" s="174"/>
      <c r="B646" s="174"/>
      <c r="C646" s="174"/>
      <c r="D646" s="174"/>
      <c r="E646" s="174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</row>
    <row r="647">
      <c r="A647" s="174"/>
      <c r="B647" s="174"/>
      <c r="C647" s="174"/>
      <c r="D647" s="174"/>
      <c r="E647" s="174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</row>
    <row r="648">
      <c r="A648" s="174"/>
      <c r="B648" s="174"/>
      <c r="C648" s="174"/>
      <c r="D648" s="174"/>
      <c r="E648" s="174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</row>
    <row r="649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</row>
    <row r="650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</row>
    <row r="651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</row>
    <row r="652">
      <c r="A652" s="174"/>
      <c r="B652" s="174"/>
      <c r="C652" s="174"/>
      <c r="D652" s="174"/>
      <c r="E652" s="174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</row>
    <row r="653">
      <c r="A653" s="174"/>
      <c r="B653" s="174"/>
      <c r="C653" s="174"/>
      <c r="D653" s="174"/>
      <c r="E653" s="174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</row>
    <row r="654">
      <c r="A654" s="174"/>
      <c r="B654" s="174"/>
      <c r="C654" s="174"/>
      <c r="D654" s="174"/>
      <c r="E654" s="174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</row>
    <row r="655">
      <c r="A655" s="174"/>
      <c r="B655" s="174"/>
      <c r="C655" s="174"/>
      <c r="D655" s="174"/>
      <c r="E655" s="174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</row>
    <row r="656">
      <c r="A656" s="174"/>
      <c r="B656" s="174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</row>
    <row r="657">
      <c r="A657" s="174"/>
      <c r="B657" s="174"/>
      <c r="C657" s="174"/>
      <c r="D657" s="174"/>
      <c r="E657" s="174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</row>
    <row r="658">
      <c r="A658" s="174"/>
      <c r="B658" s="174"/>
      <c r="C658" s="174"/>
      <c r="D658" s="174"/>
      <c r="E658" s="174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</row>
    <row r="659">
      <c r="A659" s="174"/>
      <c r="B659" s="174"/>
      <c r="C659" s="174"/>
      <c r="D659" s="174"/>
      <c r="E659" s="174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</row>
    <row r="660">
      <c r="A660" s="174"/>
      <c r="B660" s="174"/>
      <c r="C660" s="174"/>
      <c r="D660" s="174"/>
      <c r="E660" s="174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</row>
    <row r="661">
      <c r="A661" s="174"/>
      <c r="B661" s="174"/>
      <c r="C661" s="174"/>
      <c r="D661" s="174"/>
      <c r="E661" s="174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</row>
    <row r="662">
      <c r="A662" s="174"/>
      <c r="B662" s="174"/>
      <c r="C662" s="174"/>
      <c r="D662" s="174"/>
      <c r="E662" s="174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</row>
    <row r="663">
      <c r="A663" s="174"/>
      <c r="B663" s="174"/>
      <c r="C663" s="174"/>
      <c r="D663" s="174"/>
      <c r="E663" s="174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</row>
    <row r="664">
      <c r="A664" s="174"/>
      <c r="B664" s="174"/>
      <c r="C664" s="174"/>
      <c r="D664" s="174"/>
      <c r="E664" s="174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</row>
    <row r="665">
      <c r="A665" s="174"/>
      <c r="B665" s="174"/>
      <c r="C665" s="174"/>
      <c r="D665" s="174"/>
      <c r="E665" s="174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</row>
    <row r="666">
      <c r="A666" s="174"/>
      <c r="B666" s="174"/>
      <c r="C666" s="174"/>
      <c r="D666" s="174"/>
      <c r="E666" s="174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</row>
    <row r="667">
      <c r="A667" s="174"/>
      <c r="B667" s="174"/>
      <c r="C667" s="174"/>
      <c r="D667" s="174"/>
      <c r="E667" s="174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</row>
    <row r="668">
      <c r="A668" s="174"/>
      <c r="B668" s="174"/>
      <c r="C668" s="174"/>
      <c r="D668" s="174"/>
      <c r="E668" s="174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</row>
    <row r="669">
      <c r="A669" s="174"/>
      <c r="B669" s="174"/>
      <c r="C669" s="174"/>
      <c r="D669" s="174"/>
      <c r="E669" s="174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</row>
    <row r="670">
      <c r="A670" s="174"/>
      <c r="B670" s="174"/>
      <c r="C670" s="174"/>
      <c r="D670" s="174"/>
      <c r="E670" s="174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</row>
    <row r="671">
      <c r="A671" s="174"/>
      <c r="B671" s="174"/>
      <c r="C671" s="174"/>
      <c r="D671" s="174"/>
      <c r="E671" s="174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</row>
    <row r="672">
      <c r="A672" s="174"/>
      <c r="B672" s="174"/>
      <c r="C672" s="174"/>
      <c r="D672" s="174"/>
      <c r="E672" s="174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</row>
    <row r="673">
      <c r="A673" s="174"/>
      <c r="B673" s="174"/>
      <c r="C673" s="174"/>
      <c r="D673" s="174"/>
      <c r="E673" s="174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</row>
    <row r="674">
      <c r="A674" s="174"/>
      <c r="B674" s="174"/>
      <c r="C674" s="174"/>
      <c r="D674" s="174"/>
      <c r="E674" s="174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</row>
    <row r="675">
      <c r="A675" s="174"/>
      <c r="B675" s="174"/>
      <c r="C675" s="174"/>
      <c r="D675" s="174"/>
      <c r="E675" s="174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</row>
    <row r="676">
      <c r="A676" s="174"/>
      <c r="B676" s="174"/>
      <c r="C676" s="174"/>
      <c r="D676" s="174"/>
      <c r="E676" s="174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</row>
    <row r="677">
      <c r="A677" s="174"/>
      <c r="B677" s="174"/>
      <c r="C677" s="174"/>
      <c r="D677" s="174"/>
      <c r="E677" s="174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</row>
    <row r="678">
      <c r="A678" s="174"/>
      <c r="B678" s="174"/>
      <c r="C678" s="174"/>
      <c r="D678" s="174"/>
      <c r="E678" s="174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</row>
    <row r="679">
      <c r="A679" s="174"/>
      <c r="B679" s="174"/>
      <c r="C679" s="174"/>
      <c r="D679" s="174"/>
      <c r="E679" s="174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</row>
    <row r="680">
      <c r="A680" s="174"/>
      <c r="B680" s="174"/>
      <c r="C680" s="174"/>
      <c r="D680" s="174"/>
      <c r="E680" s="174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</row>
    <row r="681">
      <c r="A681" s="174"/>
      <c r="B681" s="174"/>
      <c r="C681" s="174"/>
      <c r="D681" s="174"/>
      <c r="E681" s="174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</row>
    <row r="682">
      <c r="A682" s="174"/>
      <c r="B682" s="174"/>
      <c r="C682" s="174"/>
      <c r="D682" s="174"/>
      <c r="E682" s="174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</row>
    <row r="683">
      <c r="A683" s="174"/>
      <c r="B683" s="174"/>
      <c r="C683" s="174"/>
      <c r="D683" s="174"/>
      <c r="E683" s="174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</row>
    <row r="684">
      <c r="A684" s="174"/>
      <c r="B684" s="174"/>
      <c r="C684" s="174"/>
      <c r="D684" s="174"/>
      <c r="E684" s="174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</row>
    <row r="685">
      <c r="A685" s="174"/>
      <c r="B685" s="174"/>
      <c r="C685" s="174"/>
      <c r="D685" s="174"/>
      <c r="E685" s="174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</row>
    <row r="686">
      <c r="A686" s="174"/>
      <c r="B686" s="174"/>
      <c r="C686" s="174"/>
      <c r="D686" s="174"/>
      <c r="E686" s="174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</row>
    <row r="687">
      <c r="A687" s="174"/>
      <c r="B687" s="174"/>
      <c r="C687" s="174"/>
      <c r="D687" s="174"/>
      <c r="E687" s="174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</row>
    <row r="688">
      <c r="A688" s="174"/>
      <c r="B688" s="174"/>
      <c r="C688" s="174"/>
      <c r="D688" s="174"/>
      <c r="E688" s="174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</row>
    <row r="689">
      <c r="A689" s="174"/>
      <c r="B689" s="174"/>
      <c r="C689" s="174"/>
      <c r="D689" s="174"/>
      <c r="E689" s="174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</row>
    <row r="690">
      <c r="A690" s="174"/>
      <c r="B690" s="174"/>
      <c r="C690" s="174"/>
      <c r="D690" s="174"/>
      <c r="E690" s="174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</row>
    <row r="691">
      <c r="A691" s="174"/>
      <c r="B691" s="174"/>
      <c r="C691" s="174"/>
      <c r="D691" s="174"/>
      <c r="E691" s="174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</row>
    <row r="692">
      <c r="A692" s="174"/>
      <c r="B692" s="174"/>
      <c r="C692" s="174"/>
      <c r="D692" s="174"/>
      <c r="E692" s="174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</row>
    <row r="693">
      <c r="A693" s="174"/>
      <c r="B693" s="174"/>
      <c r="C693" s="174"/>
      <c r="D693" s="174"/>
      <c r="E693" s="174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</row>
    <row r="694">
      <c r="A694" s="174"/>
      <c r="B694" s="174"/>
      <c r="C694" s="174"/>
      <c r="D694" s="174"/>
      <c r="E694" s="174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</row>
    <row r="695">
      <c r="A695" s="174"/>
      <c r="B695" s="174"/>
      <c r="C695" s="174"/>
      <c r="D695" s="174"/>
      <c r="E695" s="174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</row>
    <row r="696">
      <c r="A696" s="174"/>
      <c r="B696" s="174"/>
      <c r="C696" s="174"/>
      <c r="D696" s="174"/>
      <c r="E696" s="174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</row>
    <row r="697">
      <c r="A697" s="174"/>
      <c r="B697" s="174"/>
      <c r="C697" s="174"/>
      <c r="D697" s="174"/>
      <c r="E697" s="174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</row>
    <row r="698">
      <c r="A698" s="174"/>
      <c r="B698" s="174"/>
      <c r="C698" s="174"/>
      <c r="D698" s="174"/>
      <c r="E698" s="174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</row>
    <row r="699">
      <c r="A699" s="174"/>
      <c r="B699" s="174"/>
      <c r="C699" s="174"/>
      <c r="D699" s="174"/>
      <c r="E699" s="174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</row>
    <row r="700">
      <c r="A700" s="174"/>
      <c r="B700" s="174"/>
      <c r="C700" s="174"/>
      <c r="D700" s="174"/>
      <c r="E700" s="174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</row>
    <row r="701">
      <c r="A701" s="174"/>
      <c r="B701" s="174"/>
      <c r="C701" s="174"/>
      <c r="D701" s="174"/>
      <c r="E701" s="174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</row>
    <row r="702">
      <c r="A702" s="174"/>
      <c r="B702" s="174"/>
      <c r="C702" s="174"/>
      <c r="D702" s="174"/>
      <c r="E702" s="174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</row>
    <row r="703">
      <c r="A703" s="174"/>
      <c r="B703" s="174"/>
      <c r="C703" s="174"/>
      <c r="D703" s="174"/>
      <c r="E703" s="174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</row>
    <row r="704">
      <c r="A704" s="174"/>
      <c r="B704" s="174"/>
      <c r="C704" s="174"/>
      <c r="D704" s="174"/>
      <c r="E704" s="174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</row>
    <row r="705">
      <c r="A705" s="174"/>
      <c r="B705" s="174"/>
      <c r="C705" s="174"/>
      <c r="D705" s="174"/>
      <c r="E705" s="174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</row>
    <row r="706">
      <c r="A706" s="174"/>
      <c r="B706" s="174"/>
      <c r="C706" s="174"/>
      <c r="D706" s="174"/>
      <c r="E706" s="174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</row>
    <row r="707">
      <c r="A707" s="174"/>
      <c r="B707" s="174"/>
      <c r="C707" s="174"/>
      <c r="D707" s="174"/>
      <c r="E707" s="174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</row>
    <row r="708">
      <c r="A708" s="174"/>
      <c r="B708" s="174"/>
      <c r="C708" s="174"/>
      <c r="D708" s="174"/>
      <c r="E708" s="174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</row>
    <row r="709">
      <c r="A709" s="174"/>
      <c r="B709" s="174"/>
      <c r="C709" s="174"/>
      <c r="D709" s="174"/>
      <c r="E709" s="174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</row>
    <row r="710">
      <c r="A710" s="174"/>
      <c r="B710" s="174"/>
      <c r="C710" s="174"/>
      <c r="D710" s="174"/>
      <c r="E710" s="174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</row>
    <row r="711">
      <c r="A711" s="174"/>
      <c r="B711" s="174"/>
      <c r="C711" s="174"/>
      <c r="D711" s="174"/>
      <c r="E711" s="174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</row>
    <row r="712">
      <c r="A712" s="174"/>
      <c r="B712" s="174"/>
      <c r="C712" s="174"/>
      <c r="D712" s="174"/>
      <c r="E712" s="174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</row>
    <row r="713">
      <c r="A713" s="174"/>
      <c r="B713" s="174"/>
      <c r="C713" s="174"/>
      <c r="D713" s="174"/>
      <c r="E713" s="174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</row>
    <row r="714">
      <c r="A714" s="174"/>
      <c r="B714" s="174"/>
      <c r="C714" s="174"/>
      <c r="D714" s="174"/>
      <c r="E714" s="174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</row>
    <row r="715">
      <c r="A715" s="174"/>
      <c r="B715" s="174"/>
      <c r="C715" s="174"/>
      <c r="D715" s="174"/>
      <c r="E715" s="174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</row>
    <row r="716">
      <c r="A716" s="174"/>
      <c r="B716" s="174"/>
      <c r="C716" s="174"/>
      <c r="D716" s="174"/>
      <c r="E716" s="174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</row>
    <row r="717">
      <c r="A717" s="174"/>
      <c r="B717" s="174"/>
      <c r="C717" s="174"/>
      <c r="D717" s="174"/>
      <c r="E717" s="174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</row>
    <row r="718">
      <c r="A718" s="174"/>
      <c r="B718" s="174"/>
      <c r="C718" s="174"/>
      <c r="D718" s="174"/>
      <c r="E718" s="174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</row>
    <row r="719">
      <c r="A719" s="174"/>
      <c r="B719" s="174"/>
      <c r="C719" s="174"/>
      <c r="D719" s="174"/>
      <c r="E719" s="174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</row>
    <row r="720">
      <c r="A720" s="174"/>
      <c r="B720" s="174"/>
      <c r="C720" s="174"/>
      <c r="D720" s="174"/>
      <c r="E720" s="174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</row>
    <row r="721">
      <c r="A721" s="174"/>
      <c r="B721" s="174"/>
      <c r="C721" s="174"/>
      <c r="D721" s="174"/>
      <c r="E721" s="174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</row>
    <row r="722">
      <c r="A722" s="174"/>
      <c r="B722" s="174"/>
      <c r="C722" s="174"/>
      <c r="D722" s="174"/>
      <c r="E722" s="174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</row>
    <row r="723">
      <c r="A723" s="174"/>
      <c r="B723" s="174"/>
      <c r="C723" s="174"/>
      <c r="D723" s="174"/>
      <c r="E723" s="174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</row>
    <row r="724">
      <c r="A724" s="174"/>
      <c r="B724" s="174"/>
      <c r="C724" s="174"/>
      <c r="D724" s="174"/>
      <c r="E724" s="174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</row>
    <row r="725">
      <c r="A725" s="174"/>
      <c r="B725" s="174"/>
      <c r="C725" s="174"/>
      <c r="D725" s="174"/>
      <c r="E725" s="174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</row>
    <row r="726">
      <c r="A726" s="174"/>
      <c r="B726" s="174"/>
      <c r="C726" s="174"/>
      <c r="D726" s="174"/>
      <c r="E726" s="174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</row>
    <row r="727">
      <c r="A727" s="174"/>
      <c r="B727" s="174"/>
      <c r="C727" s="174"/>
      <c r="D727" s="174"/>
      <c r="E727" s="174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</row>
    <row r="728">
      <c r="A728" s="174"/>
      <c r="B728" s="174"/>
      <c r="C728" s="174"/>
      <c r="D728" s="174"/>
      <c r="E728" s="174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</row>
    <row r="729">
      <c r="A729" s="174"/>
      <c r="B729" s="174"/>
      <c r="C729" s="174"/>
      <c r="D729" s="174"/>
      <c r="E729" s="174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</row>
    <row r="730">
      <c r="A730" s="174"/>
      <c r="B730" s="174"/>
      <c r="C730" s="174"/>
      <c r="D730" s="174"/>
      <c r="E730" s="174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</row>
    <row r="731">
      <c r="A731" s="174"/>
      <c r="B731" s="174"/>
      <c r="C731" s="174"/>
      <c r="D731" s="174"/>
      <c r="E731" s="174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</row>
    <row r="732">
      <c r="A732" s="174"/>
      <c r="B732" s="174"/>
      <c r="C732" s="174"/>
      <c r="D732" s="174"/>
      <c r="E732" s="174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</row>
    <row r="733">
      <c r="A733" s="174"/>
      <c r="B733" s="174"/>
      <c r="C733" s="174"/>
      <c r="D733" s="174"/>
      <c r="E733" s="174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</row>
    <row r="734">
      <c r="A734" s="174"/>
      <c r="B734" s="174"/>
      <c r="C734" s="174"/>
      <c r="D734" s="174"/>
      <c r="E734" s="174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</row>
    <row r="735">
      <c r="A735" s="174"/>
      <c r="B735" s="174"/>
      <c r="C735" s="174"/>
      <c r="D735" s="174"/>
      <c r="E735" s="174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</row>
    <row r="736">
      <c r="A736" s="174"/>
      <c r="B736" s="174"/>
      <c r="C736" s="174"/>
      <c r="D736" s="174"/>
      <c r="E736" s="174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</row>
    <row r="737">
      <c r="A737" s="174"/>
      <c r="B737" s="174"/>
      <c r="C737" s="174"/>
      <c r="D737" s="174"/>
      <c r="E737" s="174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</row>
    <row r="738">
      <c r="A738" s="174"/>
      <c r="B738" s="174"/>
      <c r="C738" s="174"/>
      <c r="D738" s="174"/>
      <c r="E738" s="174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</row>
    <row r="739">
      <c r="A739" s="174"/>
      <c r="B739" s="174"/>
      <c r="C739" s="174"/>
      <c r="D739" s="174"/>
      <c r="E739" s="174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</row>
    <row r="740">
      <c r="A740" s="174"/>
      <c r="B740" s="174"/>
      <c r="C740" s="174"/>
      <c r="D740" s="174"/>
      <c r="E740" s="174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</row>
    <row r="741">
      <c r="A741" s="174"/>
      <c r="B741" s="174"/>
      <c r="C741" s="174"/>
      <c r="D741" s="174"/>
      <c r="E741" s="174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</row>
    <row r="742">
      <c r="A742" s="174"/>
      <c r="B742" s="174"/>
      <c r="C742" s="174"/>
      <c r="D742" s="174"/>
      <c r="E742" s="174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</row>
    <row r="743">
      <c r="A743" s="174"/>
      <c r="B743" s="174"/>
      <c r="C743" s="174"/>
      <c r="D743" s="174"/>
      <c r="E743" s="174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</row>
    <row r="744">
      <c r="A744" s="174"/>
      <c r="B744" s="174"/>
      <c r="C744" s="174"/>
      <c r="D744" s="174"/>
      <c r="E744" s="174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</row>
    <row r="745">
      <c r="A745" s="174"/>
      <c r="B745" s="174"/>
      <c r="C745" s="174"/>
      <c r="D745" s="174"/>
      <c r="E745" s="174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</row>
    <row r="746">
      <c r="A746" s="174"/>
      <c r="B746" s="174"/>
      <c r="C746" s="174"/>
      <c r="D746" s="174"/>
      <c r="E746" s="174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</row>
    <row r="747">
      <c r="A747" s="174"/>
      <c r="B747" s="174"/>
      <c r="C747" s="174"/>
      <c r="D747" s="174"/>
      <c r="E747" s="174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</row>
    <row r="748">
      <c r="A748" s="174"/>
      <c r="B748" s="174"/>
      <c r="C748" s="174"/>
      <c r="D748" s="174"/>
      <c r="E748" s="174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</row>
    <row r="749">
      <c r="A749" s="174"/>
      <c r="B749" s="174"/>
      <c r="C749" s="174"/>
      <c r="D749" s="174"/>
      <c r="E749" s="174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</row>
    <row r="750">
      <c r="A750" s="174"/>
      <c r="B750" s="174"/>
      <c r="C750" s="174"/>
      <c r="D750" s="174"/>
      <c r="E750" s="174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</row>
    <row r="751">
      <c r="A751" s="174"/>
      <c r="B751" s="174"/>
      <c r="C751" s="174"/>
      <c r="D751" s="174"/>
      <c r="E751" s="174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</row>
    <row r="752">
      <c r="A752" s="174"/>
      <c r="B752" s="174"/>
      <c r="C752" s="174"/>
      <c r="D752" s="174"/>
      <c r="E752" s="174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</row>
    <row r="753">
      <c r="A753" s="174"/>
      <c r="B753" s="174"/>
      <c r="C753" s="174"/>
      <c r="D753" s="174"/>
      <c r="E753" s="174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</row>
    <row r="754">
      <c r="A754" s="174"/>
      <c r="B754" s="174"/>
      <c r="C754" s="174"/>
      <c r="D754" s="174"/>
      <c r="E754" s="174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</row>
    <row r="755">
      <c r="A755" s="174"/>
      <c r="B755" s="174"/>
      <c r="C755" s="174"/>
      <c r="D755" s="174"/>
      <c r="E755" s="174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</row>
    <row r="756">
      <c r="A756" s="174"/>
      <c r="B756" s="174"/>
      <c r="C756" s="174"/>
      <c r="D756" s="174"/>
      <c r="E756" s="174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</row>
    <row r="757">
      <c r="A757" s="174"/>
      <c r="B757" s="174"/>
      <c r="C757" s="174"/>
      <c r="D757" s="174"/>
      <c r="E757" s="174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</row>
    <row r="758">
      <c r="A758" s="174"/>
      <c r="B758" s="174"/>
      <c r="C758" s="174"/>
      <c r="D758" s="174"/>
      <c r="E758" s="174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</row>
    <row r="759">
      <c r="A759" s="174"/>
      <c r="B759" s="174"/>
      <c r="C759" s="174"/>
      <c r="D759" s="174"/>
      <c r="E759" s="174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</row>
    <row r="760">
      <c r="A760" s="174"/>
      <c r="B760" s="174"/>
      <c r="C760" s="174"/>
      <c r="D760" s="174"/>
      <c r="E760" s="174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</row>
    <row r="761">
      <c r="A761" s="174"/>
      <c r="B761" s="174"/>
      <c r="C761" s="174"/>
      <c r="D761" s="174"/>
      <c r="E761" s="174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</row>
    <row r="762">
      <c r="A762" s="174"/>
      <c r="B762" s="174"/>
      <c r="C762" s="174"/>
      <c r="D762" s="174"/>
      <c r="E762" s="174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</row>
    <row r="763">
      <c r="A763" s="174"/>
      <c r="B763" s="174"/>
      <c r="C763" s="174"/>
      <c r="D763" s="174"/>
      <c r="E763" s="174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</row>
    <row r="764">
      <c r="A764" s="174"/>
      <c r="B764" s="174"/>
      <c r="C764" s="174"/>
      <c r="D764" s="174"/>
      <c r="E764" s="174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</row>
    <row r="765">
      <c r="A765" s="174"/>
      <c r="B765" s="174"/>
      <c r="C765" s="174"/>
      <c r="D765" s="174"/>
      <c r="E765" s="174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</row>
    <row r="766">
      <c r="A766" s="174"/>
      <c r="B766" s="174"/>
      <c r="C766" s="174"/>
      <c r="D766" s="174"/>
      <c r="E766" s="174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</row>
    <row r="767">
      <c r="A767" s="174"/>
      <c r="B767" s="174"/>
      <c r="C767" s="174"/>
      <c r="D767" s="174"/>
      <c r="E767" s="174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</row>
    <row r="768">
      <c r="A768" s="174"/>
      <c r="B768" s="174"/>
      <c r="C768" s="174"/>
      <c r="D768" s="174"/>
      <c r="E768" s="174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</row>
    <row r="769">
      <c r="A769" s="174"/>
      <c r="B769" s="174"/>
      <c r="C769" s="174"/>
      <c r="D769" s="174"/>
      <c r="E769" s="174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</row>
    <row r="770">
      <c r="A770" s="174"/>
      <c r="B770" s="174"/>
      <c r="C770" s="174"/>
      <c r="D770" s="174"/>
      <c r="E770" s="174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</row>
    <row r="771">
      <c r="A771" s="174"/>
      <c r="B771" s="174"/>
      <c r="C771" s="174"/>
      <c r="D771" s="174"/>
      <c r="E771" s="174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</row>
    <row r="772">
      <c r="A772" s="174"/>
      <c r="B772" s="174"/>
      <c r="C772" s="174"/>
      <c r="D772" s="174"/>
      <c r="E772" s="174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</row>
    <row r="773">
      <c r="A773" s="174"/>
      <c r="B773" s="174"/>
      <c r="C773" s="174"/>
      <c r="D773" s="174"/>
      <c r="E773" s="174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</row>
    <row r="774">
      <c r="A774" s="174"/>
      <c r="B774" s="174"/>
      <c r="C774" s="174"/>
      <c r="D774" s="174"/>
      <c r="E774" s="174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</row>
    <row r="775">
      <c r="A775" s="174"/>
      <c r="B775" s="174"/>
      <c r="C775" s="174"/>
      <c r="D775" s="174"/>
      <c r="E775" s="174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</row>
    <row r="776">
      <c r="A776" s="174"/>
      <c r="B776" s="174"/>
      <c r="C776" s="174"/>
      <c r="D776" s="174"/>
      <c r="E776" s="174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</row>
    <row r="777">
      <c r="A777" s="174"/>
      <c r="B777" s="174"/>
      <c r="C777" s="174"/>
      <c r="D777" s="174"/>
      <c r="E777" s="174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</row>
    <row r="778">
      <c r="A778" s="174"/>
      <c r="B778" s="174"/>
      <c r="C778" s="174"/>
      <c r="D778" s="174"/>
      <c r="E778" s="174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</row>
    <row r="779">
      <c r="A779" s="174"/>
      <c r="B779" s="174"/>
      <c r="C779" s="174"/>
      <c r="D779" s="174"/>
      <c r="E779" s="174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</row>
    <row r="780">
      <c r="A780" s="174"/>
      <c r="B780" s="174"/>
      <c r="C780" s="174"/>
      <c r="D780" s="174"/>
      <c r="E780" s="174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</row>
    <row r="781">
      <c r="A781" s="174"/>
      <c r="B781" s="174"/>
      <c r="C781" s="174"/>
      <c r="D781" s="174"/>
      <c r="E781" s="174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</row>
    <row r="782">
      <c r="A782" s="174"/>
      <c r="B782" s="174"/>
      <c r="C782" s="174"/>
      <c r="D782" s="174"/>
      <c r="E782" s="174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</row>
    <row r="783">
      <c r="A783" s="174"/>
      <c r="B783" s="174"/>
      <c r="C783" s="174"/>
      <c r="D783" s="174"/>
      <c r="E783" s="174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</row>
    <row r="784">
      <c r="A784" s="174"/>
      <c r="B784" s="174"/>
      <c r="C784" s="174"/>
      <c r="D784" s="174"/>
      <c r="E784" s="174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</row>
    <row r="785">
      <c r="A785" s="174"/>
      <c r="B785" s="174"/>
      <c r="C785" s="174"/>
      <c r="D785" s="174"/>
      <c r="E785" s="174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</row>
    <row r="786">
      <c r="A786" s="174"/>
      <c r="B786" s="174"/>
      <c r="C786" s="174"/>
      <c r="D786" s="174"/>
      <c r="E786" s="174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</row>
    <row r="787">
      <c r="A787" s="174"/>
      <c r="B787" s="174"/>
      <c r="C787" s="174"/>
      <c r="D787" s="174"/>
      <c r="E787" s="174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</row>
    <row r="788">
      <c r="A788" s="174"/>
      <c r="B788" s="174"/>
      <c r="C788" s="174"/>
      <c r="D788" s="174"/>
      <c r="E788" s="174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</row>
    <row r="789">
      <c r="A789" s="174"/>
      <c r="B789" s="174"/>
      <c r="C789" s="174"/>
      <c r="D789" s="174"/>
      <c r="E789" s="174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</row>
    <row r="790">
      <c r="A790" s="174"/>
      <c r="B790" s="174"/>
      <c r="C790" s="174"/>
      <c r="D790" s="174"/>
      <c r="E790" s="174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</row>
    <row r="791">
      <c r="A791" s="174"/>
      <c r="B791" s="174"/>
      <c r="C791" s="174"/>
      <c r="D791" s="174"/>
      <c r="E791" s="174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</row>
    <row r="792">
      <c r="A792" s="174"/>
      <c r="B792" s="174"/>
      <c r="C792" s="174"/>
      <c r="D792" s="174"/>
      <c r="E792" s="174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</row>
    <row r="793">
      <c r="A793" s="174"/>
      <c r="B793" s="174"/>
      <c r="C793" s="174"/>
      <c r="D793" s="174"/>
      <c r="E793" s="174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</row>
    <row r="794">
      <c r="A794" s="174"/>
      <c r="B794" s="174"/>
      <c r="C794" s="174"/>
      <c r="D794" s="174"/>
      <c r="E794" s="174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</row>
    <row r="795">
      <c r="A795" s="174"/>
      <c r="B795" s="174"/>
      <c r="C795" s="174"/>
      <c r="D795" s="174"/>
      <c r="E795" s="174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</row>
    <row r="796">
      <c r="A796" s="174"/>
      <c r="B796" s="174"/>
      <c r="C796" s="174"/>
      <c r="D796" s="174"/>
      <c r="E796" s="174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</row>
    <row r="797">
      <c r="A797" s="174"/>
      <c r="B797" s="174"/>
      <c r="C797" s="174"/>
      <c r="D797" s="174"/>
      <c r="E797" s="174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</row>
    <row r="798">
      <c r="A798" s="174"/>
      <c r="B798" s="174"/>
      <c r="C798" s="174"/>
      <c r="D798" s="174"/>
      <c r="E798" s="174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</row>
    <row r="799">
      <c r="A799" s="174"/>
      <c r="B799" s="174"/>
      <c r="C799" s="174"/>
      <c r="D799" s="174"/>
      <c r="E799" s="174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</row>
    <row r="800">
      <c r="A800" s="174"/>
      <c r="B800" s="174"/>
      <c r="C800" s="174"/>
      <c r="D800" s="174"/>
      <c r="E800" s="174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</row>
    <row r="801">
      <c r="A801" s="174"/>
      <c r="B801" s="174"/>
      <c r="C801" s="174"/>
      <c r="D801" s="174"/>
      <c r="E801" s="174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</row>
    <row r="802">
      <c r="A802" s="174"/>
      <c r="B802" s="174"/>
      <c r="C802" s="174"/>
      <c r="D802" s="174"/>
      <c r="E802" s="174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</row>
    <row r="803">
      <c r="A803" s="174"/>
      <c r="B803" s="174"/>
      <c r="C803" s="174"/>
      <c r="D803" s="174"/>
      <c r="E803" s="174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</row>
    <row r="804">
      <c r="A804" s="174"/>
      <c r="B804" s="174"/>
      <c r="C804" s="174"/>
      <c r="D804" s="174"/>
      <c r="E804" s="174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</row>
    <row r="805">
      <c r="A805" s="174"/>
      <c r="B805" s="174"/>
      <c r="C805" s="174"/>
      <c r="D805" s="174"/>
      <c r="E805" s="174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</row>
    <row r="806">
      <c r="A806" s="174"/>
      <c r="B806" s="174"/>
      <c r="C806" s="174"/>
      <c r="D806" s="174"/>
      <c r="E806" s="174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</row>
    <row r="807">
      <c r="A807" s="174"/>
      <c r="B807" s="174"/>
      <c r="C807" s="174"/>
      <c r="D807" s="174"/>
      <c r="E807" s="174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</row>
    <row r="808">
      <c r="A808" s="174"/>
      <c r="B808" s="174"/>
      <c r="C808" s="174"/>
      <c r="D808" s="174"/>
      <c r="E808" s="174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</row>
    <row r="809">
      <c r="A809" s="174"/>
      <c r="B809" s="174"/>
      <c r="C809" s="174"/>
      <c r="D809" s="174"/>
      <c r="E809" s="174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</row>
    <row r="810">
      <c r="A810" s="174"/>
      <c r="B810" s="174"/>
      <c r="C810" s="174"/>
      <c r="D810" s="174"/>
      <c r="E810" s="174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</row>
    <row r="811">
      <c r="A811" s="174"/>
      <c r="B811" s="174"/>
      <c r="C811" s="174"/>
      <c r="D811" s="174"/>
      <c r="E811" s="174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</row>
    <row r="812">
      <c r="A812" s="174"/>
      <c r="B812" s="174"/>
      <c r="C812" s="174"/>
      <c r="D812" s="174"/>
      <c r="E812" s="174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</row>
    <row r="813">
      <c r="A813" s="174"/>
      <c r="B813" s="174"/>
      <c r="C813" s="174"/>
      <c r="D813" s="174"/>
      <c r="E813" s="174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</row>
    <row r="814">
      <c r="A814" s="174"/>
      <c r="B814" s="174"/>
      <c r="C814" s="174"/>
      <c r="D814" s="174"/>
      <c r="E814" s="174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</row>
    <row r="815">
      <c r="A815" s="174"/>
      <c r="B815" s="174"/>
      <c r="C815" s="174"/>
      <c r="D815" s="174"/>
      <c r="E815" s="174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</row>
    <row r="816">
      <c r="A816" s="174"/>
      <c r="B816" s="174"/>
      <c r="C816" s="174"/>
      <c r="D816" s="174"/>
      <c r="E816" s="174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</row>
    <row r="817">
      <c r="A817" s="174"/>
      <c r="B817" s="174"/>
      <c r="C817" s="174"/>
      <c r="D817" s="174"/>
      <c r="E817" s="174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</row>
    <row r="818">
      <c r="A818" s="174"/>
      <c r="B818" s="174"/>
      <c r="C818" s="174"/>
      <c r="D818" s="174"/>
      <c r="E818" s="174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</row>
    <row r="819">
      <c r="A819" s="174"/>
      <c r="B819" s="174"/>
      <c r="C819" s="174"/>
      <c r="D819" s="174"/>
      <c r="E819" s="174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</row>
    <row r="820">
      <c r="A820" s="174"/>
      <c r="B820" s="174"/>
      <c r="C820" s="174"/>
      <c r="D820" s="174"/>
      <c r="E820" s="174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</row>
    <row r="821">
      <c r="A821" s="174"/>
      <c r="B821" s="174"/>
      <c r="C821" s="174"/>
      <c r="D821" s="174"/>
      <c r="E821" s="174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</row>
    <row r="822">
      <c r="A822" s="174"/>
      <c r="B822" s="174"/>
      <c r="C822" s="174"/>
      <c r="D822" s="174"/>
      <c r="E822" s="174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</row>
    <row r="823">
      <c r="A823" s="174"/>
      <c r="B823" s="174"/>
      <c r="C823" s="174"/>
      <c r="D823" s="174"/>
      <c r="E823" s="174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</row>
    <row r="824">
      <c r="A824" s="174"/>
      <c r="B824" s="174"/>
      <c r="C824" s="174"/>
      <c r="D824" s="174"/>
      <c r="E824" s="174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</row>
    <row r="825">
      <c r="A825" s="174"/>
      <c r="B825" s="174"/>
      <c r="C825" s="174"/>
      <c r="D825" s="174"/>
      <c r="E825" s="174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</row>
    <row r="826">
      <c r="A826" s="174"/>
      <c r="B826" s="174"/>
      <c r="C826" s="174"/>
      <c r="D826" s="174"/>
      <c r="E826" s="174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</row>
    <row r="827">
      <c r="A827" s="174"/>
      <c r="B827" s="174"/>
      <c r="C827" s="174"/>
      <c r="D827" s="174"/>
      <c r="E827" s="174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</row>
    <row r="828">
      <c r="A828" s="174"/>
      <c r="B828" s="174"/>
      <c r="C828" s="174"/>
      <c r="D828" s="174"/>
      <c r="E828" s="174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</row>
    <row r="829">
      <c r="A829" s="174"/>
      <c r="B829" s="174"/>
      <c r="C829" s="174"/>
      <c r="D829" s="174"/>
      <c r="E829" s="174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</row>
    <row r="830">
      <c r="A830" s="174"/>
      <c r="B830" s="174"/>
      <c r="C830" s="174"/>
      <c r="D830" s="174"/>
      <c r="E830" s="174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</row>
    <row r="831">
      <c r="A831" s="174"/>
      <c r="B831" s="174"/>
      <c r="C831" s="174"/>
      <c r="D831" s="174"/>
      <c r="E831" s="174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</row>
    <row r="832">
      <c r="A832" s="174"/>
      <c r="B832" s="174"/>
      <c r="C832" s="174"/>
      <c r="D832" s="174"/>
      <c r="E832" s="174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</row>
    <row r="833">
      <c r="A833" s="174"/>
      <c r="B833" s="174"/>
      <c r="C833" s="174"/>
      <c r="D833" s="174"/>
      <c r="E833" s="174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</row>
    <row r="834">
      <c r="A834" s="174"/>
      <c r="B834" s="174"/>
      <c r="C834" s="174"/>
      <c r="D834" s="174"/>
      <c r="E834" s="174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</row>
    <row r="835">
      <c r="A835" s="174"/>
      <c r="B835" s="174"/>
      <c r="C835" s="174"/>
      <c r="D835" s="174"/>
      <c r="E835" s="174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</row>
    <row r="836">
      <c r="A836" s="174"/>
      <c r="B836" s="174"/>
      <c r="C836" s="174"/>
      <c r="D836" s="174"/>
      <c r="E836" s="174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</row>
    <row r="837">
      <c r="A837" s="174"/>
      <c r="B837" s="174"/>
      <c r="C837" s="174"/>
      <c r="D837" s="174"/>
      <c r="E837" s="174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</row>
    <row r="838">
      <c r="A838" s="174"/>
      <c r="B838" s="174"/>
      <c r="C838" s="174"/>
      <c r="D838" s="174"/>
      <c r="E838" s="174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</row>
    <row r="839">
      <c r="A839" s="174"/>
      <c r="B839" s="174"/>
      <c r="C839" s="174"/>
      <c r="D839" s="174"/>
      <c r="E839" s="174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</row>
    <row r="840">
      <c r="A840" s="174"/>
      <c r="B840" s="174"/>
      <c r="C840" s="174"/>
      <c r="D840" s="174"/>
      <c r="E840" s="174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</row>
    <row r="841">
      <c r="A841" s="174"/>
      <c r="B841" s="174"/>
      <c r="C841" s="174"/>
      <c r="D841" s="174"/>
      <c r="E841" s="174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</row>
    <row r="842">
      <c r="A842" s="174"/>
      <c r="B842" s="174"/>
      <c r="C842" s="174"/>
      <c r="D842" s="174"/>
      <c r="E842" s="174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</row>
    <row r="843">
      <c r="A843" s="174"/>
      <c r="B843" s="174"/>
      <c r="C843" s="174"/>
      <c r="D843" s="174"/>
      <c r="E843" s="174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</row>
    <row r="844">
      <c r="A844" s="174"/>
      <c r="B844" s="174"/>
      <c r="C844" s="174"/>
      <c r="D844" s="174"/>
      <c r="E844" s="174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</row>
    <row r="845">
      <c r="A845" s="174"/>
      <c r="B845" s="174"/>
      <c r="C845" s="174"/>
      <c r="D845" s="174"/>
      <c r="E845" s="174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</row>
    <row r="846">
      <c r="A846" s="174"/>
      <c r="B846" s="174"/>
      <c r="C846" s="174"/>
      <c r="D846" s="174"/>
      <c r="E846" s="174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</row>
    <row r="847">
      <c r="A847" s="174"/>
      <c r="B847" s="174"/>
      <c r="C847" s="174"/>
      <c r="D847" s="174"/>
      <c r="E847" s="174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</row>
    <row r="848">
      <c r="A848" s="174"/>
      <c r="B848" s="174"/>
      <c r="C848" s="174"/>
      <c r="D848" s="174"/>
      <c r="E848" s="174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</row>
    <row r="849">
      <c r="A849" s="174"/>
      <c r="B849" s="174"/>
      <c r="C849" s="174"/>
      <c r="D849" s="174"/>
      <c r="E849" s="174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</row>
    <row r="850">
      <c r="A850" s="174"/>
      <c r="B850" s="174"/>
      <c r="C850" s="174"/>
      <c r="D850" s="174"/>
      <c r="E850" s="174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</row>
    <row r="851">
      <c r="A851" s="174"/>
      <c r="B851" s="174"/>
      <c r="C851" s="174"/>
      <c r="D851" s="174"/>
      <c r="E851" s="174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</row>
    <row r="852">
      <c r="A852" s="174"/>
      <c r="B852" s="174"/>
      <c r="C852" s="174"/>
      <c r="D852" s="174"/>
      <c r="E852" s="174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</row>
    <row r="853">
      <c r="A853" s="174"/>
      <c r="B853" s="174"/>
      <c r="C853" s="174"/>
      <c r="D853" s="174"/>
      <c r="E853" s="174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</row>
    <row r="854">
      <c r="A854" s="174"/>
      <c r="B854" s="174"/>
      <c r="C854" s="174"/>
      <c r="D854" s="174"/>
      <c r="E854" s="174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</row>
    <row r="855">
      <c r="A855" s="174"/>
      <c r="B855" s="174"/>
      <c r="C855" s="174"/>
      <c r="D855" s="174"/>
      <c r="E855" s="174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</row>
    <row r="856">
      <c r="A856" s="174"/>
      <c r="B856" s="174"/>
      <c r="C856" s="174"/>
      <c r="D856" s="174"/>
      <c r="E856" s="174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</row>
    <row r="857">
      <c r="A857" s="174"/>
      <c r="B857" s="174"/>
      <c r="C857" s="174"/>
      <c r="D857" s="174"/>
      <c r="E857" s="174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</row>
    <row r="858">
      <c r="A858" s="174"/>
      <c r="B858" s="174"/>
      <c r="C858" s="174"/>
      <c r="D858" s="174"/>
      <c r="E858" s="174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</row>
    <row r="859">
      <c r="A859" s="174"/>
      <c r="B859" s="174"/>
      <c r="C859" s="174"/>
      <c r="D859" s="174"/>
      <c r="E859" s="174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</row>
    <row r="860">
      <c r="A860" s="174"/>
      <c r="B860" s="174"/>
      <c r="C860" s="174"/>
      <c r="D860" s="174"/>
      <c r="E860" s="174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</row>
    <row r="861">
      <c r="A861" s="174"/>
      <c r="B861" s="174"/>
      <c r="C861" s="174"/>
      <c r="D861" s="174"/>
      <c r="E861" s="174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</row>
    <row r="862">
      <c r="A862" s="174"/>
      <c r="B862" s="174"/>
      <c r="C862" s="174"/>
      <c r="D862" s="174"/>
      <c r="E862" s="174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</row>
    <row r="863">
      <c r="A863" s="174"/>
      <c r="B863" s="174"/>
      <c r="C863" s="174"/>
      <c r="D863" s="174"/>
      <c r="E863" s="174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</row>
    <row r="864">
      <c r="A864" s="174"/>
      <c r="B864" s="174"/>
      <c r="C864" s="174"/>
      <c r="D864" s="174"/>
      <c r="E864" s="174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</row>
    <row r="865">
      <c r="A865" s="174"/>
      <c r="B865" s="174"/>
      <c r="C865" s="174"/>
      <c r="D865" s="174"/>
      <c r="E865" s="174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</row>
    <row r="866">
      <c r="A866" s="174"/>
      <c r="B866" s="174"/>
      <c r="C866" s="174"/>
      <c r="D866" s="174"/>
      <c r="E866" s="174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</row>
    <row r="867">
      <c r="A867" s="174"/>
      <c r="B867" s="174"/>
      <c r="C867" s="174"/>
      <c r="D867" s="174"/>
      <c r="E867" s="174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</row>
    <row r="868">
      <c r="A868" s="174"/>
      <c r="B868" s="174"/>
      <c r="C868" s="174"/>
      <c r="D868" s="174"/>
      <c r="E868" s="174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</row>
    <row r="869">
      <c r="A869" s="174"/>
      <c r="B869" s="174"/>
      <c r="C869" s="174"/>
      <c r="D869" s="174"/>
      <c r="E869" s="174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</row>
    <row r="870">
      <c r="A870" s="174"/>
      <c r="B870" s="174"/>
      <c r="C870" s="174"/>
      <c r="D870" s="174"/>
      <c r="E870" s="174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</row>
    <row r="871">
      <c r="A871" s="174"/>
      <c r="B871" s="174"/>
      <c r="C871" s="174"/>
      <c r="D871" s="174"/>
      <c r="E871" s="174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</row>
    <row r="872">
      <c r="A872" s="174"/>
      <c r="B872" s="174"/>
      <c r="C872" s="174"/>
      <c r="D872" s="174"/>
      <c r="E872" s="174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</row>
    <row r="873">
      <c r="A873" s="174"/>
      <c r="B873" s="174"/>
      <c r="C873" s="174"/>
      <c r="D873" s="174"/>
      <c r="E873" s="174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</row>
    <row r="874">
      <c r="A874" s="174"/>
      <c r="B874" s="174"/>
      <c r="C874" s="174"/>
      <c r="D874" s="174"/>
      <c r="E874" s="174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</row>
    <row r="875">
      <c r="A875" s="174"/>
      <c r="B875" s="174"/>
      <c r="C875" s="174"/>
      <c r="D875" s="174"/>
      <c r="E875" s="174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</row>
    <row r="876">
      <c r="A876" s="174"/>
      <c r="B876" s="174"/>
      <c r="C876" s="174"/>
      <c r="D876" s="174"/>
      <c r="E876" s="174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</row>
    <row r="877">
      <c r="A877" s="174"/>
      <c r="B877" s="174"/>
      <c r="C877" s="174"/>
      <c r="D877" s="174"/>
      <c r="E877" s="174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</row>
    <row r="878">
      <c r="A878" s="174"/>
      <c r="B878" s="174"/>
      <c r="C878" s="174"/>
      <c r="D878" s="174"/>
      <c r="E878" s="174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</row>
    <row r="879">
      <c r="A879" s="174"/>
      <c r="B879" s="174"/>
      <c r="C879" s="174"/>
      <c r="D879" s="174"/>
      <c r="E879" s="174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</row>
    <row r="880">
      <c r="A880" s="174"/>
      <c r="B880" s="174"/>
      <c r="C880" s="174"/>
      <c r="D880" s="174"/>
      <c r="E880" s="174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</row>
    <row r="881">
      <c r="A881" s="174"/>
      <c r="B881" s="174"/>
      <c r="C881" s="174"/>
      <c r="D881" s="174"/>
      <c r="E881" s="174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</row>
    <row r="882">
      <c r="A882" s="174"/>
      <c r="B882" s="174"/>
      <c r="C882" s="174"/>
      <c r="D882" s="174"/>
      <c r="E882" s="174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</row>
    <row r="883">
      <c r="A883" s="174"/>
      <c r="B883" s="174"/>
      <c r="C883" s="174"/>
      <c r="D883" s="174"/>
      <c r="E883" s="174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</row>
    <row r="884">
      <c r="A884" s="174"/>
      <c r="B884" s="174"/>
      <c r="C884" s="174"/>
      <c r="D884" s="174"/>
      <c r="E884" s="174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</row>
    <row r="885">
      <c r="A885" s="174"/>
      <c r="B885" s="174"/>
      <c r="C885" s="174"/>
      <c r="D885" s="174"/>
      <c r="E885" s="174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</row>
    <row r="886">
      <c r="A886" s="174"/>
      <c r="B886" s="174"/>
      <c r="C886" s="174"/>
      <c r="D886" s="174"/>
      <c r="E886" s="174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</row>
    <row r="887">
      <c r="A887" s="174"/>
      <c r="B887" s="174"/>
      <c r="C887" s="174"/>
      <c r="D887" s="174"/>
      <c r="E887" s="174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</row>
    <row r="888">
      <c r="A888" s="174"/>
      <c r="B888" s="174"/>
      <c r="C888" s="174"/>
      <c r="D888" s="174"/>
      <c r="E888" s="174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</row>
    <row r="889">
      <c r="A889" s="174"/>
      <c r="B889" s="174"/>
      <c r="C889" s="174"/>
      <c r="D889" s="174"/>
      <c r="E889" s="174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</row>
    <row r="890">
      <c r="A890" s="174"/>
      <c r="B890" s="174"/>
      <c r="C890" s="174"/>
      <c r="D890" s="174"/>
      <c r="E890" s="174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</row>
    <row r="891">
      <c r="A891" s="174"/>
      <c r="B891" s="174"/>
      <c r="C891" s="174"/>
      <c r="D891" s="174"/>
      <c r="E891" s="174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</row>
    <row r="892">
      <c r="A892" s="174"/>
      <c r="B892" s="174"/>
      <c r="C892" s="174"/>
      <c r="D892" s="174"/>
      <c r="E892" s="174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</row>
    <row r="893">
      <c r="A893" s="174"/>
      <c r="B893" s="174"/>
      <c r="C893" s="174"/>
      <c r="D893" s="174"/>
      <c r="E893" s="174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</row>
    <row r="894">
      <c r="A894" s="174"/>
      <c r="B894" s="174"/>
      <c r="C894" s="174"/>
      <c r="D894" s="174"/>
      <c r="E894" s="174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</row>
    <row r="895">
      <c r="A895" s="174"/>
      <c r="B895" s="174"/>
      <c r="C895" s="174"/>
      <c r="D895" s="174"/>
      <c r="E895" s="174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</row>
    <row r="896">
      <c r="A896" s="174"/>
      <c r="B896" s="174"/>
      <c r="C896" s="174"/>
      <c r="D896" s="174"/>
      <c r="E896" s="174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</row>
    <row r="897">
      <c r="A897" s="174"/>
      <c r="B897" s="174"/>
      <c r="C897" s="174"/>
      <c r="D897" s="174"/>
      <c r="E897" s="174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</row>
    <row r="898">
      <c r="A898" s="174"/>
      <c r="B898" s="174"/>
      <c r="C898" s="174"/>
      <c r="D898" s="174"/>
      <c r="E898" s="174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</row>
    <row r="899">
      <c r="A899" s="174"/>
      <c r="B899" s="174"/>
      <c r="C899" s="174"/>
      <c r="D899" s="174"/>
      <c r="E899" s="174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</row>
    <row r="900">
      <c r="A900" s="174"/>
      <c r="B900" s="174"/>
      <c r="C900" s="174"/>
      <c r="D900" s="174"/>
      <c r="E900" s="174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</row>
    <row r="901">
      <c r="A901" s="174"/>
      <c r="B901" s="174"/>
      <c r="C901" s="174"/>
      <c r="D901" s="174"/>
      <c r="E901" s="174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</row>
    <row r="902">
      <c r="A902" s="174"/>
      <c r="B902" s="174"/>
      <c r="C902" s="174"/>
      <c r="D902" s="174"/>
      <c r="E902" s="174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</row>
    <row r="903">
      <c r="A903" s="174"/>
      <c r="B903" s="174"/>
      <c r="C903" s="174"/>
      <c r="D903" s="174"/>
      <c r="E903" s="174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</row>
    <row r="904">
      <c r="A904" s="174"/>
      <c r="B904" s="174"/>
      <c r="C904" s="174"/>
      <c r="D904" s="174"/>
      <c r="E904" s="174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</row>
    <row r="905">
      <c r="A905" s="174"/>
      <c r="B905" s="174"/>
      <c r="C905" s="174"/>
      <c r="D905" s="174"/>
      <c r="E905" s="174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</row>
    <row r="906">
      <c r="A906" s="174"/>
      <c r="B906" s="174"/>
      <c r="C906" s="174"/>
      <c r="D906" s="174"/>
      <c r="E906" s="174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</row>
    <row r="907">
      <c r="A907" s="174"/>
      <c r="B907" s="174"/>
      <c r="C907" s="174"/>
      <c r="D907" s="174"/>
      <c r="E907" s="174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</row>
    <row r="908">
      <c r="A908" s="174"/>
      <c r="B908" s="174"/>
      <c r="C908" s="174"/>
      <c r="D908" s="174"/>
      <c r="E908" s="174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</row>
    <row r="909">
      <c r="A909" s="174"/>
      <c r="B909" s="174"/>
      <c r="C909" s="174"/>
      <c r="D909" s="174"/>
      <c r="E909" s="174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</row>
    <row r="910">
      <c r="A910" s="174"/>
      <c r="B910" s="174"/>
      <c r="C910" s="174"/>
      <c r="D910" s="174"/>
      <c r="E910" s="174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</row>
    <row r="911">
      <c r="A911" s="174"/>
      <c r="B911" s="174"/>
      <c r="C911" s="174"/>
      <c r="D911" s="174"/>
      <c r="E911" s="174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</row>
    <row r="912">
      <c r="A912" s="174"/>
      <c r="B912" s="174"/>
      <c r="C912" s="174"/>
      <c r="D912" s="174"/>
      <c r="E912" s="174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</row>
    <row r="913">
      <c r="A913" s="174"/>
      <c r="B913" s="174"/>
      <c r="C913" s="174"/>
      <c r="D913" s="174"/>
      <c r="E913" s="174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</row>
    <row r="914">
      <c r="A914" s="174"/>
      <c r="B914" s="174"/>
      <c r="C914" s="174"/>
      <c r="D914" s="174"/>
      <c r="E914" s="174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</row>
    <row r="915">
      <c r="A915" s="174"/>
      <c r="B915" s="174"/>
      <c r="C915" s="174"/>
      <c r="D915" s="174"/>
      <c r="E915" s="174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</row>
    <row r="916">
      <c r="A916" s="174"/>
      <c r="B916" s="174"/>
      <c r="C916" s="174"/>
      <c r="D916" s="174"/>
      <c r="E916" s="174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</row>
    <row r="917">
      <c r="A917" s="174"/>
      <c r="B917" s="174"/>
      <c r="C917" s="174"/>
      <c r="D917" s="174"/>
      <c r="E917" s="174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</row>
    <row r="918">
      <c r="A918" s="174"/>
      <c r="B918" s="174"/>
      <c r="C918" s="174"/>
      <c r="D918" s="174"/>
      <c r="E918" s="174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</row>
    <row r="919">
      <c r="A919" s="174"/>
      <c r="B919" s="174"/>
      <c r="C919" s="174"/>
      <c r="D919" s="174"/>
      <c r="E919" s="174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</row>
    <row r="920">
      <c r="A920" s="174"/>
      <c r="B920" s="174"/>
      <c r="C920" s="174"/>
      <c r="D920" s="174"/>
      <c r="E920" s="174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</row>
    <row r="921">
      <c r="A921" s="174"/>
      <c r="B921" s="174"/>
      <c r="C921" s="174"/>
      <c r="D921" s="174"/>
      <c r="E921" s="174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</row>
    <row r="922">
      <c r="A922" s="174"/>
      <c r="B922" s="174"/>
      <c r="C922" s="174"/>
      <c r="D922" s="174"/>
      <c r="E922" s="174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</row>
    <row r="923">
      <c r="A923" s="174"/>
      <c r="B923" s="174"/>
      <c r="C923" s="174"/>
      <c r="D923" s="174"/>
      <c r="E923" s="174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</row>
    <row r="924">
      <c r="A924" s="174"/>
      <c r="B924" s="174"/>
      <c r="C924" s="174"/>
      <c r="D924" s="174"/>
      <c r="E924" s="174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</row>
    <row r="925">
      <c r="A925" s="174"/>
      <c r="B925" s="174"/>
      <c r="C925" s="174"/>
      <c r="D925" s="174"/>
      <c r="E925" s="174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</row>
    <row r="926">
      <c r="A926" s="174"/>
      <c r="B926" s="174"/>
      <c r="C926" s="174"/>
      <c r="D926" s="174"/>
      <c r="E926" s="174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</row>
    <row r="927">
      <c r="A927" s="174"/>
      <c r="B927" s="174"/>
      <c r="C927" s="174"/>
      <c r="D927" s="174"/>
      <c r="E927" s="174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</row>
    <row r="928">
      <c r="A928" s="174"/>
      <c r="B928" s="174"/>
      <c r="C928" s="174"/>
      <c r="D928" s="174"/>
      <c r="E928" s="174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</row>
    <row r="929">
      <c r="A929" s="174"/>
      <c r="B929" s="174"/>
      <c r="C929" s="174"/>
      <c r="D929" s="174"/>
      <c r="E929" s="174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</row>
    <row r="930">
      <c r="A930" s="174"/>
      <c r="B930" s="174"/>
      <c r="C930" s="174"/>
      <c r="D930" s="174"/>
      <c r="E930" s="174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</row>
    <row r="931">
      <c r="A931" s="174"/>
      <c r="B931" s="174"/>
      <c r="C931" s="174"/>
      <c r="D931" s="174"/>
      <c r="E931" s="174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</row>
    <row r="932">
      <c r="A932" s="174"/>
      <c r="B932" s="174"/>
      <c r="C932" s="174"/>
      <c r="D932" s="174"/>
      <c r="E932" s="174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</row>
    <row r="933">
      <c r="A933" s="174"/>
      <c r="B933" s="174"/>
      <c r="C933" s="174"/>
      <c r="D933" s="174"/>
      <c r="E933" s="174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</row>
    <row r="934">
      <c r="A934" s="174"/>
      <c r="B934" s="174"/>
      <c r="C934" s="174"/>
      <c r="D934" s="174"/>
      <c r="E934" s="174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</row>
    <row r="935">
      <c r="A935" s="174"/>
      <c r="B935" s="174"/>
      <c r="C935" s="174"/>
      <c r="D935" s="174"/>
      <c r="E935" s="174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</row>
    <row r="936">
      <c r="A936" s="174"/>
      <c r="B936" s="174"/>
      <c r="C936" s="174"/>
      <c r="D936" s="174"/>
      <c r="E936" s="174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</row>
    <row r="937">
      <c r="A937" s="174"/>
      <c r="B937" s="174"/>
      <c r="C937" s="174"/>
      <c r="D937" s="174"/>
      <c r="E937" s="174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</row>
    <row r="938">
      <c r="A938" s="174"/>
      <c r="B938" s="174"/>
      <c r="C938" s="174"/>
      <c r="D938" s="174"/>
      <c r="E938" s="174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</row>
    <row r="939">
      <c r="A939" s="174"/>
      <c r="B939" s="174"/>
      <c r="C939" s="174"/>
      <c r="D939" s="174"/>
      <c r="E939" s="174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</row>
    <row r="940">
      <c r="A940" s="174"/>
      <c r="B940" s="174"/>
      <c r="C940" s="174"/>
      <c r="D940" s="174"/>
      <c r="E940" s="174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</row>
    <row r="941">
      <c r="A941" s="174"/>
      <c r="B941" s="174"/>
      <c r="C941" s="174"/>
      <c r="D941" s="174"/>
      <c r="E941" s="174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</row>
    <row r="942">
      <c r="A942" s="174"/>
      <c r="B942" s="174"/>
      <c r="C942" s="174"/>
      <c r="D942" s="174"/>
      <c r="E942" s="174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</row>
    <row r="943">
      <c r="A943" s="174"/>
      <c r="B943" s="174"/>
      <c r="C943" s="174"/>
      <c r="D943" s="174"/>
      <c r="E943" s="174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</row>
    <row r="944">
      <c r="A944" s="174"/>
      <c r="B944" s="174"/>
      <c r="C944" s="174"/>
      <c r="D944" s="174"/>
      <c r="E944" s="174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</row>
    <row r="945">
      <c r="A945" s="174"/>
      <c r="B945" s="174"/>
      <c r="C945" s="174"/>
      <c r="D945" s="174"/>
      <c r="E945" s="174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</row>
    <row r="946">
      <c r="A946" s="174"/>
      <c r="B946" s="174"/>
      <c r="C946" s="174"/>
      <c r="D946" s="174"/>
      <c r="E946" s="174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</row>
    <row r="947">
      <c r="A947" s="174"/>
      <c r="B947" s="174"/>
      <c r="C947" s="174"/>
      <c r="D947" s="174"/>
      <c r="E947" s="174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</row>
    <row r="948">
      <c r="A948" s="174"/>
      <c r="B948" s="174"/>
      <c r="C948" s="174"/>
      <c r="D948" s="174"/>
      <c r="E948" s="174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</row>
    <row r="949">
      <c r="A949" s="174"/>
      <c r="B949" s="174"/>
      <c r="C949" s="174"/>
      <c r="D949" s="174"/>
      <c r="E949" s="174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</row>
    <row r="950">
      <c r="A950" s="174"/>
      <c r="B950" s="174"/>
      <c r="C950" s="174"/>
      <c r="D950" s="174"/>
      <c r="E950" s="174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</row>
    <row r="951">
      <c r="A951" s="174"/>
      <c r="B951" s="174"/>
      <c r="C951" s="174"/>
      <c r="D951" s="174"/>
      <c r="E951" s="174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</row>
    <row r="952">
      <c r="A952" s="174"/>
      <c r="B952" s="174"/>
      <c r="C952" s="174"/>
      <c r="D952" s="174"/>
      <c r="E952" s="174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</row>
    <row r="953">
      <c r="A953" s="174"/>
      <c r="B953" s="174"/>
      <c r="C953" s="174"/>
      <c r="D953" s="174"/>
      <c r="E953" s="174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</row>
    <row r="954">
      <c r="A954" s="174"/>
      <c r="B954" s="174"/>
      <c r="C954" s="174"/>
      <c r="D954" s="174"/>
      <c r="E954" s="174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</row>
    <row r="955">
      <c r="A955" s="174"/>
      <c r="B955" s="174"/>
      <c r="C955" s="174"/>
      <c r="D955" s="174"/>
      <c r="E955" s="174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</row>
    <row r="956">
      <c r="A956" s="174"/>
      <c r="B956" s="174"/>
      <c r="C956" s="174"/>
      <c r="D956" s="174"/>
      <c r="E956" s="174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</row>
    <row r="957">
      <c r="A957" s="174"/>
      <c r="B957" s="174"/>
      <c r="C957" s="174"/>
      <c r="D957" s="174"/>
      <c r="E957" s="174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</row>
    <row r="958">
      <c r="A958" s="174"/>
      <c r="B958" s="174"/>
      <c r="C958" s="174"/>
      <c r="D958" s="174"/>
      <c r="E958" s="174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</row>
    <row r="959">
      <c r="A959" s="174"/>
      <c r="B959" s="174"/>
      <c r="C959" s="174"/>
      <c r="D959" s="174"/>
      <c r="E959" s="174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</row>
    <row r="960">
      <c r="A960" s="174"/>
      <c r="B960" s="174"/>
      <c r="C960" s="174"/>
      <c r="D960" s="174"/>
      <c r="E960" s="174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</row>
    <row r="961">
      <c r="A961" s="174"/>
      <c r="B961" s="174"/>
      <c r="C961" s="174"/>
      <c r="D961" s="174"/>
      <c r="E961" s="174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</row>
    <row r="962">
      <c r="A962" s="174"/>
      <c r="B962" s="174"/>
      <c r="C962" s="174"/>
      <c r="D962" s="174"/>
      <c r="E962" s="174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</row>
    <row r="963">
      <c r="A963" s="174"/>
      <c r="B963" s="174"/>
      <c r="C963" s="174"/>
      <c r="D963" s="174"/>
      <c r="E963" s="174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</row>
    <row r="964">
      <c r="A964" s="174"/>
      <c r="B964" s="174"/>
      <c r="C964" s="174"/>
      <c r="D964" s="174"/>
      <c r="E964" s="174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</row>
    <row r="965">
      <c r="A965" s="174"/>
      <c r="B965" s="174"/>
      <c r="C965" s="174"/>
      <c r="D965" s="174"/>
      <c r="E965" s="174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</row>
    <row r="966">
      <c r="A966" s="174"/>
      <c r="B966" s="174"/>
      <c r="C966" s="174"/>
      <c r="D966" s="174"/>
      <c r="E966" s="174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</row>
    <row r="967">
      <c r="A967" s="174"/>
      <c r="B967" s="174"/>
      <c r="C967" s="174"/>
      <c r="D967" s="174"/>
      <c r="E967" s="174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</row>
    <row r="968">
      <c r="A968" s="174"/>
      <c r="B968" s="174"/>
      <c r="C968" s="174"/>
      <c r="D968" s="174"/>
      <c r="E968" s="174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</row>
    <row r="969">
      <c r="A969" s="174"/>
      <c r="B969" s="174"/>
      <c r="C969" s="174"/>
      <c r="D969" s="174"/>
      <c r="E969" s="174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</row>
    <row r="970">
      <c r="A970" s="174"/>
      <c r="B970" s="174"/>
      <c r="C970" s="174"/>
      <c r="D970" s="174"/>
      <c r="E970" s="174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</row>
    <row r="971">
      <c r="A971" s="174"/>
      <c r="B971" s="174"/>
      <c r="C971" s="174"/>
      <c r="D971" s="174"/>
      <c r="E971" s="174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</row>
    <row r="972">
      <c r="A972" s="174"/>
      <c r="B972" s="174"/>
      <c r="C972" s="174"/>
      <c r="D972" s="174"/>
      <c r="E972" s="174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</row>
    <row r="973">
      <c r="A973" s="174"/>
      <c r="B973" s="174"/>
      <c r="C973" s="174"/>
      <c r="D973" s="174"/>
      <c r="E973" s="174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</row>
    <row r="974">
      <c r="A974" s="174"/>
      <c r="B974" s="174"/>
      <c r="C974" s="174"/>
      <c r="D974" s="174"/>
      <c r="E974" s="174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</row>
    <row r="975">
      <c r="A975" s="174"/>
      <c r="B975" s="174"/>
      <c r="C975" s="174"/>
      <c r="D975" s="174"/>
      <c r="E975" s="174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</row>
    <row r="976">
      <c r="A976" s="174"/>
      <c r="B976" s="174"/>
      <c r="C976" s="174"/>
      <c r="D976" s="174"/>
      <c r="E976" s="174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</row>
    <row r="977">
      <c r="A977" s="174"/>
      <c r="B977" s="174"/>
      <c r="C977" s="174"/>
      <c r="D977" s="174"/>
      <c r="E977" s="174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</row>
    <row r="978">
      <c r="A978" s="174"/>
      <c r="B978" s="174"/>
      <c r="C978" s="174"/>
      <c r="D978" s="174"/>
      <c r="E978" s="174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</row>
    <row r="979">
      <c r="A979" s="174"/>
      <c r="B979" s="174"/>
      <c r="C979" s="174"/>
      <c r="D979" s="174"/>
      <c r="E979" s="174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</row>
    <row r="980">
      <c r="A980" s="174"/>
      <c r="B980" s="174"/>
      <c r="C980" s="174"/>
      <c r="D980" s="174"/>
      <c r="E980" s="174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</row>
    <row r="981">
      <c r="A981" s="174"/>
      <c r="B981" s="174"/>
      <c r="C981" s="174"/>
      <c r="D981" s="174"/>
      <c r="E981" s="174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</row>
    <row r="982">
      <c r="A982" s="174"/>
      <c r="B982" s="174"/>
      <c r="C982" s="174"/>
      <c r="D982" s="174"/>
      <c r="E982" s="174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</row>
    <row r="983">
      <c r="A983" s="174"/>
      <c r="B983" s="174"/>
      <c r="C983" s="174"/>
      <c r="D983" s="174"/>
      <c r="E983" s="174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</row>
    <row r="984">
      <c r="A984" s="174"/>
      <c r="B984" s="174"/>
      <c r="C984" s="174"/>
      <c r="D984" s="174"/>
      <c r="E984" s="174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</row>
    <row r="985">
      <c r="A985" s="174"/>
      <c r="B985" s="174"/>
      <c r="C985" s="174"/>
      <c r="D985" s="174"/>
      <c r="E985" s="174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</row>
    <row r="986">
      <c r="A986" s="174"/>
      <c r="B986" s="174"/>
      <c r="C986" s="174"/>
      <c r="D986" s="174"/>
      <c r="E986" s="174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</row>
    <row r="987">
      <c r="A987" s="174"/>
      <c r="B987" s="174"/>
      <c r="C987" s="174"/>
      <c r="D987" s="174"/>
      <c r="E987" s="174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</row>
    <row r="988">
      <c r="A988" s="174"/>
      <c r="B988" s="174"/>
      <c r="C988" s="174"/>
      <c r="D988" s="174"/>
      <c r="E988" s="174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</row>
    <row r="989">
      <c r="A989" s="174"/>
      <c r="B989" s="174"/>
      <c r="C989" s="174"/>
      <c r="D989" s="174"/>
      <c r="E989" s="174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</row>
    <row r="990">
      <c r="A990" s="174"/>
      <c r="B990" s="174"/>
      <c r="C990" s="174"/>
      <c r="D990" s="174"/>
      <c r="E990" s="174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</row>
    <row r="991">
      <c r="A991" s="174"/>
      <c r="B991" s="174"/>
      <c r="C991" s="174"/>
      <c r="D991" s="174"/>
      <c r="E991" s="174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</row>
    <row r="992">
      <c r="A992" s="174"/>
      <c r="B992" s="174"/>
      <c r="C992" s="174"/>
      <c r="D992" s="174"/>
      <c r="E992" s="174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</row>
    <row r="993">
      <c r="A993" s="174"/>
      <c r="B993" s="174"/>
      <c r="C993" s="174"/>
      <c r="D993" s="174"/>
      <c r="E993" s="174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</row>
    <row r="994">
      <c r="A994" s="174"/>
      <c r="B994" s="174"/>
      <c r="C994" s="174"/>
      <c r="D994" s="174"/>
      <c r="E994" s="174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</row>
    <row r="995">
      <c r="A995" s="174"/>
      <c r="B995" s="174"/>
      <c r="C995" s="174"/>
      <c r="D995" s="174"/>
      <c r="E995" s="174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</row>
    <row r="996">
      <c r="A996" s="174"/>
      <c r="B996" s="174"/>
      <c r="C996" s="174"/>
      <c r="D996" s="174"/>
      <c r="E996" s="174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</row>
    <row r="997">
      <c r="A997" s="174"/>
      <c r="B997" s="174"/>
      <c r="C997" s="174"/>
      <c r="D997" s="174"/>
      <c r="E997" s="174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</row>
    <row r="998">
      <c r="A998" s="174"/>
      <c r="B998" s="174"/>
      <c r="C998" s="174"/>
      <c r="D998" s="174"/>
      <c r="E998" s="174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</row>
    <row r="999">
      <c r="A999" s="174"/>
      <c r="B999" s="174"/>
      <c r="C999" s="174"/>
      <c r="D999" s="174"/>
      <c r="E999" s="174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</row>
    <row r="1000">
      <c r="A1000" s="174"/>
      <c r="B1000" s="174"/>
      <c r="C1000" s="174"/>
      <c r="D1000" s="174"/>
      <c r="E1000" s="174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</row>
  </sheetData>
  <mergeCells count="4">
    <mergeCell ref="J3:R3"/>
    <mergeCell ref="J13:R13"/>
    <mergeCell ref="J39:R39"/>
    <mergeCell ref="J46:R46"/>
  </mergeCells>
  <dataValidations>
    <dataValidation type="list" allowBlank="1" showErrorMessage="1" sqref="S2:S47">
      <formula1>"ADITI,AMIRUN,GEETANJALI,DHAVAL,DEEPANSHU,DEVENDAR"</formula1>
    </dataValidation>
  </dataValidation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0"/>
  </cols>
  <sheetData>
    <row r="1">
      <c r="A1" s="189" t="s">
        <v>1742</v>
      </c>
      <c r="B1" s="176" t="s">
        <v>866</v>
      </c>
      <c r="C1" s="176" t="s">
        <v>931</v>
      </c>
      <c r="D1" s="176" t="s">
        <v>849</v>
      </c>
      <c r="E1" s="176" t="s">
        <v>868</v>
      </c>
      <c r="F1" s="176" t="s">
        <v>850</v>
      </c>
      <c r="G1" s="176" t="s">
        <v>851</v>
      </c>
      <c r="H1" s="176" t="s">
        <v>852</v>
      </c>
      <c r="I1" s="177" t="s">
        <v>853</v>
      </c>
      <c r="J1" s="437" t="s">
        <v>1121</v>
      </c>
    </row>
    <row r="2" hidden="1">
      <c r="A2" s="474">
        <v>204392.0</v>
      </c>
      <c r="B2" s="264" t="s">
        <v>1743</v>
      </c>
      <c r="C2" s="264" t="s">
        <v>102</v>
      </c>
      <c r="D2" s="265">
        <v>101.0</v>
      </c>
      <c r="E2" s="282">
        <v>0.6</v>
      </c>
      <c r="F2" s="265">
        <v>93.0</v>
      </c>
      <c r="G2" s="265">
        <v>10.0</v>
      </c>
      <c r="H2" s="266">
        <v>0.108</v>
      </c>
      <c r="I2" s="478" t="s">
        <v>746</v>
      </c>
      <c r="J2" s="489" t="s">
        <v>746</v>
      </c>
    </row>
    <row r="3" hidden="1">
      <c r="A3" s="469">
        <v>241119.0</v>
      </c>
      <c r="B3" s="268" t="s">
        <v>1744</v>
      </c>
      <c r="C3" s="268" t="s">
        <v>104</v>
      </c>
      <c r="D3" s="269">
        <v>69.0</v>
      </c>
      <c r="E3" s="284">
        <v>0.43</v>
      </c>
      <c r="F3" s="269">
        <v>59.0</v>
      </c>
      <c r="G3" s="269">
        <v>10.0</v>
      </c>
      <c r="H3" s="270">
        <v>0.169</v>
      </c>
      <c r="I3" s="473" t="s">
        <v>855</v>
      </c>
      <c r="J3" s="489" t="s">
        <v>746</v>
      </c>
    </row>
    <row r="4" hidden="1">
      <c r="A4" s="474">
        <v>147021.0</v>
      </c>
      <c r="B4" s="264" t="s">
        <v>1745</v>
      </c>
      <c r="C4" s="264" t="s">
        <v>109</v>
      </c>
      <c r="D4" s="265">
        <v>128.0</v>
      </c>
      <c r="E4" s="282">
        <v>0.55</v>
      </c>
      <c r="F4" s="265">
        <v>114.0</v>
      </c>
      <c r="G4" s="265">
        <v>9.0</v>
      </c>
      <c r="H4" s="266">
        <v>0.079</v>
      </c>
      <c r="I4" s="478" t="s">
        <v>855</v>
      </c>
      <c r="J4" s="489" t="s">
        <v>746</v>
      </c>
    </row>
    <row r="5">
      <c r="A5" s="474">
        <v>244798.0</v>
      </c>
      <c r="B5" s="264" t="s">
        <v>1101</v>
      </c>
      <c r="C5" s="264" t="s">
        <v>129</v>
      </c>
      <c r="D5" s="265">
        <v>6.0</v>
      </c>
      <c r="E5" s="282">
        <v>1.0</v>
      </c>
      <c r="F5" s="265">
        <v>5.0</v>
      </c>
      <c r="G5" s="265">
        <v>5.0</v>
      </c>
      <c r="H5" s="266">
        <v>1.0</v>
      </c>
      <c r="I5" s="501"/>
      <c r="J5" s="489" t="s">
        <v>746</v>
      </c>
    </row>
    <row r="6" hidden="1">
      <c r="A6" s="474">
        <v>227571.0</v>
      </c>
      <c r="B6" s="264" t="s">
        <v>1333</v>
      </c>
      <c r="C6" s="264" t="s">
        <v>82</v>
      </c>
      <c r="D6" s="265">
        <v>43.0</v>
      </c>
      <c r="E6" s="282">
        <v>1.0</v>
      </c>
      <c r="F6" s="265">
        <v>32.0</v>
      </c>
      <c r="G6" s="265">
        <v>8.0</v>
      </c>
      <c r="H6" s="266">
        <v>0.25</v>
      </c>
      <c r="I6" s="478" t="s">
        <v>855</v>
      </c>
      <c r="J6" s="489" t="s">
        <v>746</v>
      </c>
    </row>
    <row r="7" hidden="1">
      <c r="A7" s="469">
        <v>239021.0</v>
      </c>
      <c r="B7" s="268" t="s">
        <v>1746</v>
      </c>
      <c r="C7" s="268" t="s">
        <v>110</v>
      </c>
      <c r="D7" s="269">
        <v>263.0</v>
      </c>
      <c r="E7" s="284">
        <v>0.79</v>
      </c>
      <c r="F7" s="269">
        <v>245.0</v>
      </c>
      <c r="G7" s="269">
        <v>8.0</v>
      </c>
      <c r="H7" s="270">
        <v>0.033</v>
      </c>
      <c r="I7" s="473" t="s">
        <v>855</v>
      </c>
      <c r="J7" s="489" t="s">
        <v>746</v>
      </c>
    </row>
    <row r="8">
      <c r="A8" s="474">
        <v>234804.0</v>
      </c>
      <c r="B8" s="264" t="s">
        <v>1747</v>
      </c>
      <c r="C8" s="264" t="s">
        <v>130</v>
      </c>
      <c r="D8" s="265">
        <v>6.0</v>
      </c>
      <c r="E8" s="282">
        <v>0.08</v>
      </c>
      <c r="F8" s="265">
        <v>5.0</v>
      </c>
      <c r="G8" s="265">
        <v>4.0</v>
      </c>
      <c r="H8" s="266">
        <v>0.8</v>
      </c>
      <c r="I8" s="478" t="s">
        <v>855</v>
      </c>
      <c r="J8" s="489" t="s">
        <v>746</v>
      </c>
    </row>
    <row r="9" hidden="1">
      <c r="A9" s="469">
        <v>134951.0</v>
      </c>
      <c r="B9" s="268" t="s">
        <v>1748</v>
      </c>
      <c r="C9" s="268" t="s">
        <v>101</v>
      </c>
      <c r="D9" s="269">
        <v>22.0</v>
      </c>
      <c r="E9" s="284">
        <v>0.85</v>
      </c>
      <c r="F9" s="269">
        <v>20.0</v>
      </c>
      <c r="G9" s="269">
        <v>7.0</v>
      </c>
      <c r="H9" s="270">
        <v>0.35</v>
      </c>
      <c r="I9" s="473" t="s">
        <v>855</v>
      </c>
      <c r="J9" s="489" t="s">
        <v>746</v>
      </c>
    </row>
    <row r="10" hidden="1">
      <c r="A10" s="474">
        <v>237932.0</v>
      </c>
      <c r="B10" s="264" t="s">
        <v>1336</v>
      </c>
      <c r="C10" s="264" t="s">
        <v>116</v>
      </c>
      <c r="D10" s="265">
        <v>27.0</v>
      </c>
      <c r="E10" s="282">
        <v>0.29</v>
      </c>
      <c r="F10" s="265">
        <v>17.0</v>
      </c>
      <c r="G10" s="265">
        <v>7.0</v>
      </c>
      <c r="H10" s="266">
        <v>0.412</v>
      </c>
      <c r="I10" s="478" t="s">
        <v>855</v>
      </c>
      <c r="J10" s="489" t="s">
        <v>1749</v>
      </c>
    </row>
    <row r="11" hidden="1">
      <c r="A11" s="474">
        <v>219952.0</v>
      </c>
      <c r="B11" s="264" t="s">
        <v>1750</v>
      </c>
      <c r="C11" s="264" t="s">
        <v>118</v>
      </c>
      <c r="D11" s="265">
        <v>27.0</v>
      </c>
      <c r="E11" s="282">
        <v>0.19</v>
      </c>
      <c r="F11" s="265">
        <v>22.0</v>
      </c>
      <c r="G11" s="265">
        <v>5.0</v>
      </c>
      <c r="H11" s="266">
        <v>0.227</v>
      </c>
      <c r="I11" s="478" t="s">
        <v>855</v>
      </c>
      <c r="J11" s="489" t="s">
        <v>746</v>
      </c>
      <c r="K11" s="182" t="str">
        <f>VLOOKUP(C:C,'Tracing New Correction'!C80:C113,1,0)</f>
        <v>219952.SLK260408B</v>
      </c>
    </row>
    <row r="12" hidden="1">
      <c r="A12" s="474">
        <v>241075.0</v>
      </c>
      <c r="B12" s="264" t="s">
        <v>1744</v>
      </c>
      <c r="C12" s="264" t="s">
        <v>108</v>
      </c>
      <c r="D12" s="265">
        <v>42.0</v>
      </c>
      <c r="E12" s="282">
        <v>0.89</v>
      </c>
      <c r="F12" s="265">
        <v>36.0</v>
      </c>
      <c r="G12" s="265">
        <v>8.0</v>
      </c>
      <c r="H12" s="266">
        <v>0.222</v>
      </c>
      <c r="I12" s="478" t="s">
        <v>855</v>
      </c>
      <c r="J12" s="489" t="s">
        <v>746</v>
      </c>
      <c r="K12" s="182" t="str">
        <f>VLOOKUP(C:C,'Tracing New Correction'!C81:C114,1,0)</f>
        <v>241075.IRJ127B2C0001561</v>
      </c>
    </row>
    <row r="13">
      <c r="A13" s="469">
        <v>245621.0</v>
      </c>
      <c r="B13" s="268" t="s">
        <v>1751</v>
      </c>
      <c r="C13" s="268" t="s">
        <v>131</v>
      </c>
      <c r="D13" s="269">
        <v>26.0</v>
      </c>
      <c r="E13" s="284">
        <v>0.58</v>
      </c>
      <c r="F13" s="269">
        <v>26.0</v>
      </c>
      <c r="G13" s="269">
        <v>4.0</v>
      </c>
      <c r="H13" s="270">
        <v>0.154</v>
      </c>
      <c r="I13" s="502"/>
      <c r="J13" s="489" t="s">
        <v>746</v>
      </c>
    </row>
    <row r="14" hidden="1">
      <c r="A14" s="469">
        <v>241854.0</v>
      </c>
      <c r="B14" s="268" t="s">
        <v>1752</v>
      </c>
      <c r="C14" s="268" t="s">
        <v>98</v>
      </c>
      <c r="D14" s="269">
        <v>85.0</v>
      </c>
      <c r="E14" s="284">
        <v>0.56</v>
      </c>
      <c r="F14" s="269">
        <v>71.0</v>
      </c>
      <c r="G14" s="269">
        <v>7.0</v>
      </c>
      <c r="H14" s="270">
        <v>0.099</v>
      </c>
      <c r="I14" s="473" t="s">
        <v>855</v>
      </c>
      <c r="J14" s="489" t="s">
        <v>746</v>
      </c>
    </row>
    <row r="15" hidden="1">
      <c r="A15" s="469">
        <v>207551.0</v>
      </c>
      <c r="B15" s="268" t="s">
        <v>1753</v>
      </c>
      <c r="C15" s="268" t="s">
        <v>115</v>
      </c>
      <c r="D15" s="269">
        <v>46.0</v>
      </c>
      <c r="E15" s="284">
        <v>0.51</v>
      </c>
      <c r="F15" s="269">
        <v>41.0</v>
      </c>
      <c r="G15" s="269">
        <v>6.0</v>
      </c>
      <c r="H15" s="270">
        <v>0.146</v>
      </c>
      <c r="I15" s="473" t="s">
        <v>855</v>
      </c>
      <c r="J15" s="489" t="s">
        <v>746</v>
      </c>
    </row>
    <row r="16" hidden="1">
      <c r="A16" s="469">
        <v>217644.0</v>
      </c>
      <c r="B16" s="268" t="s">
        <v>1754</v>
      </c>
      <c r="C16" s="268" t="s">
        <v>114</v>
      </c>
      <c r="D16" s="269">
        <v>147.0</v>
      </c>
      <c r="E16" s="284">
        <v>0.38</v>
      </c>
      <c r="F16" s="269">
        <v>123.0</v>
      </c>
      <c r="G16" s="269">
        <v>6.0</v>
      </c>
      <c r="H16" s="270">
        <v>0.049</v>
      </c>
      <c r="I16" s="473" t="s">
        <v>855</v>
      </c>
      <c r="J16" s="489" t="s">
        <v>746</v>
      </c>
    </row>
    <row r="17" hidden="1">
      <c r="A17" s="469">
        <v>148908.0</v>
      </c>
      <c r="B17" s="268" t="s">
        <v>1755</v>
      </c>
      <c r="C17" s="268" t="s">
        <v>113</v>
      </c>
      <c r="D17" s="269">
        <v>71.0</v>
      </c>
      <c r="E17" s="284">
        <v>1.0</v>
      </c>
      <c r="F17" s="269">
        <v>62.0</v>
      </c>
      <c r="G17" s="269">
        <v>5.0</v>
      </c>
      <c r="H17" s="270">
        <v>0.081</v>
      </c>
      <c r="I17" s="473" t="s">
        <v>855</v>
      </c>
      <c r="J17" s="489" t="s">
        <v>746</v>
      </c>
    </row>
    <row r="18" hidden="1">
      <c r="A18" s="474">
        <v>208951.0</v>
      </c>
      <c r="B18" s="264" t="s">
        <v>1756</v>
      </c>
      <c r="C18" s="264" t="s">
        <v>1757</v>
      </c>
      <c r="D18" s="265">
        <v>204.0</v>
      </c>
      <c r="E18" s="282">
        <v>0.24</v>
      </c>
      <c r="F18" s="265">
        <v>194.0</v>
      </c>
      <c r="G18" s="265">
        <v>5.0</v>
      </c>
      <c r="H18" s="266">
        <v>0.026</v>
      </c>
      <c r="I18" s="478" t="s">
        <v>855</v>
      </c>
      <c r="J18" s="489" t="s">
        <v>1529</v>
      </c>
    </row>
    <row r="19">
      <c r="A19" s="469">
        <v>246226.0</v>
      </c>
      <c r="B19" s="268" t="s">
        <v>1758</v>
      </c>
      <c r="C19" s="318" t="str">
        <f>A19&amp;"."&amp;B19</f>
        <v>246226.LSK26071201-A4</v>
      </c>
      <c r="D19" s="269">
        <v>35.0</v>
      </c>
      <c r="E19" s="284">
        <v>0.7</v>
      </c>
      <c r="F19" s="269">
        <v>29.0</v>
      </c>
      <c r="G19" s="269">
        <v>4.0</v>
      </c>
      <c r="H19" s="270">
        <v>0.138</v>
      </c>
      <c r="I19" s="502"/>
      <c r="J19" s="489" t="s">
        <v>1642</v>
      </c>
    </row>
    <row r="20">
      <c r="A20" s="474">
        <v>218967.0</v>
      </c>
      <c r="B20" s="264" t="s">
        <v>1759</v>
      </c>
      <c r="C20" s="264" t="s">
        <v>132</v>
      </c>
      <c r="D20" s="265">
        <v>40.0</v>
      </c>
      <c r="E20" s="282">
        <v>0.62</v>
      </c>
      <c r="F20" s="265">
        <v>36.0</v>
      </c>
      <c r="G20" s="265">
        <v>4.0</v>
      </c>
      <c r="H20" s="266">
        <v>0.111</v>
      </c>
      <c r="I20" s="478" t="s">
        <v>855</v>
      </c>
      <c r="J20" s="489" t="s">
        <v>746</v>
      </c>
    </row>
    <row r="21">
      <c r="A21" s="469">
        <v>236356.0</v>
      </c>
      <c r="B21" s="268" t="s">
        <v>1760</v>
      </c>
      <c r="C21" s="268" t="s">
        <v>1761</v>
      </c>
      <c r="D21" s="269">
        <v>40.0</v>
      </c>
      <c r="E21" s="284">
        <v>0.63</v>
      </c>
      <c r="F21" s="269">
        <v>37.0</v>
      </c>
      <c r="G21" s="269">
        <v>4.0</v>
      </c>
      <c r="H21" s="270">
        <v>0.108</v>
      </c>
      <c r="I21" s="473" t="s">
        <v>943</v>
      </c>
      <c r="J21" s="489" t="e">
        <v>#N/A</v>
      </c>
    </row>
    <row r="22">
      <c r="A22" s="469">
        <v>137971.0</v>
      </c>
      <c r="B22" s="268" t="s">
        <v>1076</v>
      </c>
      <c r="C22" s="268" t="s">
        <v>159</v>
      </c>
      <c r="D22" s="269">
        <v>36.0</v>
      </c>
      <c r="E22" s="284">
        <v>0.17</v>
      </c>
      <c r="F22" s="269">
        <v>38.0</v>
      </c>
      <c r="G22" s="269">
        <v>4.0</v>
      </c>
      <c r="H22" s="270">
        <v>0.105</v>
      </c>
      <c r="I22" s="473" t="s">
        <v>855</v>
      </c>
      <c r="J22" s="489" t="e">
        <v>#N/A</v>
      </c>
    </row>
    <row r="23">
      <c r="A23" s="469">
        <v>147021.0</v>
      </c>
      <c r="B23" s="268" t="s">
        <v>1762</v>
      </c>
      <c r="C23" s="268" t="s">
        <v>1763</v>
      </c>
      <c r="D23" s="269">
        <v>83.0</v>
      </c>
      <c r="E23" s="284">
        <v>0.36</v>
      </c>
      <c r="F23" s="269">
        <v>71.0</v>
      </c>
      <c r="G23" s="269">
        <v>7.0</v>
      </c>
      <c r="H23" s="270">
        <v>0.099</v>
      </c>
      <c r="I23" s="473" t="s">
        <v>855</v>
      </c>
      <c r="J23" s="489" t="e">
        <v>#N/A</v>
      </c>
    </row>
    <row r="24">
      <c r="A24" s="469">
        <v>241094.0</v>
      </c>
      <c r="B24" s="268" t="s">
        <v>1764</v>
      </c>
      <c r="C24" s="268" t="s">
        <v>1765</v>
      </c>
      <c r="D24" s="269">
        <v>74.0</v>
      </c>
      <c r="E24" s="284">
        <v>0.97</v>
      </c>
      <c r="F24" s="269">
        <v>70.0</v>
      </c>
      <c r="G24" s="269">
        <v>5.0</v>
      </c>
      <c r="H24" s="270">
        <v>0.071</v>
      </c>
      <c r="I24" s="473" t="s">
        <v>855</v>
      </c>
      <c r="J24" s="489" t="e">
        <v>#N/A</v>
      </c>
    </row>
    <row r="25" hidden="1">
      <c r="A25" s="469">
        <v>210178.0</v>
      </c>
      <c r="B25" s="268" t="s">
        <v>1766</v>
      </c>
      <c r="C25" s="268" t="s">
        <v>106</v>
      </c>
      <c r="D25" s="269">
        <v>24.0</v>
      </c>
      <c r="E25" s="284">
        <v>0.26</v>
      </c>
      <c r="F25" s="269">
        <v>24.0</v>
      </c>
      <c r="G25" s="269">
        <v>4.0</v>
      </c>
      <c r="H25" s="270">
        <v>0.167</v>
      </c>
      <c r="I25" s="473" t="s">
        <v>855</v>
      </c>
      <c r="J25" s="489" t="s">
        <v>746</v>
      </c>
    </row>
    <row r="26" hidden="1">
      <c r="A26" s="474">
        <v>210433.0</v>
      </c>
      <c r="B26" s="264" t="s">
        <v>1767</v>
      </c>
      <c r="C26" s="264" t="s">
        <v>100</v>
      </c>
      <c r="D26" s="265">
        <v>98.0</v>
      </c>
      <c r="E26" s="282">
        <v>0.25</v>
      </c>
      <c r="F26" s="265">
        <v>66.0</v>
      </c>
      <c r="G26" s="265">
        <v>4.0</v>
      </c>
      <c r="H26" s="266">
        <v>0.061</v>
      </c>
      <c r="I26" s="478" t="s">
        <v>855</v>
      </c>
      <c r="J26" s="489" t="s">
        <v>746</v>
      </c>
    </row>
    <row r="27">
      <c r="A27" s="469">
        <v>217873.0</v>
      </c>
      <c r="B27" s="268" t="s">
        <v>1768</v>
      </c>
      <c r="C27" s="268" t="s">
        <v>135</v>
      </c>
      <c r="D27" s="269">
        <v>65.0</v>
      </c>
      <c r="E27" s="284">
        <v>0.96</v>
      </c>
      <c r="F27" s="269">
        <v>56.0</v>
      </c>
      <c r="G27" s="269">
        <v>4.0</v>
      </c>
      <c r="H27" s="270">
        <v>0.071</v>
      </c>
      <c r="I27" s="473" t="s">
        <v>855</v>
      </c>
      <c r="J27" s="489" t="e">
        <v>#N/A</v>
      </c>
    </row>
    <row r="28" hidden="1">
      <c r="A28" s="474">
        <v>245902.0</v>
      </c>
      <c r="B28" s="264" t="s">
        <v>1643</v>
      </c>
      <c r="C28" s="264" t="s">
        <v>1741</v>
      </c>
      <c r="D28" s="265">
        <v>67.0</v>
      </c>
      <c r="E28" s="282">
        <v>1.0</v>
      </c>
      <c r="F28" s="265">
        <v>60.0</v>
      </c>
      <c r="G28" s="265">
        <v>4.0</v>
      </c>
      <c r="H28" s="266">
        <v>0.067</v>
      </c>
      <c r="I28" s="501"/>
      <c r="J28" s="489" t="s">
        <v>746</v>
      </c>
    </row>
    <row r="29">
      <c r="A29" s="474">
        <v>137971.0</v>
      </c>
      <c r="B29" s="264" t="s">
        <v>1769</v>
      </c>
      <c r="C29" s="264" t="s">
        <v>111</v>
      </c>
      <c r="D29" s="265">
        <v>108.0</v>
      </c>
      <c r="E29" s="282">
        <v>0.5</v>
      </c>
      <c r="F29" s="265">
        <v>110.0</v>
      </c>
      <c r="G29" s="265">
        <v>7.0</v>
      </c>
      <c r="H29" s="266">
        <v>0.064</v>
      </c>
      <c r="I29" s="478" t="s">
        <v>855</v>
      </c>
      <c r="J29" s="489" t="e">
        <v>#N/A</v>
      </c>
    </row>
    <row r="30">
      <c r="A30" s="474">
        <v>241113.0</v>
      </c>
      <c r="B30" s="264" t="s">
        <v>1770</v>
      </c>
      <c r="C30" s="264" t="s">
        <v>137</v>
      </c>
      <c r="D30" s="265">
        <v>93.0</v>
      </c>
      <c r="E30" s="282">
        <v>0.83</v>
      </c>
      <c r="F30" s="265">
        <v>81.0</v>
      </c>
      <c r="G30" s="265">
        <v>5.0</v>
      </c>
      <c r="H30" s="266">
        <v>0.062</v>
      </c>
      <c r="I30" s="478" t="s">
        <v>855</v>
      </c>
      <c r="J30" s="489" t="e">
        <v>#N/A</v>
      </c>
    </row>
    <row r="31">
      <c r="A31" s="469">
        <v>243169.0</v>
      </c>
      <c r="B31" s="268" t="s">
        <v>1771</v>
      </c>
      <c r="C31" s="268" t="s">
        <v>134</v>
      </c>
      <c r="D31" s="269">
        <v>76.0</v>
      </c>
      <c r="E31" s="284">
        <v>1.0</v>
      </c>
      <c r="F31" s="269">
        <v>66.0</v>
      </c>
      <c r="G31" s="269">
        <v>4.0</v>
      </c>
      <c r="H31" s="270">
        <v>0.061</v>
      </c>
      <c r="I31" s="473" t="s">
        <v>855</v>
      </c>
      <c r="J31" s="489" t="e">
        <v>#N/A</v>
      </c>
    </row>
    <row r="32">
      <c r="A32" s="469">
        <v>221176.0</v>
      </c>
      <c r="B32" s="268" t="s">
        <v>1772</v>
      </c>
      <c r="C32" s="268" t="s">
        <v>133</v>
      </c>
      <c r="D32" s="269">
        <v>168.0</v>
      </c>
      <c r="E32" s="284">
        <v>0.71</v>
      </c>
      <c r="F32" s="269">
        <v>157.0</v>
      </c>
      <c r="G32" s="269">
        <v>9.0</v>
      </c>
      <c r="H32" s="270">
        <v>0.057</v>
      </c>
      <c r="I32" s="473" t="s">
        <v>855</v>
      </c>
      <c r="J32" s="489" t="e">
        <v>#N/A</v>
      </c>
    </row>
    <row r="33">
      <c r="A33" s="474">
        <v>219826.0</v>
      </c>
      <c r="B33" s="264" t="s">
        <v>1773</v>
      </c>
      <c r="C33" s="264" t="s">
        <v>105</v>
      </c>
      <c r="D33" s="265">
        <v>162.0</v>
      </c>
      <c r="E33" s="282">
        <v>0.36</v>
      </c>
      <c r="F33" s="265">
        <v>150.0</v>
      </c>
      <c r="G33" s="265">
        <v>7.0</v>
      </c>
      <c r="H33" s="266">
        <v>0.047</v>
      </c>
      <c r="I33" s="478" t="s">
        <v>855</v>
      </c>
      <c r="J33" s="489" t="e">
        <v>#N/A</v>
      </c>
    </row>
    <row r="34">
      <c r="A34" s="474">
        <v>239026.0</v>
      </c>
      <c r="B34" s="264" t="s">
        <v>1579</v>
      </c>
      <c r="C34" s="264" t="s">
        <v>1580</v>
      </c>
      <c r="D34" s="265">
        <v>93.0</v>
      </c>
      <c r="E34" s="282">
        <v>0.74</v>
      </c>
      <c r="F34" s="265">
        <v>89.0</v>
      </c>
      <c r="G34" s="265">
        <v>4.0</v>
      </c>
      <c r="H34" s="266">
        <v>0.045</v>
      </c>
      <c r="I34" s="478" t="s">
        <v>855</v>
      </c>
      <c r="J34" s="489" t="e">
        <v>#N/A</v>
      </c>
    </row>
    <row r="35" hidden="1">
      <c r="A35" s="474">
        <v>243271.0</v>
      </c>
      <c r="B35" s="264" t="s">
        <v>1594</v>
      </c>
      <c r="C35" s="264" t="s">
        <v>1131</v>
      </c>
      <c r="D35" s="265">
        <v>96.0</v>
      </c>
      <c r="E35" s="282">
        <v>1.0</v>
      </c>
      <c r="F35" s="265">
        <v>88.0</v>
      </c>
      <c r="G35" s="265">
        <v>4.0</v>
      </c>
      <c r="H35" s="266">
        <v>0.045</v>
      </c>
      <c r="I35" s="478" t="s">
        <v>855</v>
      </c>
      <c r="J35" s="489" t="s">
        <v>746</v>
      </c>
    </row>
    <row r="36">
      <c r="A36" s="469">
        <v>221172.0</v>
      </c>
      <c r="B36" s="268" t="s">
        <v>1774</v>
      </c>
      <c r="C36" s="268" t="s">
        <v>1775</v>
      </c>
      <c r="D36" s="269">
        <v>133.0</v>
      </c>
      <c r="E36" s="284">
        <v>0.89</v>
      </c>
      <c r="F36" s="269">
        <v>118.0</v>
      </c>
      <c r="G36" s="269">
        <v>4.0</v>
      </c>
      <c r="H36" s="270">
        <v>0.034</v>
      </c>
      <c r="I36" s="473" t="s">
        <v>855</v>
      </c>
      <c r="J36" s="489" t="e">
        <v>#N/A</v>
      </c>
    </row>
    <row r="37" hidden="1">
      <c r="A37" s="469">
        <v>219830.0</v>
      </c>
      <c r="B37" s="268" t="s">
        <v>1776</v>
      </c>
      <c r="C37" s="268" t="s">
        <v>117</v>
      </c>
      <c r="D37" s="269">
        <v>259.0</v>
      </c>
      <c r="E37" s="284">
        <v>0.63</v>
      </c>
      <c r="F37" s="269">
        <v>239.0</v>
      </c>
      <c r="G37" s="269">
        <v>5.0</v>
      </c>
      <c r="H37" s="270">
        <v>0.021</v>
      </c>
      <c r="I37" s="473" t="s">
        <v>855</v>
      </c>
      <c r="J37" s="489" t="s">
        <v>746</v>
      </c>
      <c r="K37" s="182" t="str">
        <f>VLOOKUP(C:C,'Tracing New Correction'!C106:C125,1,0)</f>
        <v>219830.LSK26070101-A5</v>
      </c>
    </row>
    <row r="38">
      <c r="M38" s="318"/>
    </row>
  </sheetData>
  <autoFilter ref="$A$1:$J$37">
    <filterColumn colId="9">
      <filters>
        <filter val="Done"/>
        <filter val="#N/A"/>
        <filter val="SHAPE NOT FOUND"/>
      </filters>
    </filterColumn>
    <sortState ref="A1:J37">
      <sortCondition descending="1" ref="H1:H37"/>
    </sortState>
  </autoFil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11" max="11" width="22.5"/>
    <col customWidth="1" min="12" max="12" width="22.63"/>
  </cols>
  <sheetData>
    <row r="1">
      <c r="A1" s="307" t="s">
        <v>931</v>
      </c>
      <c r="B1" s="307" t="s">
        <v>849</v>
      </c>
      <c r="C1" s="307" t="s">
        <v>868</v>
      </c>
      <c r="D1" s="307" t="s">
        <v>869</v>
      </c>
      <c r="E1" s="307" t="s">
        <v>870</v>
      </c>
      <c r="F1" s="307" t="s">
        <v>850</v>
      </c>
      <c r="G1" s="307" t="s">
        <v>851</v>
      </c>
      <c r="H1" s="307" t="s">
        <v>852</v>
      </c>
      <c r="I1" s="307" t="s">
        <v>853</v>
      </c>
      <c r="J1" s="307" t="s">
        <v>1777</v>
      </c>
      <c r="K1" s="310" t="s">
        <v>1777</v>
      </c>
      <c r="L1" s="310" t="s">
        <v>1777</v>
      </c>
    </row>
    <row r="2">
      <c r="A2" s="307" t="s">
        <v>1778</v>
      </c>
      <c r="B2" s="446">
        <v>79.0</v>
      </c>
      <c r="C2" s="503">
        <v>0.22</v>
      </c>
      <c r="D2" s="446">
        <v>1.0</v>
      </c>
      <c r="E2" s="318"/>
      <c r="F2" s="446">
        <v>76.0</v>
      </c>
      <c r="G2" s="446">
        <v>18.0</v>
      </c>
      <c r="H2" s="503">
        <v>0.24</v>
      </c>
      <c r="I2" s="307" t="s">
        <v>855</v>
      </c>
      <c r="J2" s="489" t="e">
        <v>#N/A</v>
      </c>
      <c r="K2" s="182" t="str">
        <f>VLOOKUP(A:A,'1-7 AUG'!C:C,1,0)</f>
        <v>#N/A</v>
      </c>
      <c r="L2" s="182" t="str">
        <f>VLOOKUP(A:A,'Tracing New Correction'!C74:C125,1,0)</f>
        <v>#N/A</v>
      </c>
    </row>
    <row r="3">
      <c r="A3" s="307" t="s">
        <v>133</v>
      </c>
      <c r="B3" s="446">
        <v>283.0</v>
      </c>
      <c r="C3" s="503">
        <v>0.38</v>
      </c>
      <c r="D3" s="446">
        <v>1.0</v>
      </c>
      <c r="E3" s="318"/>
      <c r="F3" s="446">
        <v>284.0</v>
      </c>
      <c r="G3" s="446">
        <v>16.0</v>
      </c>
      <c r="H3" s="503">
        <v>0.06</v>
      </c>
      <c r="I3" s="307" t="s">
        <v>855</v>
      </c>
      <c r="J3" s="489" t="e">
        <v>#N/A</v>
      </c>
      <c r="K3" s="182" t="str">
        <f>VLOOKUP(A:A,'1-7 AUG'!C:C,1,0)</f>
        <v>221176.FKS26237</v>
      </c>
      <c r="L3" s="182" t="str">
        <f>VLOOKUP(A:A,'Tracing New Correction'!C75:C125,1,0)</f>
        <v>221176.FKS26237</v>
      </c>
    </row>
    <row r="4">
      <c r="A4" s="307" t="s">
        <v>134</v>
      </c>
      <c r="B4" s="446">
        <v>197.0</v>
      </c>
      <c r="C4" s="503">
        <v>1.0</v>
      </c>
      <c r="D4" s="446">
        <v>1.0</v>
      </c>
      <c r="E4" s="318"/>
      <c r="F4" s="446">
        <v>184.0</v>
      </c>
      <c r="G4" s="446">
        <v>12.0</v>
      </c>
      <c r="H4" s="503">
        <v>0.07</v>
      </c>
      <c r="I4" s="307" t="s">
        <v>855</v>
      </c>
      <c r="J4" s="489" t="e">
        <v>#N/A</v>
      </c>
      <c r="K4" s="182" t="str">
        <f>VLOOKUP(A:A,'1-7 AUG'!C:C,1,0)</f>
        <v>243169.IN26032B</v>
      </c>
      <c r="L4" s="182" t="str">
        <f>VLOOKUP(A:A,'Tracing New Correction'!C76:C125,1,0)</f>
        <v>243169.IN26032B</v>
      </c>
    </row>
    <row r="5">
      <c r="A5" s="307" t="s">
        <v>135</v>
      </c>
      <c r="B5" s="446">
        <v>179.0</v>
      </c>
      <c r="C5" s="503">
        <v>0.7</v>
      </c>
      <c r="D5" s="446">
        <v>1.0</v>
      </c>
      <c r="E5" s="318"/>
      <c r="F5" s="446">
        <v>173.0</v>
      </c>
      <c r="G5" s="446">
        <v>11.0</v>
      </c>
      <c r="H5" s="503">
        <v>0.06</v>
      </c>
      <c r="I5" s="307" t="s">
        <v>855</v>
      </c>
      <c r="J5" s="489" t="e">
        <v>#N/A</v>
      </c>
      <c r="K5" s="182" t="str">
        <f>VLOOKUP(A:A,'1-7 AUG'!C:C,1,0)</f>
        <v>217873.263058-G</v>
      </c>
      <c r="L5" s="182" t="str">
        <f>VLOOKUP(A:A,'Tracing New Correction'!C77:C125,1,0)</f>
        <v>217873.263058-G</v>
      </c>
    </row>
    <row r="6">
      <c r="A6" s="307" t="s">
        <v>136</v>
      </c>
      <c r="B6" s="446">
        <v>181.0</v>
      </c>
      <c r="C6" s="503">
        <v>1.0</v>
      </c>
      <c r="D6" s="446">
        <v>1.0</v>
      </c>
      <c r="E6" s="318"/>
      <c r="F6" s="446">
        <v>175.0</v>
      </c>
      <c r="G6" s="446">
        <v>10.0</v>
      </c>
      <c r="H6" s="503">
        <v>0.06</v>
      </c>
      <c r="I6" s="307" t="s">
        <v>855</v>
      </c>
      <c r="J6" s="489" t="e">
        <v>#N/A</v>
      </c>
      <c r="K6" s="182" t="str">
        <f>VLOOKUP(A:A,'1-7 AUG'!C:C,1,0)</f>
        <v>#N/A</v>
      </c>
      <c r="L6" s="182" t="str">
        <f>VLOOKUP(A:A,'Tracing New Correction'!C78:C125,1,0)</f>
        <v>222900.IN026042503</v>
      </c>
    </row>
    <row r="7">
      <c r="A7" s="307" t="s">
        <v>137</v>
      </c>
      <c r="B7" s="446">
        <v>182.0</v>
      </c>
      <c r="C7" s="503">
        <v>0.53</v>
      </c>
      <c r="D7" s="446">
        <v>1.0</v>
      </c>
      <c r="E7" s="318"/>
      <c r="F7" s="446">
        <v>179.0</v>
      </c>
      <c r="G7" s="446">
        <v>10.0</v>
      </c>
      <c r="H7" s="503">
        <v>0.06</v>
      </c>
      <c r="I7" s="307" t="s">
        <v>855</v>
      </c>
      <c r="J7" s="489" t="e">
        <v>#N/A</v>
      </c>
      <c r="K7" s="182" t="str">
        <f>VLOOKUP(A:A,'1-7 AUG'!C:C,1,0)</f>
        <v>241113.IRJ127B2C0001336</v>
      </c>
      <c r="L7" s="182" t="str">
        <f>VLOOKUP(A:A,'Tracing New Correction'!C79:C125,1,0)</f>
        <v>241113.IRJ127B2C0001336</v>
      </c>
    </row>
    <row r="8">
      <c r="A8" s="307" t="s">
        <v>165</v>
      </c>
      <c r="B8" s="446">
        <v>60.0</v>
      </c>
      <c r="C8" s="503">
        <v>0.98</v>
      </c>
      <c r="D8" s="446">
        <v>1.0</v>
      </c>
      <c r="E8" s="318"/>
      <c r="F8" s="446">
        <v>54.0</v>
      </c>
      <c r="G8" s="446">
        <v>9.0</v>
      </c>
      <c r="H8" s="503">
        <v>0.17</v>
      </c>
      <c r="I8" s="307" t="s">
        <v>855</v>
      </c>
      <c r="J8" s="489" t="e">
        <v>#N/A</v>
      </c>
      <c r="K8" s="182" t="str">
        <f>VLOOKUP(A:A,'1-7 AUG'!C:C,1,0)</f>
        <v>#N/A</v>
      </c>
      <c r="L8" s="182" t="str">
        <f>VLOOKUP(A:A,'Tracing New Correction'!C80:C125,1,0)</f>
        <v>#N/A</v>
      </c>
    </row>
    <row r="9">
      <c r="A9" s="307" t="s">
        <v>1779</v>
      </c>
      <c r="B9" s="446">
        <v>148.0</v>
      </c>
      <c r="C9" s="503">
        <v>0.47</v>
      </c>
      <c r="D9" s="446">
        <v>1.0</v>
      </c>
      <c r="E9" s="318"/>
      <c r="F9" s="446">
        <v>148.0</v>
      </c>
      <c r="G9" s="446">
        <v>9.0</v>
      </c>
      <c r="H9" s="503">
        <v>0.06</v>
      </c>
      <c r="I9" s="307" t="s">
        <v>855</v>
      </c>
      <c r="J9" s="489" t="e">
        <v>#N/A</v>
      </c>
      <c r="K9" s="182" t="str">
        <f>VLOOKUP(A:A,'1-7 AUG'!C:C,1,0)</f>
        <v>#N/A</v>
      </c>
      <c r="L9" s="182" t="str">
        <f>VLOOKUP(A:A,'Tracing New Correction'!C81:C125,1,0)</f>
        <v>#N/A</v>
      </c>
    </row>
    <row r="10">
      <c r="A10" s="307" t="s">
        <v>192</v>
      </c>
      <c r="B10" s="446">
        <v>184.0</v>
      </c>
      <c r="C10" s="503">
        <v>0.21</v>
      </c>
      <c r="D10" s="446">
        <v>1.0</v>
      </c>
      <c r="E10" s="318"/>
      <c r="F10" s="446">
        <v>180.0</v>
      </c>
      <c r="G10" s="446">
        <v>9.0</v>
      </c>
      <c r="H10" s="503">
        <v>0.05</v>
      </c>
      <c r="I10" s="307" t="s">
        <v>855</v>
      </c>
      <c r="J10" s="489" t="e">
        <v>#N/A</v>
      </c>
      <c r="K10" s="182" t="str">
        <f>VLOOKUP(A:A,'1-7 AUG'!C:C,1,0)</f>
        <v>#N/A</v>
      </c>
      <c r="L10" s="182" t="str">
        <f>VLOOKUP(A:A,'Tracing New Correction'!C82:C125,1,0)</f>
        <v>#N/A</v>
      </c>
    </row>
    <row r="11">
      <c r="A11" s="307" t="s">
        <v>1780</v>
      </c>
      <c r="B11" s="446">
        <v>97.0</v>
      </c>
      <c r="C11" s="503">
        <v>0.12</v>
      </c>
      <c r="D11" s="446">
        <v>1.0</v>
      </c>
      <c r="E11" s="318"/>
      <c r="F11" s="446">
        <v>95.0</v>
      </c>
      <c r="G11" s="446">
        <v>9.0</v>
      </c>
      <c r="H11" s="503">
        <v>0.09</v>
      </c>
      <c r="I11" s="307" t="s">
        <v>855</v>
      </c>
      <c r="J11" s="489" t="e">
        <v>#N/A</v>
      </c>
      <c r="K11" s="182" t="str">
        <f>VLOOKUP(A:A,'1-7 AUG'!C:C,1,0)</f>
        <v>#N/A</v>
      </c>
      <c r="L11" s="182" t="str">
        <f>VLOOKUP(A:A,'Tracing New Correction'!C83:C125,1,0)</f>
        <v>#N/A</v>
      </c>
    </row>
    <row r="12">
      <c r="A12" s="307" t="s">
        <v>209</v>
      </c>
      <c r="B12" s="446">
        <v>45.0</v>
      </c>
      <c r="C12" s="503">
        <v>0.08</v>
      </c>
      <c r="D12" s="446">
        <v>1.0</v>
      </c>
      <c r="E12" s="318"/>
      <c r="F12" s="446">
        <v>44.0</v>
      </c>
      <c r="G12" s="446">
        <v>9.0</v>
      </c>
      <c r="H12" s="503">
        <v>0.2</v>
      </c>
      <c r="I12" s="307" t="s">
        <v>855</v>
      </c>
      <c r="J12" s="489" t="e">
        <v>#N/A</v>
      </c>
      <c r="K12" s="182" t="str">
        <f>VLOOKUP(A:A,'1-7 AUG'!C:C,1,0)</f>
        <v>#N/A</v>
      </c>
      <c r="L12" s="182" t="str">
        <f>VLOOKUP(A:A,'Tracing New Correction'!C84:C125,1,0)</f>
        <v>#N/A</v>
      </c>
    </row>
    <row r="13">
      <c r="A13" s="307" t="s">
        <v>153</v>
      </c>
      <c r="B13" s="446">
        <v>18.0</v>
      </c>
      <c r="C13" s="503">
        <v>0.24</v>
      </c>
      <c r="D13" s="446">
        <v>1.0</v>
      </c>
      <c r="E13" s="318"/>
      <c r="F13" s="446">
        <v>15.0</v>
      </c>
      <c r="G13" s="446">
        <v>9.0</v>
      </c>
      <c r="H13" s="503">
        <v>0.6</v>
      </c>
      <c r="I13" s="307" t="s">
        <v>855</v>
      </c>
      <c r="J13" s="489" t="e">
        <v>#N/A</v>
      </c>
      <c r="K13" s="182" t="str">
        <f>VLOOKUP(A:A,'1-7 AUG'!C:C,1,0)</f>
        <v>#N/A</v>
      </c>
      <c r="L13" s="182" t="str">
        <f>VLOOKUP(A:A,'Tracing New Correction'!C85:C125,1,0)</f>
        <v>#N/A</v>
      </c>
    </row>
    <row r="14">
      <c r="A14" s="307" t="s">
        <v>158</v>
      </c>
      <c r="B14" s="446">
        <v>40.0</v>
      </c>
      <c r="C14" s="503">
        <v>0.48</v>
      </c>
      <c r="D14" s="446">
        <v>1.0</v>
      </c>
      <c r="E14" s="318"/>
      <c r="F14" s="446">
        <v>41.0</v>
      </c>
      <c r="G14" s="446">
        <v>9.0</v>
      </c>
      <c r="H14" s="503">
        <v>0.22</v>
      </c>
      <c r="I14" s="307" t="s">
        <v>855</v>
      </c>
      <c r="J14" s="489" t="e">
        <v>#N/A</v>
      </c>
      <c r="K14" s="182" t="str">
        <f>VLOOKUP(A:A,'1-7 AUG'!C:C,1,0)</f>
        <v>#N/A</v>
      </c>
      <c r="L14" s="182" t="str">
        <f>VLOOKUP(A:A,'Tracing New Correction'!C86:C125,1,0)</f>
        <v>#N/A</v>
      </c>
    </row>
    <row r="15">
      <c r="A15" s="307" t="s">
        <v>203</v>
      </c>
      <c r="B15" s="446">
        <v>121.0</v>
      </c>
      <c r="C15" s="503">
        <v>0.58</v>
      </c>
      <c r="D15" s="446">
        <v>1.0</v>
      </c>
      <c r="E15" s="318"/>
      <c r="F15" s="446">
        <v>117.0</v>
      </c>
      <c r="G15" s="446">
        <v>9.0</v>
      </c>
      <c r="H15" s="503">
        <v>0.08</v>
      </c>
      <c r="I15" s="307" t="s">
        <v>855</v>
      </c>
      <c r="J15" s="489" t="e">
        <v>#N/A</v>
      </c>
      <c r="K15" s="182" t="str">
        <f>VLOOKUP(A:A,'1-7 AUG'!C:C,1,0)</f>
        <v>#N/A</v>
      </c>
      <c r="L15" s="182" t="str">
        <f>VLOOKUP(A:A,'Tracing New Correction'!C87:C125,1,0)</f>
        <v>#N/A</v>
      </c>
    </row>
    <row r="16">
      <c r="A16" s="307" t="s">
        <v>1765</v>
      </c>
      <c r="B16" s="446">
        <v>142.0</v>
      </c>
      <c r="C16" s="503">
        <v>0.92</v>
      </c>
      <c r="D16" s="446">
        <v>1.0</v>
      </c>
      <c r="E16" s="318"/>
      <c r="F16" s="446">
        <v>140.0</v>
      </c>
      <c r="G16" s="446">
        <v>8.0</v>
      </c>
      <c r="H16" s="503">
        <v>0.06</v>
      </c>
      <c r="I16" s="307" t="s">
        <v>855</v>
      </c>
      <c r="J16" s="489" t="e">
        <v>#N/A</v>
      </c>
      <c r="K16" s="182" t="str">
        <f>VLOOKUP(A:A,'1-7 AUG'!C:C,1,0)</f>
        <v>241094.IRJ127B2C0001530</v>
      </c>
      <c r="L16" s="182" t="str">
        <f>VLOOKUP(A:A,'Tracing New Correction'!C88:C126,1,0)</f>
        <v>#N/A</v>
      </c>
    </row>
    <row r="17">
      <c r="A17" s="307" t="s">
        <v>167</v>
      </c>
      <c r="B17" s="446">
        <v>55.0</v>
      </c>
      <c r="C17" s="503">
        <v>1.0</v>
      </c>
      <c r="D17" s="446">
        <v>1.0</v>
      </c>
      <c r="E17" s="318"/>
      <c r="F17" s="446">
        <v>54.0</v>
      </c>
      <c r="G17" s="446">
        <v>8.0</v>
      </c>
      <c r="H17" s="503">
        <v>0.15</v>
      </c>
      <c r="I17" s="307" t="s">
        <v>855</v>
      </c>
      <c r="J17" s="489" t="e">
        <v>#N/A</v>
      </c>
      <c r="K17" s="182" t="str">
        <f>VLOOKUP(A:A,'1-7 AUG'!C:C,1,0)</f>
        <v>#N/A</v>
      </c>
      <c r="L17" s="182" t="str">
        <f>VLOOKUP(A:A,'Tracing New Correction'!C89:C127,1,0)</f>
        <v>#N/A</v>
      </c>
    </row>
    <row r="18">
      <c r="A18" s="307" t="s">
        <v>168</v>
      </c>
      <c r="B18" s="446">
        <v>94.0</v>
      </c>
      <c r="C18" s="503">
        <v>0.5</v>
      </c>
      <c r="D18" s="446">
        <v>1.0</v>
      </c>
      <c r="E18" s="318"/>
      <c r="F18" s="446">
        <v>90.0</v>
      </c>
      <c r="G18" s="446">
        <v>8.0</v>
      </c>
      <c r="H18" s="503">
        <v>0.09</v>
      </c>
      <c r="I18" s="307" t="s">
        <v>855</v>
      </c>
      <c r="J18" s="489" t="e">
        <v>#N/A</v>
      </c>
      <c r="K18" s="182" t="str">
        <f>VLOOKUP(A:A,'1-7 AUG'!C:C,1,0)</f>
        <v>246226.LSK26071201-A4</v>
      </c>
      <c r="L18" s="182" t="str">
        <f>VLOOKUP(A:A,'Tracing New Correction'!C90:C128,1,0)</f>
        <v>#N/A</v>
      </c>
    </row>
    <row r="19">
      <c r="A19" s="307" t="s">
        <v>858</v>
      </c>
      <c r="B19" s="446">
        <v>128.0</v>
      </c>
      <c r="C19" s="503">
        <v>0.36</v>
      </c>
      <c r="D19" s="446">
        <v>1.0</v>
      </c>
      <c r="E19" s="318"/>
      <c r="F19" s="446">
        <v>118.0</v>
      </c>
      <c r="G19" s="446">
        <v>7.0</v>
      </c>
      <c r="H19" s="503">
        <v>0.06</v>
      </c>
      <c r="I19" s="307" t="s">
        <v>855</v>
      </c>
      <c r="J19" s="489" t="e">
        <v>#N/A</v>
      </c>
      <c r="K19" s="182" t="str">
        <f>VLOOKUP(A:A,'1-7 AUG'!C:C,1,0)</f>
        <v>#N/A</v>
      </c>
      <c r="L19" s="182" t="str">
        <f>VLOOKUP(A:A,'Tracing New Correction'!C91:C129,1,0)</f>
        <v>#N/A</v>
      </c>
    </row>
    <row r="20">
      <c r="A20" s="307" t="s">
        <v>1018</v>
      </c>
      <c r="B20" s="446">
        <v>50.0</v>
      </c>
      <c r="C20" s="503">
        <v>0.2</v>
      </c>
      <c r="D20" s="446">
        <v>1.0</v>
      </c>
      <c r="E20" s="318"/>
      <c r="F20" s="446">
        <v>49.0</v>
      </c>
      <c r="G20" s="446">
        <v>7.0</v>
      </c>
      <c r="H20" s="503">
        <v>0.14</v>
      </c>
      <c r="I20" s="307" t="s">
        <v>855</v>
      </c>
      <c r="J20" s="489" t="e">
        <v>#N/A</v>
      </c>
      <c r="K20" s="182" t="str">
        <f>VLOOKUP(A:A,'1-7 AUG'!C:C,1,0)</f>
        <v>#N/A</v>
      </c>
      <c r="L20" s="182" t="str">
        <f>VLOOKUP(A:A,'Tracing New Correction'!C92:C130,1,0)</f>
        <v>#N/A</v>
      </c>
    </row>
    <row r="21">
      <c r="A21" s="307" t="s">
        <v>1781</v>
      </c>
      <c r="B21" s="446">
        <v>51.0</v>
      </c>
      <c r="C21" s="503">
        <v>1.0</v>
      </c>
      <c r="D21" s="446">
        <v>1.0</v>
      </c>
      <c r="E21" s="318"/>
      <c r="F21" s="446">
        <v>43.0</v>
      </c>
      <c r="G21" s="446">
        <v>7.0</v>
      </c>
      <c r="H21" s="503">
        <v>0.16</v>
      </c>
      <c r="I21" s="307" t="s">
        <v>855</v>
      </c>
      <c r="J21" s="489" t="e">
        <v>#N/A</v>
      </c>
      <c r="K21" s="182" t="str">
        <f>VLOOKUP(A:A,'1-7 AUG'!C:C,1,0)</f>
        <v>#N/A</v>
      </c>
      <c r="L21" s="182" t="str">
        <f>VLOOKUP(A:A,'Tracing New Correction'!C93:C131,1,0)</f>
        <v>#N/A</v>
      </c>
    </row>
    <row r="22">
      <c r="A22" s="307" t="s">
        <v>174</v>
      </c>
      <c r="B22" s="446">
        <v>123.0</v>
      </c>
      <c r="C22" s="503">
        <v>0.9</v>
      </c>
      <c r="D22" s="446">
        <v>1.0</v>
      </c>
      <c r="E22" s="318"/>
      <c r="F22" s="446">
        <v>117.0</v>
      </c>
      <c r="G22" s="446">
        <v>7.0</v>
      </c>
      <c r="H22" s="503">
        <v>0.06</v>
      </c>
      <c r="I22" s="307" t="s">
        <v>855</v>
      </c>
      <c r="J22" s="489" t="e">
        <v>#N/A</v>
      </c>
      <c r="K22" s="182" t="str">
        <f>VLOOKUP(A:A,'1-7 AUG'!C:C,1,0)</f>
        <v>#N/A</v>
      </c>
      <c r="L22" s="182" t="str">
        <f>VLOOKUP(A:A,'Tracing New Correction'!C94:C132,1,0)</f>
        <v>#N/A</v>
      </c>
    </row>
    <row r="23">
      <c r="A23" s="307" t="s">
        <v>1174</v>
      </c>
      <c r="B23" s="446">
        <v>113.0</v>
      </c>
      <c r="C23" s="503">
        <v>0.18</v>
      </c>
      <c r="D23" s="446">
        <v>1.0</v>
      </c>
      <c r="E23" s="318"/>
      <c r="F23" s="446">
        <v>113.0</v>
      </c>
      <c r="G23" s="446">
        <v>6.0</v>
      </c>
      <c r="H23" s="503">
        <v>0.05</v>
      </c>
      <c r="I23" s="307" t="s">
        <v>855</v>
      </c>
      <c r="J23" s="489" t="e">
        <v>#N/A</v>
      </c>
      <c r="K23" s="182" t="str">
        <f>VLOOKUP(A:A,'1-7 AUG'!C:C,1,0)</f>
        <v>#N/A</v>
      </c>
      <c r="L23" s="182" t="str">
        <f>VLOOKUP(A:A,'Tracing New Correction'!C95:C133,1,0)</f>
        <v>#N/A</v>
      </c>
    </row>
    <row r="24">
      <c r="A24" s="307" t="s">
        <v>159</v>
      </c>
      <c r="B24" s="446">
        <v>87.0</v>
      </c>
      <c r="C24" s="503">
        <v>0.14</v>
      </c>
      <c r="D24" s="446">
        <v>1.0</v>
      </c>
      <c r="E24" s="318"/>
      <c r="F24" s="446">
        <v>89.0</v>
      </c>
      <c r="G24" s="446">
        <v>6.0</v>
      </c>
      <c r="H24" s="503">
        <v>0.07</v>
      </c>
      <c r="I24" s="307" t="s">
        <v>855</v>
      </c>
      <c r="J24" s="489" t="e">
        <v>#N/A</v>
      </c>
      <c r="K24" s="182" t="str">
        <f>VLOOKUP(A:A,'1-7 AUG'!C:C,1,0)</f>
        <v>137971.FKS26228F</v>
      </c>
      <c r="L24" s="182" t="str">
        <f>VLOOKUP(A:A,'Tracing New Correction'!C96:C134,1,0)</f>
        <v>#N/A</v>
      </c>
    </row>
    <row r="25">
      <c r="A25" s="307" t="s">
        <v>723</v>
      </c>
      <c r="B25" s="446">
        <v>42.0</v>
      </c>
      <c r="C25" s="503">
        <v>0.03</v>
      </c>
      <c r="D25" s="446">
        <v>1.0</v>
      </c>
      <c r="E25" s="318"/>
      <c r="F25" s="446">
        <v>42.0</v>
      </c>
      <c r="G25" s="446">
        <v>6.0</v>
      </c>
      <c r="H25" s="503">
        <v>0.14</v>
      </c>
      <c r="I25" s="307" t="s">
        <v>855</v>
      </c>
      <c r="J25" s="489" t="e">
        <v>#N/A</v>
      </c>
      <c r="K25" s="182" t="str">
        <f>VLOOKUP(A:A,'1-7 AUG'!C:C,1,0)</f>
        <v>#N/A</v>
      </c>
      <c r="L25" s="182" t="str">
        <f>VLOOKUP(A:A,'Tracing New Correction'!C97:C135,1,0)</f>
        <v>#N/A</v>
      </c>
    </row>
    <row r="26">
      <c r="A26" s="307" t="s">
        <v>1782</v>
      </c>
      <c r="B26" s="446">
        <v>70.0</v>
      </c>
      <c r="C26" s="503">
        <v>0.28</v>
      </c>
      <c r="D26" s="446">
        <v>1.0</v>
      </c>
      <c r="E26" s="318"/>
      <c r="F26" s="446">
        <v>68.0</v>
      </c>
      <c r="G26" s="446">
        <v>6.0</v>
      </c>
      <c r="H26" s="503">
        <v>0.09</v>
      </c>
      <c r="I26" s="307" t="s">
        <v>855</v>
      </c>
      <c r="J26" s="489" t="e">
        <v>#N/A</v>
      </c>
      <c r="K26" s="182" t="str">
        <f>VLOOKUP(A:A,'1-7 AUG'!C:C,1,0)</f>
        <v>#N/A</v>
      </c>
      <c r="L26" s="182" t="str">
        <f>VLOOKUP(A:A,'Tracing New Correction'!C98:C136,1,0)</f>
        <v>#N/A</v>
      </c>
    </row>
    <row r="27">
      <c r="A27" s="307" t="s">
        <v>314</v>
      </c>
      <c r="B27" s="446">
        <v>112.0</v>
      </c>
      <c r="C27" s="503">
        <v>0.15</v>
      </c>
      <c r="D27" s="446">
        <v>1.0</v>
      </c>
      <c r="E27" s="318"/>
      <c r="F27" s="446">
        <v>105.0</v>
      </c>
      <c r="G27" s="446">
        <v>6.0</v>
      </c>
      <c r="H27" s="503">
        <v>0.06</v>
      </c>
      <c r="I27" s="307" t="s">
        <v>855</v>
      </c>
      <c r="J27" s="489" t="e">
        <v>#N/A</v>
      </c>
      <c r="K27" s="182" t="str">
        <f>VLOOKUP(A:A,'1-7 AUG'!C:C,1,0)</f>
        <v>#N/A</v>
      </c>
      <c r="L27" s="182" t="str">
        <f>VLOOKUP(A:A,'Tracing New Correction'!C99:C136,1,0)</f>
        <v>#N/A</v>
      </c>
    </row>
    <row r="28">
      <c r="A28" s="307" t="s">
        <v>1000</v>
      </c>
      <c r="B28" s="446">
        <v>66.0</v>
      </c>
      <c r="C28" s="503">
        <v>0.07</v>
      </c>
      <c r="D28" s="446">
        <v>1.0</v>
      </c>
      <c r="E28" s="318"/>
      <c r="F28" s="446">
        <v>62.0</v>
      </c>
      <c r="G28" s="446">
        <v>6.0</v>
      </c>
      <c r="H28" s="503">
        <v>0.1</v>
      </c>
      <c r="I28" s="307" t="s">
        <v>855</v>
      </c>
      <c r="J28" s="489" t="e">
        <v>#N/A</v>
      </c>
      <c r="K28" s="182" t="str">
        <f>VLOOKUP(A:A,'1-7 AUG'!C:C,1,0)</f>
        <v>#N/A</v>
      </c>
      <c r="L28" s="182" t="str">
        <f>VLOOKUP(A:A,'Tracing New Correction'!C100:C137,1,0)</f>
        <v>#N/A</v>
      </c>
    </row>
    <row r="29">
      <c r="A29" s="307" t="s">
        <v>161</v>
      </c>
      <c r="B29" s="446">
        <v>114.0</v>
      </c>
      <c r="C29" s="503">
        <v>0.64</v>
      </c>
      <c r="D29" s="446">
        <v>1.0</v>
      </c>
      <c r="E29" s="318"/>
      <c r="F29" s="446">
        <v>111.0</v>
      </c>
      <c r="G29" s="446">
        <v>6.0</v>
      </c>
      <c r="H29" s="503">
        <v>0.05</v>
      </c>
      <c r="I29" s="307" t="s">
        <v>855</v>
      </c>
      <c r="J29" s="489" t="e">
        <v>#N/A</v>
      </c>
      <c r="K29" s="182" t="str">
        <f>VLOOKUP(A:A,'1-7 AUG'!C:C,1,0)</f>
        <v>#N/A</v>
      </c>
      <c r="L29" s="182" t="str">
        <f>VLOOKUP(A:A,'Tracing New Correction'!C101:C138,1,0)</f>
        <v>#N/A</v>
      </c>
    </row>
    <row r="30">
      <c r="A30" s="307" t="s">
        <v>1783</v>
      </c>
      <c r="B30" s="446">
        <v>64.0</v>
      </c>
      <c r="C30" s="503">
        <v>0.12</v>
      </c>
      <c r="D30" s="446">
        <v>1.0</v>
      </c>
      <c r="E30" s="318"/>
      <c r="F30" s="446">
        <v>65.0</v>
      </c>
      <c r="G30" s="446">
        <v>6.0</v>
      </c>
      <c r="H30" s="503">
        <v>0.09</v>
      </c>
      <c r="I30" s="307" t="s">
        <v>855</v>
      </c>
      <c r="J30" s="489" t="e">
        <v>#N/A</v>
      </c>
      <c r="K30" s="182" t="str">
        <f>VLOOKUP(A:A,'1-7 AUG'!C:C,1,0)</f>
        <v>#N/A</v>
      </c>
      <c r="L30" s="182" t="str">
        <f>VLOOKUP(A:A,'Tracing New Correction'!C102:C139,1,0)</f>
        <v>#N/A</v>
      </c>
    </row>
    <row r="31">
      <c r="A31" s="307" t="s">
        <v>1784</v>
      </c>
      <c r="B31" s="446">
        <v>43.0</v>
      </c>
      <c r="C31" s="503">
        <v>0.91</v>
      </c>
      <c r="D31" s="446">
        <v>1.0</v>
      </c>
      <c r="E31" s="318"/>
      <c r="F31" s="446">
        <v>43.0</v>
      </c>
      <c r="G31" s="446">
        <v>6.0</v>
      </c>
      <c r="H31" s="503">
        <v>0.14</v>
      </c>
      <c r="I31" s="307" t="s">
        <v>855</v>
      </c>
      <c r="J31" s="489" t="e">
        <v>#N/A</v>
      </c>
      <c r="K31" s="182" t="str">
        <f>VLOOKUP(A:A,'1-7 AUG'!C:C,1,0)</f>
        <v>#N/A</v>
      </c>
      <c r="L31" s="182" t="str">
        <f>VLOOKUP(A:A,'Tracing New Correction'!C103:C140,1,0)</f>
        <v>#N/A</v>
      </c>
    </row>
    <row r="32">
      <c r="A32" s="307" t="s">
        <v>189</v>
      </c>
      <c r="B32" s="446">
        <v>66.0</v>
      </c>
      <c r="C32" s="503">
        <v>0.55</v>
      </c>
      <c r="D32" s="446">
        <v>1.0</v>
      </c>
      <c r="E32" s="318"/>
      <c r="F32" s="446">
        <v>64.0</v>
      </c>
      <c r="G32" s="446">
        <v>6.0</v>
      </c>
      <c r="H32" s="503">
        <v>0.09</v>
      </c>
      <c r="I32" s="307" t="s">
        <v>855</v>
      </c>
      <c r="J32" s="489" t="e">
        <v>#N/A</v>
      </c>
      <c r="K32" s="182" t="str">
        <f>VLOOKUP(A:A,'1-7 AUG'!C:C,1,0)</f>
        <v>#N/A</v>
      </c>
      <c r="L32" s="182" t="str">
        <f>VLOOKUP(A:A,'Tracing New Correction'!C104:C141,1,0)</f>
        <v>#N/A</v>
      </c>
    </row>
    <row r="33">
      <c r="A33" s="307" t="s">
        <v>1589</v>
      </c>
      <c r="B33" s="446">
        <v>41.0</v>
      </c>
      <c r="C33" s="503">
        <v>0.19</v>
      </c>
      <c r="D33" s="446">
        <v>1.0</v>
      </c>
      <c r="E33" s="318"/>
      <c r="F33" s="446">
        <v>39.0</v>
      </c>
      <c r="G33" s="446">
        <v>6.0</v>
      </c>
      <c r="H33" s="503">
        <v>0.15</v>
      </c>
      <c r="I33" s="307" t="s">
        <v>855</v>
      </c>
      <c r="J33" s="489" t="e">
        <v>#N/A</v>
      </c>
      <c r="K33" s="182" t="str">
        <f>VLOOKUP(A:A,'1-7 AUG'!C:C,1,0)</f>
        <v>#N/A</v>
      </c>
      <c r="L33" s="182" t="str">
        <f>VLOOKUP(A:A,'Tracing New Correction'!C105:C142,1,0)</f>
        <v>#N/A</v>
      </c>
    </row>
    <row r="34">
      <c r="A34" s="307" t="s">
        <v>743</v>
      </c>
      <c r="B34" s="446">
        <v>58.0</v>
      </c>
      <c r="C34" s="503">
        <v>0.73</v>
      </c>
      <c r="D34" s="446">
        <v>1.0</v>
      </c>
      <c r="E34" s="318"/>
      <c r="F34" s="446">
        <v>56.0</v>
      </c>
      <c r="G34" s="446">
        <v>6.0</v>
      </c>
      <c r="H34" s="503">
        <v>0.11</v>
      </c>
      <c r="I34" s="307" t="s">
        <v>855</v>
      </c>
      <c r="J34" s="489" t="e">
        <v>#N/A</v>
      </c>
      <c r="K34" s="182" t="str">
        <f>VLOOKUP(A:A,'1-7 AUG'!C:C,1,0)</f>
        <v>#N/A</v>
      </c>
      <c r="L34" s="182" t="str">
        <f>VLOOKUP(A:A,'Tracing New Correction'!C106:C143,1,0)</f>
        <v>#N/A</v>
      </c>
    </row>
    <row r="35">
      <c r="A35" s="307" t="s">
        <v>1785</v>
      </c>
      <c r="B35" s="446">
        <v>59.0</v>
      </c>
      <c r="C35" s="503">
        <v>0.66</v>
      </c>
      <c r="D35" s="446">
        <v>1.0</v>
      </c>
      <c r="E35" s="318"/>
      <c r="F35" s="446">
        <v>56.0</v>
      </c>
      <c r="G35" s="446">
        <v>6.0</v>
      </c>
      <c r="H35" s="503">
        <v>0.11</v>
      </c>
      <c r="I35" s="307" t="s">
        <v>855</v>
      </c>
      <c r="J35" s="489" t="e">
        <v>#N/A</v>
      </c>
      <c r="K35" s="182" t="str">
        <f>VLOOKUP(A:A,'1-7 AUG'!C:C,1,0)</f>
        <v>#N/A</v>
      </c>
      <c r="L35" s="182" t="str">
        <f>VLOOKUP(A:A,'Tracing New Correction'!C107:C144,1,0)</f>
        <v>#N/A</v>
      </c>
    </row>
    <row r="36">
      <c r="A36" s="307" t="s">
        <v>1536</v>
      </c>
      <c r="B36" s="446">
        <v>74.0</v>
      </c>
      <c r="C36" s="503">
        <v>0.12</v>
      </c>
      <c r="D36" s="446">
        <v>1.0</v>
      </c>
      <c r="E36" s="318"/>
      <c r="F36" s="446">
        <v>78.0</v>
      </c>
      <c r="G36" s="446">
        <v>5.0</v>
      </c>
      <c r="H36" s="503">
        <v>0.06</v>
      </c>
      <c r="I36" s="307" t="s">
        <v>855</v>
      </c>
      <c r="J36" s="489" t="e">
        <v>#N/A</v>
      </c>
      <c r="K36" s="182" t="str">
        <f>VLOOKUP(A:A,'1-7 AUG'!C:C,1,0)</f>
        <v>#N/A</v>
      </c>
      <c r="L36" s="182" t="str">
        <f>VLOOKUP(A:A,'Tracing New Correction'!C108:C145,1,0)</f>
        <v>#N/A</v>
      </c>
    </row>
    <row r="37">
      <c r="A37" s="307" t="s">
        <v>1786</v>
      </c>
      <c r="B37" s="446">
        <v>77.0</v>
      </c>
      <c r="C37" s="503">
        <v>0.56</v>
      </c>
      <c r="D37" s="446">
        <v>1.0</v>
      </c>
      <c r="E37" s="318"/>
      <c r="F37" s="446">
        <v>78.0</v>
      </c>
      <c r="G37" s="446">
        <v>5.0</v>
      </c>
      <c r="H37" s="503">
        <v>0.06</v>
      </c>
      <c r="I37" s="307" t="s">
        <v>855</v>
      </c>
      <c r="J37" s="489" t="e">
        <v>#N/A</v>
      </c>
      <c r="K37" s="182" t="str">
        <f>VLOOKUP(A:A,'1-7 AUG'!C:C,1,0)</f>
        <v>#N/A</v>
      </c>
      <c r="L37" s="182" t="str">
        <f>VLOOKUP(A:A,'Tracing New Correction'!C109:C146,1,0)</f>
        <v>#N/A</v>
      </c>
    </row>
    <row r="38">
      <c r="A38" s="307" t="s">
        <v>75</v>
      </c>
      <c r="B38" s="446">
        <v>47.0</v>
      </c>
      <c r="C38" s="503">
        <v>0.12</v>
      </c>
      <c r="D38" s="446">
        <v>1.0</v>
      </c>
      <c r="E38" s="318"/>
      <c r="F38" s="446">
        <v>49.0</v>
      </c>
      <c r="G38" s="446">
        <v>5.0</v>
      </c>
      <c r="H38" s="503">
        <v>0.1</v>
      </c>
      <c r="I38" s="307" t="s">
        <v>855</v>
      </c>
      <c r="J38" s="489" t="e">
        <v>#N/A</v>
      </c>
      <c r="K38" s="182" t="str">
        <f>VLOOKUP(A:A,'1-7 AUG'!C:C,1,0)</f>
        <v>#N/A</v>
      </c>
      <c r="L38" s="182" t="str">
        <f>VLOOKUP(A:A,'Tracing New Correction'!C110:C147,1,0)</f>
        <v>#N/A</v>
      </c>
    </row>
    <row r="39">
      <c r="A39" s="307" t="s">
        <v>71</v>
      </c>
      <c r="B39" s="446">
        <v>7.0</v>
      </c>
      <c r="C39" s="503">
        <v>1.0</v>
      </c>
      <c r="D39" s="446">
        <v>1.0</v>
      </c>
      <c r="E39" s="318"/>
      <c r="F39" s="446">
        <v>7.0</v>
      </c>
      <c r="G39" s="446">
        <v>5.0</v>
      </c>
      <c r="H39" s="503">
        <v>0.71</v>
      </c>
      <c r="I39" s="307" t="s">
        <v>855</v>
      </c>
      <c r="J39" s="489" t="e">
        <v>#N/A</v>
      </c>
      <c r="K39" s="182" t="str">
        <f>VLOOKUP(A:A,'1-7 AUG'!C:C,1,0)</f>
        <v>#N/A</v>
      </c>
      <c r="L39" s="182" t="str">
        <f>VLOOKUP(A:A,'Tracing New Correction'!C111:C148,1,0)</f>
        <v>#N/A</v>
      </c>
    </row>
    <row r="40">
      <c r="A40" s="307" t="s">
        <v>182</v>
      </c>
      <c r="B40" s="446">
        <v>65.0</v>
      </c>
      <c r="C40" s="503">
        <v>0.12</v>
      </c>
      <c r="D40" s="446">
        <v>1.0</v>
      </c>
      <c r="E40" s="318"/>
      <c r="F40" s="446">
        <v>64.0</v>
      </c>
      <c r="G40" s="446">
        <v>5.0</v>
      </c>
      <c r="H40" s="503">
        <v>0.08</v>
      </c>
      <c r="I40" s="307" t="s">
        <v>855</v>
      </c>
      <c r="J40" s="489" t="e">
        <v>#N/A</v>
      </c>
      <c r="K40" s="182" t="str">
        <f>VLOOKUP(A:A,'1-7 AUG'!C:C,1,0)</f>
        <v>#N/A</v>
      </c>
      <c r="L40" s="182" t="str">
        <f>VLOOKUP(A:A,'Tracing New Correction'!C112:C149,1,0)</f>
        <v>#N/A</v>
      </c>
    </row>
    <row r="41">
      <c r="A41" s="307" t="s">
        <v>1787</v>
      </c>
      <c r="B41" s="446">
        <v>90.0</v>
      </c>
      <c r="C41" s="503">
        <v>0.47</v>
      </c>
      <c r="D41" s="446">
        <v>1.0</v>
      </c>
      <c r="E41" s="318"/>
      <c r="F41" s="446">
        <v>88.0</v>
      </c>
      <c r="G41" s="446">
        <v>5.0</v>
      </c>
      <c r="H41" s="503">
        <v>0.06</v>
      </c>
      <c r="I41" s="307" t="s">
        <v>855</v>
      </c>
      <c r="J41" s="489" t="e">
        <v>#N/A</v>
      </c>
      <c r="K41" s="182" t="str">
        <f>VLOOKUP(A:A,'1-7 AUG'!C:C,1,0)</f>
        <v>#N/A</v>
      </c>
      <c r="L41" s="182" t="str">
        <f>VLOOKUP(A:A,'Tracing New Correction'!C113:C150,1,0)</f>
        <v>#N/A</v>
      </c>
    </row>
    <row r="42">
      <c r="A42" s="307" t="s">
        <v>188</v>
      </c>
      <c r="B42" s="446">
        <v>26.0</v>
      </c>
      <c r="C42" s="503">
        <v>0.3</v>
      </c>
      <c r="D42" s="446">
        <v>1.0</v>
      </c>
      <c r="E42" s="318"/>
      <c r="F42" s="446">
        <v>24.0</v>
      </c>
      <c r="G42" s="446">
        <v>5.0</v>
      </c>
      <c r="H42" s="503">
        <v>0.21</v>
      </c>
      <c r="I42" s="307" t="s">
        <v>855</v>
      </c>
      <c r="J42" s="489" t="e">
        <v>#N/A</v>
      </c>
      <c r="K42" s="182" t="str">
        <f>VLOOKUP(A:A,'1-7 AUG'!C:C,1,0)</f>
        <v>#N/A</v>
      </c>
      <c r="L42" s="182" t="str">
        <f>VLOOKUP(A:A,'Tracing New Correction'!C114:C151,1,0)</f>
        <v>#N/A</v>
      </c>
    </row>
    <row r="43">
      <c r="A43" s="307" t="s">
        <v>1788</v>
      </c>
      <c r="B43" s="446">
        <v>30.0</v>
      </c>
      <c r="C43" s="503">
        <v>0.2</v>
      </c>
      <c r="D43" s="446">
        <v>1.0</v>
      </c>
      <c r="E43" s="318"/>
      <c r="F43" s="446">
        <v>34.0</v>
      </c>
      <c r="G43" s="446">
        <v>5.0</v>
      </c>
      <c r="H43" s="503">
        <v>0.15</v>
      </c>
      <c r="I43" s="307" t="s">
        <v>855</v>
      </c>
      <c r="J43" s="489" t="e">
        <v>#N/A</v>
      </c>
      <c r="K43" s="182" t="str">
        <f>VLOOKUP(A:A,'1-7 AUG'!C:C,1,0)</f>
        <v>#N/A</v>
      </c>
      <c r="L43" s="182" t="str">
        <f>VLOOKUP(A:A,'Tracing New Correction'!C115:C152,1,0)</f>
        <v>#N/A</v>
      </c>
    </row>
    <row r="44">
      <c r="A44" s="307" t="s">
        <v>1789</v>
      </c>
      <c r="B44" s="446">
        <v>73.0</v>
      </c>
      <c r="C44" s="503">
        <v>0.79</v>
      </c>
      <c r="D44" s="446">
        <v>1.0</v>
      </c>
      <c r="E44" s="318"/>
      <c r="F44" s="446">
        <v>72.0</v>
      </c>
      <c r="G44" s="446">
        <v>5.0</v>
      </c>
      <c r="H44" s="503">
        <v>0.07</v>
      </c>
      <c r="I44" s="307" t="s">
        <v>855</v>
      </c>
      <c r="J44" s="489" t="e">
        <v>#N/A</v>
      </c>
      <c r="K44" s="182" t="str">
        <f>VLOOKUP(A:A,'1-7 AUG'!C:C,1,0)</f>
        <v>#N/A</v>
      </c>
      <c r="L44" s="182" t="str">
        <f>VLOOKUP(A:A,'Tracing New Correction'!C116:C153,1,0)</f>
        <v>#N/A</v>
      </c>
    </row>
    <row r="45">
      <c r="A45" s="307" t="s">
        <v>1790</v>
      </c>
      <c r="B45" s="446">
        <v>96.0</v>
      </c>
      <c r="C45" s="503">
        <v>0.7</v>
      </c>
      <c r="D45" s="446">
        <v>1.0</v>
      </c>
      <c r="E45" s="318"/>
      <c r="F45" s="446">
        <v>92.0</v>
      </c>
      <c r="G45" s="446">
        <v>5.0</v>
      </c>
      <c r="H45" s="503">
        <v>0.05</v>
      </c>
      <c r="I45" s="307" t="s">
        <v>855</v>
      </c>
      <c r="J45" s="489" t="e">
        <v>#N/A</v>
      </c>
      <c r="K45" s="182" t="str">
        <f>VLOOKUP(A:A,'1-7 AUG'!C:C,1,0)</f>
        <v>#N/A</v>
      </c>
      <c r="L45" s="182" t="str">
        <f>VLOOKUP(A:A,'Tracing New Correction'!C117:C154,1,0)</f>
        <v>#N/A</v>
      </c>
    </row>
    <row r="46" ht="16.5" customHeight="1">
      <c r="A46" s="310" t="s">
        <v>1791</v>
      </c>
      <c r="I46" s="307" t="s">
        <v>855</v>
      </c>
      <c r="J46" s="310" t="s">
        <v>17</v>
      </c>
      <c r="K46" s="182" t="str">
        <f>VLOOKUP(A:A,'1-7 AUG'!C:C,1,0)</f>
        <v>#N/A</v>
      </c>
      <c r="L46" s="182" t="str">
        <f>VLOOKUP(A:A,'Tracing New Correction'!C118:C155,1,0)</f>
        <v>#N/A</v>
      </c>
    </row>
    <row r="47">
      <c r="A47" s="310" t="s">
        <v>1792</v>
      </c>
      <c r="I47" s="307" t="s">
        <v>855</v>
      </c>
      <c r="J47" s="310" t="s">
        <v>17</v>
      </c>
      <c r="K47" s="182" t="str">
        <f>VLOOKUP(A:A,'1-7 AUG'!C:C,1,0)</f>
        <v>#N/A</v>
      </c>
      <c r="L47" s="182" t="str">
        <f>VLOOKUP(A:A,'Tracing New Correction'!C119:C156,1,0)</f>
        <v>#N/A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5"/>
    <col customWidth="1" min="10" max="10" width="21.88"/>
    <col customWidth="1" min="13" max="13" width="19.13"/>
  </cols>
  <sheetData>
    <row r="1">
      <c r="A1" s="176" t="s">
        <v>931</v>
      </c>
      <c r="B1" s="176" t="s">
        <v>849</v>
      </c>
      <c r="C1" s="176" t="s">
        <v>868</v>
      </c>
      <c r="D1" s="176" t="s">
        <v>869</v>
      </c>
      <c r="E1" s="176" t="s">
        <v>870</v>
      </c>
      <c r="F1" s="176" t="s">
        <v>850</v>
      </c>
      <c r="G1" s="176" t="s">
        <v>851</v>
      </c>
      <c r="H1" s="176" t="s">
        <v>852</v>
      </c>
      <c r="I1" s="176" t="s">
        <v>1793</v>
      </c>
      <c r="J1" s="176" t="s">
        <v>1777</v>
      </c>
      <c r="K1" s="176" t="s">
        <v>929</v>
      </c>
      <c r="L1" s="176" t="s">
        <v>1794</v>
      </c>
      <c r="M1" s="177" t="s">
        <v>1795</v>
      </c>
      <c r="N1" s="310" t="s">
        <v>1121</v>
      </c>
    </row>
    <row r="2">
      <c r="A2" s="178" t="s">
        <v>1706</v>
      </c>
      <c r="B2" s="179">
        <v>343.0</v>
      </c>
      <c r="C2" s="191">
        <v>0.05</v>
      </c>
      <c r="D2" s="180">
        <v>1.0</v>
      </c>
      <c r="E2" s="192"/>
      <c r="F2" s="179">
        <v>300.0</v>
      </c>
      <c r="G2" s="179">
        <v>91.0</v>
      </c>
      <c r="H2" s="504">
        <v>0.303</v>
      </c>
      <c r="I2" s="178" t="s">
        <v>855</v>
      </c>
      <c r="J2" s="443" t="e">
        <v>#N/A</v>
      </c>
      <c r="K2" s="178" t="s">
        <v>448</v>
      </c>
      <c r="L2" s="505"/>
      <c r="M2" s="506"/>
      <c r="N2" s="310" t="s">
        <v>746</v>
      </c>
    </row>
    <row r="3">
      <c r="A3" s="183" t="s">
        <v>152</v>
      </c>
      <c r="B3" s="184">
        <v>398.0</v>
      </c>
      <c r="C3" s="195">
        <v>1.0</v>
      </c>
      <c r="D3" s="185">
        <v>1.0</v>
      </c>
      <c r="E3" s="196"/>
      <c r="F3" s="184">
        <v>379.0</v>
      </c>
      <c r="G3" s="184">
        <v>59.0</v>
      </c>
      <c r="H3" s="185">
        <v>0.156</v>
      </c>
      <c r="I3" s="183" t="s">
        <v>855</v>
      </c>
      <c r="J3" s="152" t="e">
        <v>#N/A</v>
      </c>
      <c r="K3" s="183" t="s">
        <v>32</v>
      </c>
      <c r="L3" s="183" t="s">
        <v>374</v>
      </c>
      <c r="M3" s="197" t="s">
        <v>1796</v>
      </c>
      <c r="N3" s="310" t="s">
        <v>746</v>
      </c>
    </row>
    <row r="4">
      <c r="A4" s="178" t="s">
        <v>1740</v>
      </c>
      <c r="B4" s="179">
        <v>161.0</v>
      </c>
      <c r="C4" s="191">
        <v>0.31</v>
      </c>
      <c r="D4" s="180">
        <v>1.0</v>
      </c>
      <c r="E4" s="192"/>
      <c r="F4" s="179">
        <v>151.0</v>
      </c>
      <c r="G4" s="179">
        <v>48.0</v>
      </c>
      <c r="H4" s="180">
        <v>0.318</v>
      </c>
      <c r="I4" s="178" t="s">
        <v>855</v>
      </c>
      <c r="J4" s="443" t="e">
        <v>#N/A</v>
      </c>
      <c r="K4" s="178" t="s">
        <v>17</v>
      </c>
      <c r="L4" s="178" t="s">
        <v>1797</v>
      </c>
      <c r="M4" s="193" t="s">
        <v>1798</v>
      </c>
      <c r="N4" s="310" t="s">
        <v>746</v>
      </c>
    </row>
    <row r="5">
      <c r="A5" s="183" t="s">
        <v>153</v>
      </c>
      <c r="B5" s="184">
        <v>36.0</v>
      </c>
      <c r="C5" s="195">
        <v>0.29</v>
      </c>
      <c r="D5" s="185">
        <v>1.0</v>
      </c>
      <c r="E5" s="196"/>
      <c r="F5" s="184">
        <v>33.0</v>
      </c>
      <c r="G5" s="184">
        <v>25.0</v>
      </c>
      <c r="H5" s="185">
        <v>0.758</v>
      </c>
      <c r="I5" s="183" t="s">
        <v>855</v>
      </c>
      <c r="J5" s="152" t="e">
        <v>#N/A</v>
      </c>
      <c r="K5" s="183" t="s">
        <v>17</v>
      </c>
      <c r="L5" s="183" t="s">
        <v>77</v>
      </c>
      <c r="M5" s="507">
        <v>74.0</v>
      </c>
      <c r="N5" s="310" t="s">
        <v>746</v>
      </c>
    </row>
    <row r="6">
      <c r="A6" s="178" t="s">
        <v>154</v>
      </c>
      <c r="B6" s="179">
        <v>155.0</v>
      </c>
      <c r="C6" s="191">
        <v>0.08</v>
      </c>
      <c r="D6" s="180">
        <v>1.0</v>
      </c>
      <c r="E6" s="192"/>
      <c r="F6" s="179">
        <v>155.0</v>
      </c>
      <c r="G6" s="179">
        <v>24.0</v>
      </c>
      <c r="H6" s="180">
        <v>0.155</v>
      </c>
      <c r="I6" s="178" t="s">
        <v>855</v>
      </c>
      <c r="J6" s="443" t="e">
        <v>#N/A</v>
      </c>
      <c r="K6" s="178" t="s">
        <v>17</v>
      </c>
      <c r="L6" s="178" t="s">
        <v>77</v>
      </c>
      <c r="M6" s="508">
        <v>14.0</v>
      </c>
      <c r="N6" s="310" t="s">
        <v>746</v>
      </c>
    </row>
    <row r="7">
      <c r="A7" s="183" t="s">
        <v>215</v>
      </c>
      <c r="B7" s="184">
        <v>96.0</v>
      </c>
      <c r="C7" s="195">
        <v>0.9</v>
      </c>
      <c r="D7" s="185">
        <v>1.0</v>
      </c>
      <c r="E7" s="196"/>
      <c r="F7" s="184">
        <v>87.0</v>
      </c>
      <c r="G7" s="184">
        <v>22.0</v>
      </c>
      <c r="H7" s="185">
        <v>0.253</v>
      </c>
      <c r="I7" s="183" t="s">
        <v>855</v>
      </c>
      <c r="J7" s="152" t="e">
        <v>#N/A</v>
      </c>
      <c r="K7" s="183" t="s">
        <v>32</v>
      </c>
      <c r="L7" s="183" t="s">
        <v>1799</v>
      </c>
      <c r="M7" s="509"/>
      <c r="N7" s="310" t="s">
        <v>746</v>
      </c>
    </row>
    <row r="8">
      <c r="A8" s="178" t="s">
        <v>1778</v>
      </c>
      <c r="B8" s="179">
        <v>169.0</v>
      </c>
      <c r="C8" s="191">
        <v>0.46</v>
      </c>
      <c r="D8" s="180">
        <v>1.0</v>
      </c>
      <c r="E8" s="192"/>
      <c r="F8" s="179">
        <v>166.0</v>
      </c>
      <c r="G8" s="179">
        <v>20.0</v>
      </c>
      <c r="H8" s="180">
        <v>0.12</v>
      </c>
      <c r="I8" s="178" t="s">
        <v>855</v>
      </c>
      <c r="J8" s="443" t="e">
        <v>#N/A</v>
      </c>
      <c r="K8" s="178" t="s">
        <v>32</v>
      </c>
      <c r="L8" s="178" t="s">
        <v>1799</v>
      </c>
      <c r="M8" s="506"/>
      <c r="N8" s="310" t="s">
        <v>746</v>
      </c>
    </row>
    <row r="9">
      <c r="A9" s="183" t="s">
        <v>155</v>
      </c>
      <c r="B9" s="184">
        <v>105.0</v>
      </c>
      <c r="C9" s="195">
        <v>0.22</v>
      </c>
      <c r="D9" s="185">
        <v>1.0</v>
      </c>
      <c r="E9" s="196"/>
      <c r="F9" s="184">
        <v>106.0</v>
      </c>
      <c r="G9" s="184">
        <v>19.0</v>
      </c>
      <c r="H9" s="185">
        <v>0.179</v>
      </c>
      <c r="I9" s="183" t="s">
        <v>855</v>
      </c>
      <c r="J9" s="152" t="e">
        <v>#N/A</v>
      </c>
      <c r="K9" s="183" t="s">
        <v>32</v>
      </c>
      <c r="L9" s="183" t="s">
        <v>1800</v>
      </c>
      <c r="M9" s="509"/>
      <c r="N9" s="310" t="s">
        <v>746</v>
      </c>
    </row>
    <row r="10">
      <c r="A10" s="178" t="s">
        <v>294</v>
      </c>
      <c r="B10" s="179">
        <v>250.0</v>
      </c>
      <c r="C10" s="191">
        <v>0.29</v>
      </c>
      <c r="D10" s="180">
        <v>1.0</v>
      </c>
      <c r="E10" s="192"/>
      <c r="F10" s="179">
        <v>248.0</v>
      </c>
      <c r="G10" s="179">
        <v>18.0</v>
      </c>
      <c r="H10" s="180">
        <v>0.073</v>
      </c>
      <c r="I10" s="178" t="s">
        <v>855</v>
      </c>
      <c r="J10" s="443" t="e">
        <v>#N/A</v>
      </c>
      <c r="K10" s="178" t="s">
        <v>32</v>
      </c>
      <c r="L10" s="178" t="s">
        <v>374</v>
      </c>
      <c r="M10" s="506"/>
      <c r="N10" s="310" t="s">
        <v>746</v>
      </c>
    </row>
    <row r="11">
      <c r="A11" s="183" t="s">
        <v>158</v>
      </c>
      <c r="B11" s="184">
        <v>91.0</v>
      </c>
      <c r="C11" s="195">
        <v>0.61</v>
      </c>
      <c r="D11" s="185">
        <v>1.0</v>
      </c>
      <c r="E11" s="196"/>
      <c r="F11" s="184">
        <v>89.0</v>
      </c>
      <c r="G11" s="184">
        <v>18.0</v>
      </c>
      <c r="H11" s="185">
        <v>0.202</v>
      </c>
      <c r="I11" s="183" t="s">
        <v>855</v>
      </c>
      <c r="J11" s="152" t="e">
        <v>#N/A</v>
      </c>
      <c r="K11" s="183" t="s">
        <v>32</v>
      </c>
      <c r="L11" s="196"/>
      <c r="M11" s="509"/>
      <c r="N11" s="310" t="s">
        <v>746</v>
      </c>
    </row>
    <row r="12">
      <c r="A12" s="178" t="s">
        <v>159</v>
      </c>
      <c r="B12" s="179">
        <v>218.0</v>
      </c>
      <c r="C12" s="191">
        <v>0.33</v>
      </c>
      <c r="D12" s="180">
        <v>1.0</v>
      </c>
      <c r="E12" s="192"/>
      <c r="F12" s="179">
        <v>212.0</v>
      </c>
      <c r="G12" s="179">
        <v>17.0</v>
      </c>
      <c r="H12" s="180">
        <v>0.08</v>
      </c>
      <c r="I12" s="178" t="s">
        <v>855</v>
      </c>
      <c r="J12" s="443" t="e">
        <v>#N/A</v>
      </c>
      <c r="K12" s="178" t="s">
        <v>32</v>
      </c>
      <c r="L12" s="192"/>
      <c r="M12" s="506"/>
      <c r="N12" s="310" t="s">
        <v>746</v>
      </c>
    </row>
    <row r="13">
      <c r="A13" s="188" t="s">
        <v>160</v>
      </c>
      <c r="B13" s="184">
        <v>160.0</v>
      </c>
      <c r="C13" s="195">
        <v>0.52</v>
      </c>
      <c r="D13" s="185">
        <v>1.0</v>
      </c>
      <c r="E13" s="196"/>
      <c r="F13" s="184">
        <v>157.0</v>
      </c>
      <c r="G13" s="184">
        <v>16.0</v>
      </c>
      <c r="H13" s="185">
        <v>0.102</v>
      </c>
      <c r="I13" s="183" t="s">
        <v>855</v>
      </c>
      <c r="J13" s="152" t="e">
        <v>#N/A</v>
      </c>
      <c r="K13" s="183" t="s">
        <v>32</v>
      </c>
      <c r="L13" s="196"/>
      <c r="M13" s="509"/>
      <c r="N13" s="310" t="s">
        <v>746</v>
      </c>
    </row>
    <row r="14">
      <c r="A14" s="178" t="s">
        <v>161</v>
      </c>
      <c r="B14" s="179">
        <v>190.0</v>
      </c>
      <c r="C14" s="191">
        <v>0.89</v>
      </c>
      <c r="D14" s="180">
        <v>1.0</v>
      </c>
      <c r="E14" s="192"/>
      <c r="F14" s="179">
        <v>177.0</v>
      </c>
      <c r="G14" s="179">
        <v>16.0</v>
      </c>
      <c r="H14" s="180">
        <v>0.09</v>
      </c>
      <c r="I14" s="178" t="s">
        <v>855</v>
      </c>
      <c r="J14" s="443" t="e">
        <v>#N/A</v>
      </c>
      <c r="K14" s="178" t="s">
        <v>32</v>
      </c>
      <c r="L14" s="192"/>
      <c r="M14" s="506"/>
      <c r="N14" s="310" t="s">
        <v>746</v>
      </c>
    </row>
    <row r="15">
      <c r="A15" s="183" t="s">
        <v>162</v>
      </c>
      <c r="B15" s="184">
        <v>207.0</v>
      </c>
      <c r="C15" s="195">
        <v>0.81</v>
      </c>
      <c r="D15" s="185">
        <v>1.0</v>
      </c>
      <c r="E15" s="196"/>
      <c r="F15" s="184">
        <v>196.0</v>
      </c>
      <c r="G15" s="184">
        <v>15.0</v>
      </c>
      <c r="H15" s="185">
        <v>0.077</v>
      </c>
      <c r="I15" s="183" t="s">
        <v>855</v>
      </c>
      <c r="J15" s="152" t="e">
        <v>#N/A</v>
      </c>
      <c r="K15" s="183" t="s">
        <v>32</v>
      </c>
      <c r="L15" s="196"/>
      <c r="M15" s="509"/>
      <c r="N15" s="310" t="s">
        <v>746</v>
      </c>
    </row>
    <row r="16">
      <c r="A16" s="178" t="s">
        <v>163</v>
      </c>
      <c r="B16" s="179">
        <v>181.0</v>
      </c>
      <c r="C16" s="191">
        <v>0.39</v>
      </c>
      <c r="D16" s="180">
        <v>1.0</v>
      </c>
      <c r="E16" s="192"/>
      <c r="F16" s="179">
        <v>177.0</v>
      </c>
      <c r="G16" s="179">
        <v>14.0</v>
      </c>
      <c r="H16" s="180">
        <v>0.079</v>
      </c>
      <c r="I16" s="178" t="s">
        <v>855</v>
      </c>
      <c r="J16" s="443" t="e">
        <v>#N/A</v>
      </c>
      <c r="K16" s="178" t="s">
        <v>32</v>
      </c>
      <c r="L16" s="192"/>
      <c r="M16" s="506"/>
      <c r="N16" s="310" t="s">
        <v>746</v>
      </c>
    </row>
    <row r="17">
      <c r="A17" s="183" t="s">
        <v>165</v>
      </c>
      <c r="B17" s="184">
        <v>128.0</v>
      </c>
      <c r="C17" s="195">
        <v>1.0</v>
      </c>
      <c r="D17" s="185">
        <v>1.0</v>
      </c>
      <c r="E17" s="196"/>
      <c r="F17" s="184">
        <v>127.0</v>
      </c>
      <c r="G17" s="184">
        <v>13.0</v>
      </c>
      <c r="H17" s="185">
        <v>0.102</v>
      </c>
      <c r="I17" s="183" t="s">
        <v>855</v>
      </c>
      <c r="J17" s="152" t="e">
        <v>#N/A</v>
      </c>
      <c r="K17" s="183" t="s">
        <v>32</v>
      </c>
      <c r="L17" s="196"/>
      <c r="M17" s="509"/>
      <c r="N17" s="310" t="s">
        <v>746</v>
      </c>
    </row>
    <row r="18">
      <c r="A18" s="178" t="s">
        <v>166</v>
      </c>
      <c r="B18" s="179">
        <v>134.0</v>
      </c>
      <c r="C18" s="191">
        <v>0.28</v>
      </c>
      <c r="D18" s="180">
        <v>1.0</v>
      </c>
      <c r="E18" s="192"/>
      <c r="F18" s="179">
        <v>132.0</v>
      </c>
      <c r="G18" s="179">
        <v>13.0</v>
      </c>
      <c r="H18" s="180">
        <v>0.098</v>
      </c>
      <c r="I18" s="178" t="s">
        <v>855</v>
      </c>
      <c r="J18" s="443" t="e">
        <v>#N/A</v>
      </c>
      <c r="K18" s="178" t="s">
        <v>32</v>
      </c>
      <c r="L18" s="192"/>
      <c r="M18" s="506"/>
      <c r="N18" s="310" t="s">
        <v>746</v>
      </c>
    </row>
    <row r="19">
      <c r="A19" s="183" t="s">
        <v>167</v>
      </c>
      <c r="B19" s="184">
        <v>90.0</v>
      </c>
      <c r="C19" s="195">
        <v>1.0</v>
      </c>
      <c r="D19" s="185">
        <v>1.0</v>
      </c>
      <c r="E19" s="196"/>
      <c r="F19" s="184">
        <v>85.0</v>
      </c>
      <c r="G19" s="184">
        <v>13.0</v>
      </c>
      <c r="H19" s="185">
        <v>0.153</v>
      </c>
      <c r="I19" s="183" t="s">
        <v>855</v>
      </c>
      <c r="J19" s="152" t="e">
        <v>#N/A</v>
      </c>
      <c r="K19" s="183" t="s">
        <v>32</v>
      </c>
      <c r="L19" s="196"/>
      <c r="M19" s="509"/>
      <c r="N19" s="310" t="s">
        <v>746</v>
      </c>
    </row>
    <row r="20">
      <c r="A20" s="178" t="s">
        <v>168</v>
      </c>
      <c r="B20" s="179">
        <v>175.0</v>
      </c>
      <c r="C20" s="191">
        <v>0.33</v>
      </c>
      <c r="D20" s="180">
        <v>1.0</v>
      </c>
      <c r="E20" s="192"/>
      <c r="F20" s="179">
        <v>164.0</v>
      </c>
      <c r="G20" s="179">
        <v>13.0</v>
      </c>
      <c r="H20" s="180">
        <v>0.079</v>
      </c>
      <c r="I20" s="178" t="s">
        <v>855</v>
      </c>
      <c r="J20" s="443" t="e">
        <v>#N/A</v>
      </c>
      <c r="K20" s="178" t="s">
        <v>32</v>
      </c>
      <c r="L20" s="192"/>
      <c r="M20" s="506"/>
      <c r="N20" s="310" t="s">
        <v>746</v>
      </c>
    </row>
    <row r="21">
      <c r="A21" s="183" t="s">
        <v>169</v>
      </c>
      <c r="B21" s="184">
        <v>167.0</v>
      </c>
      <c r="C21" s="195">
        <v>0.86</v>
      </c>
      <c r="D21" s="185">
        <v>1.0</v>
      </c>
      <c r="E21" s="196"/>
      <c r="F21" s="184">
        <v>163.0</v>
      </c>
      <c r="G21" s="184">
        <v>13.0</v>
      </c>
      <c r="H21" s="185">
        <v>0.08</v>
      </c>
      <c r="I21" s="183" t="s">
        <v>855</v>
      </c>
      <c r="J21" s="152" t="e">
        <v>#N/A</v>
      </c>
      <c r="K21" s="183" t="s">
        <v>32</v>
      </c>
      <c r="L21" s="196"/>
      <c r="M21" s="509"/>
      <c r="N21" s="310" t="s">
        <v>746</v>
      </c>
    </row>
    <row r="22">
      <c r="A22" s="178" t="s">
        <v>170</v>
      </c>
      <c r="B22" s="179">
        <v>145.0</v>
      </c>
      <c r="C22" s="191">
        <v>1.0</v>
      </c>
      <c r="D22" s="180">
        <v>1.0</v>
      </c>
      <c r="E22" s="192"/>
      <c r="F22" s="179">
        <v>143.0</v>
      </c>
      <c r="G22" s="179">
        <v>13.0</v>
      </c>
      <c r="H22" s="180">
        <v>0.091</v>
      </c>
      <c r="I22" s="178" t="s">
        <v>855</v>
      </c>
      <c r="J22" s="443" t="e">
        <v>#N/A</v>
      </c>
      <c r="K22" s="178" t="s">
        <v>17</v>
      </c>
      <c r="L22" s="192"/>
      <c r="M22" s="506"/>
      <c r="N22" s="310" t="s">
        <v>746</v>
      </c>
    </row>
    <row r="23">
      <c r="A23" s="183" t="s">
        <v>172</v>
      </c>
      <c r="B23" s="184">
        <v>36.0</v>
      </c>
      <c r="C23" s="195">
        <v>1.0</v>
      </c>
      <c r="D23" s="185">
        <v>1.0</v>
      </c>
      <c r="E23" s="196"/>
      <c r="F23" s="184">
        <v>32.0</v>
      </c>
      <c r="G23" s="184">
        <v>12.0</v>
      </c>
      <c r="H23" s="185">
        <v>0.375</v>
      </c>
      <c r="I23" s="183" t="s">
        <v>855</v>
      </c>
      <c r="J23" s="152" t="e">
        <v>#N/A</v>
      </c>
      <c r="K23" s="183" t="s">
        <v>17</v>
      </c>
      <c r="L23" s="196"/>
      <c r="M23" s="509"/>
      <c r="N23" s="310" t="s">
        <v>746</v>
      </c>
    </row>
    <row r="24">
      <c r="A24" s="178" t="s">
        <v>173</v>
      </c>
      <c r="B24" s="179">
        <v>119.0</v>
      </c>
      <c r="C24" s="191">
        <v>0.29</v>
      </c>
      <c r="D24" s="180">
        <v>1.0</v>
      </c>
      <c r="E24" s="192"/>
      <c r="F24" s="179">
        <v>116.0</v>
      </c>
      <c r="G24" s="179">
        <v>12.0</v>
      </c>
      <c r="H24" s="180">
        <v>0.103</v>
      </c>
      <c r="I24" s="178" t="s">
        <v>855</v>
      </c>
      <c r="J24" s="443" t="e">
        <v>#N/A</v>
      </c>
      <c r="K24" s="178" t="s">
        <v>32</v>
      </c>
      <c r="L24" s="192"/>
      <c r="M24" s="506"/>
      <c r="N24" s="310" t="s">
        <v>746</v>
      </c>
    </row>
    <row r="25">
      <c r="A25" s="183" t="s">
        <v>174</v>
      </c>
      <c r="B25" s="184">
        <v>99.0</v>
      </c>
      <c r="C25" s="195">
        <v>0.78</v>
      </c>
      <c r="D25" s="185">
        <v>1.0</v>
      </c>
      <c r="E25" s="196"/>
      <c r="F25" s="184">
        <v>92.0</v>
      </c>
      <c r="G25" s="184">
        <v>11.0</v>
      </c>
      <c r="H25" s="185">
        <v>0.12</v>
      </c>
      <c r="I25" s="183" t="s">
        <v>855</v>
      </c>
      <c r="J25" s="152" t="e">
        <v>#N/A</v>
      </c>
      <c r="K25" s="183" t="s">
        <v>32</v>
      </c>
      <c r="L25" s="196"/>
      <c r="M25" s="509"/>
      <c r="N25" s="310" t="s">
        <v>746</v>
      </c>
    </row>
    <row r="26">
      <c r="A26" s="178" t="s">
        <v>175</v>
      </c>
      <c r="B26" s="179">
        <v>95.0</v>
      </c>
      <c r="C26" s="191">
        <v>0.57</v>
      </c>
      <c r="D26" s="180">
        <v>1.0</v>
      </c>
      <c r="E26" s="192"/>
      <c r="F26" s="179">
        <v>95.0</v>
      </c>
      <c r="G26" s="179">
        <v>11.0</v>
      </c>
      <c r="H26" s="180">
        <v>0.116</v>
      </c>
      <c r="I26" s="178" t="s">
        <v>855</v>
      </c>
      <c r="J26" s="443" t="e">
        <v>#N/A</v>
      </c>
      <c r="K26" s="178" t="s">
        <v>32</v>
      </c>
      <c r="L26" s="192"/>
      <c r="M26" s="506"/>
      <c r="N26" s="310" t="s">
        <v>746</v>
      </c>
    </row>
    <row r="27">
      <c r="A27" s="183" t="s">
        <v>176</v>
      </c>
      <c r="B27" s="184">
        <v>169.0</v>
      </c>
      <c r="C27" s="195">
        <v>0.99</v>
      </c>
      <c r="D27" s="185">
        <v>1.0</v>
      </c>
      <c r="E27" s="196"/>
      <c r="F27" s="184">
        <v>166.0</v>
      </c>
      <c r="G27" s="184">
        <v>10.0</v>
      </c>
      <c r="H27" s="185">
        <v>0.06</v>
      </c>
      <c r="I27" s="183" t="s">
        <v>855</v>
      </c>
      <c r="J27" s="152" t="e">
        <v>#N/A</v>
      </c>
      <c r="K27" s="183" t="s">
        <v>32</v>
      </c>
      <c r="L27" s="196"/>
      <c r="M27" s="509"/>
      <c r="N27" s="310" t="s">
        <v>746</v>
      </c>
    </row>
    <row r="28">
      <c r="A28" s="178" t="s">
        <v>75</v>
      </c>
      <c r="B28" s="179">
        <v>137.0</v>
      </c>
      <c r="C28" s="191">
        <v>0.33</v>
      </c>
      <c r="D28" s="180">
        <v>1.0</v>
      </c>
      <c r="E28" s="192"/>
      <c r="F28" s="179">
        <v>142.0</v>
      </c>
      <c r="G28" s="179">
        <v>10.0</v>
      </c>
      <c r="H28" s="180">
        <v>0.07</v>
      </c>
      <c r="I28" s="178" t="s">
        <v>855</v>
      </c>
      <c r="J28" s="443" t="e">
        <v>#N/A</v>
      </c>
      <c r="K28" s="178" t="s">
        <v>32</v>
      </c>
      <c r="L28" s="192"/>
      <c r="M28" s="506"/>
      <c r="N28" s="310" t="s">
        <v>746</v>
      </c>
    </row>
    <row r="29">
      <c r="A29" s="183" t="s">
        <v>177</v>
      </c>
      <c r="B29" s="184">
        <v>167.0</v>
      </c>
      <c r="C29" s="195">
        <v>0.63</v>
      </c>
      <c r="D29" s="185">
        <v>1.0</v>
      </c>
      <c r="E29" s="196"/>
      <c r="F29" s="184">
        <v>163.0</v>
      </c>
      <c r="G29" s="184">
        <v>10.0</v>
      </c>
      <c r="H29" s="185">
        <v>0.061</v>
      </c>
      <c r="I29" s="183" t="s">
        <v>855</v>
      </c>
      <c r="J29" s="152" t="e">
        <v>#N/A</v>
      </c>
      <c r="K29" s="183" t="s">
        <v>32</v>
      </c>
      <c r="L29" s="196"/>
      <c r="M29" s="509"/>
      <c r="N29" s="310" t="s">
        <v>746</v>
      </c>
    </row>
    <row r="30">
      <c r="A30" s="178" t="s">
        <v>178</v>
      </c>
      <c r="B30" s="179">
        <v>165.0</v>
      </c>
      <c r="C30" s="191">
        <v>0.22</v>
      </c>
      <c r="D30" s="180">
        <v>1.0</v>
      </c>
      <c r="E30" s="192"/>
      <c r="F30" s="179">
        <v>161.0</v>
      </c>
      <c r="G30" s="179">
        <v>10.0</v>
      </c>
      <c r="H30" s="180">
        <v>0.062</v>
      </c>
      <c r="I30" s="178" t="s">
        <v>855</v>
      </c>
      <c r="J30" s="443" t="e">
        <v>#N/A</v>
      </c>
      <c r="K30" s="178" t="s">
        <v>32</v>
      </c>
      <c r="L30" s="192"/>
      <c r="M30" s="506"/>
      <c r="N30" s="310" t="s">
        <v>746</v>
      </c>
    </row>
    <row r="31">
      <c r="A31" s="183" t="s">
        <v>179</v>
      </c>
      <c r="B31" s="184">
        <v>85.0</v>
      </c>
      <c r="C31" s="195">
        <v>0.23</v>
      </c>
      <c r="D31" s="185">
        <v>1.0</v>
      </c>
      <c r="E31" s="196"/>
      <c r="F31" s="184">
        <v>78.0</v>
      </c>
      <c r="G31" s="184">
        <v>10.0</v>
      </c>
      <c r="H31" s="185">
        <v>0.128</v>
      </c>
      <c r="I31" s="183" t="s">
        <v>855</v>
      </c>
      <c r="J31" s="152" t="e">
        <v>#N/A</v>
      </c>
      <c r="K31" s="183" t="s">
        <v>17</v>
      </c>
      <c r="L31" s="196"/>
      <c r="M31" s="509"/>
      <c r="N31" s="310" t="s">
        <v>746</v>
      </c>
    </row>
    <row r="32">
      <c r="A32" s="178" t="s">
        <v>180</v>
      </c>
      <c r="B32" s="179">
        <v>103.0</v>
      </c>
      <c r="C32" s="191">
        <v>1.0</v>
      </c>
      <c r="D32" s="180">
        <v>1.0</v>
      </c>
      <c r="E32" s="192"/>
      <c r="F32" s="179">
        <v>99.0</v>
      </c>
      <c r="G32" s="179">
        <v>9.0</v>
      </c>
      <c r="H32" s="180">
        <v>0.091</v>
      </c>
      <c r="I32" s="178" t="s">
        <v>855</v>
      </c>
      <c r="J32" s="443" t="e">
        <v>#N/A</v>
      </c>
      <c r="K32" s="178" t="s">
        <v>32</v>
      </c>
      <c r="L32" s="192"/>
      <c r="M32" s="506"/>
      <c r="N32" s="310" t="s">
        <v>746</v>
      </c>
    </row>
    <row r="33">
      <c r="A33" s="183" t="s">
        <v>181</v>
      </c>
      <c r="B33" s="184">
        <v>139.0</v>
      </c>
      <c r="C33" s="195">
        <v>0.14</v>
      </c>
      <c r="D33" s="185">
        <v>1.0</v>
      </c>
      <c r="E33" s="196"/>
      <c r="F33" s="184">
        <v>137.0</v>
      </c>
      <c r="G33" s="184">
        <v>9.0</v>
      </c>
      <c r="H33" s="185">
        <v>0.066</v>
      </c>
      <c r="I33" s="183" t="s">
        <v>855</v>
      </c>
      <c r="J33" s="152" t="e">
        <v>#N/A</v>
      </c>
      <c r="K33" s="183" t="s">
        <v>32</v>
      </c>
      <c r="L33" s="196"/>
      <c r="M33" s="509"/>
      <c r="N33" s="310" t="s">
        <v>746</v>
      </c>
    </row>
    <row r="34">
      <c r="A34" s="178" t="s">
        <v>182</v>
      </c>
      <c r="B34" s="179">
        <v>52.0</v>
      </c>
      <c r="C34" s="191">
        <v>0.11</v>
      </c>
      <c r="D34" s="180">
        <v>1.0</v>
      </c>
      <c r="E34" s="192"/>
      <c r="F34" s="179">
        <v>51.0</v>
      </c>
      <c r="G34" s="179">
        <v>9.0</v>
      </c>
      <c r="H34" s="180">
        <v>0.176</v>
      </c>
      <c r="I34" s="178" t="s">
        <v>855</v>
      </c>
      <c r="J34" s="443" t="e">
        <v>#N/A</v>
      </c>
      <c r="K34" s="178" t="s">
        <v>32</v>
      </c>
      <c r="L34" s="192"/>
      <c r="M34" s="506"/>
      <c r="N34" s="310" t="s">
        <v>746</v>
      </c>
    </row>
    <row r="35">
      <c r="A35" s="183" t="s">
        <v>183</v>
      </c>
      <c r="B35" s="184">
        <v>72.0</v>
      </c>
      <c r="C35" s="195">
        <v>0.58</v>
      </c>
      <c r="D35" s="185">
        <v>1.0</v>
      </c>
      <c r="E35" s="196"/>
      <c r="F35" s="184">
        <v>72.0</v>
      </c>
      <c r="G35" s="184">
        <v>9.0</v>
      </c>
      <c r="H35" s="185">
        <v>0.125</v>
      </c>
      <c r="I35" s="183" t="s">
        <v>855</v>
      </c>
      <c r="J35" s="152" t="e">
        <v>#N/A</v>
      </c>
      <c r="K35" s="183" t="s">
        <v>32</v>
      </c>
      <c r="L35" s="196"/>
      <c r="M35" s="509"/>
      <c r="N35" s="310" t="s">
        <v>746</v>
      </c>
    </row>
    <row r="36">
      <c r="A36" s="178" t="s">
        <v>184</v>
      </c>
      <c r="B36" s="179">
        <v>43.0</v>
      </c>
      <c r="C36" s="191">
        <v>0.23</v>
      </c>
      <c r="D36" s="180">
        <v>1.0</v>
      </c>
      <c r="E36" s="192"/>
      <c r="F36" s="179">
        <v>35.0</v>
      </c>
      <c r="G36" s="179">
        <v>9.0</v>
      </c>
      <c r="H36" s="180">
        <v>0.257</v>
      </c>
      <c r="I36" s="178" t="s">
        <v>855</v>
      </c>
      <c r="J36" s="443" t="e">
        <v>#N/A</v>
      </c>
      <c r="K36" s="178" t="s">
        <v>32</v>
      </c>
      <c r="L36" s="192"/>
      <c r="M36" s="506"/>
      <c r="N36" s="310" t="s">
        <v>746</v>
      </c>
    </row>
    <row r="37">
      <c r="A37" s="183" t="s">
        <v>185</v>
      </c>
      <c r="B37" s="184">
        <v>98.0</v>
      </c>
      <c r="C37" s="195">
        <v>0.78</v>
      </c>
      <c r="D37" s="185">
        <v>1.0</v>
      </c>
      <c r="E37" s="196"/>
      <c r="F37" s="184">
        <v>94.0</v>
      </c>
      <c r="G37" s="184">
        <v>9.0</v>
      </c>
      <c r="H37" s="185">
        <v>0.096</v>
      </c>
      <c r="I37" s="183" t="s">
        <v>855</v>
      </c>
      <c r="J37" s="152" t="e">
        <v>#N/A</v>
      </c>
      <c r="K37" s="183" t="s">
        <v>32</v>
      </c>
      <c r="L37" s="196"/>
      <c r="M37" s="509"/>
      <c r="N37" s="310" t="s">
        <v>746</v>
      </c>
    </row>
    <row r="38">
      <c r="A38" s="178" t="s">
        <v>186</v>
      </c>
      <c r="B38" s="179">
        <v>103.0</v>
      </c>
      <c r="C38" s="191">
        <v>1.0</v>
      </c>
      <c r="D38" s="180">
        <v>1.0</v>
      </c>
      <c r="E38" s="192"/>
      <c r="F38" s="179">
        <v>98.0</v>
      </c>
      <c r="G38" s="179">
        <v>9.0</v>
      </c>
      <c r="H38" s="180">
        <v>0.092</v>
      </c>
      <c r="I38" s="178" t="s">
        <v>855</v>
      </c>
      <c r="J38" s="443" t="e">
        <v>#N/A</v>
      </c>
      <c r="K38" s="178" t="s">
        <v>32</v>
      </c>
      <c r="L38" s="192"/>
      <c r="M38" s="506"/>
      <c r="N38" s="310" t="s">
        <v>746</v>
      </c>
    </row>
    <row r="39">
      <c r="A39" s="183" t="s">
        <v>187</v>
      </c>
      <c r="B39" s="184">
        <v>138.0</v>
      </c>
      <c r="C39" s="195">
        <v>0.63</v>
      </c>
      <c r="D39" s="185">
        <v>1.0</v>
      </c>
      <c r="E39" s="196"/>
      <c r="F39" s="184">
        <v>136.0</v>
      </c>
      <c r="G39" s="184">
        <v>8.0</v>
      </c>
      <c r="H39" s="185">
        <v>0.059</v>
      </c>
      <c r="I39" s="183" t="s">
        <v>855</v>
      </c>
      <c r="J39" s="152" t="e">
        <v>#N/A</v>
      </c>
      <c r="K39" s="183" t="s">
        <v>32</v>
      </c>
      <c r="L39" s="196"/>
      <c r="M39" s="509"/>
      <c r="N39" s="310" t="s">
        <v>746</v>
      </c>
    </row>
    <row r="40">
      <c r="A40" s="178" t="s">
        <v>188</v>
      </c>
      <c r="B40" s="179">
        <v>35.0</v>
      </c>
      <c r="C40" s="191">
        <v>0.42</v>
      </c>
      <c r="D40" s="180">
        <v>1.0</v>
      </c>
      <c r="E40" s="192"/>
      <c r="F40" s="179">
        <v>31.0</v>
      </c>
      <c r="G40" s="179">
        <v>8.0</v>
      </c>
      <c r="H40" s="180">
        <v>0.258</v>
      </c>
      <c r="I40" s="178" t="s">
        <v>855</v>
      </c>
      <c r="J40" s="443" t="e">
        <v>#N/A</v>
      </c>
      <c r="K40" s="178" t="s">
        <v>17</v>
      </c>
      <c r="L40" s="192"/>
      <c r="M40" s="506"/>
      <c r="N40" s="310" t="s">
        <v>746</v>
      </c>
    </row>
    <row r="41">
      <c r="A41" s="183" t="s">
        <v>189</v>
      </c>
      <c r="B41" s="184">
        <v>60.0</v>
      </c>
      <c r="C41" s="195">
        <v>0.21</v>
      </c>
      <c r="D41" s="185">
        <v>1.0</v>
      </c>
      <c r="E41" s="196"/>
      <c r="F41" s="184">
        <v>57.0</v>
      </c>
      <c r="G41" s="184">
        <v>8.0</v>
      </c>
      <c r="H41" s="185">
        <v>0.14</v>
      </c>
      <c r="I41" s="183" t="s">
        <v>855</v>
      </c>
      <c r="J41" s="152" t="e">
        <v>#N/A</v>
      </c>
      <c r="K41" s="183" t="s">
        <v>32</v>
      </c>
      <c r="L41" s="196"/>
      <c r="M41" s="509"/>
      <c r="N41" s="310" t="s">
        <v>746</v>
      </c>
    </row>
    <row r="42">
      <c r="A42" s="178" t="s">
        <v>190</v>
      </c>
      <c r="B42" s="179">
        <v>139.0</v>
      </c>
      <c r="C42" s="191">
        <v>0.3</v>
      </c>
      <c r="D42" s="180">
        <v>1.0</v>
      </c>
      <c r="E42" s="192"/>
      <c r="F42" s="179">
        <v>134.0</v>
      </c>
      <c r="G42" s="179">
        <v>8.0</v>
      </c>
      <c r="H42" s="180">
        <v>0.06</v>
      </c>
      <c r="I42" s="178" t="s">
        <v>855</v>
      </c>
      <c r="J42" s="443" t="e">
        <v>#N/A</v>
      </c>
      <c r="K42" s="178" t="s">
        <v>32</v>
      </c>
      <c r="L42" s="192"/>
      <c r="M42" s="506"/>
      <c r="N42" s="310" t="s">
        <v>746</v>
      </c>
    </row>
    <row r="43">
      <c r="A43" s="183" t="s">
        <v>191</v>
      </c>
      <c r="B43" s="184">
        <v>79.0</v>
      </c>
      <c r="C43" s="195">
        <v>0.04</v>
      </c>
      <c r="D43" s="185">
        <v>1.0</v>
      </c>
      <c r="E43" s="196"/>
      <c r="F43" s="184">
        <v>75.0</v>
      </c>
      <c r="G43" s="184">
        <v>7.0</v>
      </c>
      <c r="H43" s="185">
        <v>0.093</v>
      </c>
      <c r="I43" s="183" t="s">
        <v>855</v>
      </c>
      <c r="J43" s="152" t="e">
        <v>#N/A</v>
      </c>
      <c r="K43" s="183" t="s">
        <v>17</v>
      </c>
      <c r="L43" s="196"/>
      <c r="M43" s="509"/>
      <c r="N43" s="310" t="s">
        <v>746</v>
      </c>
    </row>
    <row r="44">
      <c r="A44" s="178" t="s">
        <v>192</v>
      </c>
      <c r="B44" s="179">
        <v>119.0</v>
      </c>
      <c r="C44" s="191">
        <v>0.12</v>
      </c>
      <c r="D44" s="180">
        <v>1.0</v>
      </c>
      <c r="E44" s="192"/>
      <c r="F44" s="179">
        <v>115.0</v>
      </c>
      <c r="G44" s="179">
        <v>7.0</v>
      </c>
      <c r="H44" s="180">
        <v>0.061</v>
      </c>
      <c r="I44" s="178" t="s">
        <v>855</v>
      </c>
      <c r="J44" s="443" t="e">
        <v>#N/A</v>
      </c>
      <c r="K44" s="178" t="s">
        <v>32</v>
      </c>
      <c r="L44" s="192"/>
      <c r="M44" s="506"/>
      <c r="N44" s="310" t="s">
        <v>746</v>
      </c>
    </row>
    <row r="45">
      <c r="A45" s="183" t="s">
        <v>193</v>
      </c>
      <c r="B45" s="184">
        <v>107.0</v>
      </c>
      <c r="C45" s="195">
        <v>0.36</v>
      </c>
      <c r="D45" s="185">
        <v>1.0</v>
      </c>
      <c r="E45" s="196"/>
      <c r="F45" s="184">
        <v>108.0</v>
      </c>
      <c r="G45" s="184">
        <v>7.0</v>
      </c>
      <c r="H45" s="185">
        <v>0.065</v>
      </c>
      <c r="I45" s="183" t="s">
        <v>855</v>
      </c>
      <c r="J45" s="152" t="e">
        <v>#N/A</v>
      </c>
      <c r="K45" s="183" t="s">
        <v>32</v>
      </c>
      <c r="L45" s="196"/>
      <c r="M45" s="509"/>
      <c r="N45" s="310" t="s">
        <v>746</v>
      </c>
    </row>
    <row r="46">
      <c r="A46" s="178" t="s">
        <v>194</v>
      </c>
      <c r="B46" s="179">
        <v>41.0</v>
      </c>
      <c r="C46" s="191">
        <v>0.07</v>
      </c>
      <c r="D46" s="180">
        <v>1.0</v>
      </c>
      <c r="E46" s="192"/>
      <c r="F46" s="179">
        <v>39.0</v>
      </c>
      <c r="G46" s="179">
        <v>7.0</v>
      </c>
      <c r="H46" s="180">
        <v>0.179</v>
      </c>
      <c r="I46" s="178" t="s">
        <v>855</v>
      </c>
      <c r="J46" s="443" t="e">
        <v>#N/A</v>
      </c>
      <c r="K46" s="178" t="s">
        <v>32</v>
      </c>
      <c r="L46" s="192"/>
      <c r="M46" s="506"/>
      <c r="N46" s="310" t="s">
        <v>746</v>
      </c>
    </row>
    <row r="47">
      <c r="A47" s="183" t="s">
        <v>195</v>
      </c>
      <c r="B47" s="184">
        <v>142.0</v>
      </c>
      <c r="C47" s="195">
        <v>0.24</v>
      </c>
      <c r="D47" s="185">
        <v>1.0</v>
      </c>
      <c r="E47" s="196"/>
      <c r="F47" s="184">
        <v>140.0</v>
      </c>
      <c r="G47" s="184">
        <v>7.0</v>
      </c>
      <c r="H47" s="185">
        <v>0.05</v>
      </c>
      <c r="I47" s="183" t="s">
        <v>855</v>
      </c>
      <c r="J47" s="152" t="e">
        <v>#N/A</v>
      </c>
      <c r="K47" s="183" t="s">
        <v>32</v>
      </c>
      <c r="L47" s="196"/>
      <c r="M47" s="509"/>
      <c r="N47" s="310" t="s">
        <v>746</v>
      </c>
    </row>
    <row r="48">
      <c r="A48" s="178" t="s">
        <v>196</v>
      </c>
      <c r="B48" s="179">
        <v>47.0</v>
      </c>
      <c r="C48" s="191">
        <v>0.21</v>
      </c>
      <c r="D48" s="180">
        <v>1.0</v>
      </c>
      <c r="E48" s="192"/>
      <c r="F48" s="179">
        <v>48.0</v>
      </c>
      <c r="G48" s="179">
        <v>7.0</v>
      </c>
      <c r="H48" s="180">
        <v>0.146</v>
      </c>
      <c r="I48" s="178" t="s">
        <v>855</v>
      </c>
      <c r="J48" s="443" t="e">
        <v>#N/A</v>
      </c>
      <c r="K48" s="178" t="s">
        <v>32</v>
      </c>
      <c r="L48" s="192"/>
      <c r="M48" s="506"/>
      <c r="N48" s="310" t="s">
        <v>746</v>
      </c>
    </row>
    <row r="49">
      <c r="A49" s="183" t="s">
        <v>1801</v>
      </c>
      <c r="B49" s="184">
        <v>24.0</v>
      </c>
      <c r="C49" s="195">
        <v>0.09</v>
      </c>
      <c r="D49" s="185">
        <v>1.0</v>
      </c>
      <c r="E49" s="196"/>
      <c r="F49" s="184">
        <v>24.0</v>
      </c>
      <c r="G49" s="184">
        <v>6.0</v>
      </c>
      <c r="H49" s="185">
        <v>0.25</v>
      </c>
      <c r="I49" s="183" t="s">
        <v>855</v>
      </c>
      <c r="J49" s="152" t="e">
        <v>#N/A</v>
      </c>
      <c r="K49" s="183" t="s">
        <v>17</v>
      </c>
      <c r="L49" s="196"/>
      <c r="M49" s="509"/>
      <c r="N49" s="310" t="s">
        <v>746</v>
      </c>
    </row>
    <row r="50">
      <c r="A50" s="178" t="s">
        <v>527</v>
      </c>
      <c r="B50" s="179">
        <v>93.0</v>
      </c>
      <c r="C50" s="191">
        <v>0.41</v>
      </c>
      <c r="D50" s="180">
        <v>1.0</v>
      </c>
      <c r="E50" s="192"/>
      <c r="F50" s="179">
        <v>93.0</v>
      </c>
      <c r="G50" s="179">
        <v>6.0</v>
      </c>
      <c r="H50" s="180">
        <v>0.065</v>
      </c>
      <c r="I50" s="178" t="s">
        <v>855</v>
      </c>
      <c r="J50" s="443" t="e">
        <v>#N/A</v>
      </c>
      <c r="K50" s="178" t="s">
        <v>1802</v>
      </c>
      <c r="L50" s="192"/>
      <c r="M50" s="506"/>
      <c r="N50" s="310" t="s">
        <v>746</v>
      </c>
    </row>
    <row r="51">
      <c r="A51" s="183" t="s">
        <v>197</v>
      </c>
      <c r="B51" s="184">
        <v>43.0</v>
      </c>
      <c r="C51" s="195">
        <v>0.15</v>
      </c>
      <c r="D51" s="185">
        <v>1.0</v>
      </c>
      <c r="E51" s="196"/>
      <c r="F51" s="184">
        <v>43.0</v>
      </c>
      <c r="G51" s="184">
        <v>6.0</v>
      </c>
      <c r="H51" s="185">
        <v>0.14</v>
      </c>
      <c r="I51" s="183" t="s">
        <v>855</v>
      </c>
      <c r="J51" s="152" t="e">
        <v>#N/A</v>
      </c>
      <c r="K51" s="183" t="s">
        <v>32</v>
      </c>
      <c r="L51" s="196"/>
      <c r="M51" s="509"/>
      <c r="N51" s="310" t="s">
        <v>746</v>
      </c>
    </row>
    <row r="52">
      <c r="A52" s="178" t="s">
        <v>198</v>
      </c>
      <c r="B52" s="179">
        <v>78.0</v>
      </c>
      <c r="C52" s="191">
        <v>0.26</v>
      </c>
      <c r="D52" s="180">
        <v>1.0</v>
      </c>
      <c r="E52" s="192"/>
      <c r="F52" s="179">
        <v>68.0</v>
      </c>
      <c r="G52" s="179">
        <v>6.0</v>
      </c>
      <c r="H52" s="180">
        <v>0.088</v>
      </c>
      <c r="I52" s="178" t="s">
        <v>855</v>
      </c>
      <c r="J52" s="443" t="e">
        <v>#N/A</v>
      </c>
      <c r="K52" s="178" t="s">
        <v>32</v>
      </c>
      <c r="L52" s="192"/>
      <c r="M52" s="506"/>
      <c r="N52" s="310" t="s">
        <v>746</v>
      </c>
    </row>
    <row r="53">
      <c r="A53" s="183" t="s">
        <v>199</v>
      </c>
      <c r="B53" s="184">
        <v>50.0</v>
      </c>
      <c r="C53" s="195">
        <v>0.81</v>
      </c>
      <c r="D53" s="185">
        <v>1.0</v>
      </c>
      <c r="E53" s="196"/>
      <c r="F53" s="184">
        <v>50.0</v>
      </c>
      <c r="G53" s="184">
        <v>6.0</v>
      </c>
      <c r="H53" s="185">
        <v>0.12</v>
      </c>
      <c r="I53" s="183" t="s">
        <v>855</v>
      </c>
      <c r="J53" s="152" t="e">
        <v>#N/A</v>
      </c>
      <c r="K53" s="183" t="s">
        <v>32</v>
      </c>
      <c r="L53" s="196"/>
      <c r="M53" s="509"/>
      <c r="N53" s="310" t="s">
        <v>746</v>
      </c>
    </row>
    <row r="54">
      <c r="A54" s="178" t="s">
        <v>200</v>
      </c>
      <c r="B54" s="179">
        <v>9.0</v>
      </c>
      <c r="C54" s="191">
        <v>0.82</v>
      </c>
      <c r="D54" s="180">
        <v>1.0</v>
      </c>
      <c r="E54" s="192"/>
      <c r="F54" s="179">
        <v>8.0</v>
      </c>
      <c r="G54" s="179">
        <v>6.0</v>
      </c>
      <c r="H54" s="180">
        <v>0.75</v>
      </c>
      <c r="I54" s="178" t="s">
        <v>855</v>
      </c>
      <c r="J54" s="443" t="e">
        <v>#N/A</v>
      </c>
      <c r="K54" s="178" t="s">
        <v>17</v>
      </c>
      <c r="L54" s="192"/>
      <c r="M54" s="506"/>
      <c r="N54" s="310" t="s">
        <v>746</v>
      </c>
    </row>
    <row r="55">
      <c r="A55" s="183" t="s">
        <v>201</v>
      </c>
      <c r="B55" s="184">
        <v>118.0</v>
      </c>
      <c r="C55" s="195">
        <v>0.11</v>
      </c>
      <c r="D55" s="185">
        <v>1.0</v>
      </c>
      <c r="E55" s="196"/>
      <c r="F55" s="184">
        <v>117.0</v>
      </c>
      <c r="G55" s="184">
        <v>6.0</v>
      </c>
      <c r="H55" s="185">
        <v>0.051</v>
      </c>
      <c r="I55" s="183" t="s">
        <v>855</v>
      </c>
      <c r="J55" s="152" t="e">
        <v>#N/A</v>
      </c>
      <c r="K55" s="183" t="s">
        <v>17</v>
      </c>
      <c r="L55" s="196"/>
      <c r="M55" s="509"/>
      <c r="N55" s="310" t="s">
        <v>746</v>
      </c>
    </row>
    <row r="56">
      <c r="A56" s="178" t="s">
        <v>202</v>
      </c>
      <c r="B56" s="179">
        <v>101.0</v>
      </c>
      <c r="C56" s="191">
        <v>0.64</v>
      </c>
      <c r="D56" s="180">
        <v>1.0</v>
      </c>
      <c r="E56" s="192"/>
      <c r="F56" s="179">
        <v>97.0</v>
      </c>
      <c r="G56" s="179">
        <v>6.0</v>
      </c>
      <c r="H56" s="180">
        <v>0.062</v>
      </c>
      <c r="I56" s="178" t="s">
        <v>855</v>
      </c>
      <c r="J56" s="443" t="e">
        <v>#N/A</v>
      </c>
      <c r="K56" s="178" t="s">
        <v>32</v>
      </c>
      <c r="L56" s="192"/>
      <c r="M56" s="506"/>
      <c r="N56" s="310" t="s">
        <v>746</v>
      </c>
    </row>
    <row r="57">
      <c r="A57" s="183" t="s">
        <v>203</v>
      </c>
      <c r="B57" s="184">
        <v>59.0</v>
      </c>
      <c r="C57" s="195">
        <v>0.27</v>
      </c>
      <c r="D57" s="185">
        <v>1.0</v>
      </c>
      <c r="E57" s="196"/>
      <c r="F57" s="184">
        <v>54.0</v>
      </c>
      <c r="G57" s="184">
        <v>6.0</v>
      </c>
      <c r="H57" s="185">
        <v>0.111</v>
      </c>
      <c r="I57" s="183" t="s">
        <v>855</v>
      </c>
      <c r="J57" s="152" t="e">
        <v>#N/A</v>
      </c>
      <c r="K57" s="183" t="s">
        <v>32</v>
      </c>
      <c r="L57" s="196"/>
      <c r="M57" s="509"/>
      <c r="N57" s="310" t="s">
        <v>746</v>
      </c>
    </row>
    <row r="58">
      <c r="A58" s="178" t="s">
        <v>204</v>
      </c>
      <c r="B58" s="179">
        <v>44.0</v>
      </c>
      <c r="C58" s="183">
        <v>0.36</v>
      </c>
      <c r="D58" s="180">
        <v>1.0</v>
      </c>
      <c r="E58" s="192"/>
      <c r="F58" s="179">
        <v>43.0</v>
      </c>
      <c r="G58" s="179">
        <v>6.0</v>
      </c>
      <c r="H58" s="180">
        <v>0.14</v>
      </c>
      <c r="I58" s="178" t="s">
        <v>855</v>
      </c>
      <c r="J58" s="443" t="e">
        <v>#N/A</v>
      </c>
      <c r="K58" s="178" t="s">
        <v>32</v>
      </c>
      <c r="L58" s="192"/>
      <c r="M58" s="506"/>
      <c r="N58" s="310" t="s">
        <v>746</v>
      </c>
    </row>
    <row r="59">
      <c r="A59" s="183" t="s">
        <v>205</v>
      </c>
      <c r="B59" s="184">
        <v>56.0</v>
      </c>
      <c r="C59" s="195">
        <v>0.86</v>
      </c>
      <c r="D59" s="185">
        <v>1.0</v>
      </c>
      <c r="E59" s="196"/>
      <c r="F59" s="184">
        <v>53.0</v>
      </c>
      <c r="G59" s="184">
        <v>6.0</v>
      </c>
      <c r="H59" s="185">
        <v>0.113</v>
      </c>
      <c r="I59" s="183" t="s">
        <v>855</v>
      </c>
      <c r="J59" s="152" t="e">
        <v>#N/A</v>
      </c>
      <c r="K59" s="183" t="s">
        <v>32</v>
      </c>
      <c r="L59" s="196"/>
      <c r="M59" s="509"/>
      <c r="N59" s="310" t="s">
        <v>746</v>
      </c>
    </row>
    <row r="60">
      <c r="A60" s="510" t="s">
        <v>206</v>
      </c>
      <c r="B60" s="179">
        <v>61.0</v>
      </c>
      <c r="C60" s="191">
        <v>0.63</v>
      </c>
      <c r="D60" s="180">
        <v>1.0</v>
      </c>
      <c r="E60" s="192"/>
      <c r="F60" s="179">
        <v>60.0</v>
      </c>
      <c r="G60" s="179">
        <v>6.0</v>
      </c>
      <c r="H60" s="180">
        <v>0.1</v>
      </c>
      <c r="I60" s="178" t="s">
        <v>855</v>
      </c>
      <c r="J60" s="443" t="e">
        <v>#N/A</v>
      </c>
      <c r="K60" s="178" t="s">
        <v>32</v>
      </c>
      <c r="L60" s="192"/>
      <c r="M60" s="506"/>
      <c r="N60" s="310" t="s">
        <v>746</v>
      </c>
    </row>
    <row r="61">
      <c r="A61" s="510" t="s">
        <v>207</v>
      </c>
      <c r="B61" s="184">
        <v>97.0</v>
      </c>
      <c r="C61" s="195">
        <v>0.2</v>
      </c>
      <c r="D61" s="185">
        <v>1.0</v>
      </c>
      <c r="E61" s="196"/>
      <c r="F61" s="184">
        <v>95.0</v>
      </c>
      <c r="G61" s="184">
        <v>5.0</v>
      </c>
      <c r="H61" s="185">
        <v>0.053</v>
      </c>
      <c r="I61" s="183" t="s">
        <v>855</v>
      </c>
      <c r="J61" s="152" t="e">
        <v>#N/A</v>
      </c>
      <c r="K61" s="183" t="s">
        <v>32</v>
      </c>
      <c r="L61" s="196"/>
      <c r="M61" s="509"/>
      <c r="N61" s="310" t="s">
        <v>746</v>
      </c>
    </row>
    <row r="62">
      <c r="A62" s="178" t="s">
        <v>208</v>
      </c>
      <c r="B62" s="179">
        <v>9.0</v>
      </c>
      <c r="C62" s="191">
        <v>0.03</v>
      </c>
      <c r="D62" s="180">
        <v>1.0</v>
      </c>
      <c r="E62" s="192"/>
      <c r="F62" s="179">
        <v>9.0</v>
      </c>
      <c r="G62" s="179">
        <v>5.0</v>
      </c>
      <c r="H62" s="180">
        <v>0.556</v>
      </c>
      <c r="I62" s="178" t="s">
        <v>855</v>
      </c>
      <c r="J62" s="443" t="e">
        <v>#N/A</v>
      </c>
      <c r="K62" s="178" t="s">
        <v>17</v>
      </c>
      <c r="L62" s="192"/>
      <c r="M62" s="506"/>
      <c r="N62" s="310" t="s">
        <v>746</v>
      </c>
    </row>
    <row r="63">
      <c r="A63" s="183" t="s">
        <v>209</v>
      </c>
      <c r="B63" s="184">
        <v>38.0</v>
      </c>
      <c r="C63" s="195">
        <v>0.08</v>
      </c>
      <c r="D63" s="185">
        <v>1.0</v>
      </c>
      <c r="E63" s="196"/>
      <c r="F63" s="184">
        <v>38.0</v>
      </c>
      <c r="G63" s="184">
        <v>5.0</v>
      </c>
      <c r="H63" s="185">
        <v>0.132</v>
      </c>
      <c r="I63" s="183" t="s">
        <v>855</v>
      </c>
      <c r="J63" s="152" t="e">
        <v>#N/A</v>
      </c>
      <c r="K63" s="183" t="s">
        <v>17</v>
      </c>
      <c r="L63" s="196"/>
      <c r="M63" s="509"/>
      <c r="N63" s="310" t="s">
        <v>746</v>
      </c>
    </row>
    <row r="64">
      <c r="A64" s="178" t="s">
        <v>210</v>
      </c>
      <c r="B64" s="179">
        <v>80.0</v>
      </c>
      <c r="C64" s="191">
        <v>0.08</v>
      </c>
      <c r="D64" s="180">
        <v>1.0</v>
      </c>
      <c r="E64" s="192"/>
      <c r="F64" s="179">
        <v>80.0</v>
      </c>
      <c r="G64" s="179">
        <v>5.0</v>
      </c>
      <c r="H64" s="180">
        <v>0.063</v>
      </c>
      <c r="I64" s="178" t="s">
        <v>855</v>
      </c>
      <c r="J64" s="443" t="e">
        <v>#N/A</v>
      </c>
      <c r="K64" s="178" t="s">
        <v>17</v>
      </c>
      <c r="L64" s="192"/>
      <c r="M64" s="506"/>
      <c r="N64" s="310" t="s">
        <v>746</v>
      </c>
    </row>
    <row r="65">
      <c r="A65" s="183" t="s">
        <v>211</v>
      </c>
      <c r="B65" s="184">
        <v>25.0</v>
      </c>
      <c r="C65" s="195">
        <v>0.17</v>
      </c>
      <c r="D65" s="185">
        <v>1.0</v>
      </c>
      <c r="E65" s="196"/>
      <c r="F65" s="184">
        <v>16.0</v>
      </c>
      <c r="G65" s="184">
        <v>5.0</v>
      </c>
      <c r="H65" s="185">
        <v>0.313</v>
      </c>
      <c r="I65" s="183" t="s">
        <v>855</v>
      </c>
      <c r="J65" s="152" t="e">
        <v>#N/A</v>
      </c>
      <c r="K65" s="183" t="s">
        <v>17</v>
      </c>
      <c r="L65" s="196"/>
      <c r="M65" s="509"/>
      <c r="N65" s="310" t="s">
        <v>746</v>
      </c>
    </row>
    <row r="66">
      <c r="A66" s="511" t="s">
        <v>212</v>
      </c>
      <c r="B66" s="179">
        <v>59.0</v>
      </c>
      <c r="C66" s="191">
        <v>0.5</v>
      </c>
      <c r="D66" s="180">
        <v>1.0</v>
      </c>
      <c r="E66" s="192"/>
      <c r="F66" s="179">
        <v>53.0</v>
      </c>
      <c r="G66" s="179">
        <v>5.0</v>
      </c>
      <c r="H66" s="180">
        <v>0.094</v>
      </c>
      <c r="I66" s="178" t="s">
        <v>855</v>
      </c>
      <c r="J66" s="443" t="e">
        <v>#N/A</v>
      </c>
      <c r="K66" s="178" t="s">
        <v>17</v>
      </c>
      <c r="L66" s="192"/>
      <c r="M66" s="506"/>
      <c r="N66" s="310" t="s">
        <v>746</v>
      </c>
    </row>
    <row r="67">
      <c r="A67" s="183" t="s">
        <v>1803</v>
      </c>
      <c r="B67" s="184">
        <v>32.0</v>
      </c>
      <c r="C67" s="195">
        <v>0.33</v>
      </c>
      <c r="D67" s="185">
        <v>1.0</v>
      </c>
      <c r="E67" s="196"/>
      <c r="F67" s="184">
        <v>32.0</v>
      </c>
      <c r="G67" s="184">
        <v>5.0</v>
      </c>
      <c r="H67" s="185">
        <v>0.156</v>
      </c>
      <c r="I67" s="183" t="s">
        <v>855</v>
      </c>
      <c r="J67" s="152" t="e">
        <v>#N/A</v>
      </c>
      <c r="K67" s="183" t="s">
        <v>32</v>
      </c>
      <c r="L67" s="196"/>
      <c r="M67" s="509"/>
    </row>
    <row r="68">
      <c r="A68" s="178" t="s">
        <v>1804</v>
      </c>
      <c r="B68" s="179">
        <v>34.0</v>
      </c>
      <c r="C68" s="191">
        <v>0.2</v>
      </c>
      <c r="D68" s="180">
        <v>1.0</v>
      </c>
      <c r="E68" s="192"/>
      <c r="F68" s="179">
        <v>36.0</v>
      </c>
      <c r="G68" s="179">
        <v>5.0</v>
      </c>
      <c r="H68" s="180">
        <v>0.139</v>
      </c>
      <c r="I68" s="178" t="s">
        <v>855</v>
      </c>
      <c r="J68" s="443" t="e">
        <v>#N/A</v>
      </c>
      <c r="K68" s="178" t="s">
        <v>32</v>
      </c>
      <c r="L68" s="192"/>
      <c r="M68" s="506"/>
    </row>
    <row r="69">
      <c r="A69" s="183" t="s">
        <v>1788</v>
      </c>
      <c r="B69" s="184">
        <v>45.0</v>
      </c>
      <c r="C69" s="195">
        <v>0.26</v>
      </c>
      <c r="D69" s="185">
        <v>1.0</v>
      </c>
      <c r="E69" s="196"/>
      <c r="F69" s="184">
        <v>42.0</v>
      </c>
      <c r="G69" s="184">
        <v>5.0</v>
      </c>
      <c r="H69" s="185">
        <v>0.119</v>
      </c>
      <c r="I69" s="183" t="s">
        <v>855</v>
      </c>
      <c r="J69" s="152" t="e">
        <v>#N/A</v>
      </c>
      <c r="K69" s="183" t="s">
        <v>32</v>
      </c>
      <c r="L69" s="196"/>
      <c r="M69" s="509"/>
    </row>
    <row r="70">
      <c r="A70" s="178" t="s">
        <v>289</v>
      </c>
      <c r="B70" s="179">
        <v>71.0</v>
      </c>
      <c r="C70" s="191">
        <v>1.0</v>
      </c>
      <c r="D70" s="180">
        <v>1.0</v>
      </c>
      <c r="E70" s="192"/>
      <c r="F70" s="179">
        <v>68.0</v>
      </c>
      <c r="G70" s="179">
        <v>5.0</v>
      </c>
      <c r="H70" s="180">
        <v>0.074</v>
      </c>
      <c r="I70" s="178" t="s">
        <v>855</v>
      </c>
      <c r="J70" s="443" t="e">
        <v>#N/A</v>
      </c>
      <c r="K70" s="178" t="s">
        <v>32</v>
      </c>
      <c r="L70" s="192"/>
      <c r="M70" s="506"/>
    </row>
    <row r="71">
      <c r="A71" s="183" t="s">
        <v>1805</v>
      </c>
      <c r="B71" s="184">
        <v>88.0</v>
      </c>
      <c r="C71" s="195">
        <v>1.0</v>
      </c>
      <c r="D71" s="185">
        <v>1.0</v>
      </c>
      <c r="E71" s="196"/>
      <c r="F71" s="184">
        <v>83.0</v>
      </c>
      <c r="G71" s="184">
        <v>5.0</v>
      </c>
      <c r="H71" s="185">
        <v>0.06</v>
      </c>
      <c r="I71" s="183" t="s">
        <v>855</v>
      </c>
      <c r="J71" s="152" t="e">
        <v>#N/A</v>
      </c>
      <c r="K71" s="183" t="s">
        <v>32</v>
      </c>
      <c r="L71" s="196"/>
      <c r="M71" s="509"/>
    </row>
    <row r="72">
      <c r="A72" s="178" t="s">
        <v>1785</v>
      </c>
      <c r="B72" s="179">
        <v>41.0</v>
      </c>
      <c r="C72" s="191">
        <v>0.63</v>
      </c>
      <c r="D72" s="180">
        <v>1.0</v>
      </c>
      <c r="E72" s="192"/>
      <c r="F72" s="179">
        <v>39.0</v>
      </c>
      <c r="G72" s="179">
        <v>5.0</v>
      </c>
      <c r="H72" s="180">
        <v>0.128</v>
      </c>
      <c r="I72" s="178" t="s">
        <v>855</v>
      </c>
      <c r="J72" s="443" t="e">
        <v>#N/A</v>
      </c>
      <c r="K72" s="178" t="s">
        <v>32</v>
      </c>
      <c r="L72" s="192"/>
      <c r="M72" s="506"/>
    </row>
    <row r="73">
      <c r="A73" s="183" t="s">
        <v>203</v>
      </c>
      <c r="B73" s="184">
        <v>59.0</v>
      </c>
      <c r="C73" s="195">
        <v>0.27</v>
      </c>
      <c r="D73" s="185">
        <v>1.0</v>
      </c>
      <c r="E73" s="196"/>
      <c r="F73" s="184">
        <v>54.0</v>
      </c>
      <c r="G73" s="184">
        <v>6.0</v>
      </c>
      <c r="H73" s="185">
        <v>0.111</v>
      </c>
      <c r="I73" s="183" t="s">
        <v>855</v>
      </c>
      <c r="J73" s="152" t="e">
        <v>#N/A</v>
      </c>
      <c r="K73" s="183" t="s">
        <v>32</v>
      </c>
      <c r="L73" s="509"/>
    </row>
    <row r="74">
      <c r="A74" s="178" t="s">
        <v>204</v>
      </c>
      <c r="B74" s="179">
        <v>44.0</v>
      </c>
      <c r="C74" s="191">
        <v>0.36</v>
      </c>
      <c r="D74" s="180">
        <v>1.0</v>
      </c>
      <c r="E74" s="192"/>
      <c r="F74" s="179">
        <v>43.0</v>
      </c>
      <c r="G74" s="179">
        <v>6.0</v>
      </c>
      <c r="H74" s="180">
        <v>0.14</v>
      </c>
      <c r="I74" s="178" t="s">
        <v>855</v>
      </c>
      <c r="J74" s="443" t="e">
        <v>#N/A</v>
      </c>
      <c r="K74" s="178" t="s">
        <v>32</v>
      </c>
      <c r="L74" s="506"/>
    </row>
    <row r="75">
      <c r="A75" s="183" t="s">
        <v>205</v>
      </c>
      <c r="B75" s="184">
        <v>56.0</v>
      </c>
      <c r="C75" s="195">
        <v>0.86</v>
      </c>
      <c r="D75" s="185">
        <v>1.0</v>
      </c>
      <c r="E75" s="196"/>
      <c r="F75" s="184">
        <v>53.0</v>
      </c>
      <c r="G75" s="184">
        <v>6.0</v>
      </c>
      <c r="H75" s="185">
        <v>0.113</v>
      </c>
      <c r="I75" s="183" t="s">
        <v>855</v>
      </c>
      <c r="J75" s="152" t="e">
        <v>#N/A</v>
      </c>
      <c r="K75" s="183" t="s">
        <v>32</v>
      </c>
      <c r="L75" s="509"/>
    </row>
    <row r="76">
      <c r="A76" s="178" t="s">
        <v>206</v>
      </c>
      <c r="B76" s="179">
        <v>61.0</v>
      </c>
      <c r="C76" s="191">
        <v>0.63</v>
      </c>
      <c r="D76" s="180">
        <v>1.0</v>
      </c>
      <c r="E76" s="192"/>
      <c r="F76" s="179">
        <v>60.0</v>
      </c>
      <c r="G76" s="179">
        <v>6.0</v>
      </c>
      <c r="H76" s="180">
        <v>0.1</v>
      </c>
      <c r="I76" s="178" t="s">
        <v>855</v>
      </c>
      <c r="J76" s="443" t="e">
        <v>#N/A</v>
      </c>
      <c r="K76" s="178" t="s">
        <v>32</v>
      </c>
      <c r="L76" s="506"/>
    </row>
    <row r="77">
      <c r="A77" s="183" t="s">
        <v>207</v>
      </c>
      <c r="B77" s="184">
        <v>97.0</v>
      </c>
      <c r="C77" s="195">
        <v>0.2</v>
      </c>
      <c r="D77" s="185">
        <v>1.0</v>
      </c>
      <c r="E77" s="196"/>
      <c r="F77" s="184">
        <v>95.0</v>
      </c>
      <c r="G77" s="184">
        <v>5.0</v>
      </c>
      <c r="H77" s="185">
        <v>0.053</v>
      </c>
      <c r="I77" s="183" t="s">
        <v>855</v>
      </c>
      <c r="J77" s="152" t="e">
        <v>#N/A</v>
      </c>
      <c r="K77" s="183" t="s">
        <v>32</v>
      </c>
      <c r="L77" s="509"/>
    </row>
    <row r="78">
      <c r="A78" s="178" t="s">
        <v>135</v>
      </c>
      <c r="B78" s="179">
        <v>81.0</v>
      </c>
      <c r="C78" s="191">
        <v>0.37</v>
      </c>
      <c r="D78" s="180">
        <v>1.0</v>
      </c>
      <c r="E78" s="192"/>
      <c r="F78" s="179">
        <v>77.0</v>
      </c>
      <c r="G78" s="179">
        <v>5.0</v>
      </c>
      <c r="H78" s="180">
        <v>0.065</v>
      </c>
      <c r="I78" s="178" t="s">
        <v>855</v>
      </c>
      <c r="J78" s="178" t="s">
        <v>135</v>
      </c>
      <c r="K78" s="178">
        <v>0.0</v>
      </c>
      <c r="L78" s="506"/>
    </row>
    <row r="79">
      <c r="A79" s="183" t="s">
        <v>208</v>
      </c>
      <c r="B79" s="184">
        <v>9.0</v>
      </c>
      <c r="C79" s="195">
        <v>0.03</v>
      </c>
      <c r="D79" s="185">
        <v>1.0</v>
      </c>
      <c r="E79" s="196"/>
      <c r="F79" s="184">
        <v>9.0</v>
      </c>
      <c r="G79" s="184">
        <v>5.0</v>
      </c>
      <c r="H79" s="185">
        <v>0.556</v>
      </c>
      <c r="I79" s="183" t="s">
        <v>855</v>
      </c>
      <c r="J79" s="152" t="e">
        <v>#N/A</v>
      </c>
      <c r="K79" s="183" t="s">
        <v>17</v>
      </c>
      <c r="L79" s="509"/>
    </row>
    <row r="80">
      <c r="A80" s="178" t="s">
        <v>209</v>
      </c>
      <c r="B80" s="179">
        <v>38.0</v>
      </c>
      <c r="C80" s="191">
        <v>0.08</v>
      </c>
      <c r="D80" s="180">
        <v>1.0</v>
      </c>
      <c r="E80" s="192"/>
      <c r="F80" s="179">
        <v>38.0</v>
      </c>
      <c r="G80" s="179">
        <v>5.0</v>
      </c>
      <c r="H80" s="180">
        <v>0.132</v>
      </c>
      <c r="I80" s="178" t="s">
        <v>855</v>
      </c>
      <c r="J80" s="443" t="e">
        <v>#N/A</v>
      </c>
      <c r="K80" s="178" t="s">
        <v>17</v>
      </c>
      <c r="L80" s="506"/>
    </row>
    <row r="81">
      <c r="A81" s="183" t="s">
        <v>1806</v>
      </c>
      <c r="B81" s="184">
        <v>93.0</v>
      </c>
      <c r="C81" s="195">
        <v>0.09</v>
      </c>
      <c r="D81" s="185">
        <v>1.0</v>
      </c>
      <c r="E81" s="196"/>
      <c r="F81" s="184">
        <v>89.0</v>
      </c>
      <c r="G81" s="184">
        <v>5.0</v>
      </c>
      <c r="H81" s="185">
        <v>0.056</v>
      </c>
      <c r="I81" s="183" t="s">
        <v>861</v>
      </c>
      <c r="J81" s="152" t="e">
        <v>#N/A</v>
      </c>
      <c r="K81" s="183" t="s">
        <v>374</v>
      </c>
      <c r="L81" s="509"/>
    </row>
    <row r="82">
      <c r="A82" s="178" t="s">
        <v>210</v>
      </c>
      <c r="B82" s="179">
        <v>80.0</v>
      </c>
      <c r="C82" s="191">
        <v>0.08</v>
      </c>
      <c r="D82" s="180">
        <v>1.0</v>
      </c>
      <c r="E82" s="192"/>
      <c r="F82" s="179">
        <v>80.0</v>
      </c>
      <c r="G82" s="179">
        <v>5.0</v>
      </c>
      <c r="H82" s="180">
        <v>0.063</v>
      </c>
      <c r="I82" s="178" t="s">
        <v>855</v>
      </c>
      <c r="J82" s="443" t="e">
        <v>#N/A</v>
      </c>
      <c r="K82" s="178" t="s">
        <v>17</v>
      </c>
      <c r="L82" s="506"/>
    </row>
    <row r="83">
      <c r="A83" s="183" t="s">
        <v>211</v>
      </c>
      <c r="B83" s="184">
        <v>25.0</v>
      </c>
      <c r="C83" s="195">
        <v>0.17</v>
      </c>
      <c r="D83" s="185">
        <v>1.0</v>
      </c>
      <c r="E83" s="196"/>
      <c r="F83" s="184">
        <v>16.0</v>
      </c>
      <c r="G83" s="184">
        <v>5.0</v>
      </c>
      <c r="H83" s="185">
        <v>0.313</v>
      </c>
      <c r="I83" s="183" t="s">
        <v>855</v>
      </c>
      <c r="J83" s="152" t="e">
        <v>#N/A</v>
      </c>
      <c r="K83" s="183" t="s">
        <v>17</v>
      </c>
      <c r="L83" s="509"/>
    </row>
    <row r="84">
      <c r="A84" s="178" t="s">
        <v>212</v>
      </c>
      <c r="B84" s="179">
        <v>59.0</v>
      </c>
      <c r="C84" s="191">
        <v>0.5</v>
      </c>
      <c r="D84" s="180">
        <v>1.0</v>
      </c>
      <c r="E84" s="192"/>
      <c r="F84" s="179">
        <v>53.0</v>
      </c>
      <c r="G84" s="179">
        <v>5.0</v>
      </c>
      <c r="H84" s="180">
        <v>0.094</v>
      </c>
      <c r="I84" s="178" t="s">
        <v>855</v>
      </c>
      <c r="J84" s="443" t="e">
        <v>#N/A</v>
      </c>
      <c r="K84" s="178" t="s">
        <v>17</v>
      </c>
      <c r="L84" s="506"/>
    </row>
    <row r="85">
      <c r="A85" s="183" t="s">
        <v>1803</v>
      </c>
      <c r="B85" s="184">
        <v>32.0</v>
      </c>
      <c r="C85" s="195">
        <v>0.33</v>
      </c>
      <c r="D85" s="185">
        <v>1.0</v>
      </c>
      <c r="E85" s="196"/>
      <c r="F85" s="184">
        <v>32.0</v>
      </c>
      <c r="G85" s="184">
        <v>5.0</v>
      </c>
      <c r="H85" s="185">
        <v>0.156</v>
      </c>
      <c r="I85" s="183" t="s">
        <v>855</v>
      </c>
      <c r="J85" s="152" t="e">
        <v>#N/A</v>
      </c>
      <c r="K85" s="183" t="s">
        <v>32</v>
      </c>
      <c r="L85" s="509"/>
    </row>
    <row r="86">
      <c r="A86" s="178" t="s">
        <v>1804</v>
      </c>
      <c r="B86" s="179">
        <v>34.0</v>
      </c>
      <c r="C86" s="191">
        <v>0.2</v>
      </c>
      <c r="D86" s="180">
        <v>1.0</v>
      </c>
      <c r="E86" s="192"/>
      <c r="F86" s="179">
        <v>36.0</v>
      </c>
      <c r="G86" s="179">
        <v>5.0</v>
      </c>
      <c r="H86" s="180">
        <v>0.139</v>
      </c>
      <c r="I86" s="178" t="s">
        <v>855</v>
      </c>
      <c r="J86" s="443" t="e">
        <v>#N/A</v>
      </c>
      <c r="K86" s="178" t="s">
        <v>32</v>
      </c>
      <c r="L86" s="506"/>
    </row>
    <row r="87">
      <c r="A87" s="183" t="s">
        <v>1788</v>
      </c>
      <c r="B87" s="184">
        <v>45.0</v>
      </c>
      <c r="C87" s="195">
        <v>0.26</v>
      </c>
      <c r="D87" s="185">
        <v>1.0</v>
      </c>
      <c r="E87" s="196"/>
      <c r="F87" s="184">
        <v>42.0</v>
      </c>
      <c r="G87" s="184">
        <v>5.0</v>
      </c>
      <c r="H87" s="185">
        <v>0.119</v>
      </c>
      <c r="I87" s="183" t="s">
        <v>855</v>
      </c>
      <c r="J87" s="152" t="e">
        <v>#N/A</v>
      </c>
      <c r="K87" s="183" t="s">
        <v>32</v>
      </c>
      <c r="L87" s="509"/>
    </row>
    <row r="88">
      <c r="A88" s="178" t="s">
        <v>119</v>
      </c>
      <c r="B88" s="179">
        <v>34.0</v>
      </c>
      <c r="C88" s="191">
        <v>0.5</v>
      </c>
      <c r="D88" s="180">
        <v>1.0</v>
      </c>
      <c r="E88" s="192"/>
      <c r="F88" s="179">
        <v>27.0</v>
      </c>
      <c r="G88" s="179">
        <v>5.0</v>
      </c>
      <c r="H88" s="180">
        <v>0.185</v>
      </c>
      <c r="I88" s="178" t="s">
        <v>855</v>
      </c>
      <c r="J88" s="178" t="s">
        <v>119</v>
      </c>
      <c r="K88" s="178">
        <v>0.0</v>
      </c>
      <c r="L88" s="506"/>
    </row>
    <row r="89">
      <c r="A89" s="183" t="s">
        <v>289</v>
      </c>
      <c r="B89" s="184">
        <v>71.0</v>
      </c>
      <c r="C89" s="195">
        <v>1.0</v>
      </c>
      <c r="D89" s="185">
        <v>1.0</v>
      </c>
      <c r="E89" s="196"/>
      <c r="F89" s="184">
        <v>68.0</v>
      </c>
      <c r="G89" s="184">
        <v>5.0</v>
      </c>
      <c r="H89" s="185">
        <v>0.074</v>
      </c>
      <c r="I89" s="183" t="s">
        <v>855</v>
      </c>
      <c r="J89" s="152" t="e">
        <v>#N/A</v>
      </c>
      <c r="K89" s="183" t="s">
        <v>32</v>
      </c>
      <c r="L89" s="509"/>
    </row>
    <row r="90">
      <c r="A90" s="178" t="s">
        <v>1805</v>
      </c>
      <c r="B90" s="179">
        <v>88.0</v>
      </c>
      <c r="C90" s="191">
        <v>1.0</v>
      </c>
      <c r="D90" s="180">
        <v>1.0</v>
      </c>
      <c r="E90" s="192"/>
      <c r="F90" s="179">
        <v>83.0</v>
      </c>
      <c r="G90" s="179">
        <v>5.0</v>
      </c>
      <c r="H90" s="180">
        <v>0.06</v>
      </c>
      <c r="I90" s="178" t="s">
        <v>855</v>
      </c>
      <c r="J90" s="443" t="e">
        <v>#N/A</v>
      </c>
      <c r="K90" s="178" t="s">
        <v>32</v>
      </c>
      <c r="L90" s="506"/>
    </row>
    <row r="91">
      <c r="A91" s="183" t="s">
        <v>1785</v>
      </c>
      <c r="B91" s="184">
        <v>41.0</v>
      </c>
      <c r="C91" s="195">
        <v>0.63</v>
      </c>
      <c r="D91" s="185">
        <v>1.0</v>
      </c>
      <c r="E91" s="196"/>
      <c r="F91" s="184">
        <v>39.0</v>
      </c>
      <c r="G91" s="184">
        <v>5.0</v>
      </c>
      <c r="H91" s="185">
        <v>0.128</v>
      </c>
      <c r="I91" s="183" t="s">
        <v>855</v>
      </c>
      <c r="J91" s="152" t="e">
        <v>#N/A</v>
      </c>
      <c r="K91" s="183" t="s">
        <v>32</v>
      </c>
      <c r="L91" s="509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75"/>
    <col customWidth="1" min="3" max="3" width="20.88"/>
  </cols>
  <sheetData>
    <row r="1">
      <c r="A1" s="189" t="s">
        <v>1</v>
      </c>
      <c r="B1" s="176" t="s">
        <v>1415</v>
      </c>
      <c r="C1" s="176" t="s">
        <v>848</v>
      </c>
      <c r="D1" s="176" t="s">
        <v>849</v>
      </c>
      <c r="E1" s="176" t="s">
        <v>850</v>
      </c>
      <c r="F1" s="176" t="s">
        <v>851</v>
      </c>
      <c r="G1" s="176" t="s">
        <v>852</v>
      </c>
      <c r="H1" s="176" t="s">
        <v>853</v>
      </c>
      <c r="I1" s="176" t="s">
        <v>915</v>
      </c>
      <c r="J1" s="177" t="s">
        <v>3</v>
      </c>
      <c r="K1" s="310" t="s">
        <v>4</v>
      </c>
      <c r="L1" s="310" t="s">
        <v>1807</v>
      </c>
    </row>
    <row r="2">
      <c r="A2" s="190">
        <v>239839.0</v>
      </c>
      <c r="B2" s="178" t="s">
        <v>1323</v>
      </c>
      <c r="C2" s="178" t="s">
        <v>91</v>
      </c>
      <c r="D2" s="179">
        <v>21.0</v>
      </c>
      <c r="E2" s="179">
        <v>13.0</v>
      </c>
      <c r="F2" s="179">
        <v>7.0</v>
      </c>
      <c r="G2" s="180">
        <v>0.538</v>
      </c>
      <c r="H2" s="178" t="s">
        <v>855</v>
      </c>
      <c r="I2" s="443" t="e">
        <v>#N/A</v>
      </c>
      <c r="J2" s="193" t="s">
        <v>32</v>
      </c>
      <c r="K2" s="512">
        <v>0.4375</v>
      </c>
      <c r="L2" s="310" t="s">
        <v>746</v>
      </c>
    </row>
    <row r="3">
      <c r="A3" s="194">
        <v>234769.0</v>
      </c>
      <c r="B3" s="183" t="s">
        <v>1808</v>
      </c>
      <c r="C3" s="183" t="s">
        <v>223</v>
      </c>
      <c r="D3" s="184">
        <v>27.0</v>
      </c>
      <c r="E3" s="184">
        <v>27.0</v>
      </c>
      <c r="F3" s="184">
        <v>12.0</v>
      </c>
      <c r="G3" s="185">
        <v>0.444</v>
      </c>
      <c r="H3" s="183" t="s">
        <v>855</v>
      </c>
      <c r="I3" s="152" t="e">
        <v>#N/A</v>
      </c>
      <c r="J3" s="197" t="s">
        <v>17</v>
      </c>
      <c r="K3" s="512">
        <v>0.0</v>
      </c>
      <c r="L3" s="310" t="s">
        <v>746</v>
      </c>
    </row>
    <row r="4">
      <c r="A4" s="190">
        <v>236397.0</v>
      </c>
      <c r="B4" s="178" t="s">
        <v>1809</v>
      </c>
      <c r="C4" s="178" t="s">
        <v>224</v>
      </c>
      <c r="D4" s="179">
        <v>11.0</v>
      </c>
      <c r="E4" s="179">
        <v>10.0</v>
      </c>
      <c r="F4" s="179">
        <v>4.0</v>
      </c>
      <c r="G4" s="180">
        <v>0.4</v>
      </c>
      <c r="H4" s="178" t="s">
        <v>855</v>
      </c>
      <c r="I4" s="443" t="e">
        <v>#N/A</v>
      </c>
      <c r="J4" s="193" t="s">
        <v>32</v>
      </c>
      <c r="K4" s="512">
        <v>0.0769</v>
      </c>
      <c r="L4" s="310" t="s">
        <v>746</v>
      </c>
    </row>
    <row r="5">
      <c r="A5" s="194">
        <v>234765.0</v>
      </c>
      <c r="B5" s="183" t="s">
        <v>1810</v>
      </c>
      <c r="C5" s="183" t="s">
        <v>225</v>
      </c>
      <c r="D5" s="184">
        <v>18.0</v>
      </c>
      <c r="E5" s="184">
        <v>17.0</v>
      </c>
      <c r="F5" s="184">
        <v>3.0</v>
      </c>
      <c r="G5" s="185">
        <v>0.176</v>
      </c>
      <c r="H5" s="183" t="s">
        <v>855</v>
      </c>
      <c r="I5" s="152" t="e">
        <v>#N/A</v>
      </c>
      <c r="J5" s="197" t="s">
        <v>32</v>
      </c>
      <c r="K5" s="512">
        <v>0.1379</v>
      </c>
      <c r="L5" s="310" t="s">
        <v>746</v>
      </c>
    </row>
    <row r="6">
      <c r="A6" s="190">
        <v>219829.0</v>
      </c>
      <c r="B6" s="178" t="s">
        <v>1811</v>
      </c>
      <c r="C6" s="178" t="s">
        <v>226</v>
      </c>
      <c r="D6" s="179">
        <v>26.0</v>
      </c>
      <c r="E6" s="179">
        <v>26.0</v>
      </c>
      <c r="F6" s="179">
        <v>3.0</v>
      </c>
      <c r="G6" s="180">
        <v>0.115</v>
      </c>
      <c r="H6" s="178" t="s">
        <v>855</v>
      </c>
      <c r="I6" s="443" t="e">
        <v>#N/A</v>
      </c>
      <c r="J6" s="193" t="s">
        <v>32</v>
      </c>
      <c r="K6" s="512">
        <v>0.0769</v>
      </c>
      <c r="L6" s="310" t="s">
        <v>746</v>
      </c>
    </row>
    <row r="7">
      <c r="A7" s="194">
        <v>243841.0</v>
      </c>
      <c r="B7" s="183" t="s">
        <v>1812</v>
      </c>
      <c r="C7" s="183" t="s">
        <v>227</v>
      </c>
      <c r="D7" s="184">
        <v>36.0</v>
      </c>
      <c r="E7" s="184">
        <v>35.0</v>
      </c>
      <c r="F7" s="184">
        <v>4.0</v>
      </c>
      <c r="G7" s="185">
        <v>0.114</v>
      </c>
      <c r="H7" s="183" t="s">
        <v>855</v>
      </c>
      <c r="I7" s="152" t="e">
        <v>#N/A</v>
      </c>
      <c r="J7" s="197" t="s">
        <v>32</v>
      </c>
      <c r="K7" s="512">
        <v>0.0857</v>
      </c>
      <c r="L7" s="310" t="s">
        <v>746</v>
      </c>
    </row>
    <row r="8">
      <c r="A8" s="190">
        <v>224362.0</v>
      </c>
      <c r="B8" s="178" t="s">
        <v>1813</v>
      </c>
      <c r="C8" s="178" t="s">
        <v>228</v>
      </c>
      <c r="D8" s="179">
        <v>41.0</v>
      </c>
      <c r="E8" s="179">
        <v>36.0</v>
      </c>
      <c r="F8" s="179">
        <v>4.0</v>
      </c>
      <c r="G8" s="180">
        <v>0.111</v>
      </c>
      <c r="H8" s="178" t="s">
        <v>855</v>
      </c>
      <c r="I8" s="443" t="e">
        <v>#N/A</v>
      </c>
      <c r="J8" s="193" t="s">
        <v>229</v>
      </c>
      <c r="K8" s="512">
        <v>0.0278</v>
      </c>
      <c r="L8" s="310" t="s">
        <v>746</v>
      </c>
    </row>
    <row r="9">
      <c r="A9" s="194">
        <v>245913.0</v>
      </c>
      <c r="B9" s="183" t="s">
        <v>1814</v>
      </c>
      <c r="C9" s="183" t="s">
        <v>230</v>
      </c>
      <c r="D9" s="184">
        <v>43.0</v>
      </c>
      <c r="E9" s="184">
        <v>39.0</v>
      </c>
      <c r="F9" s="184">
        <v>4.0</v>
      </c>
      <c r="G9" s="185">
        <v>0.103</v>
      </c>
      <c r="H9" s="183" t="s">
        <v>855</v>
      </c>
      <c r="I9" s="152" t="e">
        <v>#N/A</v>
      </c>
      <c r="J9" s="197" t="s">
        <v>32</v>
      </c>
      <c r="K9" s="512">
        <v>0.075</v>
      </c>
      <c r="L9" s="310" t="s">
        <v>746</v>
      </c>
    </row>
    <row r="10">
      <c r="A10" s="190">
        <v>243868.0</v>
      </c>
      <c r="B10" s="178" t="s">
        <v>1815</v>
      </c>
      <c r="C10" s="178" t="s">
        <v>231</v>
      </c>
      <c r="D10" s="179">
        <v>43.0</v>
      </c>
      <c r="E10" s="179">
        <v>42.0</v>
      </c>
      <c r="F10" s="179">
        <v>4.0</v>
      </c>
      <c r="G10" s="180">
        <v>0.095</v>
      </c>
      <c r="H10" s="178" t="s">
        <v>855</v>
      </c>
      <c r="I10" s="443" t="e">
        <v>#N/A</v>
      </c>
      <c r="J10" s="193" t="s">
        <v>32</v>
      </c>
      <c r="K10" s="512">
        <v>0.0714</v>
      </c>
      <c r="L10" s="310" t="s">
        <v>746</v>
      </c>
    </row>
    <row r="11">
      <c r="A11" s="194">
        <v>209756.0</v>
      </c>
      <c r="B11" s="183" t="s">
        <v>1816</v>
      </c>
      <c r="C11" s="183" t="s">
        <v>232</v>
      </c>
      <c r="D11" s="184">
        <v>55.0</v>
      </c>
      <c r="E11" s="184">
        <v>53.0</v>
      </c>
      <c r="F11" s="184">
        <v>5.0</v>
      </c>
      <c r="G11" s="185">
        <v>0.094</v>
      </c>
      <c r="H11" s="183" t="s">
        <v>855</v>
      </c>
      <c r="I11" s="152" t="e">
        <v>#N/A</v>
      </c>
      <c r="J11" s="197" t="s">
        <v>32</v>
      </c>
      <c r="K11" s="512">
        <v>0.0727</v>
      </c>
      <c r="L11" s="310" t="s">
        <v>746</v>
      </c>
    </row>
    <row r="12">
      <c r="A12" s="190">
        <v>210433.0</v>
      </c>
      <c r="B12" s="178" t="s">
        <v>1767</v>
      </c>
      <c r="C12" s="178" t="s">
        <v>100</v>
      </c>
      <c r="D12" s="179">
        <v>179.0</v>
      </c>
      <c r="E12" s="179">
        <v>159.0</v>
      </c>
      <c r="F12" s="179">
        <v>14.0</v>
      </c>
      <c r="G12" s="180">
        <v>0.088</v>
      </c>
      <c r="H12" s="178" t="s">
        <v>855</v>
      </c>
      <c r="I12" s="443" t="e">
        <v>#N/A</v>
      </c>
      <c r="J12" s="193" t="s">
        <v>32</v>
      </c>
      <c r="K12" s="512">
        <v>0.0552</v>
      </c>
      <c r="L12" s="310" t="s">
        <v>746</v>
      </c>
    </row>
    <row r="13">
      <c r="A13" s="194">
        <v>239021.0</v>
      </c>
      <c r="B13" s="183" t="s">
        <v>1817</v>
      </c>
      <c r="C13" s="183" t="s">
        <v>233</v>
      </c>
      <c r="D13" s="184">
        <v>51.0</v>
      </c>
      <c r="E13" s="184">
        <v>48.0</v>
      </c>
      <c r="F13" s="184">
        <v>4.0</v>
      </c>
      <c r="G13" s="185">
        <v>0.083</v>
      </c>
      <c r="H13" s="183" t="s">
        <v>855</v>
      </c>
      <c r="I13" s="152" t="e">
        <v>#N/A</v>
      </c>
      <c r="J13" s="197" t="s">
        <v>32</v>
      </c>
      <c r="K13" s="512">
        <v>0.0816</v>
      </c>
      <c r="L13" s="310" t="s">
        <v>746</v>
      </c>
    </row>
    <row r="14">
      <c r="A14" s="190">
        <v>222402.0</v>
      </c>
      <c r="B14" s="178" t="s">
        <v>1818</v>
      </c>
      <c r="C14" s="178" t="s">
        <v>234</v>
      </c>
      <c r="D14" s="179">
        <v>55.0</v>
      </c>
      <c r="E14" s="179">
        <v>52.0</v>
      </c>
      <c r="F14" s="179">
        <v>4.0</v>
      </c>
      <c r="G14" s="180">
        <v>0.077</v>
      </c>
      <c r="H14" s="178" t="s">
        <v>855</v>
      </c>
      <c r="I14" s="443" t="e">
        <v>#N/A</v>
      </c>
      <c r="J14" s="193" t="s">
        <v>32</v>
      </c>
      <c r="K14" s="512">
        <v>0.0577</v>
      </c>
      <c r="L14" s="310" t="s">
        <v>746</v>
      </c>
    </row>
    <row r="15">
      <c r="A15" s="194">
        <v>211307.0</v>
      </c>
      <c r="B15" s="183" t="s">
        <v>1819</v>
      </c>
      <c r="C15" s="183" t="s">
        <v>235</v>
      </c>
      <c r="D15" s="184">
        <v>76.0</v>
      </c>
      <c r="E15" s="184">
        <v>70.0</v>
      </c>
      <c r="F15" s="184">
        <v>5.0</v>
      </c>
      <c r="G15" s="185">
        <v>0.071</v>
      </c>
      <c r="H15" s="183" t="s">
        <v>855</v>
      </c>
      <c r="I15" s="152" t="e">
        <v>#N/A</v>
      </c>
      <c r="J15" s="197" t="s">
        <v>229</v>
      </c>
      <c r="K15" s="512">
        <v>0.0143</v>
      </c>
      <c r="L15" s="310" t="s">
        <v>746</v>
      </c>
    </row>
    <row r="16">
      <c r="A16" s="190">
        <v>150636.0</v>
      </c>
      <c r="B16" s="178" t="s">
        <v>1820</v>
      </c>
      <c r="C16" s="178" t="s">
        <v>236</v>
      </c>
      <c r="D16" s="179">
        <v>50.0</v>
      </c>
      <c r="E16" s="179">
        <v>43.0</v>
      </c>
      <c r="F16" s="179">
        <v>3.0</v>
      </c>
      <c r="G16" s="180">
        <v>0.07</v>
      </c>
      <c r="H16" s="178" t="s">
        <v>855</v>
      </c>
      <c r="I16" s="443" t="e">
        <v>#N/A</v>
      </c>
      <c r="J16" s="193" t="s">
        <v>229</v>
      </c>
      <c r="K16" s="512">
        <v>0.0222</v>
      </c>
      <c r="L16" s="310" t="s">
        <v>746</v>
      </c>
    </row>
    <row r="17">
      <c r="A17" s="194">
        <v>219139.0</v>
      </c>
      <c r="B17" s="183" t="s">
        <v>1821</v>
      </c>
      <c r="C17" s="183" t="s">
        <v>237</v>
      </c>
      <c r="D17" s="184">
        <v>43.0</v>
      </c>
      <c r="E17" s="184">
        <v>43.0</v>
      </c>
      <c r="F17" s="184">
        <v>3.0</v>
      </c>
      <c r="G17" s="185">
        <v>0.07</v>
      </c>
      <c r="H17" s="183" t="s">
        <v>855</v>
      </c>
      <c r="I17" s="152" t="e">
        <v>#N/A</v>
      </c>
      <c r="J17" s="197" t="s">
        <v>32</v>
      </c>
      <c r="K17" s="512">
        <v>0.0455</v>
      </c>
      <c r="L17" s="310" t="s">
        <v>746</v>
      </c>
    </row>
    <row r="18">
      <c r="A18" s="190">
        <v>134746.0</v>
      </c>
      <c r="B18" s="178" t="s">
        <v>1822</v>
      </c>
      <c r="C18" s="178" t="s">
        <v>238</v>
      </c>
      <c r="D18" s="179">
        <v>45.0</v>
      </c>
      <c r="E18" s="179">
        <v>44.0</v>
      </c>
      <c r="F18" s="179">
        <v>3.0</v>
      </c>
      <c r="G18" s="180">
        <v>0.068</v>
      </c>
      <c r="H18" s="178" t="s">
        <v>855</v>
      </c>
      <c r="I18" s="443" t="e">
        <v>#N/A</v>
      </c>
      <c r="J18" s="193" t="s">
        <v>32</v>
      </c>
      <c r="K18" s="512">
        <v>0.0455</v>
      </c>
      <c r="L18" s="310" t="s">
        <v>746</v>
      </c>
    </row>
    <row r="19">
      <c r="A19" s="194">
        <v>210433.0</v>
      </c>
      <c r="B19" s="183" t="s">
        <v>1823</v>
      </c>
      <c r="C19" s="183" t="s">
        <v>239</v>
      </c>
      <c r="D19" s="184">
        <v>70.0</v>
      </c>
      <c r="E19" s="184">
        <v>69.0</v>
      </c>
      <c r="F19" s="184">
        <v>4.0</v>
      </c>
      <c r="G19" s="185">
        <v>0.058</v>
      </c>
      <c r="H19" s="183" t="s">
        <v>855</v>
      </c>
      <c r="I19" s="152" t="e">
        <v>#N/A</v>
      </c>
      <c r="J19" s="197" t="s">
        <v>32</v>
      </c>
      <c r="K19" s="512">
        <v>0.0571</v>
      </c>
      <c r="L19" s="310" t="s">
        <v>746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1.88"/>
    <col hidden="1" min="9" max="11" width="12.63"/>
  </cols>
  <sheetData>
    <row r="1">
      <c r="A1" s="189" t="s">
        <v>865</v>
      </c>
      <c r="B1" s="176" t="s">
        <v>866</v>
      </c>
      <c r="C1" s="176" t="s">
        <v>867</v>
      </c>
      <c r="D1" s="176" t="s">
        <v>848</v>
      </c>
      <c r="E1" s="176" t="s">
        <v>849</v>
      </c>
      <c r="F1" s="176" t="s">
        <v>850</v>
      </c>
      <c r="G1" s="176" t="s">
        <v>851</v>
      </c>
      <c r="H1" s="176" t="s">
        <v>852</v>
      </c>
      <c r="I1" s="176" t="s">
        <v>120</v>
      </c>
      <c r="J1" s="176" t="s">
        <v>77</v>
      </c>
      <c r="K1" s="176" t="s">
        <v>374</v>
      </c>
      <c r="L1" s="176" t="s">
        <v>907</v>
      </c>
      <c r="M1" s="176" t="s">
        <v>4</v>
      </c>
      <c r="N1" s="177" t="s">
        <v>5</v>
      </c>
      <c r="O1" s="310" t="s">
        <v>1807</v>
      </c>
    </row>
    <row r="2">
      <c r="A2" s="190">
        <v>234768.0</v>
      </c>
      <c r="B2" s="178" t="s">
        <v>1091</v>
      </c>
      <c r="C2" s="178" t="s">
        <v>1091</v>
      </c>
      <c r="D2" s="178" t="s">
        <v>200</v>
      </c>
      <c r="E2" s="179">
        <v>21.0</v>
      </c>
      <c r="F2" s="179">
        <v>22.0</v>
      </c>
      <c r="G2" s="179">
        <v>17.0</v>
      </c>
      <c r="H2" s="180">
        <v>0.773</v>
      </c>
      <c r="I2" s="180">
        <v>0.0357</v>
      </c>
      <c r="J2" s="180">
        <v>0.5714</v>
      </c>
      <c r="K2" s="180">
        <v>0.0357</v>
      </c>
      <c r="L2" s="178" t="s">
        <v>17</v>
      </c>
      <c r="M2" s="180">
        <v>0.5714</v>
      </c>
      <c r="N2" s="193" t="s">
        <v>855</v>
      </c>
      <c r="O2" s="310" t="s">
        <v>1824</v>
      </c>
    </row>
    <row r="3">
      <c r="A3" s="194">
        <v>237153.0</v>
      </c>
      <c r="B3" s="183" t="s">
        <v>1825</v>
      </c>
      <c r="C3" s="183" t="s">
        <v>1825</v>
      </c>
      <c r="D3" s="183" t="s">
        <v>153</v>
      </c>
      <c r="E3" s="184">
        <v>9.0</v>
      </c>
      <c r="F3" s="184">
        <v>8.0</v>
      </c>
      <c r="G3" s="184">
        <v>6.0</v>
      </c>
      <c r="H3" s="185">
        <v>0.75</v>
      </c>
      <c r="I3" s="185">
        <v>0.0</v>
      </c>
      <c r="J3" s="185">
        <v>0.5</v>
      </c>
      <c r="K3" s="185">
        <v>0.0</v>
      </c>
      <c r="L3" s="183" t="s">
        <v>17</v>
      </c>
      <c r="M3" s="185">
        <v>0.5</v>
      </c>
      <c r="N3" s="197" t="s">
        <v>855</v>
      </c>
      <c r="O3" s="310" t="s">
        <v>1824</v>
      </c>
    </row>
    <row r="4">
      <c r="A4" s="190">
        <v>236096.0</v>
      </c>
      <c r="B4" s="178" t="s">
        <v>1826</v>
      </c>
      <c r="C4" s="178" t="s">
        <v>1826</v>
      </c>
      <c r="D4" s="178" t="s">
        <v>242</v>
      </c>
      <c r="E4" s="179">
        <v>23.0</v>
      </c>
      <c r="F4" s="179">
        <v>18.0</v>
      </c>
      <c r="G4" s="179">
        <v>10.0</v>
      </c>
      <c r="H4" s="180">
        <v>0.556</v>
      </c>
      <c r="I4" s="180">
        <v>0.0</v>
      </c>
      <c r="J4" s="180">
        <v>0.45</v>
      </c>
      <c r="K4" s="180">
        <v>0.0</v>
      </c>
      <c r="L4" s="178" t="s">
        <v>17</v>
      </c>
      <c r="M4" s="180">
        <v>0.45</v>
      </c>
      <c r="N4" s="193" t="s">
        <v>855</v>
      </c>
      <c r="O4" s="310" t="s">
        <v>1824</v>
      </c>
    </row>
    <row r="5">
      <c r="A5" s="194">
        <v>234791.0</v>
      </c>
      <c r="B5" s="183" t="s">
        <v>1827</v>
      </c>
      <c r="C5" s="183" t="s">
        <v>1827</v>
      </c>
      <c r="D5" s="183" t="s">
        <v>241</v>
      </c>
      <c r="E5" s="184">
        <v>63.0</v>
      </c>
      <c r="F5" s="184">
        <v>56.0</v>
      </c>
      <c r="G5" s="184">
        <v>24.0</v>
      </c>
      <c r="H5" s="185">
        <v>0.429</v>
      </c>
      <c r="I5" s="185">
        <v>0.169</v>
      </c>
      <c r="J5" s="185">
        <v>0.2676</v>
      </c>
      <c r="K5" s="185">
        <v>0.0</v>
      </c>
      <c r="L5" s="183" t="s">
        <v>17</v>
      </c>
      <c r="M5" s="185">
        <v>0.2676</v>
      </c>
      <c r="N5" s="197" t="s">
        <v>855</v>
      </c>
      <c r="O5" s="310" t="s">
        <v>1824</v>
      </c>
    </row>
    <row r="6">
      <c r="A6" s="190">
        <v>234804.0</v>
      </c>
      <c r="B6" s="178" t="s">
        <v>1828</v>
      </c>
      <c r="C6" s="178" t="s">
        <v>1828</v>
      </c>
      <c r="D6" s="178" t="s">
        <v>145</v>
      </c>
      <c r="E6" s="179">
        <v>156.0</v>
      </c>
      <c r="F6" s="179">
        <v>141.0</v>
      </c>
      <c r="G6" s="179">
        <v>49.0</v>
      </c>
      <c r="H6" s="180">
        <v>0.348</v>
      </c>
      <c r="I6" s="180">
        <v>0.0407</v>
      </c>
      <c r="J6" s="180">
        <v>0.2616</v>
      </c>
      <c r="K6" s="180">
        <v>0.0</v>
      </c>
      <c r="L6" s="178" t="s">
        <v>17</v>
      </c>
      <c r="M6" s="180">
        <v>0.2616</v>
      </c>
      <c r="N6" s="193" t="s">
        <v>855</v>
      </c>
      <c r="O6" s="310" t="s">
        <v>1824</v>
      </c>
    </row>
    <row r="7">
      <c r="A7" s="194">
        <v>225336.0</v>
      </c>
      <c r="B7" s="183" t="s">
        <v>1342</v>
      </c>
      <c r="C7" s="183" t="s">
        <v>1342</v>
      </c>
      <c r="D7" s="183" t="s">
        <v>182</v>
      </c>
      <c r="E7" s="184">
        <v>22.0</v>
      </c>
      <c r="F7" s="184">
        <v>23.0</v>
      </c>
      <c r="G7" s="184">
        <v>7.0</v>
      </c>
      <c r="H7" s="185">
        <v>0.304</v>
      </c>
      <c r="I7" s="185">
        <v>0.0</v>
      </c>
      <c r="J7" s="185">
        <v>0.2593</v>
      </c>
      <c r="K7" s="185">
        <v>0.0</v>
      </c>
      <c r="L7" s="183" t="s">
        <v>17</v>
      </c>
      <c r="M7" s="185">
        <v>0.2593</v>
      </c>
      <c r="N7" s="197" t="s">
        <v>855</v>
      </c>
      <c r="O7" s="310" t="s">
        <v>1824</v>
      </c>
    </row>
    <row r="8">
      <c r="A8" s="190">
        <v>234804.0</v>
      </c>
      <c r="B8" s="178" t="s">
        <v>1829</v>
      </c>
      <c r="C8" s="178" t="s">
        <v>1829</v>
      </c>
      <c r="D8" s="178" t="s">
        <v>179</v>
      </c>
      <c r="E8" s="179">
        <v>24.0</v>
      </c>
      <c r="F8" s="179">
        <v>21.0</v>
      </c>
      <c r="G8" s="179">
        <v>7.0</v>
      </c>
      <c r="H8" s="180">
        <v>0.333</v>
      </c>
      <c r="I8" s="180">
        <v>0.04</v>
      </c>
      <c r="J8" s="180">
        <v>0.2</v>
      </c>
      <c r="K8" s="180">
        <v>0.0</v>
      </c>
      <c r="L8" s="178" t="s">
        <v>17</v>
      </c>
      <c r="M8" s="180">
        <v>0.2</v>
      </c>
      <c r="N8" s="193" t="s">
        <v>855</v>
      </c>
      <c r="O8" s="310" t="s">
        <v>1824</v>
      </c>
    </row>
    <row r="9">
      <c r="A9" s="194">
        <v>246240.0</v>
      </c>
      <c r="B9" s="183" t="s">
        <v>1830</v>
      </c>
      <c r="C9" s="183" t="s">
        <v>1830</v>
      </c>
      <c r="D9" s="183" t="s">
        <v>215</v>
      </c>
      <c r="E9" s="184">
        <v>81.0</v>
      </c>
      <c r="F9" s="184">
        <v>76.0</v>
      </c>
      <c r="G9" s="184">
        <v>24.0</v>
      </c>
      <c r="H9" s="185">
        <v>0.316</v>
      </c>
      <c r="I9" s="185">
        <v>0.0645</v>
      </c>
      <c r="J9" s="185">
        <v>0.1935</v>
      </c>
      <c r="K9" s="185">
        <v>0.1075</v>
      </c>
      <c r="L9" s="183" t="s">
        <v>17</v>
      </c>
      <c r="M9" s="185">
        <v>0.1935</v>
      </c>
      <c r="N9" s="197" t="s">
        <v>855</v>
      </c>
      <c r="O9" s="310" t="s">
        <v>1824</v>
      </c>
    </row>
    <row r="10">
      <c r="A10" s="190">
        <v>234791.0</v>
      </c>
      <c r="B10" s="178" t="s">
        <v>1831</v>
      </c>
      <c r="C10" s="178" t="s">
        <v>1831</v>
      </c>
      <c r="D10" s="178" t="s">
        <v>262</v>
      </c>
      <c r="E10" s="179">
        <v>21.0</v>
      </c>
      <c r="F10" s="179">
        <v>18.0</v>
      </c>
      <c r="G10" s="179">
        <v>8.0</v>
      </c>
      <c r="H10" s="180">
        <v>0.444</v>
      </c>
      <c r="I10" s="180">
        <v>0.1724</v>
      </c>
      <c r="J10" s="180">
        <v>0.1724</v>
      </c>
      <c r="K10" s="180">
        <v>0.0</v>
      </c>
      <c r="L10" s="178" t="s">
        <v>229</v>
      </c>
      <c r="M10" s="180">
        <v>0.1724</v>
      </c>
      <c r="N10" s="193" t="s">
        <v>855</v>
      </c>
      <c r="O10" s="310" t="s">
        <v>1824</v>
      </c>
    </row>
    <row r="11">
      <c r="A11" s="194">
        <v>238757.0</v>
      </c>
      <c r="B11" s="183" t="s">
        <v>1832</v>
      </c>
      <c r="C11" s="183" t="s">
        <v>1832</v>
      </c>
      <c r="D11" s="183" t="s">
        <v>1833</v>
      </c>
      <c r="E11" s="184">
        <v>24.0</v>
      </c>
      <c r="F11" s="184">
        <v>19.0</v>
      </c>
      <c r="G11" s="184">
        <v>5.0</v>
      </c>
      <c r="H11" s="185">
        <v>0.263</v>
      </c>
      <c r="I11" s="185">
        <v>0.125</v>
      </c>
      <c r="J11" s="185">
        <v>0.125</v>
      </c>
      <c r="K11" s="185">
        <v>0.0417</v>
      </c>
      <c r="L11" s="183" t="s">
        <v>229</v>
      </c>
      <c r="M11" s="185">
        <v>0.125</v>
      </c>
      <c r="N11" s="197" t="s">
        <v>855</v>
      </c>
      <c r="O11" s="310" t="s">
        <v>1824</v>
      </c>
    </row>
    <row r="12">
      <c r="A12" s="190">
        <v>225336.0</v>
      </c>
      <c r="B12" s="178" t="s">
        <v>1348</v>
      </c>
      <c r="C12" s="178" t="s">
        <v>1348</v>
      </c>
      <c r="D12" s="178" t="s">
        <v>138</v>
      </c>
      <c r="E12" s="179">
        <v>17.0</v>
      </c>
      <c r="F12" s="179">
        <v>17.0</v>
      </c>
      <c r="G12" s="179">
        <v>7.0</v>
      </c>
      <c r="H12" s="180">
        <v>0.412</v>
      </c>
      <c r="I12" s="180">
        <v>0.2857</v>
      </c>
      <c r="J12" s="180">
        <v>0.0952</v>
      </c>
      <c r="K12" s="180">
        <v>0.0</v>
      </c>
      <c r="L12" s="178" t="s">
        <v>229</v>
      </c>
      <c r="M12" s="180">
        <v>0.2857</v>
      </c>
      <c r="N12" s="193" t="s">
        <v>855</v>
      </c>
      <c r="O12" s="310" t="s">
        <v>1824</v>
      </c>
    </row>
    <row r="13">
      <c r="A13" s="194">
        <v>234791.0</v>
      </c>
      <c r="B13" s="183" t="s">
        <v>1829</v>
      </c>
      <c r="C13" s="183" t="s">
        <v>1829</v>
      </c>
      <c r="D13" s="183" t="s">
        <v>210</v>
      </c>
      <c r="E13" s="184">
        <v>123.0</v>
      </c>
      <c r="F13" s="184">
        <v>120.0</v>
      </c>
      <c r="G13" s="184">
        <v>7.0</v>
      </c>
      <c r="H13" s="185">
        <v>0.058</v>
      </c>
      <c r="I13" s="185">
        <v>0.0076</v>
      </c>
      <c r="J13" s="185">
        <v>0.0833</v>
      </c>
      <c r="K13" s="185">
        <v>0.0152</v>
      </c>
      <c r="L13" s="183" t="s">
        <v>17</v>
      </c>
      <c r="M13" s="185">
        <v>0.0833</v>
      </c>
      <c r="N13" s="197" t="s">
        <v>855</v>
      </c>
      <c r="O13" s="310" t="s">
        <v>1824</v>
      </c>
    </row>
    <row r="14">
      <c r="A14" s="190">
        <v>221928.0</v>
      </c>
      <c r="B14" s="178" t="s">
        <v>1089</v>
      </c>
      <c r="C14" s="178" t="s">
        <v>1089</v>
      </c>
      <c r="D14" s="178" t="s">
        <v>243</v>
      </c>
      <c r="E14" s="179">
        <v>99.0</v>
      </c>
      <c r="F14" s="179">
        <v>97.0</v>
      </c>
      <c r="G14" s="179">
        <v>7.0</v>
      </c>
      <c r="H14" s="180">
        <v>0.072</v>
      </c>
      <c r="I14" s="180">
        <v>0.0192</v>
      </c>
      <c r="J14" s="180">
        <v>0.0481</v>
      </c>
      <c r="K14" s="180">
        <v>0.0</v>
      </c>
      <c r="L14" s="178" t="s">
        <v>17</v>
      </c>
      <c r="M14" s="180">
        <v>0.0481</v>
      </c>
      <c r="N14" s="193" t="s">
        <v>855</v>
      </c>
      <c r="O14" s="310" t="s">
        <v>1824</v>
      </c>
    </row>
    <row r="15">
      <c r="A15" s="194">
        <v>234780.0</v>
      </c>
      <c r="B15" s="183" t="s">
        <v>1834</v>
      </c>
      <c r="C15" s="183" t="s">
        <v>1834</v>
      </c>
      <c r="D15" s="183" t="s">
        <v>244</v>
      </c>
      <c r="E15" s="184">
        <v>48.0</v>
      </c>
      <c r="F15" s="184">
        <v>45.0</v>
      </c>
      <c r="G15" s="184">
        <v>5.0</v>
      </c>
      <c r="H15" s="185">
        <v>0.111</v>
      </c>
      <c r="I15" s="185">
        <v>0.0638</v>
      </c>
      <c r="J15" s="185">
        <v>0.0426</v>
      </c>
      <c r="K15" s="185">
        <v>0.0</v>
      </c>
      <c r="L15" s="183" t="s">
        <v>32</v>
      </c>
      <c r="M15" s="185">
        <v>0.0638</v>
      </c>
      <c r="N15" s="197" t="s">
        <v>855</v>
      </c>
      <c r="O15" s="310" t="s">
        <v>1824</v>
      </c>
    </row>
    <row r="16">
      <c r="A16" s="190">
        <v>242146.0</v>
      </c>
      <c r="B16" s="178" t="s">
        <v>1835</v>
      </c>
      <c r="C16" s="178" t="s">
        <v>1835</v>
      </c>
      <c r="D16" s="178" t="s">
        <v>245</v>
      </c>
      <c r="E16" s="179">
        <v>41.0</v>
      </c>
      <c r="F16" s="179">
        <v>29.0</v>
      </c>
      <c r="G16" s="179">
        <v>8.0</v>
      </c>
      <c r="H16" s="180">
        <v>0.276</v>
      </c>
      <c r="I16" s="180">
        <v>0.1132</v>
      </c>
      <c r="J16" s="180">
        <v>0.0377</v>
      </c>
      <c r="K16" s="180">
        <v>0.0377</v>
      </c>
      <c r="L16" s="178" t="s">
        <v>32</v>
      </c>
      <c r="M16" s="180">
        <v>0.1132</v>
      </c>
      <c r="N16" s="193" t="s">
        <v>855</v>
      </c>
      <c r="O16" s="310" t="s">
        <v>1824</v>
      </c>
    </row>
    <row r="17">
      <c r="A17" s="194">
        <v>238757.0</v>
      </c>
      <c r="B17" s="183" t="s">
        <v>1836</v>
      </c>
      <c r="C17" s="183" t="s">
        <v>1836</v>
      </c>
      <c r="D17" s="183" t="s">
        <v>246</v>
      </c>
      <c r="E17" s="184">
        <v>55.0</v>
      </c>
      <c r="F17" s="184">
        <v>53.0</v>
      </c>
      <c r="G17" s="184">
        <v>8.0</v>
      </c>
      <c r="H17" s="185">
        <v>0.151</v>
      </c>
      <c r="I17" s="185">
        <v>0.0952</v>
      </c>
      <c r="J17" s="185">
        <v>0.0317</v>
      </c>
      <c r="K17" s="185">
        <v>0.0</v>
      </c>
      <c r="L17" s="183" t="s">
        <v>32</v>
      </c>
      <c r="M17" s="185">
        <v>0.0952</v>
      </c>
      <c r="N17" s="197" t="s">
        <v>855</v>
      </c>
      <c r="O17" s="310" t="s">
        <v>1824</v>
      </c>
    </row>
    <row r="18">
      <c r="A18" s="190">
        <v>241187.0</v>
      </c>
      <c r="B18" s="178" t="s">
        <v>1837</v>
      </c>
      <c r="C18" s="178" t="s">
        <v>1837</v>
      </c>
      <c r="D18" s="178" t="s">
        <v>247</v>
      </c>
      <c r="E18" s="179">
        <v>57.0</v>
      </c>
      <c r="F18" s="179">
        <v>57.0</v>
      </c>
      <c r="G18" s="179">
        <v>5.0</v>
      </c>
      <c r="H18" s="180">
        <v>0.088</v>
      </c>
      <c r="I18" s="180">
        <v>0.0571</v>
      </c>
      <c r="J18" s="180">
        <v>0.0286</v>
      </c>
      <c r="K18" s="180">
        <v>0.0</v>
      </c>
      <c r="L18" s="178" t="s">
        <v>32</v>
      </c>
      <c r="M18" s="180">
        <v>0.0571</v>
      </c>
      <c r="N18" s="193" t="s">
        <v>855</v>
      </c>
      <c r="O18" s="310" t="s">
        <v>1824</v>
      </c>
    </row>
    <row r="19">
      <c r="A19" s="194">
        <v>210433.0</v>
      </c>
      <c r="B19" s="183" t="s">
        <v>1767</v>
      </c>
      <c r="C19" s="183" t="s">
        <v>1767</v>
      </c>
      <c r="D19" s="183" t="s">
        <v>100</v>
      </c>
      <c r="E19" s="184">
        <v>129.0</v>
      </c>
      <c r="F19" s="184">
        <v>107.0</v>
      </c>
      <c r="G19" s="184">
        <v>6.0</v>
      </c>
      <c r="H19" s="185">
        <v>0.056</v>
      </c>
      <c r="I19" s="185">
        <v>0.0446</v>
      </c>
      <c r="J19" s="185">
        <v>0.0268</v>
      </c>
      <c r="K19" s="185">
        <v>0.0</v>
      </c>
      <c r="L19" s="183" t="s">
        <v>32</v>
      </c>
      <c r="M19" s="185">
        <v>0.0446</v>
      </c>
      <c r="N19" s="197" t="s">
        <v>855</v>
      </c>
      <c r="O19" s="310" t="s">
        <v>1824</v>
      </c>
    </row>
    <row r="20">
      <c r="A20" s="190">
        <v>241094.0</v>
      </c>
      <c r="B20" s="178" t="s">
        <v>1838</v>
      </c>
      <c r="C20" s="178" t="s">
        <v>1838</v>
      </c>
      <c r="D20" s="178" t="s">
        <v>248</v>
      </c>
      <c r="E20" s="179">
        <v>53.0</v>
      </c>
      <c r="F20" s="179">
        <v>47.0</v>
      </c>
      <c r="G20" s="179">
        <v>5.0</v>
      </c>
      <c r="H20" s="180">
        <v>0.106</v>
      </c>
      <c r="I20" s="180">
        <v>0.0577</v>
      </c>
      <c r="J20" s="180">
        <v>0.0192</v>
      </c>
      <c r="K20" s="180">
        <v>0.0192</v>
      </c>
      <c r="L20" s="178" t="s">
        <v>32</v>
      </c>
      <c r="M20" s="180">
        <v>0.0577</v>
      </c>
      <c r="N20" s="193" t="s">
        <v>855</v>
      </c>
      <c r="O20" s="310" t="s">
        <v>1824</v>
      </c>
    </row>
    <row r="21">
      <c r="A21" s="194">
        <v>241117.0</v>
      </c>
      <c r="B21" s="183" t="s">
        <v>1839</v>
      </c>
      <c r="C21" s="183" t="s">
        <v>1839</v>
      </c>
      <c r="D21" s="183" t="s">
        <v>1840</v>
      </c>
      <c r="E21" s="184">
        <v>71.0</v>
      </c>
      <c r="F21" s="184">
        <v>66.0</v>
      </c>
      <c r="G21" s="184">
        <v>10.0</v>
      </c>
      <c r="H21" s="185">
        <v>0.152</v>
      </c>
      <c r="I21" s="185">
        <v>0.0694</v>
      </c>
      <c r="J21" s="185">
        <v>0.0139</v>
      </c>
      <c r="K21" s="185">
        <v>0.0833</v>
      </c>
      <c r="L21" s="183" t="s">
        <v>124</v>
      </c>
      <c r="M21" s="185">
        <v>0.0833</v>
      </c>
      <c r="N21" s="197" t="s">
        <v>855</v>
      </c>
      <c r="O21" s="310" t="s">
        <v>1824</v>
      </c>
    </row>
    <row r="22">
      <c r="A22" s="190">
        <v>246233.0</v>
      </c>
      <c r="B22" s="178" t="s">
        <v>1713</v>
      </c>
      <c r="C22" s="178" t="s">
        <v>1713</v>
      </c>
      <c r="D22" s="178" t="s">
        <v>152</v>
      </c>
      <c r="E22" s="179">
        <v>174.0</v>
      </c>
      <c r="F22" s="179">
        <v>159.0</v>
      </c>
      <c r="G22" s="179">
        <v>17.0</v>
      </c>
      <c r="H22" s="180">
        <v>0.107</v>
      </c>
      <c r="I22" s="180">
        <v>0.0364</v>
      </c>
      <c r="J22" s="180">
        <v>0.0121</v>
      </c>
      <c r="K22" s="180">
        <v>0.0545</v>
      </c>
      <c r="L22" s="178" t="s">
        <v>124</v>
      </c>
      <c r="M22" s="180">
        <v>0.0545</v>
      </c>
      <c r="N22" s="193" t="s">
        <v>855</v>
      </c>
      <c r="O22" s="310" t="s">
        <v>1824</v>
      </c>
    </row>
    <row r="23">
      <c r="A23" s="194">
        <v>221282.0</v>
      </c>
      <c r="B23" s="183" t="s">
        <v>1841</v>
      </c>
      <c r="C23" s="183" t="s">
        <v>1841</v>
      </c>
      <c r="D23" s="183" t="s">
        <v>160</v>
      </c>
      <c r="E23" s="184">
        <v>110.0</v>
      </c>
      <c r="F23" s="184">
        <v>105.0</v>
      </c>
      <c r="G23" s="184">
        <v>9.0</v>
      </c>
      <c r="H23" s="185">
        <v>0.086</v>
      </c>
      <c r="I23" s="185">
        <v>0.0619</v>
      </c>
      <c r="J23" s="185">
        <v>0.0088</v>
      </c>
      <c r="K23" s="185">
        <v>0.0088</v>
      </c>
      <c r="L23" s="183" t="s">
        <v>32</v>
      </c>
      <c r="M23" s="185">
        <v>0.0619</v>
      </c>
      <c r="N23" s="197" t="s">
        <v>855</v>
      </c>
      <c r="O23" s="310" t="s">
        <v>1824</v>
      </c>
    </row>
    <row r="24">
      <c r="A24" s="190">
        <v>239999.0</v>
      </c>
      <c r="B24" s="178" t="s">
        <v>882</v>
      </c>
      <c r="C24" s="178" t="s">
        <v>882</v>
      </c>
      <c r="D24" s="178" t="s">
        <v>357</v>
      </c>
      <c r="E24" s="179">
        <v>48.0</v>
      </c>
      <c r="F24" s="179">
        <v>40.0</v>
      </c>
      <c r="G24" s="179">
        <v>7.0</v>
      </c>
      <c r="H24" s="180">
        <v>0.175</v>
      </c>
      <c r="I24" s="180">
        <v>0.0</v>
      </c>
      <c r="J24" s="180">
        <v>0.0</v>
      </c>
      <c r="K24" s="180">
        <v>0.1667</v>
      </c>
      <c r="L24" s="178" t="s">
        <v>124</v>
      </c>
      <c r="M24" s="180">
        <v>0.1667</v>
      </c>
      <c r="N24" s="193" t="s">
        <v>855</v>
      </c>
      <c r="O24" s="310" t="s">
        <v>1824</v>
      </c>
    </row>
    <row r="25">
      <c r="A25" s="194">
        <v>241119.0</v>
      </c>
      <c r="B25" s="183" t="s">
        <v>1842</v>
      </c>
      <c r="C25" s="183" t="s">
        <v>1842</v>
      </c>
      <c r="D25" s="183" t="s">
        <v>1843</v>
      </c>
      <c r="E25" s="184">
        <v>56.0</v>
      </c>
      <c r="F25" s="184">
        <v>52.0</v>
      </c>
      <c r="G25" s="184">
        <v>7.0</v>
      </c>
      <c r="H25" s="185">
        <v>0.135</v>
      </c>
      <c r="I25" s="185">
        <v>0.0339</v>
      </c>
      <c r="J25" s="185">
        <v>0.0</v>
      </c>
      <c r="K25" s="185">
        <v>0.0847</v>
      </c>
      <c r="L25" s="183" t="s">
        <v>32</v>
      </c>
      <c r="M25" s="185">
        <v>0.0847</v>
      </c>
      <c r="N25" s="197" t="s">
        <v>855</v>
      </c>
      <c r="O25" s="310" t="s">
        <v>1824</v>
      </c>
    </row>
    <row r="26">
      <c r="A26" s="190">
        <v>243674.0</v>
      </c>
      <c r="B26" s="178" t="s">
        <v>1844</v>
      </c>
      <c r="C26" s="178" t="s">
        <v>1844</v>
      </c>
      <c r="D26" s="178" t="s">
        <v>167</v>
      </c>
      <c r="E26" s="179">
        <v>54.0</v>
      </c>
      <c r="F26" s="179">
        <v>50.0</v>
      </c>
      <c r="G26" s="179">
        <v>6.0</v>
      </c>
      <c r="H26" s="180">
        <v>0.12</v>
      </c>
      <c r="I26" s="180">
        <v>0.1</v>
      </c>
      <c r="J26" s="180">
        <v>0.0</v>
      </c>
      <c r="K26" s="180">
        <v>0.02</v>
      </c>
      <c r="L26" s="178" t="s">
        <v>32</v>
      </c>
      <c r="M26" s="180">
        <v>0.1</v>
      </c>
      <c r="N26" s="193" t="s">
        <v>855</v>
      </c>
      <c r="O26" s="310" t="s">
        <v>1824</v>
      </c>
    </row>
    <row r="27">
      <c r="A27" s="194">
        <v>246018.0</v>
      </c>
      <c r="B27" s="183" t="s">
        <v>1845</v>
      </c>
      <c r="C27" s="183" t="s">
        <v>1845</v>
      </c>
      <c r="D27" s="183" t="s">
        <v>249</v>
      </c>
      <c r="E27" s="184">
        <v>43.0</v>
      </c>
      <c r="F27" s="184">
        <v>43.0</v>
      </c>
      <c r="G27" s="184">
        <v>5.0</v>
      </c>
      <c r="H27" s="185">
        <v>0.116</v>
      </c>
      <c r="I27" s="185">
        <v>0.0455</v>
      </c>
      <c r="J27" s="185">
        <v>0.0</v>
      </c>
      <c r="K27" s="185">
        <v>0.0682</v>
      </c>
      <c r="L27" s="183" t="s">
        <v>32</v>
      </c>
      <c r="M27" s="185">
        <v>0.0682</v>
      </c>
      <c r="N27" s="197" t="s">
        <v>855</v>
      </c>
      <c r="O27" s="310" t="s">
        <v>1824</v>
      </c>
    </row>
    <row r="28">
      <c r="A28" s="190">
        <v>149037.0</v>
      </c>
      <c r="B28" s="178" t="s">
        <v>1695</v>
      </c>
      <c r="C28" s="178" t="s">
        <v>1695</v>
      </c>
      <c r="D28" s="178" t="s">
        <v>180</v>
      </c>
      <c r="E28" s="179">
        <v>87.0</v>
      </c>
      <c r="F28" s="179">
        <v>76.0</v>
      </c>
      <c r="G28" s="179">
        <v>8.0</v>
      </c>
      <c r="H28" s="180">
        <v>0.105</v>
      </c>
      <c r="I28" s="180">
        <v>0.0759</v>
      </c>
      <c r="J28" s="180">
        <v>0.0</v>
      </c>
      <c r="K28" s="180">
        <v>0.038</v>
      </c>
      <c r="L28" s="178" t="s">
        <v>32</v>
      </c>
      <c r="M28" s="180">
        <v>0.0759</v>
      </c>
      <c r="N28" s="193" t="s">
        <v>855</v>
      </c>
      <c r="O28" s="310" t="s">
        <v>1824</v>
      </c>
    </row>
    <row r="29">
      <c r="A29" s="194">
        <v>246864.0</v>
      </c>
      <c r="B29" s="183" t="s">
        <v>1846</v>
      </c>
      <c r="C29" s="183" t="s">
        <v>1846</v>
      </c>
      <c r="D29" s="183" t="s">
        <v>375</v>
      </c>
      <c r="E29" s="184">
        <v>57.0</v>
      </c>
      <c r="F29" s="184">
        <v>55.0</v>
      </c>
      <c r="G29" s="184">
        <v>5.0</v>
      </c>
      <c r="H29" s="185">
        <v>0.091</v>
      </c>
      <c r="I29" s="185">
        <v>0.0877</v>
      </c>
      <c r="J29" s="185">
        <v>0.0</v>
      </c>
      <c r="K29" s="185">
        <v>0.0</v>
      </c>
      <c r="L29" s="183" t="s">
        <v>32</v>
      </c>
      <c r="M29" s="185">
        <v>0.0877</v>
      </c>
      <c r="N29" s="197" t="s">
        <v>855</v>
      </c>
      <c r="O29" s="310" t="s">
        <v>1824</v>
      </c>
    </row>
    <row r="30">
      <c r="A30" s="190">
        <v>247138.0</v>
      </c>
      <c r="B30" s="178" t="s">
        <v>1847</v>
      </c>
      <c r="C30" s="178" t="s">
        <v>1847</v>
      </c>
      <c r="D30" s="178" t="s">
        <v>250</v>
      </c>
      <c r="E30" s="179">
        <v>78.0</v>
      </c>
      <c r="F30" s="179">
        <v>76.0</v>
      </c>
      <c r="G30" s="179">
        <v>6.0</v>
      </c>
      <c r="H30" s="180">
        <v>0.079</v>
      </c>
      <c r="I30" s="180">
        <v>0.0385</v>
      </c>
      <c r="J30" s="180">
        <v>0.0</v>
      </c>
      <c r="K30" s="180">
        <v>0.0385</v>
      </c>
      <c r="L30" s="178" t="s">
        <v>32</v>
      </c>
      <c r="M30" s="180">
        <v>0.0385</v>
      </c>
      <c r="N30" s="193" t="s">
        <v>855</v>
      </c>
      <c r="O30" s="310" t="s">
        <v>1824</v>
      </c>
    </row>
    <row r="31">
      <c r="A31" s="194">
        <v>246232.0</v>
      </c>
      <c r="B31" s="183" t="s">
        <v>1713</v>
      </c>
      <c r="C31" s="183" t="s">
        <v>1713</v>
      </c>
      <c r="D31" s="183" t="s">
        <v>169</v>
      </c>
      <c r="E31" s="184">
        <v>118.0</v>
      </c>
      <c r="F31" s="184">
        <v>112.0</v>
      </c>
      <c r="G31" s="184">
        <v>8.0</v>
      </c>
      <c r="H31" s="185">
        <v>0.071</v>
      </c>
      <c r="I31" s="185">
        <v>0.0345</v>
      </c>
      <c r="J31" s="185">
        <v>0.0</v>
      </c>
      <c r="K31" s="185">
        <v>0.0345</v>
      </c>
      <c r="L31" s="183" t="s">
        <v>32</v>
      </c>
      <c r="M31" s="185">
        <v>0.0345</v>
      </c>
      <c r="N31" s="197" t="s">
        <v>855</v>
      </c>
      <c r="O31" s="310" t="s">
        <v>1824</v>
      </c>
    </row>
    <row r="32">
      <c r="A32" s="190">
        <v>236092.0</v>
      </c>
      <c r="B32" s="178" t="s">
        <v>1848</v>
      </c>
      <c r="C32" s="178" t="s">
        <v>1848</v>
      </c>
      <c r="D32" s="178" t="s">
        <v>251</v>
      </c>
      <c r="E32" s="179">
        <v>126.0</v>
      </c>
      <c r="F32" s="179">
        <v>115.0</v>
      </c>
      <c r="G32" s="179">
        <v>8.0</v>
      </c>
      <c r="H32" s="180">
        <v>0.07</v>
      </c>
      <c r="I32" s="180">
        <v>0.0656</v>
      </c>
      <c r="J32" s="180">
        <v>0.0</v>
      </c>
      <c r="K32" s="180">
        <v>0.0082</v>
      </c>
      <c r="L32" s="178" t="s">
        <v>32</v>
      </c>
      <c r="M32" s="180">
        <v>0.0656</v>
      </c>
      <c r="N32" s="193" t="s">
        <v>855</v>
      </c>
      <c r="O32" s="310" t="s">
        <v>1824</v>
      </c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5" max="5" width="13.5"/>
  </cols>
  <sheetData>
    <row r="1">
      <c r="A1" s="176" t="s">
        <v>949</v>
      </c>
      <c r="B1" s="176" t="s">
        <v>849</v>
      </c>
      <c r="C1" s="176" t="s">
        <v>850</v>
      </c>
      <c r="D1" s="176" t="s">
        <v>851</v>
      </c>
      <c r="E1" s="176" t="s">
        <v>852</v>
      </c>
      <c r="F1" s="176" t="s">
        <v>1849</v>
      </c>
      <c r="G1" s="176" t="s">
        <v>908</v>
      </c>
      <c r="H1" s="177" t="s">
        <v>5</v>
      </c>
      <c r="I1" s="310" t="s">
        <v>1807</v>
      </c>
    </row>
    <row r="2">
      <c r="A2" s="178" t="s">
        <v>252</v>
      </c>
      <c r="B2" s="179">
        <v>16.0</v>
      </c>
      <c r="C2" s="179">
        <v>12.0</v>
      </c>
      <c r="D2" s="179">
        <v>12.0</v>
      </c>
      <c r="E2" s="180">
        <v>1.0</v>
      </c>
      <c r="F2" s="178" t="s">
        <v>17</v>
      </c>
      <c r="G2" s="180">
        <v>0.8</v>
      </c>
      <c r="H2" s="193" t="s">
        <v>855</v>
      </c>
      <c r="I2" s="316" t="s">
        <v>746</v>
      </c>
    </row>
    <row r="3">
      <c r="A3" s="183" t="s">
        <v>153</v>
      </c>
      <c r="B3" s="184">
        <v>54.0</v>
      </c>
      <c r="C3" s="184">
        <v>45.0</v>
      </c>
      <c r="D3" s="184">
        <v>37.0</v>
      </c>
      <c r="E3" s="185">
        <v>0.822</v>
      </c>
      <c r="F3" s="183" t="s">
        <v>17</v>
      </c>
      <c r="G3" s="185">
        <v>0.5758</v>
      </c>
      <c r="H3" s="197" t="s">
        <v>855</v>
      </c>
      <c r="I3" s="316" t="s">
        <v>746</v>
      </c>
    </row>
    <row r="4">
      <c r="A4" s="178" t="s">
        <v>241</v>
      </c>
      <c r="B4" s="179">
        <v>57.0</v>
      </c>
      <c r="C4" s="179">
        <v>48.0</v>
      </c>
      <c r="D4" s="179">
        <v>26.0</v>
      </c>
      <c r="E4" s="180">
        <v>0.542</v>
      </c>
      <c r="F4" s="178" t="s">
        <v>17</v>
      </c>
      <c r="G4" s="180">
        <v>0.5098</v>
      </c>
      <c r="H4" s="193" t="s">
        <v>855</v>
      </c>
      <c r="I4" s="316" t="s">
        <v>746</v>
      </c>
    </row>
    <row r="5">
      <c r="A5" s="183" t="s">
        <v>200</v>
      </c>
      <c r="B5" s="184">
        <v>76.0</v>
      </c>
      <c r="C5" s="184">
        <v>67.0</v>
      </c>
      <c r="D5" s="184">
        <v>50.0</v>
      </c>
      <c r="E5" s="185">
        <v>0.746</v>
      </c>
      <c r="F5" s="183" t="s">
        <v>17</v>
      </c>
      <c r="G5" s="185">
        <v>0.4796</v>
      </c>
      <c r="H5" s="197" t="s">
        <v>855</v>
      </c>
      <c r="I5" s="316" t="s">
        <v>746</v>
      </c>
    </row>
    <row r="6">
      <c r="A6" s="178" t="s">
        <v>253</v>
      </c>
      <c r="B6" s="179">
        <v>35.0</v>
      </c>
      <c r="C6" s="179">
        <v>25.0</v>
      </c>
      <c r="D6" s="179">
        <v>13.0</v>
      </c>
      <c r="E6" s="180">
        <v>0.52</v>
      </c>
      <c r="F6" s="178" t="s">
        <v>17</v>
      </c>
      <c r="G6" s="180">
        <v>0.4359</v>
      </c>
      <c r="H6" s="193" t="s">
        <v>855</v>
      </c>
      <c r="I6" s="316" t="s">
        <v>746</v>
      </c>
    </row>
    <row r="7">
      <c r="A7" s="183" t="s">
        <v>254</v>
      </c>
      <c r="B7" s="184">
        <v>27.0</v>
      </c>
      <c r="C7" s="184">
        <v>27.0</v>
      </c>
      <c r="D7" s="184">
        <v>12.0</v>
      </c>
      <c r="E7" s="185">
        <v>0.444</v>
      </c>
      <c r="F7" s="183" t="s">
        <v>17</v>
      </c>
      <c r="G7" s="185">
        <v>0.3793</v>
      </c>
      <c r="H7" s="197" t="s">
        <v>855</v>
      </c>
      <c r="I7" s="316" t="s">
        <v>746</v>
      </c>
    </row>
    <row r="8">
      <c r="A8" s="178" t="s">
        <v>255</v>
      </c>
      <c r="B8" s="179">
        <v>40.0</v>
      </c>
      <c r="C8" s="179">
        <v>41.0</v>
      </c>
      <c r="D8" s="179">
        <v>21.0</v>
      </c>
      <c r="E8" s="180">
        <v>0.512</v>
      </c>
      <c r="F8" s="178" t="s">
        <v>17</v>
      </c>
      <c r="G8" s="180">
        <v>0.3704</v>
      </c>
      <c r="H8" s="193" t="s">
        <v>855</v>
      </c>
      <c r="I8" s="316" t="s">
        <v>746</v>
      </c>
    </row>
    <row r="9">
      <c r="A9" s="183" t="s">
        <v>208</v>
      </c>
      <c r="B9" s="184">
        <v>21.0</v>
      </c>
      <c r="C9" s="184">
        <v>20.0</v>
      </c>
      <c r="D9" s="184">
        <v>6.0</v>
      </c>
      <c r="E9" s="185">
        <v>0.3</v>
      </c>
      <c r="F9" s="183" t="s">
        <v>17</v>
      </c>
      <c r="G9" s="185">
        <v>0.3333</v>
      </c>
      <c r="H9" s="197" t="s">
        <v>855</v>
      </c>
      <c r="I9" s="316" t="s">
        <v>746</v>
      </c>
    </row>
    <row r="10">
      <c r="A10" s="178" t="s">
        <v>256</v>
      </c>
      <c r="B10" s="179">
        <v>51.0</v>
      </c>
      <c r="C10" s="179">
        <v>47.0</v>
      </c>
      <c r="D10" s="179">
        <v>12.0</v>
      </c>
      <c r="E10" s="180">
        <v>0.255</v>
      </c>
      <c r="F10" s="178" t="s">
        <v>17</v>
      </c>
      <c r="G10" s="180">
        <v>0.2653</v>
      </c>
      <c r="H10" s="193" t="s">
        <v>855</v>
      </c>
      <c r="I10" s="316" t="s">
        <v>746</v>
      </c>
    </row>
    <row r="11">
      <c r="A11" s="183" t="s">
        <v>257</v>
      </c>
      <c r="B11" s="184">
        <v>17.0</v>
      </c>
      <c r="C11" s="184">
        <v>14.0</v>
      </c>
      <c r="D11" s="184">
        <v>5.0</v>
      </c>
      <c r="E11" s="185">
        <v>0.357</v>
      </c>
      <c r="F11" s="183" t="s">
        <v>17</v>
      </c>
      <c r="G11" s="185">
        <v>0.2222</v>
      </c>
      <c r="H11" s="197" t="s">
        <v>855</v>
      </c>
      <c r="I11" s="316" t="s">
        <v>746</v>
      </c>
    </row>
    <row r="12">
      <c r="A12" s="178" t="s">
        <v>258</v>
      </c>
      <c r="B12" s="179">
        <v>51.0</v>
      </c>
      <c r="C12" s="179">
        <v>51.0</v>
      </c>
      <c r="D12" s="179">
        <v>12.0</v>
      </c>
      <c r="E12" s="180">
        <v>0.235</v>
      </c>
      <c r="F12" s="178" t="s">
        <v>17</v>
      </c>
      <c r="G12" s="180">
        <v>0.193</v>
      </c>
      <c r="H12" s="193" t="s">
        <v>855</v>
      </c>
      <c r="I12" s="316" t="s">
        <v>746</v>
      </c>
    </row>
    <row r="13">
      <c r="A13" s="183" t="s">
        <v>259</v>
      </c>
      <c r="B13" s="184">
        <v>118.0</v>
      </c>
      <c r="C13" s="184">
        <v>113.0</v>
      </c>
      <c r="D13" s="184">
        <v>16.0</v>
      </c>
      <c r="E13" s="185">
        <v>0.142</v>
      </c>
      <c r="F13" s="183" t="s">
        <v>17</v>
      </c>
      <c r="G13" s="185">
        <v>0.1692</v>
      </c>
      <c r="H13" s="197" t="s">
        <v>855</v>
      </c>
      <c r="I13" s="316" t="s">
        <v>746</v>
      </c>
    </row>
    <row r="14">
      <c r="A14" s="178" t="s">
        <v>260</v>
      </c>
      <c r="B14" s="179">
        <v>20.0</v>
      </c>
      <c r="C14" s="179">
        <v>18.0</v>
      </c>
      <c r="D14" s="179">
        <v>5.0</v>
      </c>
      <c r="E14" s="180">
        <v>0.278</v>
      </c>
      <c r="F14" s="178" t="s">
        <v>17</v>
      </c>
      <c r="G14" s="180">
        <v>0.15</v>
      </c>
      <c r="H14" s="193" t="s">
        <v>855</v>
      </c>
      <c r="I14" s="316" t="s">
        <v>746</v>
      </c>
    </row>
    <row r="15">
      <c r="A15" s="183" t="s">
        <v>210</v>
      </c>
      <c r="B15" s="184">
        <v>152.0</v>
      </c>
      <c r="C15" s="184">
        <v>151.0</v>
      </c>
      <c r="D15" s="184">
        <v>18.0</v>
      </c>
      <c r="E15" s="185">
        <v>0.119</v>
      </c>
      <c r="F15" s="183" t="s">
        <v>17</v>
      </c>
      <c r="G15" s="185">
        <v>0.1364</v>
      </c>
      <c r="H15" s="197" t="s">
        <v>855</v>
      </c>
      <c r="I15" s="316" t="s">
        <v>746</v>
      </c>
    </row>
    <row r="16">
      <c r="A16" s="178" t="s">
        <v>261</v>
      </c>
      <c r="B16" s="179">
        <v>31.0</v>
      </c>
      <c r="C16" s="179">
        <v>33.0</v>
      </c>
      <c r="D16" s="179">
        <v>7.0</v>
      </c>
      <c r="E16" s="180">
        <v>0.212</v>
      </c>
      <c r="F16" s="178" t="s">
        <v>17</v>
      </c>
      <c r="G16" s="180">
        <v>0.1143</v>
      </c>
      <c r="H16" s="193" t="s">
        <v>855</v>
      </c>
      <c r="I16" s="316" t="s">
        <v>746</v>
      </c>
    </row>
    <row r="17">
      <c r="A17" s="183" t="s">
        <v>262</v>
      </c>
      <c r="B17" s="184">
        <v>43.0</v>
      </c>
      <c r="C17" s="184">
        <v>41.0</v>
      </c>
      <c r="D17" s="184">
        <v>14.0</v>
      </c>
      <c r="E17" s="185">
        <v>0.341</v>
      </c>
      <c r="F17" s="183" t="s">
        <v>32</v>
      </c>
      <c r="G17" s="185">
        <v>0.1818</v>
      </c>
      <c r="H17" s="197" t="s">
        <v>855</v>
      </c>
      <c r="I17" s="316" t="s">
        <v>746</v>
      </c>
    </row>
    <row r="18">
      <c r="A18" s="178" t="s">
        <v>263</v>
      </c>
      <c r="B18" s="179">
        <v>43.0</v>
      </c>
      <c r="C18" s="179">
        <v>42.0</v>
      </c>
      <c r="D18" s="179">
        <v>8.0</v>
      </c>
      <c r="E18" s="180">
        <v>0.19</v>
      </c>
      <c r="F18" s="178" t="s">
        <v>17</v>
      </c>
      <c r="G18" s="180">
        <v>0.1087</v>
      </c>
      <c r="H18" s="193" t="s">
        <v>855</v>
      </c>
      <c r="I18" s="316" t="s">
        <v>746</v>
      </c>
    </row>
    <row r="19">
      <c r="A19" s="183" t="s">
        <v>264</v>
      </c>
      <c r="B19" s="184">
        <v>44.0</v>
      </c>
      <c r="C19" s="184">
        <v>45.0</v>
      </c>
      <c r="D19" s="184">
        <v>6.0</v>
      </c>
      <c r="E19" s="185">
        <v>0.133</v>
      </c>
      <c r="F19" s="183" t="s">
        <v>17</v>
      </c>
      <c r="G19" s="185">
        <v>0.0962</v>
      </c>
      <c r="H19" s="197" t="s">
        <v>855</v>
      </c>
      <c r="I19" s="316" t="s">
        <v>746</v>
      </c>
    </row>
    <row r="20">
      <c r="A20" s="178" t="s">
        <v>265</v>
      </c>
      <c r="B20" s="179">
        <v>92.0</v>
      </c>
      <c r="C20" s="179">
        <v>88.0</v>
      </c>
      <c r="D20" s="179">
        <v>7.0</v>
      </c>
      <c r="E20" s="180">
        <v>0.08</v>
      </c>
      <c r="F20" s="178" t="s">
        <v>17</v>
      </c>
      <c r="G20" s="180">
        <v>0.0753</v>
      </c>
      <c r="H20" s="193" t="s">
        <v>855</v>
      </c>
      <c r="I20" s="316" t="s">
        <v>746</v>
      </c>
    </row>
    <row r="21">
      <c r="A21" s="183" t="s">
        <v>245</v>
      </c>
      <c r="B21" s="184">
        <v>64.0</v>
      </c>
      <c r="C21" s="184">
        <v>48.0</v>
      </c>
      <c r="D21" s="184">
        <v>11.0</v>
      </c>
      <c r="E21" s="185">
        <v>0.229</v>
      </c>
      <c r="F21" s="183" t="s">
        <v>32</v>
      </c>
      <c r="G21" s="185">
        <v>0.0833</v>
      </c>
      <c r="H21" s="197" t="s">
        <v>855</v>
      </c>
      <c r="I21" s="316" t="s">
        <v>746</v>
      </c>
    </row>
    <row r="22">
      <c r="A22" s="178" t="s">
        <v>266</v>
      </c>
      <c r="B22" s="179">
        <v>163.0</v>
      </c>
      <c r="C22" s="179">
        <v>161.0</v>
      </c>
      <c r="D22" s="179">
        <v>42.0</v>
      </c>
      <c r="E22" s="180">
        <v>0.261</v>
      </c>
      <c r="F22" s="178" t="s">
        <v>32</v>
      </c>
      <c r="G22" s="180">
        <v>0.1393</v>
      </c>
      <c r="H22" s="193" t="s">
        <v>855</v>
      </c>
      <c r="I22" s="316" t="s">
        <v>746</v>
      </c>
    </row>
    <row r="23">
      <c r="A23" s="183" t="s">
        <v>267</v>
      </c>
      <c r="B23" s="184">
        <v>70.0</v>
      </c>
      <c r="C23" s="184">
        <v>56.0</v>
      </c>
      <c r="D23" s="184">
        <v>27.0</v>
      </c>
      <c r="E23" s="185">
        <v>0.482</v>
      </c>
      <c r="F23" s="183" t="s">
        <v>32</v>
      </c>
      <c r="G23" s="185">
        <v>0.2281</v>
      </c>
      <c r="H23" s="197" t="s">
        <v>855</v>
      </c>
      <c r="I23" s="316" t="s">
        <v>746</v>
      </c>
    </row>
    <row r="24">
      <c r="A24" s="178" t="s">
        <v>132</v>
      </c>
      <c r="B24" s="179">
        <v>56.0</v>
      </c>
      <c r="C24" s="179">
        <v>56.0</v>
      </c>
      <c r="D24" s="179">
        <v>8.0</v>
      </c>
      <c r="E24" s="180">
        <v>0.143</v>
      </c>
      <c r="F24" s="178" t="s">
        <v>17</v>
      </c>
      <c r="G24" s="180">
        <v>0.0517</v>
      </c>
      <c r="H24" s="193" t="s">
        <v>855</v>
      </c>
      <c r="I24" s="316" t="s">
        <v>746</v>
      </c>
    </row>
    <row r="25">
      <c r="A25" s="183" t="s">
        <v>268</v>
      </c>
      <c r="B25" s="184">
        <v>125.0</v>
      </c>
      <c r="C25" s="184">
        <v>124.0</v>
      </c>
      <c r="D25" s="184">
        <v>8.0</v>
      </c>
      <c r="E25" s="185">
        <v>0.065</v>
      </c>
      <c r="F25" s="183" t="s">
        <v>17</v>
      </c>
      <c r="G25" s="185">
        <v>0.0397</v>
      </c>
      <c r="H25" s="197" t="s">
        <v>855</v>
      </c>
      <c r="I25" s="316" t="s">
        <v>746</v>
      </c>
    </row>
    <row r="26">
      <c r="A26" s="178" t="s">
        <v>269</v>
      </c>
      <c r="B26" s="179">
        <v>79.0</v>
      </c>
      <c r="C26" s="179">
        <v>81.0</v>
      </c>
      <c r="D26" s="179">
        <v>5.0</v>
      </c>
      <c r="E26" s="180">
        <v>0.062</v>
      </c>
      <c r="F26" s="178" t="s">
        <v>17</v>
      </c>
      <c r="G26" s="180">
        <v>0.0361</v>
      </c>
      <c r="H26" s="193" t="s">
        <v>855</v>
      </c>
      <c r="I26" s="316" t="s">
        <v>746</v>
      </c>
    </row>
    <row r="27">
      <c r="A27" s="183" t="s">
        <v>270</v>
      </c>
      <c r="B27" s="184">
        <v>160.0</v>
      </c>
      <c r="C27" s="184">
        <v>159.0</v>
      </c>
      <c r="D27" s="184">
        <v>10.0</v>
      </c>
      <c r="E27" s="185">
        <v>0.063</v>
      </c>
      <c r="F27" s="183" t="s">
        <v>17</v>
      </c>
      <c r="G27" s="185">
        <v>0.0247</v>
      </c>
      <c r="H27" s="197" t="s">
        <v>855</v>
      </c>
      <c r="I27" s="316" t="s">
        <v>746</v>
      </c>
    </row>
    <row r="28">
      <c r="A28" s="178" t="s">
        <v>271</v>
      </c>
      <c r="B28" s="179">
        <v>41.0</v>
      </c>
      <c r="C28" s="179">
        <v>41.0</v>
      </c>
      <c r="D28" s="179">
        <v>6.0</v>
      </c>
      <c r="E28" s="180">
        <v>0.146</v>
      </c>
      <c r="F28" s="178" t="s">
        <v>32</v>
      </c>
      <c r="G28" s="180">
        <v>0.1163</v>
      </c>
      <c r="H28" s="193" t="s">
        <v>855</v>
      </c>
      <c r="I28" s="316" t="s">
        <v>746</v>
      </c>
    </row>
    <row r="29">
      <c r="A29" s="183" t="s">
        <v>272</v>
      </c>
      <c r="B29" s="184">
        <v>48.0</v>
      </c>
      <c r="C29" s="184">
        <v>49.0</v>
      </c>
      <c r="D29" s="184">
        <v>11.0</v>
      </c>
      <c r="E29" s="185">
        <v>0.224</v>
      </c>
      <c r="F29" s="183" t="s">
        <v>32</v>
      </c>
      <c r="G29" s="185">
        <v>0.1132</v>
      </c>
      <c r="H29" s="197" t="s">
        <v>855</v>
      </c>
      <c r="I29" s="316" t="s">
        <v>746</v>
      </c>
    </row>
    <row r="30">
      <c r="A30" s="178" t="s">
        <v>273</v>
      </c>
      <c r="B30" s="179">
        <v>53.0</v>
      </c>
      <c r="C30" s="179">
        <v>51.0</v>
      </c>
      <c r="D30" s="179">
        <v>6.0</v>
      </c>
      <c r="E30" s="180">
        <v>0.118</v>
      </c>
      <c r="F30" s="178" t="s">
        <v>32</v>
      </c>
      <c r="G30" s="180">
        <v>0.0377</v>
      </c>
      <c r="H30" s="193" t="s">
        <v>855</v>
      </c>
      <c r="I30" s="316" t="s">
        <v>746</v>
      </c>
    </row>
    <row r="31">
      <c r="A31" s="183" t="s">
        <v>274</v>
      </c>
      <c r="B31" s="184">
        <v>60.0</v>
      </c>
      <c r="C31" s="184">
        <v>60.0</v>
      </c>
      <c r="D31" s="184">
        <v>6.0</v>
      </c>
      <c r="E31" s="185">
        <v>0.1</v>
      </c>
      <c r="F31" s="183" t="s">
        <v>32</v>
      </c>
      <c r="G31" s="185">
        <v>0.0645</v>
      </c>
      <c r="H31" s="197" t="s">
        <v>855</v>
      </c>
      <c r="I31" s="316" t="s">
        <v>746</v>
      </c>
    </row>
    <row r="32">
      <c r="A32" s="178" t="s">
        <v>184</v>
      </c>
      <c r="B32" s="179">
        <v>65.0</v>
      </c>
      <c r="C32" s="179">
        <v>64.0</v>
      </c>
      <c r="D32" s="179">
        <v>9.0</v>
      </c>
      <c r="E32" s="180">
        <v>0.141</v>
      </c>
      <c r="F32" s="178" t="s">
        <v>32</v>
      </c>
      <c r="G32" s="180">
        <v>0.0986</v>
      </c>
      <c r="H32" s="193" t="s">
        <v>855</v>
      </c>
      <c r="I32" s="316" t="s">
        <v>746</v>
      </c>
    </row>
    <row r="33">
      <c r="A33" s="183" t="s">
        <v>167</v>
      </c>
      <c r="B33" s="184">
        <v>103.0</v>
      </c>
      <c r="C33" s="184">
        <v>99.0</v>
      </c>
      <c r="D33" s="184">
        <v>12.0</v>
      </c>
      <c r="E33" s="185">
        <v>0.121</v>
      </c>
      <c r="F33" s="183" t="s">
        <v>32</v>
      </c>
      <c r="G33" s="185">
        <v>0.1048</v>
      </c>
      <c r="H33" s="197" t="s">
        <v>855</v>
      </c>
      <c r="I33" s="316" t="s">
        <v>746</v>
      </c>
    </row>
    <row r="34">
      <c r="A34" s="178" t="s">
        <v>275</v>
      </c>
      <c r="B34" s="179">
        <v>105.0</v>
      </c>
      <c r="C34" s="179">
        <v>102.0</v>
      </c>
      <c r="D34" s="179">
        <v>7.0</v>
      </c>
      <c r="E34" s="180">
        <v>0.069</v>
      </c>
      <c r="F34" s="178" t="s">
        <v>32</v>
      </c>
      <c r="G34" s="180">
        <v>0.0381</v>
      </c>
      <c r="H34" s="193" t="s">
        <v>855</v>
      </c>
      <c r="I34" s="316" t="s">
        <v>746</v>
      </c>
    </row>
    <row r="35">
      <c r="A35" s="183" t="s">
        <v>1850</v>
      </c>
      <c r="B35" s="184">
        <v>105.0</v>
      </c>
      <c r="C35" s="184">
        <v>100.0</v>
      </c>
      <c r="D35" s="184">
        <v>9.0</v>
      </c>
      <c r="E35" s="185">
        <v>0.09</v>
      </c>
      <c r="F35" s="183" t="s">
        <v>32</v>
      </c>
      <c r="G35" s="185">
        <v>0.0463</v>
      </c>
      <c r="H35" s="197" t="s">
        <v>855</v>
      </c>
      <c r="I35" s="316" t="s">
        <v>746</v>
      </c>
    </row>
    <row r="36">
      <c r="A36" s="178" t="s">
        <v>276</v>
      </c>
      <c r="B36" s="179">
        <v>185.0</v>
      </c>
      <c r="C36" s="179">
        <v>181.0</v>
      </c>
      <c r="D36" s="179">
        <v>14.0</v>
      </c>
      <c r="E36" s="180">
        <v>0.077</v>
      </c>
      <c r="F36" s="178" t="s">
        <v>32</v>
      </c>
      <c r="G36" s="180">
        <v>0.038</v>
      </c>
      <c r="H36" s="193" t="s">
        <v>855</v>
      </c>
      <c r="I36" s="316" t="s">
        <v>746</v>
      </c>
    </row>
    <row r="37">
      <c r="A37" s="183" t="s">
        <v>278</v>
      </c>
      <c r="B37" s="184">
        <v>183.0</v>
      </c>
      <c r="C37" s="184">
        <v>182.0</v>
      </c>
      <c r="D37" s="184">
        <v>10.0</v>
      </c>
      <c r="E37" s="185">
        <v>0.055</v>
      </c>
      <c r="F37" s="183" t="s">
        <v>32</v>
      </c>
      <c r="G37" s="185">
        <v>0.0374</v>
      </c>
      <c r="H37" s="197" t="s">
        <v>855</v>
      </c>
      <c r="I37" s="316" t="s">
        <v>746</v>
      </c>
    </row>
    <row r="38">
      <c r="A38" s="178" t="s">
        <v>160</v>
      </c>
      <c r="B38" s="179">
        <v>225.0</v>
      </c>
      <c r="C38" s="179">
        <v>222.0</v>
      </c>
      <c r="D38" s="179">
        <v>23.0</v>
      </c>
      <c r="E38" s="180">
        <v>0.104</v>
      </c>
      <c r="F38" s="178" t="s">
        <v>32</v>
      </c>
      <c r="G38" s="180">
        <v>0.0812</v>
      </c>
      <c r="H38" s="193" t="s">
        <v>855</v>
      </c>
      <c r="I38" s="316" t="s">
        <v>746</v>
      </c>
    </row>
    <row r="39">
      <c r="A39" s="183" t="s">
        <v>280</v>
      </c>
      <c r="B39" s="184">
        <v>17.0</v>
      </c>
      <c r="C39" s="184">
        <v>17.0</v>
      </c>
      <c r="D39" s="184">
        <v>5.0</v>
      </c>
      <c r="E39" s="185">
        <v>0.294</v>
      </c>
      <c r="F39" s="183" t="s">
        <v>32</v>
      </c>
      <c r="G39" s="185">
        <v>0.2353</v>
      </c>
      <c r="H39" s="197" t="s">
        <v>855</v>
      </c>
      <c r="I39" s="316" t="s">
        <v>746</v>
      </c>
    </row>
    <row r="40">
      <c r="A40" s="178" t="s">
        <v>281</v>
      </c>
      <c r="B40" s="179">
        <v>66.0</v>
      </c>
      <c r="C40" s="179">
        <v>62.0</v>
      </c>
      <c r="D40" s="179">
        <v>15.0</v>
      </c>
      <c r="E40" s="180">
        <v>0.242</v>
      </c>
      <c r="F40" s="178" t="s">
        <v>32</v>
      </c>
      <c r="G40" s="180">
        <v>0.1667</v>
      </c>
      <c r="H40" s="193" t="s">
        <v>855</v>
      </c>
      <c r="I40" s="316" t="s">
        <v>746</v>
      </c>
    </row>
    <row r="41">
      <c r="A41" s="183" t="s">
        <v>282</v>
      </c>
      <c r="B41" s="184">
        <v>18.0</v>
      </c>
      <c r="C41" s="184">
        <v>18.0</v>
      </c>
      <c r="D41" s="184">
        <v>5.0</v>
      </c>
      <c r="E41" s="185">
        <v>0.278</v>
      </c>
      <c r="F41" s="183" t="s">
        <v>32</v>
      </c>
      <c r="G41" s="185">
        <v>0.1538</v>
      </c>
      <c r="H41" s="197" t="s">
        <v>855</v>
      </c>
      <c r="I41" s="316" t="s">
        <v>746</v>
      </c>
    </row>
    <row r="42">
      <c r="A42" s="178" t="s">
        <v>246</v>
      </c>
      <c r="B42" s="179">
        <v>38.0</v>
      </c>
      <c r="C42" s="179">
        <v>34.0</v>
      </c>
      <c r="D42" s="179">
        <v>6.0</v>
      </c>
      <c r="E42" s="180">
        <v>0.176</v>
      </c>
      <c r="F42" s="178" t="s">
        <v>32</v>
      </c>
      <c r="G42" s="180">
        <v>0.125</v>
      </c>
      <c r="H42" s="193" t="s">
        <v>855</v>
      </c>
      <c r="I42" s="316" t="s">
        <v>746</v>
      </c>
    </row>
    <row r="43">
      <c r="A43" s="183" t="s">
        <v>283</v>
      </c>
      <c r="B43" s="184">
        <v>38.0</v>
      </c>
      <c r="C43" s="184">
        <v>36.0</v>
      </c>
      <c r="D43" s="184">
        <v>5.0</v>
      </c>
      <c r="E43" s="185">
        <v>0.139</v>
      </c>
      <c r="F43" s="183" t="s">
        <v>32</v>
      </c>
      <c r="G43" s="185">
        <v>0.1111</v>
      </c>
      <c r="H43" s="197" t="s">
        <v>855</v>
      </c>
      <c r="I43" s="316" t="s">
        <v>746</v>
      </c>
    </row>
    <row r="44">
      <c r="A44" s="178" t="s">
        <v>284</v>
      </c>
      <c r="B44" s="179">
        <v>35.0</v>
      </c>
      <c r="C44" s="179">
        <v>33.0</v>
      </c>
      <c r="D44" s="179">
        <v>6.0</v>
      </c>
      <c r="E44" s="180">
        <v>0.182</v>
      </c>
      <c r="F44" s="178" t="s">
        <v>32</v>
      </c>
      <c r="G44" s="180">
        <v>0.1053</v>
      </c>
      <c r="H44" s="193" t="s">
        <v>855</v>
      </c>
      <c r="I44" s="316" t="s">
        <v>746</v>
      </c>
    </row>
    <row r="45">
      <c r="A45" s="183" t="s">
        <v>285</v>
      </c>
      <c r="B45" s="184">
        <v>49.0</v>
      </c>
      <c r="C45" s="184">
        <v>48.0</v>
      </c>
      <c r="D45" s="184">
        <v>5.0</v>
      </c>
      <c r="E45" s="185">
        <v>0.104</v>
      </c>
      <c r="F45" s="183" t="s">
        <v>32</v>
      </c>
      <c r="G45" s="185">
        <v>0.1042</v>
      </c>
      <c r="H45" s="197" t="s">
        <v>855</v>
      </c>
      <c r="I45" s="316" t="s">
        <v>746</v>
      </c>
    </row>
    <row r="46">
      <c r="A46" s="178" t="s">
        <v>180</v>
      </c>
      <c r="B46" s="179">
        <v>225.0</v>
      </c>
      <c r="C46" s="179">
        <v>212.0</v>
      </c>
      <c r="D46" s="179">
        <v>19.0</v>
      </c>
      <c r="E46" s="180">
        <v>0.09</v>
      </c>
      <c r="F46" s="178" t="s">
        <v>32</v>
      </c>
      <c r="G46" s="180">
        <v>0.1009</v>
      </c>
      <c r="H46" s="193" t="s">
        <v>855</v>
      </c>
      <c r="I46" s="316" t="s">
        <v>746</v>
      </c>
    </row>
    <row r="47">
      <c r="A47" s="183" t="s">
        <v>286</v>
      </c>
      <c r="B47" s="184">
        <v>40.0</v>
      </c>
      <c r="C47" s="184">
        <v>39.0</v>
      </c>
      <c r="D47" s="184">
        <v>5.0</v>
      </c>
      <c r="E47" s="185">
        <v>0.128</v>
      </c>
      <c r="F47" s="183" t="s">
        <v>32</v>
      </c>
      <c r="G47" s="185">
        <v>0.1</v>
      </c>
      <c r="H47" s="197" t="s">
        <v>855</v>
      </c>
      <c r="I47" s="316" t="s">
        <v>746</v>
      </c>
    </row>
    <row r="48">
      <c r="A48" s="178" t="s">
        <v>287</v>
      </c>
      <c r="B48" s="179">
        <v>65.0</v>
      </c>
      <c r="C48" s="179">
        <v>62.0</v>
      </c>
      <c r="D48" s="179">
        <v>8.0</v>
      </c>
      <c r="E48" s="180">
        <v>0.129</v>
      </c>
      <c r="F48" s="178" t="s">
        <v>32</v>
      </c>
      <c r="G48" s="180">
        <v>0.0972</v>
      </c>
      <c r="H48" s="193" t="s">
        <v>855</v>
      </c>
      <c r="I48" s="316" t="s">
        <v>746</v>
      </c>
    </row>
    <row r="49">
      <c r="A49" s="183" t="s">
        <v>288</v>
      </c>
      <c r="B49" s="184">
        <v>132.0</v>
      </c>
      <c r="C49" s="184">
        <v>126.0</v>
      </c>
      <c r="D49" s="184">
        <v>12.0</v>
      </c>
      <c r="E49" s="185">
        <v>0.095</v>
      </c>
      <c r="F49" s="183" t="s">
        <v>32</v>
      </c>
      <c r="G49" s="185">
        <v>0.0827</v>
      </c>
      <c r="H49" s="197" t="s">
        <v>855</v>
      </c>
      <c r="I49" s="316" t="s">
        <v>746</v>
      </c>
    </row>
    <row r="50">
      <c r="A50" s="178" t="s">
        <v>289</v>
      </c>
      <c r="B50" s="179">
        <v>107.0</v>
      </c>
      <c r="C50" s="179">
        <v>103.0</v>
      </c>
      <c r="D50" s="179">
        <v>8.0</v>
      </c>
      <c r="E50" s="180">
        <v>0.078</v>
      </c>
      <c r="F50" s="178" t="s">
        <v>32</v>
      </c>
      <c r="G50" s="180">
        <v>0.0762</v>
      </c>
      <c r="H50" s="193" t="s">
        <v>855</v>
      </c>
      <c r="I50" s="316" t="s">
        <v>746</v>
      </c>
    </row>
    <row r="51">
      <c r="A51" s="183" t="s">
        <v>290</v>
      </c>
      <c r="B51" s="184">
        <v>49.0</v>
      </c>
      <c r="C51" s="184">
        <v>49.0</v>
      </c>
      <c r="D51" s="184">
        <v>5.0</v>
      </c>
      <c r="E51" s="185">
        <v>0.102</v>
      </c>
      <c r="F51" s="183" t="s">
        <v>32</v>
      </c>
      <c r="G51" s="185">
        <v>0.0566</v>
      </c>
      <c r="H51" s="197" t="s">
        <v>855</v>
      </c>
      <c r="I51" s="316" t="s">
        <v>746</v>
      </c>
    </row>
    <row r="52">
      <c r="A52" s="178" t="s">
        <v>291</v>
      </c>
      <c r="B52" s="179">
        <v>92.0</v>
      </c>
      <c r="C52" s="179">
        <v>90.0</v>
      </c>
      <c r="D52" s="179">
        <v>5.0</v>
      </c>
      <c r="E52" s="180">
        <v>0.056</v>
      </c>
      <c r="F52" s="178" t="s">
        <v>32</v>
      </c>
      <c r="G52" s="180">
        <v>0.0444</v>
      </c>
      <c r="H52" s="193" t="s">
        <v>855</v>
      </c>
      <c r="I52" s="316" t="s">
        <v>746</v>
      </c>
    </row>
    <row r="53">
      <c r="A53" s="183" t="s">
        <v>100</v>
      </c>
      <c r="B53" s="184">
        <v>236.0</v>
      </c>
      <c r="C53" s="184">
        <v>241.0</v>
      </c>
      <c r="D53" s="184">
        <v>15.0</v>
      </c>
      <c r="E53" s="185">
        <v>0.062</v>
      </c>
      <c r="F53" s="183" t="s">
        <v>32</v>
      </c>
      <c r="G53" s="185">
        <v>0.0442</v>
      </c>
      <c r="H53" s="197" t="s">
        <v>855</v>
      </c>
      <c r="I53" s="316" t="s">
        <v>746</v>
      </c>
    </row>
    <row r="54">
      <c r="A54" s="178" t="s">
        <v>292</v>
      </c>
      <c r="B54" s="179">
        <v>67.0</v>
      </c>
      <c r="C54" s="179">
        <v>64.0</v>
      </c>
      <c r="D54" s="179">
        <v>6.0</v>
      </c>
      <c r="E54" s="180">
        <v>0.094</v>
      </c>
      <c r="F54" s="178" t="s">
        <v>32</v>
      </c>
      <c r="G54" s="180">
        <v>0.0441</v>
      </c>
      <c r="H54" s="193" t="s">
        <v>855</v>
      </c>
      <c r="I54" s="316" t="s">
        <v>746</v>
      </c>
    </row>
    <row r="55">
      <c r="A55" s="183" t="s">
        <v>293</v>
      </c>
      <c r="B55" s="184">
        <v>118.0</v>
      </c>
      <c r="C55" s="184">
        <v>118.0</v>
      </c>
      <c r="D55" s="184">
        <v>6.0</v>
      </c>
      <c r="E55" s="185">
        <v>0.051</v>
      </c>
      <c r="F55" s="183" t="s">
        <v>32</v>
      </c>
      <c r="G55" s="185">
        <v>0.0413</v>
      </c>
      <c r="H55" s="197" t="s">
        <v>855</v>
      </c>
      <c r="I55" s="316" t="s">
        <v>746</v>
      </c>
    </row>
    <row r="56">
      <c r="A56" s="178" t="s">
        <v>294</v>
      </c>
      <c r="B56" s="179">
        <v>302.0</v>
      </c>
      <c r="C56" s="179">
        <v>302.0</v>
      </c>
      <c r="D56" s="179">
        <v>16.0</v>
      </c>
      <c r="E56" s="180">
        <v>0.053</v>
      </c>
      <c r="F56" s="178" t="s">
        <v>32</v>
      </c>
      <c r="G56" s="180">
        <v>0.0328</v>
      </c>
      <c r="H56" s="193" t="s">
        <v>855</v>
      </c>
      <c r="I56" s="316" t="s">
        <v>746</v>
      </c>
    </row>
    <row r="57">
      <c r="A57" s="183" t="s">
        <v>165</v>
      </c>
      <c r="B57" s="184">
        <v>214.0</v>
      </c>
      <c r="C57" s="184">
        <v>209.0</v>
      </c>
      <c r="D57" s="184">
        <v>11.0</v>
      </c>
      <c r="E57" s="185">
        <v>0.053</v>
      </c>
      <c r="F57" s="183" t="s">
        <v>32</v>
      </c>
      <c r="G57" s="185">
        <v>0.0323</v>
      </c>
      <c r="H57" s="197" t="s">
        <v>855</v>
      </c>
      <c r="I57" s="316" t="s">
        <v>746</v>
      </c>
    </row>
    <row r="58">
      <c r="A58" s="178" t="s">
        <v>295</v>
      </c>
      <c r="B58" s="179">
        <v>138.0</v>
      </c>
      <c r="C58" s="179">
        <v>139.0</v>
      </c>
      <c r="D58" s="179">
        <v>7.0</v>
      </c>
      <c r="E58" s="180">
        <v>0.05</v>
      </c>
      <c r="F58" s="178" t="s">
        <v>32</v>
      </c>
      <c r="G58" s="180">
        <v>0.047</v>
      </c>
      <c r="H58" s="193" t="s">
        <v>855</v>
      </c>
      <c r="I58" s="316" t="s">
        <v>746</v>
      </c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</cols>
  <sheetData>
    <row r="1">
      <c r="A1" s="176" t="s">
        <v>848</v>
      </c>
      <c r="B1" s="176" t="s">
        <v>849</v>
      </c>
      <c r="C1" s="176" t="s">
        <v>850</v>
      </c>
      <c r="D1" s="176" t="s">
        <v>851</v>
      </c>
      <c r="E1" s="176" t="s">
        <v>852</v>
      </c>
      <c r="F1" s="177" t="s">
        <v>5</v>
      </c>
      <c r="G1" s="513" t="s">
        <v>3</v>
      </c>
      <c r="H1" s="176" t="s">
        <v>1851</v>
      </c>
      <c r="I1" s="316" t="s">
        <v>1807</v>
      </c>
    </row>
    <row r="2">
      <c r="A2" s="178" t="s">
        <v>297</v>
      </c>
      <c r="B2" s="179">
        <v>10.0</v>
      </c>
      <c r="C2" s="179">
        <v>7.0</v>
      </c>
      <c r="D2" s="179">
        <v>5.0</v>
      </c>
      <c r="E2" s="180">
        <v>0.714</v>
      </c>
      <c r="F2" s="178" t="s">
        <v>855</v>
      </c>
      <c r="G2" s="178" t="s">
        <v>32</v>
      </c>
      <c r="H2" s="181">
        <v>0.375</v>
      </c>
      <c r="I2" s="310" t="s">
        <v>746</v>
      </c>
    </row>
    <row r="3">
      <c r="A3" s="183" t="s">
        <v>249</v>
      </c>
      <c r="B3" s="184">
        <v>40.0</v>
      </c>
      <c r="C3" s="184">
        <v>38.0</v>
      </c>
      <c r="D3" s="184">
        <v>6.0</v>
      </c>
      <c r="E3" s="185">
        <v>0.158</v>
      </c>
      <c r="F3" s="183" t="s">
        <v>855</v>
      </c>
      <c r="G3" s="183" t="s">
        <v>32</v>
      </c>
      <c r="H3" s="186">
        <v>0.1053</v>
      </c>
      <c r="I3" s="310" t="s">
        <v>746</v>
      </c>
    </row>
    <row r="4">
      <c r="A4" s="178" t="s">
        <v>298</v>
      </c>
      <c r="B4" s="179">
        <v>42.0</v>
      </c>
      <c r="C4" s="179">
        <v>37.0</v>
      </c>
      <c r="D4" s="179">
        <v>4.0</v>
      </c>
      <c r="E4" s="180">
        <v>0.108</v>
      </c>
      <c r="F4" s="178" t="s">
        <v>855</v>
      </c>
      <c r="G4" s="178" t="s">
        <v>32</v>
      </c>
      <c r="H4" s="181">
        <v>0.0526</v>
      </c>
      <c r="I4" s="310" t="s">
        <v>746</v>
      </c>
    </row>
    <row r="5">
      <c r="A5" s="183" t="s">
        <v>299</v>
      </c>
      <c r="B5" s="184">
        <v>58.0</v>
      </c>
      <c r="C5" s="184">
        <v>55.0</v>
      </c>
      <c r="D5" s="184">
        <v>5.0</v>
      </c>
      <c r="E5" s="185">
        <v>0.091</v>
      </c>
      <c r="F5" s="183" t="s">
        <v>855</v>
      </c>
      <c r="G5" s="183" t="s">
        <v>32</v>
      </c>
      <c r="H5" s="186">
        <v>0.0364</v>
      </c>
      <c r="I5" s="310" t="s">
        <v>746</v>
      </c>
    </row>
    <row r="6">
      <c r="A6" s="178" t="s">
        <v>300</v>
      </c>
      <c r="B6" s="179">
        <v>60.0</v>
      </c>
      <c r="C6" s="179">
        <v>58.0</v>
      </c>
      <c r="D6" s="179">
        <v>6.0</v>
      </c>
      <c r="E6" s="180">
        <v>0.103</v>
      </c>
      <c r="F6" s="178" t="s">
        <v>855</v>
      </c>
      <c r="G6" s="178" t="s">
        <v>32</v>
      </c>
      <c r="H6" s="181">
        <v>0.0508</v>
      </c>
      <c r="I6" s="310" t="s">
        <v>746</v>
      </c>
    </row>
    <row r="7">
      <c r="A7" s="183" t="s">
        <v>301</v>
      </c>
      <c r="B7" s="184">
        <v>67.0</v>
      </c>
      <c r="C7" s="184">
        <v>63.0</v>
      </c>
      <c r="D7" s="184">
        <v>4.0</v>
      </c>
      <c r="E7" s="185">
        <v>0.063</v>
      </c>
      <c r="F7" s="183" t="s">
        <v>855</v>
      </c>
      <c r="G7" s="183" t="s">
        <v>32</v>
      </c>
      <c r="H7" s="186">
        <v>0.0317</v>
      </c>
      <c r="I7" s="310" t="s">
        <v>746</v>
      </c>
    </row>
    <row r="8">
      <c r="A8" s="178" t="s">
        <v>74</v>
      </c>
      <c r="B8" s="179">
        <v>141.0</v>
      </c>
      <c r="C8" s="179">
        <v>130.0</v>
      </c>
      <c r="D8" s="179">
        <v>8.0</v>
      </c>
      <c r="E8" s="180">
        <v>0.062</v>
      </c>
      <c r="F8" s="178" t="s">
        <v>855</v>
      </c>
      <c r="G8" s="178" t="s">
        <v>32</v>
      </c>
      <c r="H8" s="181">
        <v>0.0376</v>
      </c>
      <c r="I8" s="310" t="s">
        <v>746</v>
      </c>
    </row>
    <row r="9">
      <c r="A9" s="183" t="s">
        <v>302</v>
      </c>
      <c r="B9" s="184">
        <v>90.0</v>
      </c>
      <c r="C9" s="184">
        <v>86.0</v>
      </c>
      <c r="D9" s="184">
        <v>5.0</v>
      </c>
      <c r="E9" s="185">
        <v>0.058</v>
      </c>
      <c r="F9" s="183" t="s">
        <v>855</v>
      </c>
      <c r="G9" s="183" t="s">
        <v>32</v>
      </c>
      <c r="H9" s="186">
        <v>0.0349</v>
      </c>
      <c r="I9" s="310" t="s">
        <v>746</v>
      </c>
    </row>
    <row r="10">
      <c r="A10" s="178" t="s">
        <v>159</v>
      </c>
      <c r="B10" s="179">
        <v>52.0</v>
      </c>
      <c r="C10" s="179">
        <v>49.0</v>
      </c>
      <c r="D10" s="179">
        <v>4.0</v>
      </c>
      <c r="E10" s="180">
        <v>0.082</v>
      </c>
      <c r="F10" s="178" t="s">
        <v>855</v>
      </c>
      <c r="G10" s="178" t="s">
        <v>32</v>
      </c>
      <c r="H10" s="181">
        <v>0.0727</v>
      </c>
      <c r="I10" s="310" t="s">
        <v>746</v>
      </c>
    </row>
    <row r="11">
      <c r="A11" s="183" t="s">
        <v>303</v>
      </c>
      <c r="B11" s="184">
        <v>50.0</v>
      </c>
      <c r="C11" s="184">
        <v>49.0</v>
      </c>
      <c r="D11" s="184">
        <v>4.0</v>
      </c>
      <c r="E11" s="185">
        <v>0.082</v>
      </c>
      <c r="F11" s="183" t="s">
        <v>855</v>
      </c>
      <c r="G11" s="183" t="s">
        <v>32</v>
      </c>
      <c r="H11" s="186">
        <v>0.0612</v>
      </c>
      <c r="I11" s="310" t="s">
        <v>746</v>
      </c>
    </row>
    <row r="12">
      <c r="A12" s="178" t="s">
        <v>304</v>
      </c>
      <c r="B12" s="179">
        <v>30.0</v>
      </c>
      <c r="C12" s="179">
        <v>29.0</v>
      </c>
      <c r="D12" s="179">
        <v>4.0</v>
      </c>
      <c r="E12" s="180">
        <v>0.138</v>
      </c>
      <c r="F12" s="178" t="s">
        <v>855</v>
      </c>
      <c r="G12" s="178" t="s">
        <v>32</v>
      </c>
      <c r="H12" s="181">
        <v>0.1379</v>
      </c>
      <c r="I12" s="310" t="s">
        <v>746</v>
      </c>
    </row>
    <row r="13">
      <c r="A13" s="183" t="s">
        <v>305</v>
      </c>
      <c r="B13" s="184">
        <v>29.0</v>
      </c>
      <c r="C13" s="184">
        <v>28.0</v>
      </c>
      <c r="D13" s="184">
        <v>4.0</v>
      </c>
      <c r="E13" s="185">
        <v>0.143</v>
      </c>
      <c r="F13" s="183" t="s">
        <v>855</v>
      </c>
      <c r="G13" s="183" t="s">
        <v>32</v>
      </c>
      <c r="H13" s="186">
        <v>0.1429</v>
      </c>
      <c r="I13" s="310" t="s">
        <v>746</v>
      </c>
    </row>
    <row r="14">
      <c r="A14" s="178" t="s">
        <v>306</v>
      </c>
      <c r="B14" s="179">
        <v>93.0</v>
      </c>
      <c r="C14" s="179">
        <v>86.0</v>
      </c>
      <c r="D14" s="179">
        <v>6.0</v>
      </c>
      <c r="E14" s="180">
        <v>0.07</v>
      </c>
      <c r="F14" s="178" t="s">
        <v>855</v>
      </c>
      <c r="G14" s="178" t="s">
        <v>307</v>
      </c>
      <c r="H14" s="181">
        <v>0.0341</v>
      </c>
      <c r="I14" s="310" t="s">
        <v>746</v>
      </c>
    </row>
    <row r="15">
      <c r="A15" s="183" t="s">
        <v>308</v>
      </c>
      <c r="B15" s="184">
        <v>47.0</v>
      </c>
      <c r="C15" s="184">
        <v>47.0</v>
      </c>
      <c r="D15" s="184">
        <v>5.0</v>
      </c>
      <c r="E15" s="185">
        <v>0.106</v>
      </c>
      <c r="F15" s="183" t="s">
        <v>855</v>
      </c>
      <c r="G15" s="183" t="s">
        <v>307</v>
      </c>
      <c r="H15" s="186">
        <v>0.0612</v>
      </c>
      <c r="I15" s="310" t="s">
        <v>746</v>
      </c>
    </row>
    <row r="16">
      <c r="A16" s="178" t="s">
        <v>309</v>
      </c>
      <c r="B16" s="179">
        <v>41.0</v>
      </c>
      <c r="C16" s="179">
        <v>37.0</v>
      </c>
      <c r="D16" s="179">
        <v>5.0</v>
      </c>
      <c r="E16" s="180">
        <v>0.135</v>
      </c>
      <c r="F16" s="178" t="s">
        <v>855</v>
      </c>
      <c r="G16" s="178" t="s">
        <v>307</v>
      </c>
      <c r="H16" s="181">
        <v>0.0526</v>
      </c>
      <c r="I16" s="310" t="s">
        <v>746</v>
      </c>
    </row>
    <row r="17">
      <c r="A17" s="183" t="s">
        <v>310</v>
      </c>
      <c r="B17" s="184">
        <v>57.0</v>
      </c>
      <c r="C17" s="184">
        <v>50.0</v>
      </c>
      <c r="D17" s="184">
        <v>4.0</v>
      </c>
      <c r="E17" s="185">
        <v>0.08</v>
      </c>
      <c r="F17" s="183" t="s">
        <v>855</v>
      </c>
      <c r="G17" s="183" t="s">
        <v>307</v>
      </c>
      <c r="H17" s="186">
        <v>0.0385</v>
      </c>
      <c r="I17" s="310" t="s">
        <v>746</v>
      </c>
    </row>
    <row r="18">
      <c r="A18" s="178" t="s">
        <v>311</v>
      </c>
      <c r="B18" s="179">
        <v>14.0</v>
      </c>
      <c r="C18" s="179">
        <v>10.0</v>
      </c>
      <c r="D18" s="179">
        <v>4.0</v>
      </c>
      <c r="E18" s="180">
        <v>0.4</v>
      </c>
      <c r="F18" s="178" t="s">
        <v>855</v>
      </c>
      <c r="G18" s="178" t="s">
        <v>124</v>
      </c>
      <c r="H18" s="181">
        <v>0.2143</v>
      </c>
      <c r="I18" s="310" t="s">
        <v>746</v>
      </c>
    </row>
    <row r="19">
      <c r="A19" s="183" t="s">
        <v>312</v>
      </c>
      <c r="B19" s="184">
        <v>41.0</v>
      </c>
      <c r="C19" s="184">
        <v>40.0</v>
      </c>
      <c r="D19" s="184">
        <v>5.0</v>
      </c>
      <c r="E19" s="185">
        <v>0.125</v>
      </c>
      <c r="F19" s="183" t="s">
        <v>855</v>
      </c>
      <c r="G19" s="183" t="s">
        <v>124</v>
      </c>
      <c r="H19" s="186">
        <v>0.0682</v>
      </c>
      <c r="I19" s="310" t="s">
        <v>746</v>
      </c>
    </row>
    <row r="20">
      <c r="A20" s="178" t="s">
        <v>313</v>
      </c>
      <c r="B20" s="179">
        <v>74.0</v>
      </c>
      <c r="C20" s="179">
        <v>69.0</v>
      </c>
      <c r="D20" s="179">
        <v>4.0</v>
      </c>
      <c r="E20" s="180">
        <v>0.058</v>
      </c>
      <c r="F20" s="178" t="s">
        <v>855</v>
      </c>
      <c r="G20" s="178" t="s">
        <v>124</v>
      </c>
      <c r="H20" s="181">
        <v>0.0282</v>
      </c>
      <c r="I20" s="310" t="s">
        <v>746</v>
      </c>
    </row>
    <row r="21">
      <c r="A21" s="183" t="s">
        <v>123</v>
      </c>
      <c r="B21" s="184">
        <v>84.0</v>
      </c>
      <c r="C21" s="184">
        <v>75.0</v>
      </c>
      <c r="D21" s="184">
        <v>4.0</v>
      </c>
      <c r="E21" s="185">
        <v>0.053</v>
      </c>
      <c r="F21" s="183" t="s">
        <v>855</v>
      </c>
      <c r="G21" s="183" t="s">
        <v>124</v>
      </c>
      <c r="H21" s="186">
        <v>0.0263</v>
      </c>
      <c r="I21" s="310" t="s">
        <v>746</v>
      </c>
    </row>
    <row r="22">
      <c r="A22" s="178" t="s">
        <v>314</v>
      </c>
      <c r="B22" s="179">
        <v>121.0</v>
      </c>
      <c r="C22" s="179">
        <v>118.0</v>
      </c>
      <c r="D22" s="179">
        <v>6.0</v>
      </c>
      <c r="E22" s="180">
        <v>0.051</v>
      </c>
      <c r="F22" s="178" t="s">
        <v>855</v>
      </c>
      <c r="G22" s="178" t="s">
        <v>124</v>
      </c>
      <c r="H22" s="181">
        <v>0.0336</v>
      </c>
      <c r="I22" s="310" t="s">
        <v>746</v>
      </c>
    </row>
    <row r="23">
      <c r="A23" s="183" t="s">
        <v>315</v>
      </c>
      <c r="B23" s="184">
        <v>20.0</v>
      </c>
      <c r="C23" s="184">
        <v>18.0</v>
      </c>
      <c r="D23" s="184">
        <v>7.0</v>
      </c>
      <c r="E23" s="185">
        <v>0.389</v>
      </c>
      <c r="F23" s="183" t="s">
        <v>855</v>
      </c>
      <c r="G23" s="183" t="s">
        <v>124</v>
      </c>
      <c r="H23" s="186">
        <v>0.2273</v>
      </c>
      <c r="I23" s="310" t="s">
        <v>746</v>
      </c>
    </row>
    <row r="24">
      <c r="A24" s="178" t="s">
        <v>316</v>
      </c>
      <c r="B24" s="179">
        <v>45.0</v>
      </c>
      <c r="C24" s="179">
        <v>43.0</v>
      </c>
      <c r="D24" s="179">
        <v>4.0</v>
      </c>
      <c r="E24" s="180">
        <v>0.093</v>
      </c>
      <c r="F24" s="178" t="s">
        <v>855</v>
      </c>
      <c r="G24" s="178" t="s">
        <v>124</v>
      </c>
      <c r="H24" s="181">
        <v>0.0652</v>
      </c>
      <c r="I24" s="310" t="s">
        <v>746</v>
      </c>
    </row>
    <row r="25">
      <c r="A25" s="183" t="s">
        <v>317</v>
      </c>
      <c r="B25" s="184">
        <v>77.0</v>
      </c>
      <c r="C25" s="184">
        <v>72.0</v>
      </c>
      <c r="D25" s="184">
        <v>17.0</v>
      </c>
      <c r="E25" s="185">
        <v>0.236</v>
      </c>
      <c r="F25" s="183" t="s">
        <v>855</v>
      </c>
      <c r="G25" s="183" t="s">
        <v>17</v>
      </c>
      <c r="H25" s="186">
        <v>0.1625</v>
      </c>
      <c r="I25" s="310" t="s">
        <v>746</v>
      </c>
    </row>
    <row r="26">
      <c r="A26" s="178" t="s">
        <v>318</v>
      </c>
      <c r="B26" s="179">
        <v>8.0</v>
      </c>
      <c r="C26" s="179">
        <v>8.0</v>
      </c>
      <c r="D26" s="179">
        <v>5.0</v>
      </c>
      <c r="E26" s="180">
        <v>0.625</v>
      </c>
      <c r="F26" s="178" t="s">
        <v>855</v>
      </c>
      <c r="G26" s="178" t="s">
        <v>17</v>
      </c>
      <c r="H26" s="181">
        <v>0.4167</v>
      </c>
      <c r="I26" s="310" t="s">
        <v>746</v>
      </c>
    </row>
    <row r="27">
      <c r="A27" s="183" t="s">
        <v>319</v>
      </c>
      <c r="B27" s="184">
        <v>9.0</v>
      </c>
      <c r="C27" s="184">
        <v>9.0</v>
      </c>
      <c r="D27" s="184">
        <v>4.0</v>
      </c>
      <c r="E27" s="185">
        <v>0.444</v>
      </c>
      <c r="F27" s="183" t="s">
        <v>855</v>
      </c>
      <c r="G27" s="183" t="s">
        <v>17</v>
      </c>
      <c r="H27" s="186">
        <v>0.5455</v>
      </c>
      <c r="I27" s="310" t="s">
        <v>746</v>
      </c>
    </row>
    <row r="28">
      <c r="A28" s="178" t="s">
        <v>321</v>
      </c>
      <c r="B28" s="179">
        <v>4.0</v>
      </c>
      <c r="C28" s="179">
        <v>4.0</v>
      </c>
      <c r="D28" s="179">
        <v>4.0</v>
      </c>
      <c r="E28" s="180">
        <v>1.0</v>
      </c>
      <c r="F28" s="178" t="s">
        <v>855</v>
      </c>
      <c r="G28" s="178" t="s">
        <v>17</v>
      </c>
      <c r="H28" s="181">
        <v>0.6667</v>
      </c>
      <c r="I28" s="310" t="s">
        <v>746</v>
      </c>
    </row>
    <row r="29">
      <c r="A29" s="183" t="s">
        <v>322</v>
      </c>
      <c r="B29" s="184">
        <v>98.0</v>
      </c>
      <c r="C29" s="184">
        <v>95.0</v>
      </c>
      <c r="D29" s="184">
        <v>5.0</v>
      </c>
      <c r="E29" s="185">
        <v>0.053</v>
      </c>
      <c r="F29" s="183" t="s">
        <v>855</v>
      </c>
      <c r="G29" s="183" t="s">
        <v>323</v>
      </c>
      <c r="H29" s="186">
        <v>0.0313</v>
      </c>
    </row>
    <row r="30">
      <c r="A30" s="178" t="s">
        <v>324</v>
      </c>
      <c r="B30" s="179">
        <v>52.0</v>
      </c>
      <c r="C30" s="179">
        <v>53.0</v>
      </c>
      <c r="D30" s="179">
        <v>4.0</v>
      </c>
      <c r="E30" s="180">
        <v>0.075</v>
      </c>
      <c r="F30" s="178" t="s">
        <v>855</v>
      </c>
      <c r="G30" s="178" t="s">
        <v>323</v>
      </c>
      <c r="H30" s="181">
        <v>0.0182</v>
      </c>
    </row>
    <row r="31">
      <c r="A31" s="183" t="s">
        <v>325</v>
      </c>
      <c r="B31" s="184">
        <v>66.0</v>
      </c>
      <c r="C31" s="184">
        <v>63.0</v>
      </c>
      <c r="D31" s="184">
        <v>4.0</v>
      </c>
      <c r="E31" s="185">
        <v>0.063</v>
      </c>
      <c r="F31" s="183" t="s">
        <v>855</v>
      </c>
      <c r="G31" s="183" t="s">
        <v>323</v>
      </c>
      <c r="H31" s="186">
        <v>0.0159</v>
      </c>
    </row>
    <row r="32">
      <c r="A32" s="178" t="s">
        <v>326</v>
      </c>
      <c r="B32" s="179">
        <v>73.0</v>
      </c>
      <c r="C32" s="179">
        <v>72.0</v>
      </c>
      <c r="D32" s="179">
        <v>4.0</v>
      </c>
      <c r="E32" s="180">
        <v>0.056</v>
      </c>
      <c r="F32" s="178" t="s">
        <v>855</v>
      </c>
      <c r="G32" s="178" t="s">
        <v>323</v>
      </c>
      <c r="H32" s="181">
        <v>0.0395</v>
      </c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  <col hidden="1" min="2" max="6" width="12.63"/>
  </cols>
  <sheetData>
    <row r="1">
      <c r="A1" s="176" t="s">
        <v>848</v>
      </c>
      <c r="B1" s="176" t="s">
        <v>849</v>
      </c>
      <c r="C1" s="176" t="s">
        <v>850</v>
      </c>
      <c r="D1" s="176" t="s">
        <v>851</v>
      </c>
      <c r="E1" s="176" t="s">
        <v>852</v>
      </c>
      <c r="F1" s="176" t="s">
        <v>853</v>
      </c>
      <c r="G1" s="198" t="s">
        <v>3</v>
      </c>
      <c r="H1" s="177" t="s">
        <v>4</v>
      </c>
      <c r="I1" s="310" t="s">
        <v>1852</v>
      </c>
    </row>
    <row r="2">
      <c r="A2" s="178" t="s">
        <v>328</v>
      </c>
      <c r="B2" s="179">
        <v>15.0</v>
      </c>
      <c r="C2" s="179">
        <v>14.0</v>
      </c>
      <c r="D2" s="179">
        <v>5.0</v>
      </c>
      <c r="E2" s="180">
        <v>0.357</v>
      </c>
      <c r="F2" s="178" t="s">
        <v>855</v>
      </c>
      <c r="G2" s="178" t="s">
        <v>32</v>
      </c>
      <c r="H2" s="181">
        <v>0.2778</v>
      </c>
    </row>
    <row r="3">
      <c r="A3" s="183" t="s">
        <v>329</v>
      </c>
      <c r="B3" s="184">
        <v>34.0</v>
      </c>
      <c r="C3" s="184">
        <v>32.0</v>
      </c>
      <c r="D3" s="184">
        <v>5.0</v>
      </c>
      <c r="E3" s="185">
        <v>0.156</v>
      </c>
      <c r="F3" s="183" t="s">
        <v>855</v>
      </c>
      <c r="G3" s="183" t="s">
        <v>32</v>
      </c>
      <c r="H3" s="186">
        <v>0.1143</v>
      </c>
    </row>
    <row r="4">
      <c r="A4" s="178" t="s">
        <v>330</v>
      </c>
      <c r="B4" s="179">
        <v>46.0</v>
      </c>
      <c r="C4" s="179">
        <v>45.0</v>
      </c>
      <c r="D4" s="179">
        <v>7.0</v>
      </c>
      <c r="E4" s="180">
        <v>0.156</v>
      </c>
      <c r="F4" s="178" t="s">
        <v>855</v>
      </c>
      <c r="G4" s="178" t="s">
        <v>32</v>
      </c>
      <c r="H4" s="181">
        <v>0.1587</v>
      </c>
    </row>
    <row r="5">
      <c r="A5" s="183" t="s">
        <v>331</v>
      </c>
      <c r="B5" s="184">
        <v>37.0</v>
      </c>
      <c r="C5" s="184">
        <v>33.0</v>
      </c>
      <c r="D5" s="184">
        <v>5.0</v>
      </c>
      <c r="E5" s="185">
        <v>0.152</v>
      </c>
      <c r="F5" s="183" t="s">
        <v>855</v>
      </c>
      <c r="G5" s="183" t="s">
        <v>32</v>
      </c>
      <c r="H5" s="186">
        <v>0.0857</v>
      </c>
    </row>
    <row r="6">
      <c r="A6" s="178" t="s">
        <v>332</v>
      </c>
      <c r="B6" s="179">
        <v>43.0</v>
      </c>
      <c r="C6" s="179">
        <v>41.0</v>
      </c>
      <c r="D6" s="179">
        <v>6.0</v>
      </c>
      <c r="E6" s="180">
        <v>0.146</v>
      </c>
      <c r="F6" s="178" t="s">
        <v>855</v>
      </c>
      <c r="G6" s="178" t="s">
        <v>32</v>
      </c>
      <c r="H6" s="181">
        <v>0.0732</v>
      </c>
    </row>
    <row r="7">
      <c r="A7" s="183" t="s">
        <v>333</v>
      </c>
      <c r="B7" s="184">
        <v>37.0</v>
      </c>
      <c r="C7" s="184">
        <v>36.0</v>
      </c>
      <c r="D7" s="184">
        <v>5.0</v>
      </c>
      <c r="E7" s="185">
        <v>0.139</v>
      </c>
      <c r="F7" s="183" t="s">
        <v>855</v>
      </c>
      <c r="G7" s="183" t="s">
        <v>32</v>
      </c>
      <c r="H7" s="186">
        <v>0.0556</v>
      </c>
    </row>
    <row r="8">
      <c r="A8" s="178" t="s">
        <v>334</v>
      </c>
      <c r="B8" s="179">
        <v>82.0</v>
      </c>
      <c r="C8" s="179">
        <v>77.0</v>
      </c>
      <c r="D8" s="179">
        <v>8.0</v>
      </c>
      <c r="E8" s="180">
        <v>0.104</v>
      </c>
      <c r="F8" s="178" t="s">
        <v>855</v>
      </c>
      <c r="G8" s="178" t="s">
        <v>32</v>
      </c>
      <c r="H8" s="181">
        <v>0.0759</v>
      </c>
    </row>
    <row r="9">
      <c r="A9" s="183" t="s">
        <v>335</v>
      </c>
      <c r="B9" s="184">
        <v>71.0</v>
      </c>
      <c r="C9" s="184">
        <v>70.0</v>
      </c>
      <c r="D9" s="184">
        <v>7.0</v>
      </c>
      <c r="E9" s="185">
        <v>0.1</v>
      </c>
      <c r="F9" s="183" t="s">
        <v>855</v>
      </c>
      <c r="G9" s="183" t="s">
        <v>32</v>
      </c>
      <c r="H9" s="186">
        <v>0.0704</v>
      </c>
    </row>
    <row r="10">
      <c r="A10" s="178" t="s">
        <v>336</v>
      </c>
      <c r="B10" s="179">
        <v>54.0</v>
      </c>
      <c r="C10" s="179">
        <v>53.0</v>
      </c>
      <c r="D10" s="179">
        <v>5.0</v>
      </c>
      <c r="E10" s="180">
        <v>0.094</v>
      </c>
      <c r="F10" s="178" t="s">
        <v>855</v>
      </c>
      <c r="G10" s="178" t="s">
        <v>32</v>
      </c>
      <c r="H10" s="181">
        <v>0.0741</v>
      </c>
    </row>
    <row r="11">
      <c r="A11" s="178" t="s">
        <v>337</v>
      </c>
      <c r="B11" s="179">
        <v>54.0</v>
      </c>
      <c r="C11" s="179">
        <v>55.0</v>
      </c>
      <c r="D11" s="179">
        <v>5.0</v>
      </c>
      <c r="E11" s="180">
        <v>0.091</v>
      </c>
      <c r="F11" s="178" t="s">
        <v>855</v>
      </c>
      <c r="G11" s="178" t="s">
        <v>32</v>
      </c>
      <c r="H11" s="181">
        <v>0.0727</v>
      </c>
    </row>
    <row r="12">
      <c r="A12" s="183" t="s">
        <v>338</v>
      </c>
      <c r="B12" s="184">
        <v>130.0</v>
      </c>
      <c r="C12" s="184">
        <v>125.0</v>
      </c>
      <c r="D12" s="184">
        <v>10.0</v>
      </c>
      <c r="E12" s="185">
        <v>0.08</v>
      </c>
      <c r="F12" s="183" t="s">
        <v>855</v>
      </c>
      <c r="G12" s="183" t="s">
        <v>32</v>
      </c>
      <c r="H12" s="186">
        <v>0.0462</v>
      </c>
    </row>
    <row r="13">
      <c r="A13" s="183" t="s">
        <v>339</v>
      </c>
      <c r="B13" s="184">
        <v>76.0</v>
      </c>
      <c r="C13" s="184">
        <v>77.0</v>
      </c>
      <c r="D13" s="184">
        <v>6.0</v>
      </c>
      <c r="E13" s="185">
        <v>0.078</v>
      </c>
      <c r="F13" s="183" t="s">
        <v>855</v>
      </c>
      <c r="G13" s="183" t="s">
        <v>32</v>
      </c>
      <c r="H13" s="186">
        <v>0.0506</v>
      </c>
    </row>
    <row r="14">
      <c r="A14" s="178" t="s">
        <v>340</v>
      </c>
      <c r="B14" s="179">
        <v>91.0</v>
      </c>
      <c r="C14" s="179">
        <v>89.0</v>
      </c>
      <c r="D14" s="179">
        <v>6.0</v>
      </c>
      <c r="E14" s="180">
        <v>0.067</v>
      </c>
      <c r="F14" s="178" t="s">
        <v>855</v>
      </c>
      <c r="G14" s="178" t="s">
        <v>32</v>
      </c>
      <c r="H14" s="181">
        <v>0.0659</v>
      </c>
    </row>
    <row r="15">
      <c r="A15" s="178" t="s">
        <v>341</v>
      </c>
      <c r="B15" s="179">
        <v>125.0</v>
      </c>
      <c r="C15" s="179">
        <v>117.0</v>
      </c>
      <c r="D15" s="179">
        <v>7.0</v>
      </c>
      <c r="E15" s="180">
        <v>0.06</v>
      </c>
      <c r="F15" s="178" t="s">
        <v>855</v>
      </c>
      <c r="G15" s="178" t="s">
        <v>32</v>
      </c>
      <c r="H15" s="181">
        <v>0.0504</v>
      </c>
    </row>
    <row r="16">
      <c r="A16" s="183" t="s">
        <v>342</v>
      </c>
      <c r="B16" s="184">
        <v>95.0</v>
      </c>
      <c r="C16" s="184">
        <v>92.0</v>
      </c>
      <c r="D16" s="184">
        <v>5.0</v>
      </c>
      <c r="E16" s="185">
        <v>0.054</v>
      </c>
      <c r="F16" s="183" t="s">
        <v>855</v>
      </c>
      <c r="G16" s="183" t="s">
        <v>32</v>
      </c>
      <c r="H16" s="186">
        <v>0.0417</v>
      </c>
    </row>
    <row r="17">
      <c r="A17" s="178" t="s">
        <v>343</v>
      </c>
      <c r="B17" s="179">
        <v>195.0</v>
      </c>
      <c r="C17" s="179">
        <v>187.0</v>
      </c>
      <c r="D17" s="179">
        <v>10.0</v>
      </c>
      <c r="E17" s="180">
        <v>0.053</v>
      </c>
      <c r="F17" s="178" t="s">
        <v>855</v>
      </c>
      <c r="G17" s="178" t="s">
        <v>32</v>
      </c>
      <c r="H17" s="181">
        <v>0.0423</v>
      </c>
    </row>
    <row r="18">
      <c r="A18" s="183" t="s">
        <v>344</v>
      </c>
      <c r="B18" s="184">
        <v>119.0</v>
      </c>
      <c r="C18" s="184">
        <v>116.0</v>
      </c>
      <c r="D18" s="184">
        <v>6.0</v>
      </c>
      <c r="E18" s="185">
        <v>0.052</v>
      </c>
      <c r="F18" s="183" t="s">
        <v>855</v>
      </c>
      <c r="G18" s="183" t="s">
        <v>32</v>
      </c>
      <c r="H18" s="186">
        <v>0.042</v>
      </c>
    </row>
    <row r="19">
      <c r="A19" s="178" t="s">
        <v>345</v>
      </c>
      <c r="B19" s="179">
        <v>61.0</v>
      </c>
      <c r="C19" s="179">
        <v>64.0</v>
      </c>
      <c r="D19" s="179">
        <v>8.0</v>
      </c>
      <c r="E19" s="180">
        <v>0.125</v>
      </c>
      <c r="F19" s="178" t="s">
        <v>855</v>
      </c>
      <c r="G19" s="178" t="s">
        <v>307</v>
      </c>
      <c r="H19" s="181">
        <v>0.087</v>
      </c>
    </row>
    <row r="20">
      <c r="A20" s="183" t="s">
        <v>346</v>
      </c>
      <c r="B20" s="184">
        <v>99.0</v>
      </c>
      <c r="C20" s="184">
        <v>96.0</v>
      </c>
      <c r="D20" s="184">
        <v>9.0</v>
      </c>
      <c r="E20" s="185">
        <v>0.094</v>
      </c>
      <c r="F20" s="183" t="s">
        <v>855</v>
      </c>
      <c r="G20" s="183" t="s">
        <v>307</v>
      </c>
      <c r="H20" s="186">
        <v>0.0408</v>
      </c>
    </row>
    <row r="21">
      <c r="A21" s="178" t="s">
        <v>201</v>
      </c>
      <c r="B21" s="179">
        <v>72.0</v>
      </c>
      <c r="C21" s="179">
        <v>71.0</v>
      </c>
      <c r="D21" s="179">
        <v>5.0</v>
      </c>
      <c r="E21" s="180">
        <v>0.07</v>
      </c>
      <c r="F21" s="178" t="s">
        <v>855</v>
      </c>
      <c r="G21" s="178" t="s">
        <v>307</v>
      </c>
      <c r="H21" s="181">
        <v>0.0278</v>
      </c>
    </row>
    <row r="22">
      <c r="A22" s="183" t="s">
        <v>347</v>
      </c>
      <c r="B22" s="184">
        <v>88.0</v>
      </c>
      <c r="C22" s="184">
        <v>87.0</v>
      </c>
      <c r="D22" s="184">
        <v>6.0</v>
      </c>
      <c r="E22" s="185">
        <v>0.069</v>
      </c>
      <c r="F22" s="183" t="s">
        <v>855</v>
      </c>
      <c r="G22" s="183" t="s">
        <v>307</v>
      </c>
      <c r="H22" s="186">
        <v>0.0345</v>
      </c>
    </row>
    <row r="23">
      <c r="A23" s="183" t="s">
        <v>348</v>
      </c>
      <c r="B23" s="184">
        <v>91.0</v>
      </c>
      <c r="C23" s="184">
        <v>89.0</v>
      </c>
      <c r="D23" s="184">
        <v>5.0</v>
      </c>
      <c r="E23" s="185">
        <v>0.056</v>
      </c>
      <c r="F23" s="183" t="s">
        <v>855</v>
      </c>
      <c r="G23" s="183" t="s">
        <v>307</v>
      </c>
      <c r="H23" s="186">
        <v>0.0333</v>
      </c>
    </row>
    <row r="24">
      <c r="A24" s="183" t="s">
        <v>349</v>
      </c>
      <c r="B24" s="184">
        <v>100.0</v>
      </c>
      <c r="C24" s="184">
        <v>95.0</v>
      </c>
      <c r="D24" s="184">
        <v>5.0</v>
      </c>
      <c r="E24" s="185">
        <v>0.053</v>
      </c>
      <c r="F24" s="183" t="s">
        <v>855</v>
      </c>
      <c r="G24" s="183" t="s">
        <v>307</v>
      </c>
      <c r="H24" s="186">
        <v>0.0204</v>
      </c>
    </row>
    <row r="25">
      <c r="A25" s="178" t="s">
        <v>350</v>
      </c>
      <c r="B25" s="179">
        <v>96.0</v>
      </c>
      <c r="C25" s="179">
        <v>96.0</v>
      </c>
      <c r="D25" s="179">
        <v>8.0</v>
      </c>
      <c r="E25" s="180">
        <v>0.083</v>
      </c>
      <c r="F25" s="178" t="s">
        <v>855</v>
      </c>
      <c r="G25" s="178" t="s">
        <v>351</v>
      </c>
      <c r="H25" s="181">
        <v>0.0417</v>
      </c>
    </row>
    <row r="26">
      <c r="A26" s="178" t="s">
        <v>352</v>
      </c>
      <c r="B26" s="179">
        <v>64.0</v>
      </c>
      <c r="C26" s="179">
        <v>64.0</v>
      </c>
      <c r="D26" s="179">
        <v>5.0</v>
      </c>
      <c r="E26" s="180">
        <v>0.078</v>
      </c>
      <c r="F26" s="178" t="s">
        <v>855</v>
      </c>
      <c r="G26" s="178" t="s">
        <v>351</v>
      </c>
      <c r="H26" s="181">
        <v>0.0313</v>
      </c>
    </row>
    <row r="27">
      <c r="A27" s="183" t="s">
        <v>353</v>
      </c>
      <c r="B27" s="184">
        <v>9.0</v>
      </c>
      <c r="C27" s="184">
        <v>9.0</v>
      </c>
      <c r="D27" s="184">
        <v>5.0</v>
      </c>
      <c r="E27" s="185">
        <v>0.556</v>
      </c>
      <c r="F27" s="183" t="s">
        <v>855</v>
      </c>
      <c r="G27" s="183" t="s">
        <v>124</v>
      </c>
      <c r="H27" s="186">
        <v>0.3636</v>
      </c>
    </row>
    <row r="28">
      <c r="A28" s="178" t="s">
        <v>354</v>
      </c>
      <c r="B28" s="179">
        <v>26.0</v>
      </c>
      <c r="C28" s="179">
        <v>15.0</v>
      </c>
      <c r="D28" s="179">
        <v>7.0</v>
      </c>
      <c r="E28" s="180">
        <v>0.467</v>
      </c>
      <c r="F28" s="178" t="s">
        <v>855</v>
      </c>
      <c r="G28" s="178" t="s">
        <v>124</v>
      </c>
      <c r="H28" s="181">
        <v>0.4</v>
      </c>
    </row>
    <row r="29">
      <c r="A29" s="178" t="s">
        <v>355</v>
      </c>
      <c r="B29" s="179">
        <v>37.0</v>
      </c>
      <c r="C29" s="179">
        <v>37.0</v>
      </c>
      <c r="D29" s="179">
        <v>5.0</v>
      </c>
      <c r="E29" s="180">
        <v>0.135</v>
      </c>
      <c r="F29" s="178" t="s">
        <v>855</v>
      </c>
      <c r="G29" s="178" t="s">
        <v>124</v>
      </c>
      <c r="H29" s="181">
        <v>0.0769</v>
      </c>
    </row>
    <row r="30">
      <c r="A30" s="183" t="s">
        <v>356</v>
      </c>
      <c r="B30" s="184">
        <v>56.0</v>
      </c>
      <c r="C30" s="184">
        <v>54.0</v>
      </c>
      <c r="D30" s="184">
        <v>7.0</v>
      </c>
      <c r="E30" s="185">
        <v>0.13</v>
      </c>
      <c r="F30" s="183" t="s">
        <v>855</v>
      </c>
      <c r="G30" s="183" t="s">
        <v>124</v>
      </c>
      <c r="H30" s="186">
        <v>0.0714</v>
      </c>
    </row>
    <row r="31">
      <c r="A31" s="183" t="s">
        <v>357</v>
      </c>
      <c r="B31" s="184">
        <v>51.0</v>
      </c>
      <c r="C31" s="184">
        <v>44.0</v>
      </c>
      <c r="D31" s="184">
        <v>5.0</v>
      </c>
      <c r="E31" s="185">
        <v>0.114</v>
      </c>
      <c r="F31" s="183" t="s">
        <v>855</v>
      </c>
      <c r="G31" s="183" t="s">
        <v>124</v>
      </c>
      <c r="H31" s="186">
        <v>0.0769</v>
      </c>
    </row>
    <row r="32">
      <c r="A32" s="183" t="s">
        <v>358</v>
      </c>
      <c r="B32" s="184">
        <v>73.0</v>
      </c>
      <c r="C32" s="184">
        <v>71.0</v>
      </c>
      <c r="D32" s="184">
        <v>6.0</v>
      </c>
      <c r="E32" s="185">
        <v>0.085</v>
      </c>
      <c r="F32" s="183" t="s">
        <v>943</v>
      </c>
      <c r="G32" s="183" t="s">
        <v>124</v>
      </c>
      <c r="H32" s="186">
        <v>0.0822</v>
      </c>
    </row>
    <row r="33">
      <c r="A33" s="183" t="s">
        <v>359</v>
      </c>
      <c r="B33" s="184">
        <v>84.0</v>
      </c>
      <c r="C33" s="184">
        <v>91.0</v>
      </c>
      <c r="D33" s="184">
        <v>6.0</v>
      </c>
      <c r="E33" s="185">
        <v>0.066</v>
      </c>
      <c r="F33" s="183" t="s">
        <v>855</v>
      </c>
      <c r="G33" s="183" t="s">
        <v>124</v>
      </c>
      <c r="H33" s="186">
        <v>0.0326</v>
      </c>
    </row>
    <row r="34">
      <c r="A34" s="178" t="s">
        <v>360</v>
      </c>
      <c r="B34" s="179">
        <v>131.0</v>
      </c>
      <c r="C34" s="179">
        <v>126.0</v>
      </c>
      <c r="D34" s="179">
        <v>7.0</v>
      </c>
      <c r="E34" s="180">
        <v>0.056</v>
      </c>
      <c r="F34" s="178" t="s">
        <v>855</v>
      </c>
      <c r="G34" s="178" t="s">
        <v>124</v>
      </c>
      <c r="H34" s="181">
        <v>0.0397</v>
      </c>
    </row>
    <row r="35">
      <c r="A35" s="178" t="s">
        <v>361</v>
      </c>
      <c r="B35" s="179">
        <v>182.0</v>
      </c>
      <c r="C35" s="179">
        <v>174.0</v>
      </c>
      <c r="D35" s="179">
        <v>9.0</v>
      </c>
      <c r="E35" s="180">
        <v>0.052</v>
      </c>
      <c r="F35" s="178" t="s">
        <v>855</v>
      </c>
      <c r="G35" s="178" t="s">
        <v>124</v>
      </c>
      <c r="H35" s="181">
        <v>0.0452</v>
      </c>
    </row>
    <row r="36">
      <c r="A36" s="178" t="s">
        <v>362</v>
      </c>
      <c r="B36" s="179">
        <v>9.0</v>
      </c>
      <c r="C36" s="179">
        <v>9.0</v>
      </c>
      <c r="D36" s="179">
        <v>9.0</v>
      </c>
      <c r="E36" s="180">
        <v>1.0</v>
      </c>
      <c r="F36" s="178" t="s">
        <v>855</v>
      </c>
      <c r="G36" s="178" t="s">
        <v>17</v>
      </c>
      <c r="H36" s="181">
        <v>0.5833</v>
      </c>
    </row>
    <row r="37">
      <c r="A37" s="183" t="s">
        <v>363</v>
      </c>
      <c r="B37" s="184">
        <v>15.0</v>
      </c>
      <c r="C37" s="184">
        <v>14.0</v>
      </c>
      <c r="D37" s="184">
        <v>6.0</v>
      </c>
      <c r="E37" s="185">
        <v>0.429</v>
      </c>
      <c r="F37" s="183" t="s">
        <v>855</v>
      </c>
      <c r="G37" s="183" t="s">
        <v>17</v>
      </c>
      <c r="H37" s="186">
        <v>0.2</v>
      </c>
    </row>
    <row r="38">
      <c r="A38" s="183" t="s">
        <v>364</v>
      </c>
      <c r="B38" s="184">
        <v>16.0</v>
      </c>
      <c r="C38" s="184">
        <v>15.0</v>
      </c>
      <c r="D38" s="184">
        <v>5.0</v>
      </c>
      <c r="E38" s="185">
        <v>0.333</v>
      </c>
      <c r="F38" s="183" t="s">
        <v>855</v>
      </c>
      <c r="G38" s="183" t="s">
        <v>17</v>
      </c>
      <c r="H38" s="186">
        <v>0.2353</v>
      </c>
    </row>
    <row r="39">
      <c r="A39" s="178" t="s">
        <v>365</v>
      </c>
      <c r="B39" s="179">
        <v>71.0</v>
      </c>
      <c r="C39" s="179">
        <v>68.0</v>
      </c>
      <c r="D39" s="179">
        <v>5.0</v>
      </c>
      <c r="E39" s="180">
        <v>0.074</v>
      </c>
      <c r="F39" s="178" t="s">
        <v>855</v>
      </c>
      <c r="G39" s="178" t="s">
        <v>17</v>
      </c>
      <c r="H39" s="181">
        <v>0.0571</v>
      </c>
    </row>
    <row r="40">
      <c r="A40" s="183" t="s">
        <v>366</v>
      </c>
      <c r="B40" s="184">
        <v>71.0</v>
      </c>
      <c r="C40" s="184">
        <v>71.0</v>
      </c>
      <c r="D40" s="184">
        <v>5.0</v>
      </c>
      <c r="E40" s="185">
        <v>0.07</v>
      </c>
      <c r="F40" s="183" t="s">
        <v>855</v>
      </c>
      <c r="G40" s="183" t="s">
        <v>17</v>
      </c>
      <c r="H40" s="186">
        <v>0.0417</v>
      </c>
    </row>
    <row r="41">
      <c r="A41" s="178" t="s">
        <v>367</v>
      </c>
      <c r="B41" s="179">
        <v>80.0</v>
      </c>
      <c r="C41" s="179">
        <v>77.0</v>
      </c>
      <c r="D41" s="179">
        <v>5.0</v>
      </c>
      <c r="E41" s="180">
        <v>0.065</v>
      </c>
      <c r="F41" s="178" t="s">
        <v>855</v>
      </c>
      <c r="G41" s="178" t="s">
        <v>17</v>
      </c>
      <c r="H41" s="181">
        <v>0.0385</v>
      </c>
    </row>
    <row r="42">
      <c r="A42" s="178" t="s">
        <v>368</v>
      </c>
      <c r="B42" s="179">
        <v>116.0</v>
      </c>
      <c r="C42" s="179">
        <v>114.0</v>
      </c>
      <c r="D42" s="179">
        <v>7.0</v>
      </c>
      <c r="E42" s="180">
        <v>0.061</v>
      </c>
      <c r="F42" s="178" t="s">
        <v>855</v>
      </c>
      <c r="G42" s="178" t="s">
        <v>17</v>
      </c>
      <c r="H42" s="181">
        <v>0.0424</v>
      </c>
    </row>
    <row r="43">
      <c r="A43" s="178" t="s">
        <v>369</v>
      </c>
      <c r="B43" s="179">
        <v>119.0</v>
      </c>
      <c r="C43" s="179">
        <v>118.0</v>
      </c>
      <c r="D43" s="179">
        <v>6.0</v>
      </c>
      <c r="E43" s="180">
        <v>0.051</v>
      </c>
      <c r="F43" s="178" t="s">
        <v>855</v>
      </c>
      <c r="G43" s="178" t="s">
        <v>17</v>
      </c>
      <c r="H43" s="181">
        <v>0.042</v>
      </c>
    </row>
    <row r="44">
      <c r="A44" s="178" t="s">
        <v>370</v>
      </c>
      <c r="B44" s="179">
        <v>25.0</v>
      </c>
      <c r="C44" s="179">
        <v>22.0</v>
      </c>
      <c r="D44" s="179">
        <v>6.0</v>
      </c>
      <c r="E44" s="180">
        <v>0.273</v>
      </c>
      <c r="F44" s="178" t="s">
        <v>855</v>
      </c>
      <c r="G44" s="178" t="s">
        <v>371</v>
      </c>
      <c r="H44" s="181">
        <v>0.1429</v>
      </c>
    </row>
    <row r="45">
      <c r="A45" s="183" t="s">
        <v>372</v>
      </c>
      <c r="B45" s="184">
        <v>83.0</v>
      </c>
      <c r="C45" s="184">
        <v>83.0</v>
      </c>
      <c r="D45" s="184">
        <v>5.0</v>
      </c>
      <c r="E45" s="185">
        <v>0.06</v>
      </c>
      <c r="F45" s="183" t="s">
        <v>855</v>
      </c>
      <c r="G45" s="183" t="s">
        <v>371</v>
      </c>
      <c r="H45" s="186">
        <v>0.0238</v>
      </c>
    </row>
    <row r="46">
      <c r="A46" s="183" t="s">
        <v>373</v>
      </c>
      <c r="B46" s="184">
        <v>118.0</v>
      </c>
      <c r="C46" s="184">
        <v>108.0</v>
      </c>
      <c r="D46" s="184">
        <v>7.0</v>
      </c>
      <c r="E46" s="185">
        <v>0.065</v>
      </c>
      <c r="F46" s="183" t="s">
        <v>855</v>
      </c>
      <c r="G46" s="183" t="s">
        <v>323</v>
      </c>
      <c r="H46" s="186">
        <v>0.0268</v>
      </c>
    </row>
  </sheetData>
  <autoFilter ref="$A$1:$I$46">
    <sortState ref="A1:I46">
      <sortCondition ref="G1:G46"/>
    </sortState>
  </autoFil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6" t="s">
        <v>848</v>
      </c>
      <c r="B1" s="176" t="s">
        <v>849</v>
      </c>
      <c r="C1" s="176" t="s">
        <v>868</v>
      </c>
      <c r="D1" s="176" t="s">
        <v>850</v>
      </c>
      <c r="E1" s="176" t="s">
        <v>851</v>
      </c>
      <c r="F1" s="176" t="s">
        <v>852</v>
      </c>
      <c r="G1" s="176" t="s">
        <v>853</v>
      </c>
      <c r="H1" s="176" t="s">
        <v>32</v>
      </c>
      <c r="I1" s="176" t="s">
        <v>17</v>
      </c>
      <c r="J1" s="176" t="s">
        <v>124</v>
      </c>
      <c r="K1" s="176" t="s">
        <v>323</v>
      </c>
      <c r="L1" s="176" t="s">
        <v>392</v>
      </c>
      <c r="M1" s="176" t="s">
        <v>3</v>
      </c>
      <c r="N1" s="177" t="s">
        <v>4</v>
      </c>
    </row>
    <row r="2">
      <c r="A2" s="178" t="s">
        <v>377</v>
      </c>
      <c r="B2" s="179">
        <v>4.0</v>
      </c>
      <c r="C2" s="191">
        <v>0.24</v>
      </c>
      <c r="D2" s="179">
        <v>5.0</v>
      </c>
      <c r="E2" s="179">
        <v>3.0</v>
      </c>
      <c r="F2" s="180">
        <v>0.6</v>
      </c>
      <c r="G2" s="178" t="s">
        <v>855</v>
      </c>
      <c r="H2" s="180">
        <v>0.3333</v>
      </c>
      <c r="I2" s="180">
        <v>0.1667</v>
      </c>
      <c r="J2" s="180">
        <v>0.0</v>
      </c>
      <c r="K2" s="180">
        <v>0.0</v>
      </c>
      <c r="L2" s="180">
        <v>0.0</v>
      </c>
      <c r="M2" s="178" t="s">
        <v>32</v>
      </c>
      <c r="N2" s="181">
        <v>0.3333</v>
      </c>
    </row>
    <row r="3">
      <c r="A3" s="183" t="s">
        <v>378</v>
      </c>
      <c r="B3" s="184">
        <v>17.0</v>
      </c>
      <c r="C3" s="195">
        <v>1.0</v>
      </c>
      <c r="D3" s="184">
        <v>16.0</v>
      </c>
      <c r="E3" s="184">
        <v>5.0</v>
      </c>
      <c r="F3" s="185">
        <v>0.313</v>
      </c>
      <c r="G3" s="183" t="s">
        <v>855</v>
      </c>
      <c r="H3" s="185">
        <v>0.2222</v>
      </c>
      <c r="I3" s="185">
        <v>0.0</v>
      </c>
      <c r="J3" s="185">
        <v>0.0</v>
      </c>
      <c r="K3" s="185">
        <v>0.0556</v>
      </c>
      <c r="L3" s="185">
        <v>0.0556</v>
      </c>
      <c r="M3" s="183" t="s">
        <v>32</v>
      </c>
      <c r="N3" s="186">
        <v>0.2222</v>
      </c>
    </row>
    <row r="4">
      <c r="A4" s="178" t="s">
        <v>186</v>
      </c>
      <c r="B4" s="179">
        <v>14.0</v>
      </c>
      <c r="C4" s="191">
        <v>0.58</v>
      </c>
      <c r="D4" s="179">
        <v>14.0</v>
      </c>
      <c r="E4" s="179">
        <v>3.0</v>
      </c>
      <c r="F4" s="180">
        <v>0.214</v>
      </c>
      <c r="G4" s="178" t="s">
        <v>855</v>
      </c>
      <c r="H4" s="180">
        <v>0.2143</v>
      </c>
      <c r="I4" s="180">
        <v>0.0</v>
      </c>
      <c r="J4" s="180">
        <v>0.0</v>
      </c>
      <c r="K4" s="180">
        <v>0.0</v>
      </c>
      <c r="L4" s="180">
        <v>0.0714</v>
      </c>
      <c r="M4" s="178" t="s">
        <v>32</v>
      </c>
      <c r="N4" s="181">
        <v>0.2143</v>
      </c>
    </row>
    <row r="5">
      <c r="A5" s="183" t="s">
        <v>334</v>
      </c>
      <c r="B5" s="184">
        <v>29.0</v>
      </c>
      <c r="C5" s="195">
        <v>0.73</v>
      </c>
      <c r="D5" s="184">
        <v>23.0</v>
      </c>
      <c r="E5" s="184">
        <v>3.0</v>
      </c>
      <c r="F5" s="185">
        <v>0.13</v>
      </c>
      <c r="G5" s="183" t="s">
        <v>855</v>
      </c>
      <c r="H5" s="185">
        <v>0.125</v>
      </c>
      <c r="I5" s="185">
        <v>0.0</v>
      </c>
      <c r="J5" s="185">
        <v>0.0</v>
      </c>
      <c r="K5" s="185">
        <v>0.0</v>
      </c>
      <c r="L5" s="185">
        <v>0.0</v>
      </c>
      <c r="M5" s="183" t="s">
        <v>32</v>
      </c>
      <c r="N5" s="186">
        <v>0.125</v>
      </c>
    </row>
    <row r="6">
      <c r="A6" s="178" t="s">
        <v>167</v>
      </c>
      <c r="B6" s="179">
        <v>23.0</v>
      </c>
      <c r="C6" s="191">
        <v>1.0</v>
      </c>
      <c r="D6" s="179">
        <v>22.0</v>
      </c>
      <c r="E6" s="179">
        <v>3.0</v>
      </c>
      <c r="F6" s="180">
        <v>0.136</v>
      </c>
      <c r="G6" s="178" t="s">
        <v>855</v>
      </c>
      <c r="H6" s="180">
        <v>0.0909</v>
      </c>
      <c r="I6" s="180">
        <v>0.0455</v>
      </c>
      <c r="J6" s="180">
        <v>0.0</v>
      </c>
      <c r="K6" s="180">
        <v>0.0</v>
      </c>
      <c r="L6" s="180">
        <v>0.0</v>
      </c>
      <c r="M6" s="178" t="s">
        <v>32</v>
      </c>
      <c r="N6" s="181">
        <v>0.0909</v>
      </c>
    </row>
    <row r="7">
      <c r="A7" s="183" t="s">
        <v>379</v>
      </c>
      <c r="B7" s="184">
        <v>39.0</v>
      </c>
      <c r="C7" s="195">
        <v>0.68</v>
      </c>
      <c r="D7" s="184">
        <v>35.0</v>
      </c>
      <c r="E7" s="184">
        <v>3.0</v>
      </c>
      <c r="F7" s="185">
        <v>0.086</v>
      </c>
      <c r="G7" s="183" t="s">
        <v>855</v>
      </c>
      <c r="H7" s="185">
        <v>0.0833</v>
      </c>
      <c r="I7" s="185">
        <v>0.0</v>
      </c>
      <c r="J7" s="185">
        <v>0.0</v>
      </c>
      <c r="K7" s="185">
        <v>0.0</v>
      </c>
      <c r="L7" s="185">
        <v>0.0278</v>
      </c>
      <c r="M7" s="183" t="s">
        <v>32</v>
      </c>
      <c r="N7" s="186">
        <v>0.0833</v>
      </c>
    </row>
    <row r="8">
      <c r="A8" s="178" t="s">
        <v>180</v>
      </c>
      <c r="B8" s="179">
        <v>44.0</v>
      </c>
      <c r="C8" s="191">
        <v>0.9</v>
      </c>
      <c r="D8" s="179">
        <v>42.0</v>
      </c>
      <c r="E8" s="179">
        <v>3.0</v>
      </c>
      <c r="F8" s="180">
        <v>0.071</v>
      </c>
      <c r="G8" s="178" t="s">
        <v>855</v>
      </c>
      <c r="H8" s="180">
        <v>0.0714</v>
      </c>
      <c r="I8" s="180">
        <v>0.0</v>
      </c>
      <c r="J8" s="180">
        <v>0.0</v>
      </c>
      <c r="K8" s="180">
        <v>0.0</v>
      </c>
      <c r="L8" s="180">
        <v>0.0476</v>
      </c>
      <c r="M8" s="178" t="s">
        <v>32</v>
      </c>
      <c r="N8" s="181">
        <v>0.0714</v>
      </c>
    </row>
    <row r="9">
      <c r="A9" s="183" t="s">
        <v>380</v>
      </c>
      <c r="B9" s="184">
        <v>72.0</v>
      </c>
      <c r="C9" s="195">
        <v>0.89</v>
      </c>
      <c r="D9" s="184">
        <v>70.0</v>
      </c>
      <c r="E9" s="184">
        <v>4.0</v>
      </c>
      <c r="F9" s="185">
        <v>0.057</v>
      </c>
      <c r="G9" s="183" t="s">
        <v>855</v>
      </c>
      <c r="H9" s="185">
        <v>0.0571</v>
      </c>
      <c r="I9" s="185">
        <v>0.0</v>
      </c>
      <c r="J9" s="185">
        <v>0.0143</v>
      </c>
      <c r="K9" s="185">
        <v>0.0</v>
      </c>
      <c r="L9" s="185">
        <v>0.0286</v>
      </c>
      <c r="M9" s="183" t="s">
        <v>32</v>
      </c>
      <c r="N9" s="186">
        <v>0.0571</v>
      </c>
    </row>
    <row r="10">
      <c r="A10" s="178" t="s">
        <v>294</v>
      </c>
      <c r="B10" s="179">
        <v>91.0</v>
      </c>
      <c r="C10" s="191">
        <v>0.57</v>
      </c>
      <c r="D10" s="179">
        <v>91.0</v>
      </c>
      <c r="E10" s="179">
        <v>8.0</v>
      </c>
      <c r="F10" s="180">
        <v>0.088</v>
      </c>
      <c r="G10" s="178" t="s">
        <v>855</v>
      </c>
      <c r="H10" s="180">
        <v>0.0543</v>
      </c>
      <c r="I10" s="180">
        <v>0.0</v>
      </c>
      <c r="J10" s="180">
        <v>0.0435</v>
      </c>
      <c r="K10" s="180">
        <v>0.0109</v>
      </c>
      <c r="L10" s="180">
        <v>0.0109</v>
      </c>
      <c r="M10" s="178" t="s">
        <v>32</v>
      </c>
      <c r="N10" s="181">
        <v>0.0543</v>
      </c>
    </row>
    <row r="11">
      <c r="A11" s="183" t="s">
        <v>339</v>
      </c>
      <c r="B11" s="184">
        <v>59.0</v>
      </c>
      <c r="C11" s="195">
        <v>0.66</v>
      </c>
      <c r="D11" s="184">
        <v>56.0</v>
      </c>
      <c r="E11" s="184">
        <v>3.0</v>
      </c>
      <c r="F11" s="185">
        <v>0.054</v>
      </c>
      <c r="G11" s="183" t="s">
        <v>855</v>
      </c>
      <c r="H11" s="185">
        <v>0.0351</v>
      </c>
      <c r="I11" s="185">
        <v>0.0</v>
      </c>
      <c r="J11" s="185">
        <v>0.0</v>
      </c>
      <c r="K11" s="185">
        <v>0.0175</v>
      </c>
      <c r="L11" s="185">
        <v>0.0175</v>
      </c>
      <c r="M11" s="183" t="s">
        <v>32</v>
      </c>
      <c r="N11" s="186">
        <v>0.0351</v>
      </c>
    </row>
    <row r="12">
      <c r="A12" s="178" t="s">
        <v>165</v>
      </c>
      <c r="B12" s="179">
        <v>48.0</v>
      </c>
      <c r="C12" s="191">
        <v>0.87</v>
      </c>
      <c r="D12" s="179">
        <v>42.0</v>
      </c>
      <c r="E12" s="179">
        <v>4.0</v>
      </c>
      <c r="F12" s="180">
        <v>0.095</v>
      </c>
      <c r="G12" s="178" t="s">
        <v>855</v>
      </c>
      <c r="H12" s="180">
        <v>0.0638</v>
      </c>
      <c r="I12" s="180">
        <v>0.0</v>
      </c>
      <c r="J12" s="180">
        <v>0.0638</v>
      </c>
      <c r="K12" s="180">
        <v>0.0</v>
      </c>
      <c r="L12" s="180">
        <v>0.0426</v>
      </c>
      <c r="M12" s="178" t="s">
        <v>307</v>
      </c>
      <c r="N12" s="181">
        <v>0.0638</v>
      </c>
    </row>
    <row r="13">
      <c r="A13" s="183" t="s">
        <v>381</v>
      </c>
      <c r="B13" s="184">
        <v>25.0</v>
      </c>
      <c r="C13" s="195">
        <v>0.21</v>
      </c>
      <c r="D13" s="184">
        <v>25.0</v>
      </c>
      <c r="E13" s="184">
        <v>4.0</v>
      </c>
      <c r="F13" s="185">
        <v>0.16</v>
      </c>
      <c r="G13" s="183" t="s">
        <v>855</v>
      </c>
      <c r="H13" s="185">
        <v>0.08</v>
      </c>
      <c r="I13" s="185">
        <v>0.04</v>
      </c>
      <c r="J13" s="185">
        <v>0.0</v>
      </c>
      <c r="K13" s="185">
        <v>0.04</v>
      </c>
      <c r="L13" s="185">
        <v>0.16</v>
      </c>
      <c r="M13" s="183" t="s">
        <v>382</v>
      </c>
      <c r="N13" s="186">
        <v>0.16</v>
      </c>
    </row>
    <row r="14">
      <c r="A14" s="178" t="s">
        <v>383</v>
      </c>
      <c r="B14" s="179">
        <v>47.0</v>
      </c>
      <c r="C14" s="191">
        <v>0.25</v>
      </c>
      <c r="D14" s="179">
        <v>47.0</v>
      </c>
      <c r="E14" s="179">
        <v>6.0</v>
      </c>
      <c r="F14" s="180">
        <v>0.128</v>
      </c>
      <c r="G14" s="178" t="s">
        <v>855</v>
      </c>
      <c r="H14" s="180">
        <v>0.1</v>
      </c>
      <c r="I14" s="180">
        <v>0.0</v>
      </c>
      <c r="J14" s="180">
        <v>0.04</v>
      </c>
      <c r="K14" s="180">
        <v>0.0</v>
      </c>
      <c r="L14" s="180">
        <v>0.14</v>
      </c>
      <c r="M14" s="178" t="s">
        <v>382</v>
      </c>
      <c r="N14" s="181">
        <v>0.14</v>
      </c>
    </row>
    <row r="15">
      <c r="A15" s="183" t="s">
        <v>300</v>
      </c>
      <c r="B15" s="184">
        <v>41.0</v>
      </c>
      <c r="C15" s="195">
        <v>0.84</v>
      </c>
      <c r="D15" s="184">
        <v>39.0</v>
      </c>
      <c r="E15" s="184">
        <v>4.0</v>
      </c>
      <c r="F15" s="185">
        <v>0.103</v>
      </c>
      <c r="G15" s="183" t="s">
        <v>855</v>
      </c>
      <c r="H15" s="185">
        <v>0.0769</v>
      </c>
      <c r="I15" s="185">
        <v>0.0256</v>
      </c>
      <c r="J15" s="185">
        <v>0.0</v>
      </c>
      <c r="K15" s="185">
        <v>0.0</v>
      </c>
      <c r="L15" s="185">
        <v>0.1282</v>
      </c>
      <c r="M15" s="183" t="s">
        <v>382</v>
      </c>
      <c r="N15" s="186">
        <v>0.1282</v>
      </c>
    </row>
    <row r="16">
      <c r="A16" s="178" t="s">
        <v>325</v>
      </c>
      <c r="B16" s="179">
        <v>65.0</v>
      </c>
      <c r="C16" s="191">
        <v>0.3</v>
      </c>
      <c r="D16" s="179">
        <v>62.0</v>
      </c>
      <c r="E16" s="179">
        <v>4.0</v>
      </c>
      <c r="F16" s="180">
        <v>0.065</v>
      </c>
      <c r="G16" s="178" t="s">
        <v>855</v>
      </c>
      <c r="H16" s="180">
        <v>0.0462</v>
      </c>
      <c r="I16" s="180">
        <v>0.0</v>
      </c>
      <c r="J16" s="180">
        <v>0.0154</v>
      </c>
      <c r="K16" s="180">
        <v>0.0</v>
      </c>
      <c r="L16" s="180">
        <v>0.1077</v>
      </c>
      <c r="M16" s="178" t="s">
        <v>382</v>
      </c>
      <c r="N16" s="181">
        <v>0.1077</v>
      </c>
    </row>
    <row r="17">
      <c r="A17" s="183" t="s">
        <v>384</v>
      </c>
      <c r="B17" s="184">
        <v>74.0</v>
      </c>
      <c r="C17" s="195">
        <v>0.41</v>
      </c>
      <c r="D17" s="184">
        <v>71.0</v>
      </c>
      <c r="E17" s="184">
        <v>6.0</v>
      </c>
      <c r="F17" s="185">
        <v>0.085</v>
      </c>
      <c r="G17" s="183" t="s">
        <v>855</v>
      </c>
      <c r="H17" s="185">
        <v>0.0405</v>
      </c>
      <c r="I17" s="185">
        <v>0.0</v>
      </c>
      <c r="J17" s="185">
        <v>0.0</v>
      </c>
      <c r="K17" s="185">
        <v>0.0405</v>
      </c>
      <c r="L17" s="185">
        <v>0.0</v>
      </c>
      <c r="M17" s="183" t="s">
        <v>385</v>
      </c>
      <c r="N17" s="186">
        <v>0.0405</v>
      </c>
    </row>
    <row r="18">
      <c r="A18" s="178" t="s">
        <v>386</v>
      </c>
      <c r="B18" s="179">
        <v>58.0</v>
      </c>
      <c r="C18" s="191">
        <v>0.4</v>
      </c>
      <c r="D18" s="179">
        <v>55.0</v>
      </c>
      <c r="E18" s="179">
        <v>3.0</v>
      </c>
      <c r="F18" s="180">
        <v>0.055</v>
      </c>
      <c r="G18" s="178" t="s">
        <v>855</v>
      </c>
      <c r="H18" s="180">
        <v>0.0357</v>
      </c>
      <c r="I18" s="180">
        <v>0.0</v>
      </c>
      <c r="J18" s="180">
        <v>0.0</v>
      </c>
      <c r="K18" s="180">
        <v>0.0179</v>
      </c>
      <c r="L18" s="180">
        <v>0.0357</v>
      </c>
      <c r="M18" s="178" t="s">
        <v>351</v>
      </c>
      <c r="N18" s="181">
        <v>0.0357</v>
      </c>
    </row>
    <row r="19">
      <c r="A19" s="183" t="s">
        <v>387</v>
      </c>
      <c r="B19" s="184">
        <v>21.0</v>
      </c>
      <c r="C19" s="195">
        <v>0.58</v>
      </c>
      <c r="D19" s="184">
        <v>22.0</v>
      </c>
      <c r="E19" s="184">
        <v>8.0</v>
      </c>
      <c r="F19" s="185">
        <v>0.364</v>
      </c>
      <c r="G19" s="183" t="s">
        <v>855</v>
      </c>
      <c r="H19" s="185">
        <v>0.0</v>
      </c>
      <c r="I19" s="185">
        <v>0.0</v>
      </c>
      <c r="J19" s="185">
        <v>0.32</v>
      </c>
      <c r="K19" s="185">
        <v>0.0</v>
      </c>
      <c r="L19" s="185">
        <v>0.08</v>
      </c>
      <c r="M19" s="183" t="s">
        <v>124</v>
      </c>
      <c r="N19" s="186">
        <v>0.32</v>
      </c>
    </row>
    <row r="20">
      <c r="A20" s="178" t="s">
        <v>388</v>
      </c>
      <c r="B20" s="179">
        <v>22.0</v>
      </c>
      <c r="C20" s="191">
        <v>0.18</v>
      </c>
      <c r="D20" s="179">
        <v>19.0</v>
      </c>
      <c r="E20" s="179">
        <v>6.0</v>
      </c>
      <c r="F20" s="180">
        <v>0.316</v>
      </c>
      <c r="G20" s="178" t="s">
        <v>855</v>
      </c>
      <c r="H20" s="180">
        <v>0.1304</v>
      </c>
      <c r="I20" s="180">
        <v>0.0</v>
      </c>
      <c r="J20" s="180">
        <v>0.1739</v>
      </c>
      <c r="K20" s="180">
        <v>0.0</v>
      </c>
      <c r="L20" s="180">
        <v>0.1304</v>
      </c>
      <c r="M20" s="178" t="s">
        <v>124</v>
      </c>
      <c r="N20" s="181">
        <v>0.1739</v>
      </c>
    </row>
    <row r="21">
      <c r="A21" s="183" t="s">
        <v>389</v>
      </c>
      <c r="B21" s="184">
        <v>17.0</v>
      </c>
      <c r="C21" s="195">
        <v>0.15</v>
      </c>
      <c r="D21" s="184">
        <v>17.0</v>
      </c>
      <c r="E21" s="184">
        <v>3.0</v>
      </c>
      <c r="F21" s="185">
        <v>0.176</v>
      </c>
      <c r="G21" s="183" t="s">
        <v>855</v>
      </c>
      <c r="H21" s="185">
        <v>0.0588</v>
      </c>
      <c r="I21" s="185">
        <v>0.0</v>
      </c>
      <c r="J21" s="185">
        <v>0.1176</v>
      </c>
      <c r="K21" s="185">
        <v>0.0</v>
      </c>
      <c r="L21" s="185">
        <v>0.0</v>
      </c>
      <c r="M21" s="183" t="s">
        <v>124</v>
      </c>
      <c r="N21" s="186">
        <v>0.1176</v>
      </c>
    </row>
    <row r="22">
      <c r="A22" s="178" t="s">
        <v>356</v>
      </c>
      <c r="B22" s="179">
        <v>43.0</v>
      </c>
      <c r="C22" s="191">
        <v>0.73</v>
      </c>
      <c r="D22" s="179">
        <v>39.0</v>
      </c>
      <c r="E22" s="179">
        <v>4.0</v>
      </c>
      <c r="F22" s="180">
        <v>0.103</v>
      </c>
      <c r="G22" s="178" t="s">
        <v>855</v>
      </c>
      <c r="H22" s="180">
        <v>0.0</v>
      </c>
      <c r="I22" s="180">
        <v>0.0</v>
      </c>
      <c r="J22" s="180">
        <v>0.1</v>
      </c>
      <c r="K22" s="180">
        <v>0.0</v>
      </c>
      <c r="L22" s="180">
        <v>0.1</v>
      </c>
      <c r="M22" s="178" t="s">
        <v>124</v>
      </c>
      <c r="N22" s="181">
        <v>0.1</v>
      </c>
    </row>
    <row r="23">
      <c r="A23" s="183" t="s">
        <v>390</v>
      </c>
      <c r="B23" s="184">
        <v>30.0</v>
      </c>
      <c r="C23" s="195">
        <v>0.49</v>
      </c>
      <c r="D23" s="184">
        <v>32.0</v>
      </c>
      <c r="E23" s="184">
        <v>4.0</v>
      </c>
      <c r="F23" s="185">
        <v>0.125</v>
      </c>
      <c r="G23" s="183" t="s">
        <v>855</v>
      </c>
      <c r="H23" s="185">
        <v>0.0</v>
      </c>
      <c r="I23" s="185">
        <v>0.0</v>
      </c>
      <c r="J23" s="185">
        <v>0.0938</v>
      </c>
      <c r="K23" s="185">
        <v>0.0313</v>
      </c>
      <c r="L23" s="185">
        <v>0.0</v>
      </c>
      <c r="M23" s="183" t="s">
        <v>124</v>
      </c>
      <c r="N23" s="186">
        <v>0.0938</v>
      </c>
    </row>
    <row r="24">
      <c r="A24" s="178" t="s">
        <v>361</v>
      </c>
      <c r="B24" s="179">
        <v>50.0</v>
      </c>
      <c r="C24" s="191">
        <v>0.77</v>
      </c>
      <c r="D24" s="179">
        <v>48.0</v>
      </c>
      <c r="E24" s="179">
        <v>3.0</v>
      </c>
      <c r="F24" s="180">
        <v>0.063</v>
      </c>
      <c r="G24" s="178" t="s">
        <v>855</v>
      </c>
      <c r="H24" s="180">
        <v>0.0</v>
      </c>
      <c r="I24" s="180">
        <v>0.0</v>
      </c>
      <c r="J24" s="180">
        <v>0.0816</v>
      </c>
      <c r="K24" s="180">
        <v>0.0</v>
      </c>
      <c r="L24" s="180">
        <v>0.0204</v>
      </c>
      <c r="M24" s="178" t="s">
        <v>124</v>
      </c>
      <c r="N24" s="181">
        <v>0.0816</v>
      </c>
    </row>
    <row r="25">
      <c r="A25" s="183" t="s">
        <v>169</v>
      </c>
      <c r="B25" s="184">
        <v>54.0</v>
      </c>
      <c r="C25" s="195">
        <v>0.83</v>
      </c>
      <c r="D25" s="184">
        <v>51.0</v>
      </c>
      <c r="E25" s="184">
        <v>5.0</v>
      </c>
      <c r="F25" s="185">
        <v>0.098</v>
      </c>
      <c r="G25" s="183" t="s">
        <v>855</v>
      </c>
      <c r="H25" s="185">
        <v>0.0392</v>
      </c>
      <c r="I25" s="185">
        <v>0.0</v>
      </c>
      <c r="J25" s="185">
        <v>0.0588</v>
      </c>
      <c r="K25" s="185">
        <v>0.0</v>
      </c>
      <c r="L25" s="185">
        <v>0.0196</v>
      </c>
      <c r="M25" s="183" t="s">
        <v>124</v>
      </c>
      <c r="N25" s="186">
        <v>0.0588</v>
      </c>
    </row>
    <row r="26">
      <c r="A26" s="178" t="s">
        <v>391</v>
      </c>
      <c r="B26" s="179">
        <v>30.0</v>
      </c>
      <c r="C26" s="191">
        <v>0.91</v>
      </c>
      <c r="D26" s="179">
        <v>28.0</v>
      </c>
      <c r="E26" s="179">
        <v>3.0</v>
      </c>
      <c r="F26" s="180">
        <v>0.107</v>
      </c>
      <c r="G26" s="178" t="s">
        <v>855</v>
      </c>
      <c r="H26" s="180">
        <v>0.0333</v>
      </c>
      <c r="I26" s="180">
        <v>0.0</v>
      </c>
      <c r="J26" s="180">
        <v>0.0667</v>
      </c>
      <c r="K26" s="180">
        <v>0.0</v>
      </c>
      <c r="L26" s="180">
        <v>0.2</v>
      </c>
      <c r="M26" s="178" t="s">
        <v>392</v>
      </c>
      <c r="N26" s="181">
        <v>0.2</v>
      </c>
    </row>
    <row r="27">
      <c r="A27" s="183" t="s">
        <v>317</v>
      </c>
      <c r="B27" s="184">
        <v>48.0</v>
      </c>
      <c r="C27" s="195">
        <v>0.96</v>
      </c>
      <c r="D27" s="184">
        <v>38.0</v>
      </c>
      <c r="E27" s="184">
        <v>5.0</v>
      </c>
      <c r="F27" s="185">
        <v>0.132</v>
      </c>
      <c r="G27" s="183" t="s">
        <v>855</v>
      </c>
      <c r="H27" s="185">
        <v>0.0455</v>
      </c>
      <c r="I27" s="185">
        <v>0.0455</v>
      </c>
      <c r="J27" s="185">
        <v>0.0455</v>
      </c>
      <c r="K27" s="185">
        <v>0.0</v>
      </c>
      <c r="L27" s="185">
        <v>0.1591</v>
      </c>
      <c r="M27" s="183" t="s">
        <v>392</v>
      </c>
      <c r="N27" s="186">
        <v>0.1591</v>
      </c>
    </row>
    <row r="28">
      <c r="A28" s="178" t="s">
        <v>393</v>
      </c>
      <c r="B28" s="179">
        <v>34.0</v>
      </c>
      <c r="C28" s="191">
        <v>0.67</v>
      </c>
      <c r="D28" s="179">
        <v>33.0</v>
      </c>
      <c r="E28" s="179">
        <v>3.0</v>
      </c>
      <c r="F28" s="180">
        <v>0.091</v>
      </c>
      <c r="G28" s="178" t="s">
        <v>855</v>
      </c>
      <c r="H28" s="180">
        <v>0.0476</v>
      </c>
      <c r="I28" s="180">
        <v>0.0</v>
      </c>
      <c r="J28" s="180">
        <v>0.0476</v>
      </c>
      <c r="K28" s="180">
        <v>0.0</v>
      </c>
      <c r="L28" s="180">
        <v>0.0952</v>
      </c>
      <c r="M28" s="178" t="s">
        <v>392</v>
      </c>
      <c r="N28" s="181">
        <v>0.0952</v>
      </c>
    </row>
    <row r="29">
      <c r="A29" s="183" t="s">
        <v>394</v>
      </c>
      <c r="B29" s="184">
        <v>57.0</v>
      </c>
      <c r="C29" s="195">
        <v>0.57</v>
      </c>
      <c r="D29" s="184">
        <v>55.0</v>
      </c>
      <c r="E29" s="184">
        <v>3.0</v>
      </c>
      <c r="F29" s="185">
        <v>0.055</v>
      </c>
      <c r="G29" s="183" t="s">
        <v>855</v>
      </c>
      <c r="H29" s="185">
        <v>0.0179</v>
      </c>
      <c r="I29" s="185">
        <v>0.0179</v>
      </c>
      <c r="J29" s="185">
        <v>0.0</v>
      </c>
      <c r="K29" s="185">
        <v>0.0179</v>
      </c>
      <c r="L29" s="185">
        <v>0.0536</v>
      </c>
      <c r="M29" s="183" t="s">
        <v>392</v>
      </c>
      <c r="N29" s="186">
        <v>0.0536</v>
      </c>
    </row>
    <row r="30">
      <c r="A30" s="178" t="s">
        <v>395</v>
      </c>
      <c r="B30" s="179">
        <v>81.0</v>
      </c>
      <c r="C30" s="191">
        <v>0.49</v>
      </c>
      <c r="D30" s="179">
        <v>75.0</v>
      </c>
      <c r="E30" s="179">
        <v>4.0</v>
      </c>
      <c r="F30" s="180">
        <v>0.053</v>
      </c>
      <c r="G30" s="178" t="s">
        <v>855</v>
      </c>
      <c r="H30" s="180">
        <v>0.0133</v>
      </c>
      <c r="I30" s="180">
        <v>0.0</v>
      </c>
      <c r="J30" s="180">
        <v>0.0267</v>
      </c>
      <c r="K30" s="180">
        <v>0.0133</v>
      </c>
      <c r="L30" s="180">
        <v>0.0267</v>
      </c>
      <c r="M30" s="178" t="s">
        <v>396</v>
      </c>
      <c r="N30" s="181">
        <v>0.0267</v>
      </c>
    </row>
    <row r="31">
      <c r="A31" s="183" t="s">
        <v>321</v>
      </c>
      <c r="B31" s="184">
        <v>4.0</v>
      </c>
      <c r="C31" s="195">
        <v>0.05</v>
      </c>
      <c r="D31" s="184">
        <v>4.0</v>
      </c>
      <c r="E31" s="184">
        <v>3.0</v>
      </c>
      <c r="F31" s="185">
        <v>0.75</v>
      </c>
      <c r="G31" s="183" t="s">
        <v>855</v>
      </c>
      <c r="H31" s="185">
        <v>0.0</v>
      </c>
      <c r="I31" s="185">
        <v>0.6</v>
      </c>
      <c r="J31" s="185">
        <v>0.0</v>
      </c>
      <c r="K31" s="185">
        <v>0.0</v>
      </c>
      <c r="L31" s="185">
        <v>0.0</v>
      </c>
      <c r="M31" s="183" t="s">
        <v>17</v>
      </c>
      <c r="N31" s="186">
        <v>0.6</v>
      </c>
    </row>
    <row r="32">
      <c r="A32" s="178" t="s">
        <v>200</v>
      </c>
      <c r="B32" s="179">
        <v>18.0</v>
      </c>
      <c r="C32" s="191">
        <v>0.82</v>
      </c>
      <c r="D32" s="179">
        <v>11.0</v>
      </c>
      <c r="E32" s="179">
        <v>8.0</v>
      </c>
      <c r="F32" s="180">
        <v>0.727</v>
      </c>
      <c r="G32" s="178" t="s">
        <v>855</v>
      </c>
      <c r="H32" s="180">
        <v>0.0526</v>
      </c>
      <c r="I32" s="180">
        <v>0.4211</v>
      </c>
      <c r="J32" s="180">
        <v>0.0526</v>
      </c>
      <c r="K32" s="180">
        <v>0.0</v>
      </c>
      <c r="L32" s="180">
        <v>0.0526</v>
      </c>
      <c r="M32" s="178" t="s">
        <v>17</v>
      </c>
      <c r="N32" s="181">
        <v>0.4211</v>
      </c>
    </row>
    <row r="33">
      <c r="A33" s="183" t="s">
        <v>259</v>
      </c>
      <c r="B33" s="184">
        <v>26.0</v>
      </c>
      <c r="C33" s="195">
        <v>0.12</v>
      </c>
      <c r="D33" s="184">
        <v>19.0</v>
      </c>
      <c r="E33" s="184">
        <v>3.0</v>
      </c>
      <c r="F33" s="185">
        <v>0.158</v>
      </c>
      <c r="G33" s="183" t="s">
        <v>855</v>
      </c>
      <c r="H33" s="185">
        <v>0.0</v>
      </c>
      <c r="I33" s="185">
        <v>0.2813</v>
      </c>
      <c r="J33" s="185">
        <v>0.0</v>
      </c>
      <c r="K33" s="185">
        <v>0.0</v>
      </c>
      <c r="L33" s="185">
        <v>0.0938</v>
      </c>
      <c r="M33" s="183" t="s">
        <v>17</v>
      </c>
      <c r="N33" s="186">
        <v>0.2813</v>
      </c>
    </row>
    <row r="34">
      <c r="A34" s="178" t="s">
        <v>397</v>
      </c>
      <c r="B34" s="179">
        <v>49.0</v>
      </c>
      <c r="C34" s="191">
        <v>0.96</v>
      </c>
      <c r="D34" s="179">
        <v>27.0</v>
      </c>
      <c r="E34" s="179">
        <v>17.0</v>
      </c>
      <c r="F34" s="180">
        <v>0.63</v>
      </c>
      <c r="G34" s="178" t="s">
        <v>855</v>
      </c>
      <c r="H34" s="180">
        <v>0.2456</v>
      </c>
      <c r="I34" s="180">
        <v>0.2632</v>
      </c>
      <c r="J34" s="180">
        <v>0.0</v>
      </c>
      <c r="K34" s="180">
        <v>0.0175</v>
      </c>
      <c r="L34" s="180">
        <v>0.0351</v>
      </c>
      <c r="M34" s="178" t="s">
        <v>17</v>
      </c>
      <c r="N34" s="181">
        <v>0.2632</v>
      </c>
    </row>
    <row r="35">
      <c r="A35" s="183" t="s">
        <v>398</v>
      </c>
      <c r="B35" s="184">
        <v>10.0</v>
      </c>
      <c r="C35" s="195">
        <v>0.59</v>
      </c>
      <c r="D35" s="184">
        <v>8.0</v>
      </c>
      <c r="E35" s="184">
        <v>3.0</v>
      </c>
      <c r="F35" s="185">
        <v>0.375</v>
      </c>
      <c r="G35" s="183" t="s">
        <v>855</v>
      </c>
      <c r="H35" s="185">
        <v>0.0909</v>
      </c>
      <c r="I35" s="185">
        <v>0.1818</v>
      </c>
      <c r="J35" s="185">
        <v>0.0</v>
      </c>
      <c r="K35" s="185">
        <v>0.0</v>
      </c>
      <c r="L35" s="185">
        <v>0.0</v>
      </c>
      <c r="M35" s="183" t="s">
        <v>17</v>
      </c>
      <c r="N35" s="186">
        <v>0.1818</v>
      </c>
    </row>
    <row r="36">
      <c r="A36" s="178" t="s">
        <v>254</v>
      </c>
      <c r="B36" s="179">
        <v>17.0</v>
      </c>
      <c r="C36" s="191">
        <v>1.0</v>
      </c>
      <c r="D36" s="179">
        <v>15.0</v>
      </c>
      <c r="E36" s="179">
        <v>3.0</v>
      </c>
      <c r="F36" s="180">
        <v>0.2</v>
      </c>
      <c r="G36" s="178" t="s">
        <v>855</v>
      </c>
      <c r="H36" s="180">
        <v>0.0</v>
      </c>
      <c r="I36" s="180">
        <v>0.1667</v>
      </c>
      <c r="J36" s="180">
        <v>0.0</v>
      </c>
      <c r="K36" s="180">
        <v>0.0</v>
      </c>
      <c r="L36" s="180">
        <v>0.1111</v>
      </c>
      <c r="M36" s="178" t="s">
        <v>17</v>
      </c>
      <c r="N36" s="181">
        <v>0.1667</v>
      </c>
    </row>
    <row r="37">
      <c r="A37" s="183" t="s">
        <v>298</v>
      </c>
      <c r="B37" s="184">
        <v>43.0</v>
      </c>
      <c r="C37" s="195">
        <v>0.96</v>
      </c>
      <c r="D37" s="184">
        <v>43.0</v>
      </c>
      <c r="E37" s="184">
        <v>6.0</v>
      </c>
      <c r="F37" s="185">
        <v>0.14</v>
      </c>
      <c r="G37" s="183" t="s">
        <v>855</v>
      </c>
      <c r="H37" s="185">
        <v>0.0</v>
      </c>
      <c r="I37" s="185">
        <v>0.1163</v>
      </c>
      <c r="J37" s="185">
        <v>0.0</v>
      </c>
      <c r="K37" s="185">
        <v>0.0233</v>
      </c>
      <c r="L37" s="185">
        <v>0.0233</v>
      </c>
      <c r="M37" s="183" t="s">
        <v>17</v>
      </c>
      <c r="N37" s="186">
        <v>0.1163</v>
      </c>
    </row>
    <row r="38">
      <c r="A38" s="178" t="s">
        <v>333</v>
      </c>
      <c r="B38" s="179">
        <v>26.0</v>
      </c>
      <c r="C38" s="191">
        <v>0.67</v>
      </c>
      <c r="D38" s="179">
        <v>26.0</v>
      </c>
      <c r="E38" s="179">
        <v>3.0</v>
      </c>
      <c r="F38" s="180">
        <v>0.115</v>
      </c>
      <c r="G38" s="178" t="s">
        <v>855</v>
      </c>
      <c r="H38" s="180">
        <v>0.0</v>
      </c>
      <c r="I38" s="180">
        <v>0.1034</v>
      </c>
      <c r="J38" s="180">
        <v>0.0</v>
      </c>
      <c r="K38" s="180">
        <v>0.0</v>
      </c>
      <c r="L38" s="180">
        <v>0.0</v>
      </c>
      <c r="M38" s="178" t="s">
        <v>17</v>
      </c>
      <c r="N38" s="181">
        <v>0.1034</v>
      </c>
    </row>
    <row r="39">
      <c r="A39" s="183" t="s">
        <v>201</v>
      </c>
      <c r="B39" s="184">
        <v>57.0</v>
      </c>
      <c r="C39" s="195">
        <v>0.26</v>
      </c>
      <c r="D39" s="184">
        <v>56.0</v>
      </c>
      <c r="E39" s="184">
        <v>6.0</v>
      </c>
      <c r="F39" s="185">
        <v>0.107</v>
      </c>
      <c r="G39" s="183" t="s">
        <v>855</v>
      </c>
      <c r="H39" s="185">
        <v>0.0333</v>
      </c>
      <c r="I39" s="185">
        <v>0.1</v>
      </c>
      <c r="J39" s="185">
        <v>0.0</v>
      </c>
      <c r="K39" s="185">
        <v>0.0</v>
      </c>
      <c r="L39" s="185">
        <v>0.05</v>
      </c>
      <c r="M39" s="183" t="s">
        <v>17</v>
      </c>
      <c r="N39" s="186">
        <v>0.1</v>
      </c>
    </row>
    <row r="40">
      <c r="A40" s="178" t="s">
        <v>399</v>
      </c>
      <c r="B40" s="179">
        <v>31.0</v>
      </c>
      <c r="C40" s="191">
        <v>0.34</v>
      </c>
      <c r="D40" s="179">
        <v>32.0</v>
      </c>
      <c r="E40" s="179">
        <v>3.0</v>
      </c>
      <c r="F40" s="180">
        <v>0.094</v>
      </c>
      <c r="G40" s="178" t="s">
        <v>855</v>
      </c>
      <c r="H40" s="180">
        <v>0.0</v>
      </c>
      <c r="I40" s="180">
        <v>0.0909</v>
      </c>
      <c r="J40" s="180">
        <v>0.0</v>
      </c>
      <c r="K40" s="180">
        <v>0.0</v>
      </c>
      <c r="L40" s="180">
        <v>0.0</v>
      </c>
      <c r="M40" s="178" t="s">
        <v>17</v>
      </c>
      <c r="N40" s="181">
        <v>0.0909</v>
      </c>
    </row>
    <row r="41">
      <c r="A41" s="183" t="s">
        <v>400</v>
      </c>
      <c r="B41" s="184">
        <v>41.0</v>
      </c>
      <c r="C41" s="195">
        <v>0.26</v>
      </c>
      <c r="D41" s="184">
        <v>38.0</v>
      </c>
      <c r="E41" s="184">
        <v>3.0</v>
      </c>
      <c r="F41" s="185">
        <v>0.079</v>
      </c>
      <c r="G41" s="183" t="s">
        <v>855</v>
      </c>
      <c r="H41" s="185">
        <v>0.025</v>
      </c>
      <c r="I41" s="185">
        <v>0.05</v>
      </c>
      <c r="J41" s="185">
        <v>0.0</v>
      </c>
      <c r="K41" s="185">
        <v>0.0</v>
      </c>
      <c r="L41" s="185">
        <v>0.025</v>
      </c>
      <c r="M41" s="183" t="s">
        <v>17</v>
      </c>
      <c r="N41" s="186">
        <v>0.05</v>
      </c>
    </row>
    <row r="42">
      <c r="A42" s="178" t="s">
        <v>401</v>
      </c>
      <c r="B42" s="179">
        <v>18.0</v>
      </c>
      <c r="C42" s="191">
        <v>0.25</v>
      </c>
      <c r="D42" s="179">
        <v>19.0</v>
      </c>
      <c r="E42" s="179">
        <v>3.0</v>
      </c>
      <c r="F42" s="180">
        <v>0.158</v>
      </c>
      <c r="G42" s="178" t="s">
        <v>855</v>
      </c>
      <c r="H42" s="180">
        <v>0.0526</v>
      </c>
      <c r="I42" s="180">
        <v>0.0526</v>
      </c>
      <c r="J42" s="180">
        <v>0.0526</v>
      </c>
      <c r="K42" s="180">
        <v>0.0</v>
      </c>
      <c r="L42" s="180">
        <v>0.0</v>
      </c>
      <c r="M42" s="178" t="s">
        <v>402</v>
      </c>
      <c r="N42" s="181">
        <v>0.0526</v>
      </c>
    </row>
    <row r="43">
      <c r="A43" s="183" t="s">
        <v>403</v>
      </c>
      <c r="B43" s="184">
        <v>42.0</v>
      </c>
      <c r="C43" s="195">
        <v>0.35</v>
      </c>
      <c r="D43" s="184">
        <v>42.0</v>
      </c>
      <c r="E43" s="184">
        <v>4.0</v>
      </c>
      <c r="F43" s="185">
        <v>0.095</v>
      </c>
      <c r="G43" s="183" t="s">
        <v>855</v>
      </c>
      <c r="H43" s="185">
        <v>0.0476</v>
      </c>
      <c r="I43" s="185">
        <v>0.0</v>
      </c>
      <c r="J43" s="185">
        <v>0.0476</v>
      </c>
      <c r="K43" s="185">
        <v>0.0</v>
      </c>
      <c r="L43" s="185">
        <v>0.0476</v>
      </c>
      <c r="M43" s="183" t="s">
        <v>402</v>
      </c>
      <c r="N43" s="186">
        <v>0.0476</v>
      </c>
    </row>
    <row r="44">
      <c r="A44" s="178" t="s">
        <v>404</v>
      </c>
      <c r="B44" s="179">
        <v>22.0</v>
      </c>
      <c r="C44" s="191">
        <v>0.12</v>
      </c>
      <c r="D44" s="179">
        <v>21.0</v>
      </c>
      <c r="E44" s="179">
        <v>3.0</v>
      </c>
      <c r="F44" s="180">
        <v>0.143</v>
      </c>
      <c r="G44" s="178" t="s">
        <v>855</v>
      </c>
      <c r="H44" s="180">
        <v>0.0476</v>
      </c>
      <c r="I44" s="180">
        <v>0.0</v>
      </c>
      <c r="J44" s="180">
        <v>0.0476</v>
      </c>
      <c r="K44" s="180">
        <v>0.0476</v>
      </c>
      <c r="L44" s="180">
        <v>0.0</v>
      </c>
      <c r="M44" s="178" t="s">
        <v>402</v>
      </c>
      <c r="N44" s="181">
        <v>0.0476</v>
      </c>
    </row>
    <row r="45">
      <c r="A45" s="183" t="s">
        <v>405</v>
      </c>
      <c r="B45" s="184">
        <v>35.0</v>
      </c>
      <c r="C45" s="195">
        <v>0.36</v>
      </c>
      <c r="D45" s="184">
        <v>34.0</v>
      </c>
      <c r="E45" s="184">
        <v>3.0</v>
      </c>
      <c r="F45" s="185">
        <v>0.088</v>
      </c>
      <c r="G45" s="183" t="s">
        <v>855</v>
      </c>
      <c r="H45" s="185">
        <v>0.0294</v>
      </c>
      <c r="I45" s="185">
        <v>0.0294</v>
      </c>
      <c r="J45" s="185">
        <v>0.0</v>
      </c>
      <c r="K45" s="185">
        <v>0.0294</v>
      </c>
      <c r="L45" s="185">
        <v>0.0</v>
      </c>
      <c r="M45" s="183" t="s">
        <v>402</v>
      </c>
      <c r="N45" s="186">
        <v>0.0294</v>
      </c>
    </row>
  </sheetData>
  <drawing r:id="rId1"/>
</worksheet>
</file>